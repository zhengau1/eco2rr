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06"/>
  <workbookPr defaultThemeVersion="166925"/>
  <xr:revisionPtr revIDLastSave="0" documentId="11_F31D1D00AE58B614A33E3BDDD201D21624932DB2" xr6:coauthVersionLast="47" xr6:coauthVersionMax="47" xr10:uidLastSave="{00000000-0000-0000-0000-000000000000}"/>
  <bookViews>
    <workbookView xWindow="0" yWindow="0" windowWidth="16384" windowHeight="8192" tabRatio="500" firstSheet="7" activeTab="7" xr2:uid="{00000000-000D-0000-FFFF-FFFF00000000}"/>
  </bookViews>
  <sheets>
    <sheet name="Substrates" sheetId="1" r:id="rId1"/>
    <sheet name="Pathways" sheetId="2" r:id="rId2"/>
    <sheet name="ECR General" sheetId="3" r:id="rId3"/>
    <sheet name="THESIS-Std Cell Pot" sheetId="4" r:id="rId4"/>
    <sheet name="ECR - V, CD, FE Data" sheetId="5" r:id="rId5"/>
    <sheet name="THESIS-Parameters" sheetId="6" r:id="rId6"/>
    <sheet name="THESIS-Lit Review" sheetId="7" r:id="rId7"/>
    <sheet name="C1 Comparison" sheetId="8" r:id="rId8"/>
    <sheet name="sCO-FOR_pwWLP" sheetId="9" r:id="rId9"/>
    <sheet name="sFormate_pwFormolase" sheetId="10" r:id="rId10"/>
    <sheet name="sFormate_pwSerineCycle" sheetId="11" r:id="rId11"/>
    <sheet name="sFormate_pwRGPviaSerine" sheetId="12" r:id="rId12"/>
    <sheet name="sMethanol_pwFormolase" sheetId="13" r:id="rId13"/>
    <sheet name="sMethanol_pwSerineCycle" sheetId="14" r:id="rId14"/>
    <sheet name="sMethanol_pwRuMP" sheetId="15" r:id="rId15"/>
    <sheet name="sEG_pwSACA" sheetId="16" r:id="rId16"/>
    <sheet name="sEG_pwGlycolate" sheetId="17" r:id="rId17"/>
    <sheet name="sGlycolaldehyde_pwSACA" sheetId="18" r:id="rId18"/>
    <sheet name="sGlycolaldehyde_pwGlycolate" sheetId="19" r:id="rId19"/>
    <sheet name="Sheet15" sheetId="20" r:id="rId20"/>
  </sheets>
  <definedNames>
    <definedName name="_xlnm._FilterDatabase" localSheetId="6" hidden="1">'THESIS-Lit Review'!$A$4:$J$4</definedName>
    <definedName name="dG_CO2">'ECR General'!$B$5</definedName>
    <definedName name="dG_H2O">'ECR General'!$B$6</definedName>
    <definedName name="F">'ECR General'!$B$11</definedName>
    <definedName name="pH">'ECR General'!$B$14</definedName>
  </definedName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K17" i="15" l="1"/>
  <c r="I17" i="15"/>
  <c r="H17" i="15"/>
  <c r="M16" i="15"/>
  <c r="M17" i="15" s="1"/>
  <c r="G16" i="15"/>
  <c r="J15" i="15"/>
  <c r="J12" i="15"/>
  <c r="J17" i="15" s="1"/>
  <c r="L11" i="15"/>
  <c r="G11" i="15"/>
  <c r="L5" i="15"/>
  <c r="L17" i="15" s="1"/>
  <c r="G5" i="15"/>
  <c r="G17" i="15" s="1"/>
  <c r="N19" i="14"/>
  <c r="M19" i="14"/>
  <c r="L19" i="14"/>
  <c r="K19" i="14"/>
  <c r="J19" i="14"/>
  <c r="I19" i="14"/>
  <c r="H19" i="14"/>
  <c r="M17" i="13"/>
  <c r="K17" i="13"/>
  <c r="J17" i="13"/>
  <c r="I17" i="13"/>
  <c r="H17" i="13"/>
  <c r="L5" i="13"/>
  <c r="L17" i="13" s="1"/>
  <c r="G5" i="13"/>
  <c r="G17" i="13" s="1"/>
  <c r="M14" i="12"/>
  <c r="K14" i="12"/>
  <c r="I14" i="12"/>
  <c r="G14" i="12"/>
  <c r="H8" i="12"/>
  <c r="H14" i="12" s="1"/>
  <c r="L7" i="12"/>
  <c r="J6" i="12"/>
  <c r="J14" i="12" s="1"/>
  <c r="L4" i="12"/>
  <c r="L14" i="12" s="1"/>
  <c r="M18" i="11"/>
  <c r="L18" i="11"/>
  <c r="K18" i="11"/>
  <c r="J18" i="11"/>
  <c r="I18" i="11"/>
  <c r="H18" i="11"/>
  <c r="G18" i="11"/>
  <c r="M19" i="10"/>
  <c r="K19" i="10"/>
  <c r="I19" i="10"/>
  <c r="H19" i="10"/>
  <c r="G7" i="10"/>
  <c r="G19" i="10" s="1"/>
  <c r="J6" i="10"/>
  <c r="J19" i="10" s="1"/>
  <c r="L4" i="10"/>
  <c r="L19" i="10" s="1"/>
  <c r="L40" i="9"/>
  <c r="K40" i="9"/>
  <c r="J40" i="9"/>
  <c r="I40" i="9"/>
  <c r="H40" i="9"/>
  <c r="G40" i="9"/>
  <c r="L17" i="9"/>
  <c r="K17" i="9"/>
  <c r="J17" i="9"/>
  <c r="I17" i="9"/>
  <c r="H17" i="9"/>
  <c r="G17" i="9"/>
  <c r="D25" i="8"/>
  <c r="C25" i="8"/>
  <c r="D24" i="8"/>
  <c r="C24" i="8"/>
  <c r="D23" i="8"/>
  <c r="C23" i="8"/>
  <c r="D22" i="8"/>
  <c r="C22" i="8"/>
  <c r="D21" i="8"/>
  <c r="C21" i="8"/>
  <c r="D20" i="8"/>
  <c r="C20" i="8"/>
  <c r="T16" i="8"/>
  <c r="H16" i="8"/>
  <c r="T15" i="8"/>
  <c r="H15" i="8"/>
  <c r="T14" i="8"/>
  <c r="H14" i="8"/>
  <c r="T13" i="8"/>
  <c r="N13" i="8"/>
  <c r="M13" i="8"/>
  <c r="L13" i="8"/>
  <c r="K13" i="8"/>
  <c r="J13" i="8"/>
  <c r="I13" i="8"/>
  <c r="H13" i="8"/>
  <c r="T12" i="8"/>
  <c r="H12" i="8"/>
  <c r="T11" i="8"/>
  <c r="H11" i="8"/>
  <c r="T10" i="8"/>
  <c r="H10" i="8"/>
  <c r="T9" i="8"/>
  <c r="N9" i="8"/>
  <c r="M9" i="8"/>
  <c r="L9" i="8"/>
  <c r="K9" i="8"/>
  <c r="J9" i="8"/>
  <c r="I9" i="8"/>
  <c r="H9" i="8"/>
  <c r="N7" i="8"/>
  <c r="I25" i="8" s="1"/>
  <c r="M7" i="8"/>
  <c r="H25" i="8" s="1"/>
  <c r="L7" i="8"/>
  <c r="G25" i="8" s="1"/>
  <c r="J7" i="8"/>
  <c r="F25" i="8" s="1"/>
  <c r="I7" i="8"/>
  <c r="E25" i="8" s="1"/>
  <c r="H7" i="8"/>
  <c r="N6" i="8"/>
  <c r="I24" i="8" s="1"/>
  <c r="M6" i="8"/>
  <c r="H24" i="8" s="1"/>
  <c r="L6" i="8"/>
  <c r="G24" i="8" s="1"/>
  <c r="J6" i="8"/>
  <c r="F24" i="8" s="1"/>
  <c r="I6" i="8"/>
  <c r="E24" i="8" s="1"/>
  <c r="H6" i="8"/>
  <c r="N5" i="8"/>
  <c r="I23" i="8" s="1"/>
  <c r="M5" i="8"/>
  <c r="H23" i="8" s="1"/>
  <c r="L5" i="8"/>
  <c r="G23" i="8" s="1"/>
  <c r="J5" i="8"/>
  <c r="F23" i="8" s="1"/>
  <c r="I5" i="8"/>
  <c r="E23" i="8" s="1"/>
  <c r="H5" i="8"/>
  <c r="N4" i="8"/>
  <c r="I22" i="8" s="1"/>
  <c r="M4" i="8"/>
  <c r="H22" i="8" s="1"/>
  <c r="L4" i="8"/>
  <c r="G22" i="8" s="1"/>
  <c r="J4" i="8"/>
  <c r="F22" i="8" s="1"/>
  <c r="I4" i="8"/>
  <c r="E22" i="8" s="1"/>
  <c r="H4" i="8"/>
  <c r="N3" i="8"/>
  <c r="I21" i="8" s="1"/>
  <c r="M3" i="8"/>
  <c r="H21" i="8" s="1"/>
  <c r="L3" i="8"/>
  <c r="G21" i="8" s="1"/>
  <c r="J3" i="8"/>
  <c r="F21" i="8" s="1"/>
  <c r="I3" i="8"/>
  <c r="E21" i="8" s="1"/>
  <c r="H3" i="8"/>
  <c r="N2" i="8"/>
  <c r="I20" i="8" s="1"/>
  <c r="M2" i="8"/>
  <c r="H20" i="8" s="1"/>
  <c r="L2" i="8"/>
  <c r="G20" i="8" s="1"/>
  <c r="J2" i="8"/>
  <c r="F20" i="8" s="1"/>
  <c r="I2" i="8"/>
  <c r="E20" i="8" s="1"/>
  <c r="H2" i="8"/>
  <c r="F21" i="7"/>
  <c r="F19" i="7"/>
  <c r="F18" i="7"/>
  <c r="F17" i="7"/>
  <c r="F16" i="7"/>
  <c r="F15" i="7"/>
  <c r="F14" i="7"/>
  <c r="F13" i="7"/>
  <c r="F12" i="7"/>
  <c r="F9" i="7"/>
  <c r="F8" i="7"/>
  <c r="F7" i="7"/>
  <c r="D6" i="7"/>
  <c r="F6" i="7" s="1"/>
  <c r="F5" i="7"/>
  <c r="N12" i="6"/>
  <c r="K12" i="6"/>
  <c r="J12" i="6"/>
  <c r="N11" i="6"/>
  <c r="K11" i="6"/>
  <c r="M11" i="6" s="1"/>
  <c r="J11" i="6"/>
  <c r="N10" i="6"/>
  <c r="K10" i="6"/>
  <c r="M10" i="6" s="1"/>
  <c r="J10" i="6"/>
  <c r="N9" i="6"/>
  <c r="K9" i="6"/>
  <c r="J9" i="6"/>
  <c r="N8" i="6"/>
  <c r="K8" i="6"/>
  <c r="J8" i="6"/>
  <c r="I8" i="6"/>
  <c r="N7" i="6"/>
  <c r="K7" i="6"/>
  <c r="M7" i="6" s="1"/>
  <c r="J7" i="6"/>
  <c r="F20" i="5"/>
  <c r="F19" i="5"/>
  <c r="I10" i="6" s="1"/>
  <c r="F18" i="5"/>
  <c r="F17" i="5"/>
  <c r="I9" i="6" s="1"/>
  <c r="F16" i="5"/>
  <c r="F15" i="5"/>
  <c r="I7" i="6" s="1"/>
  <c r="D14" i="5"/>
  <c r="F14" i="5" s="1"/>
  <c r="F13" i="5"/>
  <c r="I12" i="6" s="1"/>
  <c r="F11" i="5"/>
  <c r="F10" i="5"/>
  <c r="I11" i="6" s="1"/>
  <c r="F9" i="5"/>
  <c r="F8" i="5"/>
  <c r="F5" i="5"/>
  <c r="F4" i="5"/>
  <c r="M18" i="4"/>
  <c r="M17" i="4"/>
  <c r="M16" i="4"/>
  <c r="M15" i="4"/>
  <c r="M14" i="4"/>
  <c r="M13" i="4"/>
  <c r="M12" i="4"/>
  <c r="O10" i="4"/>
  <c r="M10" i="4"/>
  <c r="P10" i="4" s="1"/>
  <c r="Q10" i="4" s="1"/>
  <c r="K28" i="3"/>
  <c r="K27" i="3"/>
  <c r="K26" i="3"/>
  <c r="K25" i="3"/>
  <c r="K24" i="3"/>
  <c r="K23" i="3"/>
  <c r="H22" i="3"/>
  <c r="K22" i="3" s="1"/>
  <c r="G22" i="3"/>
  <c r="K21" i="3"/>
  <c r="H20" i="3"/>
  <c r="K20" i="3" s="1"/>
  <c r="G20" i="3"/>
  <c r="M19" i="3"/>
  <c r="H19" i="3"/>
  <c r="K19" i="3" s="1"/>
  <c r="N19" i="3" s="1"/>
  <c r="G19" i="3"/>
  <c r="H15" i="3"/>
  <c r="E17" i="2"/>
  <c r="E15" i="2"/>
  <c r="E9" i="2"/>
  <c r="E8" i="2"/>
  <c r="E6" i="2"/>
  <c r="E5" i="2"/>
  <c r="E2" i="2"/>
  <c r="H28" i="1"/>
  <c r="I26" i="1"/>
  <c r="I25" i="1"/>
  <c r="I24" i="1"/>
  <c r="I23" i="1"/>
  <c r="I22" i="1"/>
  <c r="H22" i="1"/>
  <c r="I21" i="1"/>
  <c r="I20" i="1"/>
  <c r="I19" i="1"/>
  <c r="I18" i="1"/>
  <c r="H17" i="1"/>
  <c r="I16" i="1"/>
  <c r="H16" i="1"/>
  <c r="I15" i="1"/>
  <c r="H15" i="1"/>
  <c r="I13" i="1"/>
  <c r="H13" i="1"/>
  <c r="I12" i="1"/>
  <c r="H12" i="1"/>
  <c r="I11" i="1"/>
  <c r="H11" i="1"/>
  <c r="I10" i="1"/>
  <c r="H10" i="1"/>
  <c r="I9" i="1"/>
  <c r="H9" i="1"/>
  <c r="I8" i="1"/>
  <c r="H8" i="1"/>
  <c r="I7" i="1"/>
  <c r="H7" i="1"/>
  <c r="I6" i="1"/>
  <c r="H6" i="1"/>
  <c r="I5" i="1"/>
  <c r="H5" i="1"/>
  <c r="I4" i="1"/>
  <c r="H4" i="1"/>
  <c r="I3" i="1"/>
  <c r="H3" i="1"/>
  <c r="I2" i="1"/>
  <c r="H2" i="1"/>
  <c r="H21" i="1" l="1"/>
  <c r="H20" i="1"/>
  <c r="H19" i="1"/>
  <c r="H18" i="1"/>
  <c r="H25" i="1"/>
  <c r="H24" i="1"/>
  <c r="H23" i="1"/>
  <c r="E13" i="8"/>
  <c r="E9" i="8"/>
  <c r="E7" i="8"/>
  <c r="G7" i="8" s="1"/>
  <c r="E6" i="8"/>
  <c r="G6" i="8" s="1"/>
  <c r="E5" i="8"/>
  <c r="G5" i="8" s="1"/>
  <c r="E4" i="8"/>
  <c r="G4" i="8" s="1"/>
  <c r="E3" i="8"/>
  <c r="G3" i="8" s="1"/>
  <c r="E2" i="8"/>
  <c r="G2" i="8" s="1"/>
  <c r="O19" i="3"/>
  <c r="N20" i="3"/>
  <c r="L20" i="3"/>
  <c r="N21" i="3"/>
  <c r="L21" i="3"/>
  <c r="N22" i="3"/>
  <c r="L22" i="3"/>
  <c r="N23" i="3"/>
  <c r="L23" i="3"/>
  <c r="N24" i="3"/>
  <c r="L24" i="3"/>
  <c r="N25" i="3"/>
  <c r="L25" i="3"/>
  <c r="N26" i="3"/>
  <c r="L26" i="3"/>
  <c r="N27" i="3"/>
  <c r="L27" i="3"/>
  <c r="N28" i="3"/>
  <c r="L28" i="3"/>
  <c r="P12" i="4"/>
  <c r="N12" i="4"/>
  <c r="P13" i="4"/>
  <c r="N13" i="4"/>
  <c r="P14" i="4"/>
  <c r="N14" i="4"/>
  <c r="P15" i="4"/>
  <c r="N15" i="4"/>
  <c r="P16" i="4"/>
  <c r="N16" i="4"/>
  <c r="P17" i="4"/>
  <c r="N17" i="4"/>
  <c r="P18" i="4"/>
  <c r="N18" i="4"/>
  <c r="S18" i="4" l="1"/>
  <c r="Q18" i="4"/>
  <c r="S17" i="4"/>
  <c r="Q17" i="4"/>
  <c r="S16" i="4"/>
  <c r="Q16" i="4"/>
  <c r="S15" i="4"/>
  <c r="Q15" i="4"/>
  <c r="S14" i="4"/>
  <c r="Q14" i="4"/>
  <c r="S13" i="4"/>
  <c r="Q13" i="4"/>
  <c r="S12" i="4"/>
  <c r="Q12" i="4"/>
  <c r="O28" i="3"/>
  <c r="Q28" i="3"/>
  <c r="O27" i="3"/>
  <c r="Q27" i="3"/>
  <c r="O26" i="3"/>
  <c r="Q26" i="3"/>
  <c r="O25" i="3"/>
  <c r="Q25" i="3"/>
  <c r="O24" i="3"/>
  <c r="Q24" i="3"/>
  <c r="O23" i="3"/>
  <c r="Q23" i="3"/>
  <c r="O22" i="3"/>
  <c r="Q22" i="3"/>
  <c r="O21" i="3"/>
  <c r="Q21" i="3"/>
  <c r="O20" i="3"/>
  <c r="Q20" i="3"/>
  <c r="R28" i="3"/>
  <c r="R27" i="3"/>
  <c r="R26" i="3"/>
  <c r="R25" i="3"/>
  <c r="R24" i="3"/>
  <c r="R23" i="3"/>
  <c r="R22" i="3"/>
  <c r="R21" i="3"/>
  <c r="R20" i="3"/>
  <c r="G12" i="8"/>
  <c r="G11" i="8"/>
  <c r="G10" i="8"/>
  <c r="G9" i="8"/>
  <c r="G16" i="8"/>
  <c r="G15" i="8"/>
  <c r="G14" i="8"/>
  <c r="G1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1" authorId="0" shapeId="0" xr:uid="{00000000-0006-0000-0200-000001000000}">
      <text>
        <r>
          <rPr>
            <b/>
            <sz val="9"/>
            <color rgb="FF000000"/>
            <rFont val="Tahoma"/>
            <family val="2"/>
            <charset val="1"/>
          </rPr>
          <t xml:space="preserve">Emma:
</t>
        </r>
        <r>
          <rPr>
            <sz val="9"/>
            <color rgb="FF000000"/>
            <rFont val="Tahoma"/>
            <family val="2"/>
            <charset val="1"/>
          </rPr>
          <t>Coulombs/mol electrons</t>
        </r>
      </text>
    </comment>
    <comment ref="H18" authorId="0" shapeId="0" xr:uid="{00000000-0006-0000-0200-000002000000}">
      <text>
        <r>
          <rPr>
            <b/>
            <sz val="9"/>
            <color rgb="FF000000"/>
            <rFont val="Tahoma"/>
            <family val="2"/>
            <charset val="1"/>
          </rPr>
          <t xml:space="preserve">Emma:
</t>
        </r>
        <r>
          <rPr>
            <sz val="9"/>
            <color rgb="FF000000"/>
            <rFont val="Tahoma"/>
            <family val="2"/>
            <charset val="1"/>
          </rPr>
          <t>Gibbs Free Energy of Formation at 298K and 1atm (STP)
Sourced from Engineering Toolbox (and some from Thermo textbook: Introduction to Chemical Engineering Thermodynamics 7th Edition; Table C.4)
CO dG_f from: https://link.springer.com/content/pdf/bbm%3A978-3-319-41616-8%2F1.pdf</t>
        </r>
      </text>
    </comment>
    <comment ref="I18" authorId="0" shapeId="0" xr:uid="{00000000-0006-0000-0200-000003000000}">
      <text>
        <r>
          <rPr>
            <b/>
            <sz val="9"/>
            <color rgb="FF000000"/>
            <rFont val="Tahoma"/>
            <family val="2"/>
            <charset val="1"/>
          </rPr>
          <t xml:space="preserve">Emma:
</t>
        </r>
        <r>
          <rPr>
            <sz val="9"/>
            <color rgb="FF000000"/>
            <rFont val="Tahoma"/>
            <family val="2"/>
            <charset val="1"/>
          </rPr>
          <t>Compound state used for Gibbs Free Energy of formation (ideally want to use aqueous for carbon-based ECR products, but not sure how to calculate these values… Using liquid values for now as approximation.</t>
        </r>
      </text>
    </comment>
    <comment ref="K18" authorId="0" shapeId="0" xr:uid="{00000000-0006-0000-0200-000004000000}">
      <text>
        <r>
          <rPr>
            <b/>
            <sz val="9"/>
            <color rgb="FF000000"/>
            <rFont val="Tahoma"/>
            <family val="2"/>
            <charset val="1"/>
          </rPr>
          <t xml:space="preserve">Emma:
</t>
        </r>
        <r>
          <rPr>
            <sz val="9"/>
            <color rgb="FF000000"/>
            <rFont val="Tahoma"/>
            <family val="2"/>
            <charset val="1"/>
          </rPr>
          <t xml:space="preserve">Standard Gibbs Free Energy change for the given half reaction (STP = 1atm and 298K).
</t>
        </r>
        <r>
          <rPr>
            <u/>
            <sz val="9"/>
            <color rgb="FF000000"/>
            <rFont val="Tahoma"/>
            <family val="2"/>
            <charset val="1"/>
          </rPr>
          <t xml:space="preserve">Calculated by:
</t>
        </r>
        <r>
          <rPr>
            <sz val="9"/>
            <color rgb="FF000000"/>
            <rFont val="Tahoma"/>
            <family val="2"/>
            <charset val="1"/>
          </rPr>
          <t>ΔG°_rxn = sum(ΔG°_f products) - sum(ΔG°_f reactants)</t>
        </r>
      </text>
    </comment>
    <comment ref="L18" authorId="0" shapeId="0" xr:uid="{00000000-0006-0000-0200-000005000000}">
      <text>
        <r>
          <rPr>
            <b/>
            <sz val="9"/>
            <color rgb="FF000000"/>
            <rFont val="Tahoma"/>
            <family val="2"/>
            <charset val="1"/>
          </rPr>
          <t xml:space="preserve">Emma:
</t>
        </r>
        <r>
          <rPr>
            <sz val="9"/>
            <color rgb="FF000000"/>
            <rFont val="Tahoma"/>
            <family val="2"/>
            <charset val="1"/>
          </rPr>
          <t xml:space="preserve">Standard Gibbs Free Energy change for the given half reaction (STP = 1atm and 298K).
</t>
        </r>
        <r>
          <rPr>
            <u/>
            <sz val="9"/>
            <color rgb="FF000000"/>
            <rFont val="Tahoma"/>
            <family val="2"/>
            <charset val="1"/>
          </rPr>
          <t xml:space="preserve">Calculated by:
</t>
        </r>
        <r>
          <rPr>
            <sz val="9"/>
            <color rgb="FF000000"/>
            <rFont val="Tahoma"/>
            <family val="2"/>
            <charset val="1"/>
          </rPr>
          <t>ΔG°_rxn = sum(ΔG°_f products) - sum(ΔG°_f reactants)</t>
        </r>
      </text>
    </comment>
    <comment ref="M18" authorId="0" shapeId="0" xr:uid="{00000000-0006-0000-0200-000006000000}">
      <text>
        <r>
          <rPr>
            <b/>
            <sz val="9"/>
            <color rgb="FF000000"/>
            <rFont val="Tahoma"/>
            <family val="2"/>
            <charset val="1"/>
          </rPr>
          <t xml:space="preserve">Emma:
</t>
        </r>
        <r>
          <rPr>
            <sz val="9"/>
            <color rgb="FF000000"/>
            <rFont val="Tahoma"/>
            <family val="2"/>
            <charset val="1"/>
          </rPr>
          <t>Number of electrons consumed in given reaction.</t>
        </r>
      </text>
    </comment>
    <comment ref="N18" authorId="0" shapeId="0" xr:uid="{00000000-0006-0000-0200-000007000000}">
      <text>
        <r>
          <rPr>
            <b/>
            <sz val="9"/>
            <color rgb="FF000000"/>
            <rFont val="Tahoma"/>
            <family val="2"/>
            <charset val="1"/>
          </rPr>
          <t xml:space="preserve">Emma:
</t>
        </r>
        <r>
          <rPr>
            <sz val="9"/>
            <color rgb="FF000000"/>
            <rFont val="Tahoma"/>
            <family val="2"/>
            <charset val="1"/>
          </rPr>
          <t xml:space="preserve">
Standard electrode potential for the given half reaction in reference to the Standard Hydrogen Electrode (SHE).
</t>
        </r>
        <r>
          <rPr>
            <u/>
            <sz val="9"/>
            <color rgb="FF000000"/>
            <rFont val="Tahoma"/>
            <family val="2"/>
            <charset val="1"/>
          </rPr>
          <t xml:space="preserve">Calculated by:
</t>
        </r>
        <r>
          <rPr>
            <sz val="9"/>
            <color rgb="FF000000"/>
            <rFont val="Tahoma"/>
            <family val="2"/>
            <charset val="1"/>
          </rPr>
          <t xml:space="preserve">
E (V vs SHE) = dG/nF
Where dG is the standard Gibbs free energy change for the reaction (J/mol), n is the number of electrons consumed in the reaction and F is the Faraday constant .</t>
        </r>
      </text>
    </comment>
    <comment ref="O18" authorId="0" shapeId="0" xr:uid="{00000000-0006-0000-0200-000008000000}">
      <text>
        <r>
          <rPr>
            <b/>
            <sz val="9"/>
            <color rgb="FF000000"/>
            <rFont val="Tahoma"/>
            <family val="2"/>
            <charset val="1"/>
          </rPr>
          <t xml:space="preserve">Emma:
</t>
        </r>
        <r>
          <rPr>
            <sz val="9"/>
            <color rgb="FF000000"/>
            <rFont val="Tahoma"/>
            <family val="2"/>
            <charset val="1"/>
          </rPr>
          <t xml:space="preserve">
Standard electrode potential for the given half reaction in reference to the Reversible Hydrogen Electrode (RHE).
The RHE takes into account the pH and is calculated by:
E° (V vs RHE) = E° (V vs SHE) - 0.0591*pH
Which is derived from the Nerst Equation.
</t>
        </r>
      </text>
    </comment>
    <comment ref="P18" authorId="0" shapeId="0" xr:uid="{00000000-0006-0000-0200-000009000000}">
      <text>
        <r>
          <rPr>
            <b/>
            <sz val="9"/>
            <color rgb="FF000000"/>
            <rFont val="Tahoma"/>
            <family val="2"/>
            <charset val="1"/>
          </rPr>
          <t xml:space="preserve">Emma:
</t>
        </r>
        <r>
          <rPr>
            <sz val="9"/>
            <color rgb="FF000000"/>
            <rFont val="Tahoma"/>
            <family val="2"/>
            <charset val="1"/>
          </rPr>
          <t xml:space="preserve">
Standard electrode potential for the given half reaction in reference to the Standard Hydrogen Electrode (SHE).
Values reported by Nitopi (2019) at pH = 0 (I assume that's what it is based on their values for the oxygen evolution reaction and the hydrogen evolution reaction), and using dG_f values for aqueous state (at 298K).
**Values will differ slightly from those I calculate for liquid state products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Q8" authorId="0" shapeId="0" xr:uid="{00000000-0006-0000-0300-000001000000}">
      <text>
        <r>
          <rPr>
            <sz val="10"/>
            <rFont val="Arial"/>
            <family val="2"/>
            <charset val="1"/>
          </rPr>
          <t>Not sure if I did these right???</t>
        </r>
      </text>
    </comment>
    <comment ref="R8" authorId="0" shapeId="0" xr:uid="{00000000-0006-0000-0300-000002000000}">
      <text>
        <r>
          <rPr>
            <b/>
            <sz val="9"/>
            <color rgb="FF000000"/>
            <rFont val="Tahoma"/>
            <family val="2"/>
            <charset val="1"/>
          </rPr>
          <t xml:space="preserve">Emma:
</t>
        </r>
        <r>
          <rPr>
            <sz val="9"/>
            <color rgb="FF000000"/>
            <rFont val="Tahoma"/>
            <family val="2"/>
            <charset val="1"/>
          </rPr>
          <t xml:space="preserve">
Standard electrode potential for the given half reaction in reference to the Standard Hydrogen Electrode (SHE).
Values reported by Nitopi (2019) at pH = 0 (I assume that's what it is based on their values for the oxygen evolution reaction and the hydrogen evolution reaction), and using dG_f values for aqueous state (at 298K).
**Values will differ slightly from those I calculate for liquid state products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G4" authorId="0" shapeId="0" xr:uid="{00000000-0006-0000-0400-000008000000}">
      <text>
        <r>
          <rPr>
            <sz val="10"/>
            <rFont val="Arial"/>
            <family val="2"/>
            <charset val="1"/>
          </rPr>
          <t>In DeLuna (2019) it says a CD of 233 mA/cm^2, but I’m pretty sure it should be 300mA/cm^2 based on Figure 3 in the Haas (2018) paper.</t>
        </r>
      </text>
    </comment>
    <comment ref="A11" authorId="0" shapeId="0" xr:uid="{00000000-0006-0000-0400-000001000000}">
      <text>
        <r>
          <rPr>
            <sz val="10"/>
            <rFont val="Arial"/>
            <family val="2"/>
            <charset val="1"/>
          </rPr>
          <t>CC= carbon cloth
InP CQDs = InP colloidal quantum dots</t>
        </r>
      </text>
    </comment>
    <comment ref="A13" authorId="0" shapeId="0" xr:uid="{00000000-0006-0000-0400-000002000000}">
      <text>
        <r>
          <rPr>
            <sz val="10"/>
            <rFont val="Arial"/>
            <family val="2"/>
            <charset val="1"/>
          </rPr>
          <t>Copper Selenide nanocatalyst</t>
        </r>
      </text>
    </comment>
    <comment ref="B13" authorId="0" shapeId="0" xr:uid="{00000000-0006-0000-0400-000007000000}">
      <text>
        <r>
          <rPr>
            <sz val="10"/>
            <rFont val="Arial"/>
            <family val="2"/>
            <charset val="1"/>
          </rPr>
          <t>0.5 M H2SO 4 aqueous solution and [Bmim]PF6-CH3CN-H2O served as
anodic and cathodic electrolytes, respectively.</t>
        </r>
      </text>
    </comment>
    <comment ref="A14" authorId="0" shapeId="0" xr:uid="{00000000-0006-0000-0400-000003000000}">
      <text>
        <r>
          <rPr>
            <b/>
            <sz val="9"/>
            <color rgb="FF000000"/>
            <rFont val="Tahoma"/>
            <family val="2"/>
            <charset val="1"/>
          </rPr>
          <t xml:space="preserve">Emma:
</t>
        </r>
        <r>
          <rPr>
            <sz val="9"/>
            <color rgb="FF000000"/>
            <rFont val="Tahoma"/>
            <family val="2"/>
            <charset val="1"/>
          </rPr>
          <t>NDD/Si RA: N-doped nanodiamond/Si rod array</t>
        </r>
      </text>
    </comment>
    <comment ref="A18" authorId="0" shapeId="0" xr:uid="{00000000-0006-0000-0400-000004000000}">
      <text>
        <r>
          <rPr>
            <b/>
            <sz val="9"/>
            <color rgb="FF000000"/>
            <rFont val="Tahoma"/>
            <family val="2"/>
            <charset val="1"/>
          </rPr>
          <t xml:space="preserve">Emma:
</t>
        </r>
        <r>
          <rPr>
            <sz val="9"/>
            <color rgb="FF000000"/>
            <rFont val="Tahoma"/>
            <family val="2"/>
            <charset val="1"/>
          </rPr>
          <t>Ag-G-NCF: Ag-Anchored N-doped graphene/carbon foam</t>
        </r>
      </text>
    </comment>
    <comment ref="A19" authorId="0" shapeId="0" xr:uid="{00000000-0006-0000-0400-000005000000}">
      <text>
        <r>
          <rPr>
            <b/>
            <sz val="9"/>
            <color rgb="FF000000"/>
            <rFont val="Tahoma"/>
            <family val="2"/>
            <charset val="1"/>
          </rPr>
          <t xml:space="preserve">Emma:
</t>
        </r>
        <r>
          <rPr>
            <sz val="9"/>
            <color rgb="FF000000"/>
            <rFont val="Tahoma"/>
            <family val="2"/>
            <charset val="1"/>
          </rPr>
          <t>SAM on Au: Self-assembly monolayer (SAM) modified Au electrodes</t>
        </r>
      </text>
    </comment>
    <comment ref="A20" authorId="0" shapeId="0" xr:uid="{00000000-0006-0000-0400-000006000000}">
      <text>
        <r>
          <rPr>
            <b/>
            <sz val="9"/>
            <color rgb="FF000000"/>
            <rFont val="Tahoma"/>
            <family val="2"/>
            <charset val="1"/>
          </rPr>
          <t xml:space="preserve">Emma:
</t>
        </r>
        <r>
          <rPr>
            <sz val="9"/>
            <color rgb="FF000000"/>
            <rFont val="Tahoma"/>
            <family val="2"/>
            <charset val="1"/>
          </rPr>
          <t>CuAg-NF: Porous nanoflower electrode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6" authorId="0" shapeId="0" xr:uid="{00000000-0006-0000-0600-000001000000}">
      <text>
        <r>
          <rPr>
            <sz val="10"/>
            <rFont val="Arial"/>
            <family val="2"/>
            <charset val="1"/>
          </rPr>
          <t>N-doped nanodiamond/Si rod array</t>
        </r>
      </text>
    </comment>
    <comment ref="G8" authorId="0" shapeId="0" xr:uid="{00000000-0006-0000-0600-000007000000}">
      <text>
        <r>
          <rPr>
            <sz val="10"/>
            <rFont val="Arial"/>
            <family val="2"/>
            <charset val="1"/>
          </rPr>
          <t>In DeLuna (2019) it says a CD of 233 mA/cm^2, but I’m pretty sure it should be 300mA/cm^2 based on Figure 3 in the Haas (2018) paper.</t>
        </r>
      </text>
    </comment>
    <comment ref="B14" authorId="0" shapeId="0" xr:uid="{00000000-0006-0000-0600-000002000000}">
      <text>
        <r>
          <rPr>
            <sz val="10"/>
            <rFont val="Arial"/>
            <family val="2"/>
            <charset val="1"/>
          </rPr>
          <t>Ag-Anchored N-doped graphene/carbon foam</t>
        </r>
      </text>
    </comment>
    <comment ref="B15" authorId="0" shapeId="0" xr:uid="{00000000-0006-0000-0600-000003000000}">
      <text>
        <r>
          <rPr>
            <sz val="10"/>
            <rFont val="Arial"/>
            <family val="2"/>
            <charset val="1"/>
          </rPr>
          <t>Self-assembly monolayer (SAM) modified Au electrodes</t>
        </r>
      </text>
    </comment>
    <comment ref="B19" authorId="0" shapeId="0" xr:uid="{00000000-0006-0000-0600-000004000000}">
      <text>
        <r>
          <rPr>
            <sz val="10"/>
            <rFont val="Arial"/>
            <family val="2"/>
            <charset val="1"/>
          </rPr>
          <t>CC= carbon cloth
InP CQDs = InP colloidal quantum dots</t>
        </r>
      </text>
    </comment>
    <comment ref="B21" authorId="0" shapeId="0" xr:uid="{00000000-0006-0000-0600-000005000000}">
      <text>
        <r>
          <rPr>
            <sz val="10"/>
            <rFont val="Arial"/>
            <family val="2"/>
            <charset val="1"/>
          </rPr>
          <t>Copper Selenide nanocatalyst</t>
        </r>
      </text>
    </comment>
    <comment ref="C21" authorId="0" shapeId="0" xr:uid="{00000000-0006-0000-0600-000006000000}">
      <text>
        <r>
          <rPr>
            <sz val="10"/>
            <rFont val="Arial"/>
            <family val="2"/>
            <charset val="1"/>
          </rPr>
          <t>0.5 M H2SO 4 aqueous solution and [Bmim]PF6-CH3CN-H2O served as
anodic and cathodic electrolytes, respectively.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700-000001000000}">
      <text>
        <r>
          <rPr>
            <b/>
            <sz val="9"/>
            <color rgb="FF000000"/>
            <rFont val="Tahoma"/>
            <family val="2"/>
            <charset val="1"/>
          </rPr>
          <t xml:space="preserve">Emma:
</t>
        </r>
        <r>
          <rPr>
            <sz val="9"/>
            <color rgb="FF000000"/>
            <rFont val="Tahoma"/>
            <family val="2"/>
            <charset val="1"/>
          </rPr>
          <t>On a carbon basis</t>
        </r>
      </text>
    </comment>
    <comment ref="F1" authorId="0" shapeId="0" xr:uid="{00000000-0006-0000-0700-000002000000}">
      <text>
        <r>
          <rPr>
            <b/>
            <sz val="9"/>
            <color rgb="FF000000"/>
            <rFont val="Tahoma"/>
            <family val="2"/>
            <charset val="1"/>
          </rPr>
          <t xml:space="preserve">Emma:
</t>
        </r>
        <r>
          <rPr>
            <sz val="9"/>
            <color rgb="FF000000"/>
            <rFont val="Tahoma"/>
            <family val="2"/>
            <charset val="1"/>
          </rPr>
          <t>Predicted by FBA analysis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H8" authorId="0" shapeId="0" xr:uid="{00000000-0006-0000-0B00-000001000000}">
      <text>
        <r>
          <rPr>
            <sz val="10"/>
            <rFont val="Arial"/>
            <family val="2"/>
            <charset val="1"/>
          </rPr>
          <t>2 Formate used to make 2 mlthf:
1st mlthf --&gt; glycine
2</t>
        </r>
        <r>
          <rPr>
            <vertAlign val="superscript"/>
            <sz val="10"/>
            <rFont val="Arial"/>
            <family val="2"/>
            <charset val="1"/>
          </rPr>
          <t>nd</t>
        </r>
        <r>
          <rPr>
            <sz val="10"/>
            <rFont val="Arial"/>
            <family val="2"/>
            <charset val="1"/>
          </rPr>
          <t xml:space="preserve"> mlthf + glyc --&gt; 1 ser
1 serine --&gt; 1 AcCoA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G5" authorId="0" shapeId="0" xr:uid="{00000000-0006-0000-0E00-000001000000}">
      <text>
        <r>
          <rPr>
            <sz val="10"/>
            <rFont val="Arial"/>
            <family val="2"/>
            <charset val="1"/>
          </rPr>
          <t>3 methanol must be fed to make a single F6P</t>
        </r>
      </text>
    </comment>
    <comment ref="G11" authorId="0" shapeId="0" xr:uid="{00000000-0006-0000-0E00-000002000000}">
      <text>
        <r>
          <rPr>
            <sz val="10"/>
            <rFont val="Arial"/>
            <family val="2"/>
            <charset val="1"/>
          </rPr>
          <t>1 FDP makes 2 G3P, but one of these is fed back into PPP. Only one continues to PEP.</t>
        </r>
      </text>
    </comment>
  </commentList>
</comments>
</file>

<file path=xl/sharedStrings.xml><?xml version="1.0" encoding="utf-8"?>
<sst xmlns="http://schemas.openxmlformats.org/spreadsheetml/2006/main" count="3028" uniqueCount="878">
  <si>
    <t>Substrate</t>
  </si>
  <si>
    <t>Type</t>
  </si>
  <si>
    <t>Formula</t>
  </si>
  <si>
    <t>C</t>
  </si>
  <si>
    <t>H</t>
  </si>
  <si>
    <t>O</t>
  </si>
  <si>
    <t>Charge</t>
  </si>
  <si>
    <t>Molecular Weight</t>
  </si>
  <si>
    <t>Degree of Reduction</t>
  </si>
  <si>
    <t>Transport In</t>
  </si>
  <si>
    <t>Glucose</t>
  </si>
  <si>
    <t>Sugar</t>
  </si>
  <si>
    <t>C6H12O6</t>
  </si>
  <si>
    <t>Transporter / Proton Symport</t>
  </si>
  <si>
    <t>Glycerol</t>
  </si>
  <si>
    <t>C3H8O3</t>
  </si>
  <si>
    <t>Channel</t>
  </si>
  <si>
    <t>Xylose</t>
  </si>
  <si>
    <t>C5H10O5</t>
  </si>
  <si>
    <t>Formate</t>
  </si>
  <si>
    <t>ECR-C1a</t>
  </si>
  <si>
    <t>CHO2</t>
  </si>
  <si>
    <t>Proton Symport</t>
  </si>
  <si>
    <t>Formic acid</t>
  </si>
  <si>
    <t>CH2O2</t>
  </si>
  <si>
    <t>Methanol</t>
  </si>
  <si>
    <t>CH4O</t>
  </si>
  <si>
    <t>Diffusion</t>
  </si>
  <si>
    <t>Acetaldehyde</t>
  </si>
  <si>
    <t>ECR-C2a</t>
  </si>
  <si>
    <t>C2H4O</t>
  </si>
  <si>
    <t>Acetate</t>
  </si>
  <si>
    <t>C2H3O2</t>
  </si>
  <si>
    <t>Acetic acid</t>
  </si>
  <si>
    <t>C2H4O2</t>
  </si>
  <si>
    <t>Ethanol</t>
  </si>
  <si>
    <t>C2H6O</t>
  </si>
  <si>
    <t>Ethylene Glycol</t>
  </si>
  <si>
    <t>C2H6O2</t>
  </si>
  <si>
    <t>Difffusion</t>
  </si>
  <si>
    <t>Glycolaldehyde</t>
  </si>
  <si>
    <t>Carbon Monoxide</t>
  </si>
  <si>
    <t>ECR-C1b</t>
  </si>
  <si>
    <t>CO</t>
  </si>
  <si>
    <t>Hydrogen</t>
  </si>
  <si>
    <t>ECR-H2</t>
  </si>
  <si>
    <t>H2</t>
  </si>
  <si>
    <t>CO_1:H2_0</t>
  </si>
  <si>
    <t>CO_1:H2_0.5</t>
  </si>
  <si>
    <t>CO+0.5(H2)</t>
  </si>
  <si>
    <t>CO_1:H2_1</t>
  </si>
  <si>
    <t>CO+H2</t>
  </si>
  <si>
    <t>CO_1:H2_2</t>
  </si>
  <si>
    <t>CO+2(H2)</t>
  </si>
  <si>
    <t>FOR_1:H2_0</t>
  </si>
  <si>
    <t>Proton Symport (FOR)/ Diffusion (H2)</t>
  </si>
  <si>
    <t>FOR_1:H2_0.5</t>
  </si>
  <si>
    <t>CHO2+0.5(H2)</t>
  </si>
  <si>
    <t>FOR_1:H2_1</t>
  </si>
  <si>
    <t>CHO2+H2</t>
  </si>
  <si>
    <t>FOR_1:H2_2</t>
  </si>
  <si>
    <t>CHO2+2(H2)</t>
  </si>
  <si>
    <t>CO2</t>
  </si>
  <si>
    <t>Acetyl</t>
  </si>
  <si>
    <t>C2H3O</t>
  </si>
  <si>
    <t>Pathway</t>
  </si>
  <si>
    <t>Entry to CCM</t>
  </si>
  <si>
    <t>Number of Steps to CCM</t>
  </si>
  <si>
    <t>Number of Steps to Acetyl-CoA</t>
  </si>
  <si>
    <t>Overall Reaction</t>
  </si>
  <si>
    <t>Gibbs</t>
  </si>
  <si>
    <t>Native</t>
  </si>
  <si>
    <t>G6P</t>
  </si>
  <si>
    <t>G3P</t>
  </si>
  <si>
    <t>3 / 3</t>
  </si>
  <si>
    <t>9 / 9</t>
  </si>
  <si>
    <t>Native (PPP)</t>
  </si>
  <si>
    <t>F6p? (Xu5P)</t>
  </si>
  <si>
    <t>Formolase</t>
  </si>
  <si>
    <t>Serine Cycle</t>
  </si>
  <si>
    <t>Pyruvate</t>
  </si>
  <si>
    <t>Reductive Glycine Pathway (RGP)</t>
  </si>
  <si>
    <t>Ribulose Monophosphate (RuMP)</t>
  </si>
  <si>
    <t>F6P</t>
  </si>
  <si>
    <t>Acetyl-CoA</t>
  </si>
  <si>
    <t>1 / 2</t>
  </si>
  <si>
    <t>Native (via acetaldehyde)</t>
  </si>
  <si>
    <t>SACA</t>
  </si>
  <si>
    <t>Glycolate</t>
  </si>
  <si>
    <t>2PG</t>
  </si>
  <si>
    <t>ECR Thermodynamic Half Reaction Cell Potentials</t>
  </si>
  <si>
    <t>Constants</t>
  </si>
  <si>
    <r>
      <rPr>
        <sz val="11"/>
        <rFont val="arial"/>
        <family val="2"/>
        <charset val="1"/>
      </rPr>
      <t>ΔG</t>
    </r>
    <r>
      <rPr>
        <sz val="11"/>
        <rFont val="Calibri"/>
        <family val="2"/>
        <charset val="1"/>
      </rPr>
      <t>°</t>
    </r>
    <r>
      <rPr>
        <sz val="11"/>
        <rFont val="arial"/>
        <family val="2"/>
        <charset val="1"/>
      </rPr>
      <t>_f @ 298K</t>
    </r>
  </si>
  <si>
    <t>J/mol</t>
  </si>
  <si>
    <t>H2O</t>
  </si>
  <si>
    <t>H+</t>
  </si>
  <si>
    <t>O2</t>
  </si>
  <si>
    <t>Other Constants</t>
  </si>
  <si>
    <t>Faraday (F)</t>
  </si>
  <si>
    <t>C/mol</t>
  </si>
  <si>
    <t>Variables</t>
  </si>
  <si>
    <t>pH</t>
  </si>
  <si>
    <t>See: Nitopi (2019), Fan (2020), Garg (2020), Jouny (2018), Kuhl (2012), Lu (2016), Malkhandi (2019) [pH7], Verma (2016)</t>
  </si>
  <si>
    <t>Compound Data</t>
  </si>
  <si>
    <t>Reaction Data</t>
  </si>
  <si>
    <t>Alt Formula</t>
  </si>
  <si>
    <t>ΔG°_f  (J/mol)</t>
  </si>
  <si>
    <t>State (for ΔG_f)</t>
  </si>
  <si>
    <t>Reaction</t>
  </si>
  <si>
    <t>ΔG°_rxn (J/mol)</t>
  </si>
  <si>
    <t>ΔG°_cell (J/mol)</t>
  </si>
  <si>
    <t>n_elec</t>
  </si>
  <si>
    <r>
      <rPr>
        <b/>
        <sz val="11"/>
        <rFont val="arial"/>
        <family val="2"/>
        <charset val="1"/>
      </rPr>
      <t>E</t>
    </r>
    <r>
      <rPr>
        <b/>
        <sz val="11"/>
        <rFont val="Noto Sans"/>
        <family val="2"/>
        <charset val="1"/>
      </rPr>
      <t>° (V vs RHE)</t>
    </r>
  </si>
  <si>
    <r>
      <rPr>
        <b/>
        <sz val="11"/>
        <rFont val="arial"/>
        <family val="2"/>
        <charset val="1"/>
      </rPr>
      <t>E</t>
    </r>
    <r>
      <rPr>
        <b/>
        <sz val="11"/>
        <rFont val="Noto Sans"/>
        <family val="2"/>
        <charset val="1"/>
      </rPr>
      <t>° (V vs SHE)</t>
    </r>
  </si>
  <si>
    <r>
      <rPr>
        <b/>
        <sz val="11"/>
        <rFont val="arial"/>
        <family val="2"/>
        <charset val="1"/>
      </rPr>
      <t>E</t>
    </r>
    <r>
      <rPr>
        <b/>
        <sz val="11"/>
        <rFont val="Noto Sans"/>
        <family val="2"/>
        <charset val="1"/>
      </rPr>
      <t>° (V vs RHE) REPORTED</t>
    </r>
  </si>
  <si>
    <t>E°_cell (V vs SHE)</t>
  </si>
  <si>
    <t>E°_cell (V vs RHE)</t>
  </si>
  <si>
    <t>Oxygen</t>
  </si>
  <si>
    <t>-</t>
  </si>
  <si>
    <t>Gas</t>
  </si>
  <si>
    <t>2H2O → O2 + 4H+ + 4e-</t>
  </si>
  <si>
    <t>2H+ + 2e- → H2</t>
  </si>
  <si>
    <t>CO2 + 2H+ + 2e- → CO + H2O</t>
  </si>
  <si>
    <t>C2HO2</t>
  </si>
  <si>
    <t>CHOOH</t>
  </si>
  <si>
    <t>Liquid</t>
  </si>
  <si>
    <t>CO2 + 2H+ + 2e − → HCOOH(aq)</t>
  </si>
  <si>
    <t>CH3OH</t>
  </si>
  <si>
    <t>CO2 + 6H+ + 6e − → CH3OH(aq) + H2O</t>
  </si>
  <si>
    <t>CH3CHO</t>
  </si>
  <si>
    <t>2CO2 + 10H+ + 10e− → CH3CHO(aq) + 3H2O</t>
  </si>
  <si>
    <t>CH3COOH</t>
  </si>
  <si>
    <t>2CO2 + 8H+ + 8e− → CH3COOH(aq) + 2H2O</t>
  </si>
  <si>
    <t>C2H5OH</t>
  </si>
  <si>
    <t>2CO2 + 12H+ + 12e− → C2H5OH(aq) + 3H2O</t>
  </si>
  <si>
    <t>(CH2OH)2</t>
  </si>
  <si>
    <t>2CO2 + 10H+ + 10e− → (CH2OH)2(aq) + 2H2O</t>
  </si>
  <si>
    <t>HOCH2*CHO</t>
  </si>
  <si>
    <t>2CO2 + 8H+ + 8e− → C2H4O2(aq) + 2H2O</t>
  </si>
  <si>
    <r>
      <rPr>
        <b/>
        <sz val="11"/>
        <rFont val="arial"/>
        <family val="2"/>
        <charset val="1"/>
      </rPr>
      <t>ΔG°</t>
    </r>
    <r>
      <rPr>
        <b/>
        <vertAlign val="subscript"/>
        <sz val="11"/>
        <rFont val="arial"/>
        <family val="2"/>
        <charset val="1"/>
      </rPr>
      <t xml:space="preserve">f </t>
    </r>
    <r>
      <rPr>
        <b/>
        <sz val="11"/>
        <rFont val="arial"/>
        <family val="2"/>
        <charset val="1"/>
      </rPr>
      <t xml:space="preserve"> (kJ/mol)</t>
    </r>
    <r>
      <rPr>
        <b/>
        <vertAlign val="superscript"/>
        <sz val="11"/>
        <rFont val="arial"/>
        <family val="2"/>
        <charset val="1"/>
      </rPr>
      <t>1</t>
    </r>
  </si>
  <si>
    <t>State</t>
  </si>
  <si>
    <t>Source</t>
  </si>
  <si>
    <t>Reaction Name</t>
  </si>
  <si>
    <t>Stoichiometry</t>
  </si>
  <si>
    <r>
      <rPr>
        <b/>
        <sz val="11"/>
        <rFont val="arial"/>
        <family val="2"/>
        <charset val="1"/>
      </rPr>
      <t>ΔG°</t>
    </r>
    <r>
      <rPr>
        <b/>
        <vertAlign val="subscript"/>
        <sz val="11"/>
        <rFont val="arial"/>
        <family val="2"/>
        <charset val="1"/>
      </rPr>
      <t>rxn</t>
    </r>
    <r>
      <rPr>
        <b/>
        <sz val="11"/>
        <rFont val="arial"/>
        <family val="2"/>
        <charset val="1"/>
      </rPr>
      <t xml:space="preserve"> (kJ/mol)</t>
    </r>
  </si>
  <si>
    <r>
      <rPr>
        <b/>
        <sz val="11"/>
        <rFont val="arial"/>
        <family val="2"/>
        <charset val="1"/>
      </rPr>
      <t>ΔG°</t>
    </r>
    <r>
      <rPr>
        <b/>
        <vertAlign val="subscript"/>
        <sz val="11"/>
        <rFont val="arial"/>
        <family val="2"/>
        <charset val="1"/>
      </rPr>
      <t>cell</t>
    </r>
    <r>
      <rPr>
        <b/>
        <sz val="11"/>
        <rFont val="arial"/>
        <family val="2"/>
        <charset val="1"/>
      </rPr>
      <t xml:space="preserve"> (kJ/mol)</t>
    </r>
  </si>
  <si>
    <r>
      <rPr>
        <b/>
        <sz val="11"/>
        <rFont val="arial"/>
        <family val="2"/>
        <charset val="1"/>
      </rPr>
      <t>N</t>
    </r>
    <r>
      <rPr>
        <b/>
        <vertAlign val="subscript"/>
        <sz val="11"/>
        <rFont val="arial"/>
        <family val="2"/>
        <charset val="1"/>
      </rPr>
      <t>e</t>
    </r>
    <r>
      <rPr>
        <b/>
        <sz val="11"/>
        <rFont val="arial"/>
        <family val="2"/>
        <charset val="1"/>
      </rPr>
      <t xml:space="preserve"> (#e-/mol P)</t>
    </r>
  </si>
  <si>
    <r>
      <rPr>
        <b/>
        <sz val="11"/>
        <rFont val="arial"/>
        <family val="2"/>
        <charset val="1"/>
      </rPr>
      <t>E</t>
    </r>
    <r>
      <rPr>
        <b/>
        <sz val="11"/>
        <rFont val="Noto Sans"/>
        <family val="2"/>
        <charset val="1"/>
      </rPr>
      <t>° (V vs SHE)</t>
    </r>
    <r>
      <rPr>
        <b/>
        <vertAlign val="superscript"/>
        <sz val="11"/>
        <rFont val="Noto Sans"/>
        <family val="2"/>
        <charset val="1"/>
      </rPr>
      <t>1</t>
    </r>
  </si>
  <si>
    <r>
      <rPr>
        <b/>
        <sz val="11"/>
        <rFont val="arial"/>
        <family val="2"/>
        <charset val="1"/>
      </rPr>
      <t>E</t>
    </r>
    <r>
      <rPr>
        <b/>
        <sz val="11"/>
        <rFont val="Noto Sans"/>
        <family val="2"/>
        <charset val="1"/>
      </rPr>
      <t>°cell (V)</t>
    </r>
  </si>
  <si>
    <t>Bard (1985)</t>
  </si>
  <si>
    <t>Anode</t>
  </si>
  <si>
    <t>Water oxidation</t>
  </si>
  <si>
    <t>2H2O(l) → O2(g) + 4H+(aq) + 4e-</t>
  </si>
  <si>
    <t>Hydrogen ion</t>
  </si>
  <si>
    <t>Aqueous</t>
  </si>
  <si>
    <t>Cathode</t>
  </si>
  <si>
    <t>Hydroxide ion</t>
  </si>
  <si>
    <t>OH-</t>
  </si>
  <si>
    <t>Hydrogen Evolution</t>
  </si>
  <si>
    <t>2H+(aq) + 2e- → H2(g)</t>
  </si>
  <si>
    <t>Carbon Dioxide</t>
  </si>
  <si>
    <t>CO2(g) + 2H+(aq) + 2e- → CO(g) + H2O(l)</t>
  </si>
  <si>
    <t>Water</t>
  </si>
  <si>
    <t>Formic Acid</t>
  </si>
  <si>
    <t>CO2(g) + 2H+(aq) + 2e- − → HCOOH(aq)</t>
  </si>
  <si>
    <t>CO2(g) + 6H+(aq) + 6e − → CH3OH(aq) + H2O(l)</t>
  </si>
  <si>
    <t>2CO2(g) + 10H+(aq) + 10e− → CH3CHO(g) + 3H2O(l)</t>
  </si>
  <si>
    <t>Acetic Acid</t>
  </si>
  <si>
    <t>2CO2(g) + 8H+(aq) + 8e− → CH3COOH(aq) + 2H2O(l)</t>
  </si>
  <si>
    <t>CHOO-</t>
  </si>
  <si>
    <t>2CO2(g) + 12H+(aq) + 12e− → C2H5OH(aq) + 3H2O(l)</t>
  </si>
  <si>
    <t>2CO2(g) + 10H+(aq) + 10e− → (CH2OH)2(aq) + 2H2O(l)</t>
  </si>
  <si>
    <t>NA</t>
  </si>
  <si>
    <t>2CO2(g) + 8H+(aq) + 8e− → C2H4O2(aq) + 2H2O(l)</t>
  </si>
  <si>
    <t>Introduction to Chemical Engineering Thermodynamics 7th Edition; Table C.4</t>
  </si>
  <si>
    <t>1 At pH 7, calculated using the Nerst equation.</t>
  </si>
  <si>
    <t>CH3COO-</t>
  </si>
  <si>
    <r>
      <rPr>
        <sz val="11"/>
        <rFont val="arial"/>
        <family val="2"/>
        <charset val="1"/>
      </rPr>
      <t>Ethylene Glycol</t>
    </r>
    <r>
      <rPr>
        <vertAlign val="superscript"/>
        <sz val="11"/>
        <rFont val="arial"/>
        <family val="2"/>
        <charset val="1"/>
      </rPr>
      <t>2</t>
    </r>
  </si>
  <si>
    <r>
      <rPr>
        <sz val="11"/>
        <rFont val="arial"/>
        <family val="2"/>
        <charset val="1"/>
      </rPr>
      <t>Glycolaldehyde</t>
    </r>
    <r>
      <rPr>
        <vertAlign val="superscript"/>
        <sz val="11"/>
        <rFont val="arial"/>
        <family val="2"/>
        <charset val="1"/>
      </rPr>
      <t>2</t>
    </r>
  </si>
  <si>
    <t>1 I think the values are at 298.15K and 1.01325 bar, but it doesn’t explicitly say... Found in Table 1 of Chapter 8 (p. 190).</t>
  </si>
  <si>
    <t>2 Values could not be found</t>
  </si>
  <si>
    <t>ECR - Data from Literature</t>
  </si>
  <si>
    <t>Catalyst</t>
  </si>
  <si>
    <t>Electrolyte</t>
  </si>
  <si>
    <t>Product</t>
  </si>
  <si>
    <t>Voltage (V)</t>
  </si>
  <si>
    <t>V type</t>
  </si>
  <si>
    <t>Cell Voltage (V)</t>
  </si>
  <si>
    <t>CD (mA/cm^2)</t>
  </si>
  <si>
    <t>FE (%)</t>
  </si>
  <si>
    <t>EE (%)</t>
  </si>
  <si>
    <t>Notes</t>
  </si>
  <si>
    <t>Ag</t>
  </si>
  <si>
    <t>0.1 M K2SO4 : 1.5 M KHCO3</t>
  </si>
  <si>
    <t>Cell</t>
  </si>
  <si>
    <t>DeLuna (2019), Haas (2018)</t>
  </si>
  <si>
    <t>Cell voltage. In Fig 3b, Haas (2018) show the system’s stability over time. Overall, the FE of CO and H2 add up to near-100% over the duration. Early on (ie. like maybe 20min in), the CO FE drops to 60-70% while the H2 FE increases accordingly. The FE measurements remain pretty consistent for the duration of the experiment (&gt;1000h).</t>
  </si>
  <si>
    <t>0.5 M K2SO4 : 1 M KHCO3</t>
  </si>
  <si>
    <t>Dufek (2012), DeLuna (2019)*</t>
  </si>
  <si>
    <t>Cell voltage. Values were reported in DeLuna (2019) as well, (reported as source 109) BUT values are wrong... They seemed to have mixed up values from different temps and pressures (&amp; not even sure where they got the 197 CD from?). Values reported here are for 60degC, 24.6 atm and 275 mA/cm^2. See Figure 3 and text underneath (right side of page).</t>
  </si>
  <si>
    <t>Ag-coated AEM electrodes</t>
  </si>
  <si>
    <t>0.2 M K2SO4</t>
  </si>
  <si>
    <t>V vs. SHE</t>
  </si>
  <si>
    <t>Hori (2003)</t>
  </si>
  <si>
    <t>FE: 52.7 CO, 8.0 Formate &amp; 35.9 H2 (totaling 96.6%) --&gt; example of how CO2 ECR to CO can be a mix of CO, formate and H2!</t>
  </si>
  <si>
    <t>Ag/MWCNT (GDE)</t>
  </si>
  <si>
    <t>1 M KOH</t>
  </si>
  <si>
    <t>V vs RHE</t>
  </si>
  <si>
    <t>Ma (2016), DeLuna (2019), Hernandez (2017)</t>
  </si>
  <si>
    <t>Report V vs RHE and cell voltage. See Figure 4a/b ES3 (mixed, 1:4) --&gt; at CD of 350, the FE is reported as just over 100% (but using 100% since &gt;100 doesn’t make sense...), and the Cathode Potential (V vs RHE) is -0.8. In the abstract (&amp; in text; see Fig 6 + text), they report an energy efficiency of 45% for  the ES3 electrode with Ag/MWCNT ratio of 1:4.</t>
  </si>
  <si>
    <t>Sn</t>
  </si>
  <si>
    <t>0.5 M KCl</t>
  </si>
  <si>
    <t>DeLuna (2019), Whipple (2010)</t>
  </si>
  <si>
    <t>Cell voltage</t>
  </si>
  <si>
    <t>Pb</t>
  </si>
  <si>
    <t>0.5 M H2SO4</t>
  </si>
  <si>
    <t>DeLuna (2019), Lu (2017)</t>
  </si>
  <si>
    <t>0.5 M KHCO3 + 2 M KCl</t>
  </si>
  <si>
    <t>Li (2006), DeLuna (2019)*</t>
  </si>
  <si>
    <t>Cell voltage. Values were reported in DeLuna (2019) as well, BUT values they report seem to be wrong... See Li (2006) abstract and their conclusions...</t>
  </si>
  <si>
    <t>CC/InP CQDs) (20ug/cm^2 CQDs)</t>
  </si>
  <si>
    <t>3 M KOH</t>
  </si>
  <si>
    <t>Grigioni (2021)</t>
  </si>
  <si>
    <t>Cu2O</t>
  </si>
  <si>
    <t>KHCO3</t>
  </si>
  <si>
    <t>V vs SHE</t>
  </si>
  <si>
    <t>Hazarika (2019)</t>
  </si>
  <si>
    <t>V versus SHE. Paper doesn’t mention electrolyte concentration. Note that the cathodic surface wasn’t super stable though (changes in surface resulted in slow decrease of CD over time... But used optimal values here.)</t>
  </si>
  <si>
    <t>Cu1.63Se(1/3)</t>
  </si>
  <si>
    <t>0.5M H2SO 4 aqueous solution and [Bmim]PF6-CH3CN-H2O</t>
  </si>
  <si>
    <t>Yang (2019)</t>
  </si>
  <si>
    <t>*Cell voltage calculated using reported method (from -2.1V vs Ag/Ag+ as reported operating voltage).</t>
  </si>
  <si>
    <t>NDD/Si RA</t>
  </si>
  <si>
    <t>0.5 M NaHCO3</t>
  </si>
  <si>
    <t>Liu (2015)</t>
  </si>
  <si>
    <t xml:space="preserve">V vs RHE determined from Figure 6/text for NDD_L; ~-1V provided the greatest FE, so used this value. CD estimated from figure 2 for NDD_L  .EE not reported. </t>
  </si>
  <si>
    <t xml:space="preserve"> Keggin-
type POM [SiW9V3O40]7 (SiW9V3) and metal indium </t>
  </si>
  <si>
    <t>0.1M Na2SO4</t>
  </si>
  <si>
    <t>Zha (2019)</t>
  </si>
  <si>
    <t>CD estimated from figures 3a and 6. V vs RHE.</t>
  </si>
  <si>
    <t>Cu4Zn</t>
  </si>
  <si>
    <t>0.1 M KHCO3</t>
  </si>
  <si>
    <t>Ren (2016)</t>
  </si>
  <si>
    <t>Reported in abstract. Potential (V) vs RHE</t>
  </si>
  <si>
    <t>Ce(OH)x/CU/PTFE</t>
  </si>
  <si>
    <t>1M KOH</t>
  </si>
  <si>
    <t>Luo (2019)</t>
  </si>
  <si>
    <r>
      <rPr>
        <sz val="10"/>
        <rFont val="Arial"/>
        <family val="2"/>
        <charset val="1"/>
      </rPr>
      <t xml:space="preserve">Partial current density for ethanol, V versus RHE. </t>
    </r>
    <r>
      <rPr>
        <b/>
        <sz val="10"/>
        <rFont val="Arial"/>
        <family val="2"/>
        <charset val="1"/>
      </rPr>
      <t>Probably one of highest values reported to date</t>
    </r>
  </si>
  <si>
    <t>Ag-G-NCF</t>
  </si>
  <si>
    <t>0.1M KHCO3</t>
  </si>
  <si>
    <t>Lv (2018)</t>
  </si>
  <si>
    <t>CD estimated from Figure 3C. V vs RHE. Highest reported FE was ~85%, but CD was very low (looked like &lt;-0.2), so selected to use slightly lower FE for higher CD.</t>
  </si>
  <si>
    <t>SAM on Au</t>
  </si>
  <si>
    <t>0.5 NaHCO3</t>
  </si>
  <si>
    <t>Ethylene glycol</t>
  </si>
  <si>
    <t>Tamura (2015), Na (2019)</t>
  </si>
  <si>
    <t>*Seems to be one of only papers that look specifically at EG production, and highest reported FE for EG. CD estimated from graph, V vs E (RHE); all potential values measured against Ag/AgCl ref electrode but then converted to RHE (therefore assuming values they report are for RHE). Note that EG as a product is typical at very low FE and CD.</t>
  </si>
  <si>
    <t>CuAg-NF</t>
  </si>
  <si>
    <t>0.1 M KOH</t>
  </si>
  <si>
    <t>Wang (2020)</t>
  </si>
  <si>
    <t>*This is for CO reduction, not CO2. Not sure if I can use these values... -0.33 V vs RHE</t>
  </si>
  <si>
    <t>Glycolaldehyde, Acetaldehyde, Methanol, EG,Acetate</t>
  </si>
  <si>
    <t>Kuhl (2012), Na (2019)</t>
  </si>
  <si>
    <t>All reported as very minor products by Kuhl (2012) --&gt; very low FE reported for these products (like &lt;1%). Most (excluding methanol) reported as very minor products by Na (2019) as well (Lowest FE; &lt;1%, lowest current density; &lt;0.5)</t>
  </si>
  <si>
    <t>Nature; pair up 18 reduction reactions with 16 oxidation reactions --&gt; pick best pair (2020)</t>
  </si>
  <si>
    <t>SOURCES</t>
  </si>
  <si>
    <t>DeLuna (2019)</t>
  </si>
  <si>
    <t>https://science.sciencemag.org/content/364/6438/eaav3506</t>
  </si>
  <si>
    <t>What would it take for renewably powered electrosynthesis to displace petrochemical processes?</t>
  </si>
  <si>
    <t>Dufek (2012)</t>
  </si>
  <si>
    <t>https://iopscience.iop.org/article/10.1149/2.011209jes/pdf</t>
  </si>
  <si>
    <t>Operation of a Pressurized System for Continuous Reduction of CO2</t>
  </si>
  <si>
    <t>Haas (2018)</t>
  </si>
  <si>
    <t>https://www.nature.com/articles/s41929-017-0005-1</t>
  </si>
  <si>
    <t>Technical photosynthesis involving CO2 electrolysis and fermentation</t>
  </si>
  <si>
    <t xml:space="preserve">Hori (2003) </t>
  </si>
  <si>
    <t>https://www.sciencedirect.com/science/article/pii/S0013468603003116</t>
  </si>
  <si>
    <t>Silver-coated ion exchange membrane electrode applied to electrochemical reduction of carbon dioxide</t>
  </si>
  <si>
    <t>Hernandez (2017)</t>
  </si>
  <si>
    <t>https://pubs-rsc-org.myaccess.library.utoronto.ca/en/content/articlelanding/2017/GC/C7GC00398F#!divAbstract</t>
  </si>
  <si>
    <t>Syngas production from electrochemical reduction of CO2: current status and prospective implementation</t>
  </si>
  <si>
    <t>Ma (2016)</t>
  </si>
  <si>
    <t>https://pubs.rsc.org/en/content/articlelanding/2016/ta/c6ta00427j#!divAbstract</t>
  </si>
  <si>
    <t>Carbon nanotube containing Ag catalyst layers for efficient and selective reduction of carbon dioxide</t>
  </si>
  <si>
    <t xml:space="preserve">Whipple (2010)  </t>
  </si>
  <si>
    <t>https://iopscience.iop.org/article/10.1149/1.3456590</t>
  </si>
  <si>
    <t>Microfluidic Reactor for the Electrochemical Reduction of Carbon Dioxide: The Effect of pH ()</t>
  </si>
  <si>
    <t>Lu (2017)</t>
  </si>
  <si>
    <t>https://www.sciencedirect.com/science/article/abs/pii/S0306261916306882?via%3Dihub</t>
  </si>
  <si>
    <t>A high performance dual electrolyte microfluidic reactor for the utilization of CO 2 .</t>
  </si>
  <si>
    <t>Li (2006)</t>
  </si>
  <si>
    <t>https://link.springer.com/article/10.1007%2Fs10800-006-9194-z</t>
  </si>
  <si>
    <t>Development of a continuous reactor for the electro-reduction of carbon dioxideto formate – Part 1: Process variables.</t>
  </si>
  <si>
    <t>https://pubs.acs.org/doi/10.1021/acsenergylett.0c02165?goto=supporting-info&amp;ref=pdf</t>
  </si>
  <si>
    <t>CO2 electroreduction to formate at a partial current Density of 930 mA cm-2 with InP colloidal quantum dot derived catalysts</t>
  </si>
  <si>
    <t>https://pubs.acs.org/doi/10.1021/jacs.5b02975</t>
  </si>
  <si>
    <t>Efficient Electrochemical Reduction of Carbon Dioxide to Acetate on Nitrogen-Doped Nanodiamond</t>
  </si>
  <si>
    <t>https://pubs.acs.org/doi/10.1021/acscatal.6b02162</t>
  </si>
  <si>
    <t>Tuning the Selectivity of Carbon Dioxide Electroreduction toward Ethanol on Oxide-Derived CuxZn Catalysts</t>
  </si>
  <si>
    <t>https://www.nature.com/articles/s41467-019-13833-8</t>
  </si>
  <si>
    <t xml:space="preserve">Hazarika (2019) </t>
  </si>
  <si>
    <t>https://www.sciencedirect.com/science/article/pii/S0013468619319243</t>
  </si>
  <si>
    <t>Electrochemical reduction of CO2 to methanol with synthesized Cu2O nanocatalyst: Study of the selectivity</t>
  </si>
  <si>
    <t>https://www.nature.com/articles/s41467-019-08653-9</t>
  </si>
  <si>
    <t>Selective electroreduction of carbon dioxide to methanol on copper selenide nanocatalysts</t>
  </si>
  <si>
    <t>https://www.pnas.org/content/117/23/12572</t>
  </si>
  <si>
    <t>Selective reduction of CO to acetaldehyde with CuAg electrocatalysts</t>
  </si>
  <si>
    <t>Nitopi (2019) *</t>
  </si>
  <si>
    <t>https://pubs.acs.org/doi/10.1021/acs.chemrev.8b00705</t>
  </si>
  <si>
    <t>Progress and Perspectives of Electrochemical CO2 Reduction on Copper in Aqueous Electrolyte</t>
  </si>
  <si>
    <t>Tamura (2015)</t>
  </si>
  <si>
    <t>https://pubs.rsc.org/en/content/articlelanding/2015/cp/c5cp03028e#!divAbstract</t>
  </si>
  <si>
    <t xml:space="preserve"> Electrochemical reduction of CO2 to ethylene glycol on imidazolium ion-terminated self-assembly monolayer-modified Au electrodes in an aqueous solution</t>
  </si>
  <si>
    <t>Garg (2020) *</t>
  </si>
  <si>
    <t>https://pubs.rsc.org/en/content/articlelanding/2020/ta/c9ta13298h#!divAbstract</t>
  </si>
  <si>
    <t>Advances and challenges in electrochemical CO2reduction processes: an engineering and designperspective looking beyond new catalyst materials</t>
  </si>
  <si>
    <t>https://www.sciencedirect.com/science/article/pii/S0021951719306074</t>
  </si>
  <si>
    <t>Efficient electrochemical reduction of CO2 into formate and acetate in polyoxometalate catholyte with indium catalyst</t>
  </si>
  <si>
    <t>https://pubs.rsc.org/en/content/articlelanding/2018/ta/c7ta10802h#!divAbstract</t>
  </si>
  <si>
    <t>Elastic Ag-anchored N-doped graphene/carbonfoam for the selective electrochemical reduction ofcarbon dioxide to ethanol</t>
  </si>
  <si>
    <t>Kuhl (2012)*</t>
  </si>
  <si>
    <t>https://pubs.rsc.org/en/content/articlelanding/2012/ee/c2ee21234j#!divAbstract</t>
  </si>
  <si>
    <t>New insights into the electrochemical reduction of carbon dioxide on metallic copper surfaces</t>
  </si>
  <si>
    <t>Na (2019)*</t>
  </si>
  <si>
    <t>https://www.nature.com/articles/s41467-019-12744-y</t>
  </si>
  <si>
    <t>General technoeconomic analysis for electrochemical coproduction coupling carbon dioxide reduction with organic oxidation</t>
  </si>
  <si>
    <t>* indicates review/general reference</t>
  </si>
  <si>
    <t>Independent Parameters</t>
  </si>
  <si>
    <t>Cell Voltage</t>
  </si>
  <si>
    <t>Current Density</t>
  </si>
  <si>
    <t>Faradaic Efficiency</t>
  </si>
  <si>
    <t>By-Products</t>
  </si>
  <si>
    <t>By-Product Faradaic Efficiency</t>
  </si>
  <si>
    <t>Reference</t>
  </si>
  <si>
    <t>Parameter</t>
  </si>
  <si>
    <t>Units</t>
  </si>
  <si>
    <t>Case</t>
  </si>
  <si>
    <t>Ideal Parameters</t>
  </si>
  <si>
    <t>Worst</t>
  </si>
  <si>
    <t>Base</t>
  </si>
  <si>
    <t>Best</t>
  </si>
  <si>
    <t>All</t>
  </si>
  <si>
    <t>Formic acid and/or CO</t>
  </si>
  <si>
    <t>Electricity Price</t>
  </si>
  <si>
    <t>cents CA/kWh</t>
  </si>
  <si>
    <t>Realistic Parameters</t>
  </si>
  <si>
    <t>CO2 Price</t>
  </si>
  <si>
    <t>$ CA/tonne</t>
  </si>
  <si>
    <t>Carbon Tax</t>
  </si>
  <si>
    <t>$ CA/tonne CO2 eq</t>
  </si>
  <si>
    <t>Carbon monoxide</t>
  </si>
  <si>
    <t>None</t>
  </si>
  <si>
    <t>Dependent Parameters</t>
  </si>
  <si>
    <t>Ethylene, Hydrogen, Acetic acid, Methane</t>
  </si>
  <si>
    <t>34, 16, 4, 3</t>
  </si>
  <si>
    <t>CO2 Conversion</t>
  </si>
  <si>
    <t>%</t>
  </si>
  <si>
    <t>Bioconversion</t>
  </si>
  <si>
    <t>Formic acid, Carbon monoxide</t>
  </si>
  <si>
    <t>20, 2.4</t>
  </si>
  <si>
    <t>For values in yellow: Authors did not report measured cell voltages, only the cathode voltage. In these cases, the cell voltages were calculated from the reported cathode potential (V vs RHE) assuming the anode potential is the standard water oxidation potential (1.23 V). Therefore, these values are likely below the true cell voltage for the system (ie. ohmic drop is not considered).</t>
  </si>
  <si>
    <t>Mols Sub</t>
  </si>
  <si>
    <t>Max Mass Yield</t>
  </si>
  <si>
    <t>Predicted Mass Yield</t>
  </si>
  <si>
    <t>%Theoretical MY</t>
  </si>
  <si>
    <t>Mol C/mol P used for Energetic requirements</t>
  </si>
  <si>
    <t>NADH</t>
  </si>
  <si>
    <t>NADPH</t>
  </si>
  <si>
    <t>FerredoxinR</t>
  </si>
  <si>
    <t>ATP</t>
  </si>
  <si>
    <t>Overall RXN (FBA)</t>
  </si>
  <si>
    <t>10Formate + 10H+_e + 2.3O2  ---&gt; 1.4 AcCoA + 8.6H2O + 7.3CO2</t>
  </si>
  <si>
    <t>10Formate + 10H+_e + 4.1O2  ---&gt; 0.5 AcCoA + 9.5H2O + 9.1CO2</t>
  </si>
  <si>
    <t>RGP</t>
  </si>
  <si>
    <t>10Formate + 10H+_e + 3.0O2  ---&gt; 1AcCoA + 9H2O + 8CO2</t>
  </si>
  <si>
    <t>10Methanol + 3.8O2 + 1.2CO2 --&gt; 5.6AcCoA + 14.4H2O</t>
  </si>
  <si>
    <t>10Methanol + 6.1O2 --&gt; 4.4AcCoA +15.6H2O + 1.13CO2</t>
  </si>
  <si>
    <t>RuMP</t>
  </si>
  <si>
    <t>10Methanol + 3.7O2 + 1.2CO2 --&gt; 5.6AcCoA + 14.4H2O</t>
  </si>
  <si>
    <t>WLP</t>
  </si>
  <si>
    <t>10CO + 2.5H2O --&gt;2.5AcCoA + 5CO2</t>
  </si>
  <si>
    <t>10CO + 5H2 --&gt; 3.6AcCoA + 2.5CO2 + 1.1H2O + 0.14H+_e + 0.14Acetate</t>
  </si>
  <si>
    <t>10CO + 10H2 --&gt; 4.6AcCoA + 4.6 H2O + 0.5 H+_e + 0.5Acetate</t>
  </si>
  <si>
    <t>10CO + 10.72H2 --&gt; 4.64AcCoA + 5H2O + 0.36Ethanol</t>
  </si>
  <si>
    <t>10Formate + 10H+_e --&gt;2.5AcCoA + 5CO2 + 7.5H2O</t>
  </si>
  <si>
    <t>10Formate + 5H2 + 9.9H+_e --&gt;3.6 AcCoA + 2.5CO2 + 11.1H2O + 0.14Acetate</t>
  </si>
  <si>
    <t>10Formate + 10H2 + 9.6H+ --&gt; 4.6AcCoA + 14.6 H2O + 0.5Acetate</t>
  </si>
  <si>
    <t>10Formate + 10.72H2 + 10H+--&gt; 4.64AcCoA + 15H2O + 0.36Ethanol</t>
  </si>
  <si>
    <t>rxnID</t>
  </si>
  <si>
    <t>rxnName</t>
  </si>
  <si>
    <t>rxnSubsystem</t>
  </si>
  <si>
    <t>rxnLB</t>
  </si>
  <si>
    <t>rxnUB</t>
  </si>
  <si>
    <t>rxnAddMetabolites</t>
  </si>
  <si>
    <t>rxnModels</t>
  </si>
  <si>
    <t>rxnNotes</t>
  </si>
  <si>
    <t>Quinol</t>
  </si>
  <si>
    <t>EX_co_e</t>
  </si>
  <si>
    <t xml:space="preserve">EX co LPAREN e RPAREN </t>
  </si>
  <si>
    <t>'-</t>
  </si>
  <si>
    <r>
      <rPr>
        <sz val="10"/>
        <rFont val="Arial"/>
        <family val="2"/>
        <charset val="1"/>
      </rPr>
      <t xml:space="preserve">co_e </t>
    </r>
    <r>
      <rPr>
        <sz val="10"/>
        <color rgb="FF000000"/>
        <rFont val="arial"/>
        <family val="2"/>
        <charset val="1"/>
      </rPr>
      <t>&lt;=&gt;</t>
    </r>
  </si>
  <si>
    <t>iHN637</t>
  </si>
  <si>
    <t>COt</t>
  </si>
  <si>
    <t>CO transporter via diffusion</t>
  </si>
  <si>
    <r>
      <rPr>
        <sz val="10"/>
        <rFont val="Arial"/>
        <family val="2"/>
        <charset val="1"/>
      </rPr>
      <t xml:space="preserve">co_c </t>
    </r>
    <r>
      <rPr>
        <sz val="10"/>
        <color rgb="FF000000"/>
        <rFont val="arial"/>
        <family val="2"/>
        <charset val="1"/>
      </rPr>
      <t>&lt;=&gt;</t>
    </r>
    <r>
      <rPr>
        <sz val="10"/>
        <rFont val="Arial"/>
        <family val="2"/>
        <charset val="1"/>
      </rPr>
      <t xml:space="preserve"> co_e</t>
    </r>
  </si>
  <si>
    <t>Methyl Branch</t>
  </si>
  <si>
    <t>CODH4</t>
  </si>
  <si>
    <t>Carbon monoxide dehydrogenase / acetyl-CoA synthase 2</t>
  </si>
  <si>
    <t>Wood Ljungadhl Pathway</t>
  </si>
  <si>
    <r>
      <rPr>
        <sz val="10"/>
        <rFont val="Arial"/>
        <family val="2"/>
        <charset val="1"/>
      </rPr>
      <t xml:space="preserve">h2o_c + co_c + fdxo_42_c </t>
    </r>
    <r>
      <rPr>
        <sz val="10"/>
        <color rgb="FF000000"/>
        <rFont val="arial"/>
        <family val="2"/>
        <charset val="1"/>
      </rPr>
      <t>--&gt;</t>
    </r>
    <r>
      <rPr>
        <sz val="10"/>
        <rFont val="Arial"/>
        <family val="2"/>
        <charset val="1"/>
      </rPr>
      <t xml:space="preserve"> co2_c + 2.0 h_c + fdxr_42_c</t>
    </r>
  </si>
  <si>
    <t>FDH7</t>
  </si>
  <si>
    <t>Formate Dehydrogenase(Ferredoxin dependent)</t>
  </si>
  <si>
    <r>
      <rPr>
        <sz val="10"/>
        <rFont val="Arial"/>
        <family val="2"/>
        <charset val="1"/>
      </rPr>
      <t xml:space="preserve">co2_c + h_c + fdxr_42_c </t>
    </r>
    <r>
      <rPr>
        <sz val="10"/>
        <color rgb="FF000000"/>
        <rFont val="arial"/>
        <family val="2"/>
        <charset val="1"/>
      </rPr>
      <t>&lt;=&gt;</t>
    </r>
    <r>
      <rPr>
        <sz val="10"/>
        <rFont val="Arial"/>
        <family val="2"/>
        <charset val="1"/>
      </rPr>
      <t xml:space="preserve"> for_c + fdxo_42_c</t>
    </r>
  </si>
  <si>
    <t>FTHFLi</t>
  </si>
  <si>
    <t>Formate-tetrahydrofolate ligase</t>
  </si>
  <si>
    <t>atp_c + for_c + thf_c --&gt; 10fthf_c + adp_c + pi_c</t>
  </si>
  <si>
    <t>MTHFC</t>
  </si>
  <si>
    <t>Methenyltetrahydrofolate cyclohydrolase</t>
  </si>
  <si>
    <t>h2o_c + methf_c &lt;=&gt; 10fthf_c + h_c</t>
  </si>
  <si>
    <t>Reverse rxn needed</t>
  </si>
  <si>
    <t>MTHFD</t>
  </si>
  <si>
    <t>Methylenetetrahydrofolate dehydrogenase (NADP)</t>
  </si>
  <si>
    <t>mlthf_c + nadp_c &lt;=&gt; methf_c + nadph_c</t>
  </si>
  <si>
    <t>MTHFR5</t>
  </si>
  <si>
    <t>5,10-methylenetetrahydrofolate reductase (Ferredoxin) Electron bifurcating</t>
  </si>
  <si>
    <r>
      <rPr>
        <sz val="10"/>
        <rFont val="Arial"/>
        <family val="2"/>
        <charset val="1"/>
      </rPr>
      <t xml:space="preserve">h_c + mlthf_c + 2.0 nadh_c + fdxo_42_c </t>
    </r>
    <r>
      <rPr>
        <sz val="10"/>
        <color rgb="FF000000"/>
        <rFont val="arial"/>
        <family val="2"/>
        <charset val="1"/>
      </rPr>
      <t>&lt;=&gt;</t>
    </r>
    <r>
      <rPr>
        <sz val="10"/>
        <rFont val="Arial"/>
        <family val="2"/>
        <charset val="1"/>
      </rPr>
      <t xml:space="preserve"> 5mthf_c + 2.0 nad_c + fdxr_42_c</t>
    </r>
  </si>
  <si>
    <t>METR</t>
  </si>
  <si>
    <t>Methyltetrahydrofolate:corrinoid/iron-sulfur protein methyltransferase (MeTr)</t>
  </si>
  <si>
    <r>
      <rPr>
        <sz val="10"/>
        <rFont val="Arial"/>
        <family val="2"/>
        <charset val="1"/>
      </rPr>
      <t xml:space="preserve">5mthf_c + cfesp_c </t>
    </r>
    <r>
      <rPr>
        <sz val="10"/>
        <color rgb="FF000000"/>
        <rFont val="arial"/>
        <family val="2"/>
        <charset val="1"/>
      </rPr>
      <t>&lt;=&gt;</t>
    </r>
    <r>
      <rPr>
        <sz val="10"/>
        <rFont val="Arial"/>
        <family val="2"/>
        <charset val="1"/>
      </rPr>
      <t xml:space="preserve"> thf_c + mecfsp_c</t>
    </r>
  </si>
  <si>
    <t>Carbonyl Branch</t>
  </si>
  <si>
    <t>**Model combines (i) CO2 --&gt; CO (ii) CO +mecfsp--&gt; accoa as single reaction (see next rxn)</t>
  </si>
  <si>
    <t>Combining Branches</t>
  </si>
  <si>
    <t>CODH_ACS</t>
  </si>
  <si>
    <t>CODH/Acetyl-CoA synthase (Wood-Ljundahl)</t>
  </si>
  <si>
    <r>
      <rPr>
        <sz val="10"/>
        <rFont val="Arial"/>
        <family val="2"/>
        <charset val="1"/>
      </rPr>
      <t xml:space="preserve">co2_c + coa_c + h_c + fdxr_42_c + mecfsp_c </t>
    </r>
    <r>
      <rPr>
        <sz val="10"/>
        <color rgb="FF000000"/>
        <rFont val="arial"/>
        <family val="2"/>
        <charset val="1"/>
      </rPr>
      <t>--&gt;</t>
    </r>
    <r>
      <rPr>
        <sz val="10"/>
        <rFont val="Arial"/>
        <family val="2"/>
        <charset val="1"/>
      </rPr>
      <t xml:space="preserve"> accoa_c + h2o_c + fdxo_42_c + cfesp_c</t>
    </r>
  </si>
  <si>
    <t>*These are values required to get 1 mol of AcCoA, which requires 2 mol CO</t>
  </si>
  <si>
    <t>*2 CO are fed to get 1 PEP, 1 PYR or 1 AcCoA</t>
  </si>
  <si>
    <t>FORMATE</t>
  </si>
  <si>
    <t>EX_for_e</t>
  </si>
  <si>
    <t>Formate exchange</t>
  </si>
  <si>
    <t>for_e &lt;=&gt;</t>
  </si>
  <si>
    <t>FORt2</t>
  </si>
  <si>
    <t>Formate transport in via proton symport</t>
  </si>
  <si>
    <t>for_e + h_e --&gt; for_c + h_c</t>
  </si>
  <si>
    <t>*These are values required to get 1 mol of AcCoA, which requires 2 mol formate</t>
  </si>
  <si>
    <t>*2 formate are fed to get 1 PEP, 1 PYR or 1 AcCoA</t>
  </si>
  <si>
    <t>Energy/H2</t>
  </si>
  <si>
    <t>EX_h2_e</t>
  </si>
  <si>
    <t>H2 exchange</t>
  </si>
  <si>
    <t xml:space="preserve">h2_e ⇌ </t>
  </si>
  <si>
    <t>H2td</t>
  </si>
  <si>
    <t>Hydrogen transport</t>
  </si>
  <si>
    <t>h2_c ⇌ h2_e</t>
  </si>
  <si>
    <t>HYD2</t>
  </si>
  <si>
    <t>Hydrogenase (menaquinone8: 2 protons)</t>
  </si>
  <si>
    <t>Energy Metabolism</t>
  </si>
  <si>
    <t>2.0 h_c + h2_c + mqn8_c → mql8_c + 2.0 h_e</t>
  </si>
  <si>
    <t>HYDFDi</t>
  </si>
  <si>
    <t>Official Name Ferredoxin hydrogenase</t>
  </si>
  <si>
    <t>2.0 h_c + fdxr_42_c ⇌ h2_c + fdxo_42_c</t>
  </si>
  <si>
    <t>Knocked out in model!</t>
  </si>
  <si>
    <t>HYDFDN</t>
  </si>
  <si>
    <t>Ferredoxin NADH linked hydrogenase</t>
  </si>
  <si>
    <t>3.0 h_c + nadh_c + fdxr_42_c ⇌ 2.0 h2_c + nad_c + fdxo_42_c</t>
  </si>
  <si>
    <t>HYDFDN2r</t>
  </si>
  <si>
    <t>Ferredoxin NADPH linked hydrogenase</t>
  </si>
  <si>
    <t>2.0 h2_c + nadp_c + fdxo_42_c ⇌ 3.0 h_c + nadph_c + fdxr_42_c</t>
  </si>
  <si>
    <t>RNF</t>
  </si>
  <si>
    <t>Ferredoxin:NAD oxidoreductase ( 2 protons translocation)</t>
  </si>
  <si>
    <t>3.0 h_c + nad_c + fdxr_42_c ⇌ nadh_c + 2.0 h_e + fdxo_42_c</t>
  </si>
  <si>
    <t>ATPS4r</t>
  </si>
  <si>
    <t>ATP synthase (four protons for one ATP)</t>
  </si>
  <si>
    <t>adp_c + pi_c + 4.0 h_e ⇌ atp_c + 3.0 h_c + h2o_c</t>
  </si>
  <si>
    <t>FADH2</t>
  </si>
  <si>
    <t>Extracellular exchange</t>
  </si>
  <si>
    <t>iJO1366, iHN637</t>
  </si>
  <si>
    <t>FORtex</t>
  </si>
  <si>
    <t>Formate transport via diffusion (extracellular to periplasm)</t>
  </si>
  <si>
    <t>Transport, Outer Membrane Porin</t>
  </si>
  <si>
    <t>for_e &lt;=&gt; for_p</t>
  </si>
  <si>
    <t>iJO1366</t>
  </si>
  <si>
    <t xml:space="preserve"> IHN637 model has one reaction from for_e to for_c (no transport though periplasm); ID FORt2.</t>
  </si>
  <si>
    <t>FORt2pp</t>
  </si>
  <si>
    <t>Formate transport via proton symport (uptake only, periplasm)</t>
  </si>
  <si>
    <t>Transport, Inner Membrane</t>
  </si>
  <si>
    <t>for_p + h_p --&gt; for_c + h_c</t>
  </si>
  <si>
    <t>For import only (FORtppi for export). IHN637 model has one reaction from for_e to for_c (no transport though periplasm); ID FORt2.</t>
  </si>
  <si>
    <t>FORtppi</t>
  </si>
  <si>
    <t>Formate transport via diffusion (cytoplasm to periplasm)</t>
  </si>
  <si>
    <t>for_c --&gt; for_p</t>
  </si>
  <si>
    <t>For export only (FORt2pp for import). IHN637 model doesn’t seem to have rxn for outward transport for formate.</t>
  </si>
  <si>
    <t>ACSf</t>
  </si>
  <si>
    <t>Acetyl-CoA Synthase (formyl-CoA forming)</t>
  </si>
  <si>
    <t>for_c + coa_c + atp_c --&gt; forcoa_c + amp_c + ppi_c</t>
  </si>
  <si>
    <t>Reaction reported in Siegel (2015), doesn’t appear to exist in any BiGG model</t>
  </si>
  <si>
    <t>ACALDf</t>
  </si>
  <si>
    <t>Acetaldehyde dehydrogenase (formaldehyde forming)</t>
  </si>
  <si>
    <t>forcoa_c + nadh_c + h_c --&gt; fald_c + nad_c + coa_c</t>
  </si>
  <si>
    <t>FLSa</t>
  </si>
  <si>
    <t>Formolase (Glycolaldehyde forming)</t>
  </si>
  <si>
    <t>2.0 fald_c --&gt; gcald_c</t>
  </si>
  <si>
    <t>Reaction catalyzed by novel, computational designed formolase enzyme from Siegel (2015), doesn’t exist in any BiGG models. May or may not be reversible, but only including forward direction in assimilation pathway.</t>
  </si>
  <si>
    <t>FLSb</t>
  </si>
  <si>
    <t>Formolase (DHA forming)</t>
  </si>
  <si>
    <t>fald_c + gcald_c --&gt; dha_c</t>
  </si>
  <si>
    <t>DHAK</t>
  </si>
  <si>
    <t>Dihydroxyacetone kinase</t>
  </si>
  <si>
    <t>Glycerol Metabolism</t>
  </si>
  <si>
    <t>atp_c + dha_c --&gt; adp_c + dhap_c + h_c</t>
  </si>
  <si>
    <t>Does not exist in iJO1366 model, but iJO1366 model does contain reaction below (need to determine which to use and which to knock out....). In Siegel 2015, they used this rxn.</t>
  </si>
  <si>
    <t>DHAPT</t>
  </si>
  <si>
    <t>Dihydroxyacetone phosphotransferase</t>
  </si>
  <si>
    <t>Alternate Carbon Metabolism</t>
  </si>
  <si>
    <t>dha_c + pep_c --&gt; dhap_c + pyr_c</t>
  </si>
  <si>
    <t>*Rxn above used for formolase pathway by Siegel (2015). This reaction does not exist in iHN637 model, but iHN637 model does have alternative reaction above.</t>
  </si>
  <si>
    <t>TPI</t>
  </si>
  <si>
    <t>Triose-phosphate isomerase</t>
  </si>
  <si>
    <t>Glycolysis/Gluconeogenesis</t>
  </si>
  <si>
    <t>dhap_c ⇌ g3p_c</t>
  </si>
  <si>
    <t>GAPD</t>
  </si>
  <si>
    <t>Glyceraldehyde-3-phosphate dehydrogenase</t>
  </si>
  <si>
    <t>g3p_c + nad_c + pi_c &lt;=&gt; 13dpg_c + h_c + nadh_c</t>
  </si>
  <si>
    <t>PGK</t>
  </si>
  <si>
    <t>Phosphoglycerate kinase</t>
  </si>
  <si>
    <t>3pg_c + atp_c &lt;=&gt; 13dpg_c + adp_c</t>
  </si>
  <si>
    <t>PGM</t>
  </si>
  <si>
    <t>Phosphoglycerate mutase</t>
  </si>
  <si>
    <t>2pg_c &lt;=&gt; 3pg_c</t>
  </si>
  <si>
    <t>ENO</t>
  </si>
  <si>
    <t>Enolase</t>
  </si>
  <si>
    <t>2pg_c &lt;=&gt; h2o_c + pep_c</t>
  </si>
  <si>
    <t>PYK</t>
  </si>
  <si>
    <t>Pyruvate kinase</t>
  </si>
  <si>
    <t>adp_c + h_c + pep_c --&gt; atp_c + pyr_c</t>
  </si>
  <si>
    <t>PDH</t>
  </si>
  <si>
    <t>Pyruvate dehydrogenase</t>
  </si>
  <si>
    <t>coa_c + nad_c + pyr_c --&gt; accoa_c + co2_c + nadh_c</t>
  </si>
  <si>
    <t>*These are values required to get 1 mol of AcCoA, which requires 3 mol formate</t>
  </si>
  <si>
    <t>*3 formate are fed to get 1 PEP, 1 PYR or 1 AcCoA</t>
  </si>
  <si>
    <t>metDef</t>
  </si>
  <si>
    <t>metID</t>
  </si>
  <si>
    <t>metFormula</t>
  </si>
  <si>
    <t>metName</t>
  </si>
  <si>
    <t>metCompartment</t>
  </si>
  <si>
    <t>metCharge</t>
  </si>
  <si>
    <t>metModels</t>
  </si>
  <si>
    <t>metNotes</t>
  </si>
  <si>
    <t>NAD</t>
  </si>
  <si>
    <t>nad_c</t>
  </si>
  <si>
    <t>C21H26N7O14P2</t>
  </si>
  <si>
    <t>Nicotinamide adenine dinucleotide</t>
  </si>
  <si>
    <t>c</t>
  </si>
  <si>
    <t>nadh_c</t>
  </si>
  <si>
    <t>C21H27N7O14P2</t>
  </si>
  <si>
    <t>Nicotinamide adenine dinucleotide – reduced</t>
  </si>
  <si>
    <t>atp_c</t>
  </si>
  <si>
    <t>C10H12N5O13P3</t>
  </si>
  <si>
    <t>ATP C10H12N5O13P3</t>
  </si>
  <si>
    <t>ADP</t>
  </si>
  <si>
    <t>adp_c</t>
  </si>
  <si>
    <t>C10H12N5O10P2</t>
  </si>
  <si>
    <t>ADP C10H12N5O10P2</t>
  </si>
  <si>
    <t>AMP</t>
  </si>
  <si>
    <t>amp_c</t>
  </si>
  <si>
    <t>C10H12N5O7P</t>
  </si>
  <si>
    <t>AMP C10H12N5O7P</t>
  </si>
  <si>
    <t>H_ion</t>
  </si>
  <si>
    <t>h_c</t>
  </si>
  <si>
    <t>H_ion_p</t>
  </si>
  <si>
    <t>h_p</t>
  </si>
  <si>
    <t>p</t>
  </si>
  <si>
    <t>PPi</t>
  </si>
  <si>
    <t>ppi_c</t>
  </si>
  <si>
    <t>HO7P2</t>
  </si>
  <si>
    <t>Diphosphate</t>
  </si>
  <si>
    <t>CoA</t>
  </si>
  <si>
    <t>coa_c</t>
  </si>
  <si>
    <t>C21H32N7O16P3S</t>
  </si>
  <si>
    <t>Coenzyme A</t>
  </si>
  <si>
    <t>Formate_e</t>
  </si>
  <si>
    <t>for_e</t>
  </si>
  <si>
    <t>CH1O2</t>
  </si>
  <si>
    <t>e</t>
  </si>
  <si>
    <t>Formate_p</t>
  </si>
  <si>
    <t>for_p</t>
  </si>
  <si>
    <t>Not in iHN637 model</t>
  </si>
  <si>
    <t>Formate_c</t>
  </si>
  <si>
    <t>for_c</t>
  </si>
  <si>
    <t>Formyl_CoA</t>
  </si>
  <si>
    <t>forcoa_c</t>
  </si>
  <si>
    <t>C22H32N7O17P3S</t>
  </si>
  <si>
    <t>Formyl-CoA(4-)</t>
  </si>
  <si>
    <t>Formaldehyde</t>
  </si>
  <si>
    <t>fald_c</t>
  </si>
  <si>
    <t>CH2O</t>
  </si>
  <si>
    <t>gcald_c</t>
  </si>
  <si>
    <t>DHA</t>
  </si>
  <si>
    <t>dha_c</t>
  </si>
  <si>
    <t>C3H6O3</t>
  </si>
  <si>
    <t>Dihydroxyacetone</t>
  </si>
  <si>
    <t>DHAP</t>
  </si>
  <si>
    <t>dhap_c</t>
  </si>
  <si>
    <t>C3H5O6P</t>
  </si>
  <si>
    <t>Dihydroxyacetone phosphate</t>
  </si>
  <si>
    <t>PEP</t>
  </si>
  <si>
    <t>pep_c</t>
  </si>
  <si>
    <t>C3H2O6P</t>
  </si>
  <si>
    <t>Phosphoenolpyruvate</t>
  </si>
  <si>
    <t>pyr_c</t>
  </si>
  <si>
    <t>C3H3O3</t>
  </si>
  <si>
    <t>For import only (FORtppi for export)</t>
  </si>
  <si>
    <t>For export only (FORt2pp for import)</t>
  </si>
  <si>
    <t>Folate Metabolism</t>
  </si>
  <si>
    <t>GHMT2r</t>
  </si>
  <si>
    <t>Glycine hydroxymethyltransferase, reversible</t>
  </si>
  <si>
    <t>Glycine and Serine Metabolism</t>
  </si>
  <si>
    <t>ser__L_c + thf_c &lt;=&gt; gly_c + h2o_c + mlthf_c</t>
  </si>
  <si>
    <t>SGATc</t>
  </si>
  <si>
    <t>Serine--glyoxylate aminotransferase</t>
  </si>
  <si>
    <t>Glycine, serine and threonine metabolism</t>
  </si>
  <si>
    <t>ser__L_c + glx_c &lt;=&gt; gly_c + hpyr_c</t>
  </si>
  <si>
    <t>SGAT only exists in BiGG model iRC1080 and it takes place in the mitochondrial compartment (all metabolites are _m and not _c, but changed them to cytosol for my analysis and so renamed ID SGATc</t>
  </si>
  <si>
    <t>HPYRRx</t>
  </si>
  <si>
    <t>Hydroxypyruvate reductase (NADH)</t>
  </si>
  <si>
    <t>h_c + hpyr_c + nadh_c --&gt; glyc__R_c + nad_c</t>
  </si>
  <si>
    <t>GLYCK2</t>
  </si>
  <si>
    <t>Glycerate 2-kinase</t>
  </si>
  <si>
    <t>unknown</t>
  </si>
  <si>
    <t>atp_c + glyc__R_c --&gt; 2pg_c + adp_c + h_c</t>
  </si>
  <si>
    <t>PPC</t>
  </si>
  <si>
    <t>Phosphoenolpyruvate carboxylase</t>
  </si>
  <si>
    <t>Anaplerotic Reactions</t>
  </si>
  <si>
    <t>co2_c + h2o_c + pep_c --&gt; h_c + oaa_c + pi_c</t>
  </si>
  <si>
    <t>Only in forward direct, PPCK is reaction that exists for reverse direction (although rev not needed for serine cycle). IHN637 model only has PPCK rxn.</t>
  </si>
  <si>
    <t>MDH</t>
  </si>
  <si>
    <t>Malate dehydrogenase</t>
  </si>
  <si>
    <t>Citric Acid Cycle</t>
  </si>
  <si>
    <t>mal__L_c + nad_c &lt;=&gt; h_c + nadh_c + oaa_c</t>
  </si>
  <si>
    <t>Reverse action is needed for serine cycle. There are multiple MDH reactions that exist in iJO1366 model that use different electron carrier (ie. ubiquinone)</t>
  </si>
  <si>
    <t>MALlig</t>
  </si>
  <si>
    <t>Malate-CoA ligase</t>
  </si>
  <si>
    <t>mal__L_c + atp_c + coa_c &lt;=&gt; malylcoa_c + adp_c + pi_c</t>
  </si>
  <si>
    <t>Reaction does not seem to exist in any BiGG models, but exists in MetaCyc as part of formaldehyde assimilation pathway I (serine pathway).</t>
  </si>
  <si>
    <t>MALlya</t>
  </si>
  <si>
    <t>Malyl-CoA lyase</t>
  </si>
  <si>
    <t>malylcoa_c &lt;=&gt; glx_c + accoa_c</t>
  </si>
  <si>
    <t>*These are values required to get 1 mol of AcCoA, which requires 1 mol formate</t>
  </si>
  <si>
    <t>*1 formate is fed to get 1 AcCoA</t>
  </si>
  <si>
    <t>nadp_c</t>
  </si>
  <si>
    <t>C21H25N7O17P3</t>
  </si>
  <si>
    <t>Nicotinamide adenine dinucleotide phosphate</t>
  </si>
  <si>
    <t>nadph_c</t>
  </si>
  <si>
    <t>C21H26N7O17P3</t>
  </si>
  <si>
    <t>Nicotinamide adenine dinucleotide phosphate – reduced</t>
  </si>
  <si>
    <t>h2o_c</t>
  </si>
  <si>
    <t>water</t>
  </si>
  <si>
    <t>co2_c</t>
  </si>
  <si>
    <t>carbon dioxide</t>
  </si>
  <si>
    <t>H+_c</t>
  </si>
  <si>
    <t>pi_c</t>
  </si>
  <si>
    <t>HO4P</t>
  </si>
  <si>
    <t>Phosphate</t>
  </si>
  <si>
    <t>nh4_c</t>
  </si>
  <si>
    <t>H4N</t>
  </si>
  <si>
    <t>Ammonium</t>
  </si>
  <si>
    <t>thf_c</t>
  </si>
  <si>
    <t>C19H21N7O6</t>
  </si>
  <si>
    <t>5,6,7,8-Tetrahydrofolate</t>
  </si>
  <si>
    <t>10fthf_c</t>
  </si>
  <si>
    <t>C20H21N7O7</t>
  </si>
  <si>
    <t>10-Formyltetrahydrofolate</t>
  </si>
  <si>
    <t>methf_c</t>
  </si>
  <si>
    <t>C20H20N7O6</t>
  </si>
  <si>
    <t>5,10-Methenyltetrahydrofolate</t>
  </si>
  <si>
    <t>mlthf_c</t>
  </si>
  <si>
    <t>C20H21N7O6</t>
  </si>
  <si>
    <t>5,10-Methylenetetrahydrofolate</t>
  </si>
  <si>
    <t>glx_c</t>
  </si>
  <si>
    <t>C2H1O3</t>
  </si>
  <si>
    <t>Glyoxylate</t>
  </si>
  <si>
    <t>ser__L_c</t>
  </si>
  <si>
    <t>C3H7NO3</t>
  </si>
  <si>
    <t>L-Serine</t>
  </si>
  <si>
    <t>gly_c</t>
  </si>
  <si>
    <t>C2H5NO2</t>
  </si>
  <si>
    <t>Glycine</t>
  </si>
  <si>
    <t>hpyr_c</t>
  </si>
  <si>
    <t>C3H3O4</t>
  </si>
  <si>
    <t>Hydroxypyruvate</t>
  </si>
  <si>
    <t>iHN637 model doesn’t have hydroxypyruvate</t>
  </si>
  <si>
    <t>glyc__R_c</t>
  </si>
  <si>
    <t>C3H5O4</t>
  </si>
  <si>
    <t>(R)-Glycerate</t>
  </si>
  <si>
    <t>2pg_c</t>
  </si>
  <si>
    <t>C3H4O7P</t>
  </si>
  <si>
    <t>D-Glycerate 2-phosphate</t>
  </si>
  <si>
    <t>oaa_c</t>
  </si>
  <si>
    <t>C4H2O5</t>
  </si>
  <si>
    <t>Oxaloacetate</t>
  </si>
  <si>
    <t>mal__L_c</t>
  </si>
  <si>
    <t>C4H4O5</t>
  </si>
  <si>
    <t>L-Malate</t>
  </si>
  <si>
    <t>malylcoa_c</t>
  </si>
  <si>
    <t>C25H35N7O20P3S</t>
  </si>
  <si>
    <t>Malyl-CoA</t>
  </si>
  <si>
    <t>Does not exist in BiGG database, created unique metaboolite ID. Not to be confused with malonyl-coa (not same thing). Based on reaction stoichiometry for reported reactions, malyl-coa must have charge of -5 for reactions to be charge balanced…</t>
  </si>
  <si>
    <t>accoa_c</t>
  </si>
  <si>
    <t>C23H34N7O17P3S</t>
  </si>
  <si>
    <t>GLYCL</t>
  </si>
  <si>
    <t>Glycine Cleavage System</t>
  </si>
  <si>
    <t>gly_c + nad_c + thf_c &lt;=&gt; co2_c + mlthf_c + nadh_c + nh4_c</t>
  </si>
  <si>
    <t>Reaction exists in iJO1366 and iHN637 models as irreversible, must change lower bound to -1000. Has been shown to be reversible (Tashiro, 2018).</t>
  </si>
  <si>
    <t>SERD_L</t>
  </si>
  <si>
    <t>L-serine deaminase</t>
  </si>
  <si>
    <t>ser__L_c --&gt; nh4_c + pyr_c</t>
  </si>
  <si>
    <t>PPS</t>
  </si>
  <si>
    <t>Phosphoenolpyruvate synthase</t>
  </si>
  <si>
    <t>atp_c + h2o_c + pyr_c --&gt; amp_c + 2.0 h_c + pep_c + pi_c</t>
  </si>
  <si>
    <t>Reaction is different in iHN637 model and has rxnID PPDK.</t>
  </si>
  <si>
    <t>*1 methanol is fed to get 1 AcCoA</t>
  </si>
  <si>
    <t>NADP</t>
  </si>
  <si>
    <t>Pi</t>
  </si>
  <si>
    <t>NH4</t>
  </si>
  <si>
    <t>Tetrahydrofolate</t>
  </si>
  <si>
    <t>Formyl_10_tetrahydrofolate</t>
  </si>
  <si>
    <t>Methenyl_5_10_tetrahydrofolate</t>
  </si>
  <si>
    <t>Methylene_5_10_tetrahydrofolate</t>
  </si>
  <si>
    <t>Serine</t>
  </si>
  <si>
    <t>EX_meoh_e</t>
  </si>
  <si>
    <t>Methanol exchange</t>
  </si>
  <si>
    <t>meoh_e &lt;=&gt;</t>
  </si>
  <si>
    <t>MEOHtex</t>
  </si>
  <si>
    <t>Methanol transport via diffusion (extracellular to periplasm)</t>
  </si>
  <si>
    <t>meoh_e &lt;=&gt; meoh_p</t>
  </si>
  <si>
    <t>MEOHtrpp</t>
  </si>
  <si>
    <t>Methanol reversible transport via diffusion (periplasm)</t>
  </si>
  <si>
    <t>meoh_p &lt;=&gt; meoh_c</t>
  </si>
  <si>
    <t>ALCD1</t>
  </si>
  <si>
    <t>Alcohol dehydrogenase (methanol)</t>
  </si>
  <si>
    <t>Cofactor biosynthesis: Lipoate biosynthesis</t>
  </si>
  <si>
    <t>meoh_c + nad_c --&gt; fald_c + h_c + nadh_c</t>
  </si>
  <si>
    <t>Reaction doesn’t exist in iJO1366 or iHN637 models, but does exist in other BiGG models. Sometimes as forward rxn only, sometimes reversible.</t>
  </si>
  <si>
    <t>*These are values required to get 1 mol of AcCoA, which requires 3 mol Methanol</t>
  </si>
  <si>
    <t>*3 methanol are fed to get 1 PEP, 1 PYR or 1 AcCoA</t>
  </si>
  <si>
    <t>Methanol_e</t>
  </si>
  <si>
    <t>meoh_e</t>
  </si>
  <si>
    <t>CH4O1</t>
  </si>
  <si>
    <t>Methanol_p</t>
  </si>
  <si>
    <t>meoh_p</t>
  </si>
  <si>
    <t>Methanol_c</t>
  </si>
  <si>
    <t>meoh_c</t>
  </si>
  <si>
    <t>ALDD1</t>
  </si>
  <si>
    <t xml:space="preserve">Aldehyde dehydrogenase formaldehyde NAD </t>
  </si>
  <si>
    <t>S_Formaldehyde_Metabolism</t>
  </si>
  <si>
    <t>fald_c + h2o_c + nad_c --&gt; for_c + 2.0 h_c + nadh_c</t>
  </si>
  <si>
    <t>Reaction doesn’t exist in iJO1366 or iHN637 models, but does exist in other BiGG models (ie. putida iJN1463 model). Sometimes as forward rxn only, sometimes reversible.</t>
  </si>
  <si>
    <t>Reverse reaction needed.</t>
  </si>
  <si>
    <t>*These are values required to get 1 mol of AcCoA, which requires 1 mol Methanol</t>
  </si>
  <si>
    <t>Glycerate</t>
  </si>
  <si>
    <t>Glycerate_2P</t>
  </si>
  <si>
    <t>Malate</t>
  </si>
  <si>
    <t>Malyl_CoA</t>
  </si>
  <si>
    <t>Acetyl_CoA</t>
  </si>
  <si>
    <t>RU5PS</t>
  </si>
  <si>
    <t>Ribulose-5-P Synthetase</t>
  </si>
  <si>
    <t>fald_c + ru5p__D_c --&gt; ah6p__D_c</t>
  </si>
  <si>
    <t>Reaction doesn’t exist in iJO1366 or iHN637 models, but does exist in other BiGG models, including E.coli iECUMN_1333 model</t>
  </si>
  <si>
    <t>AH6PI</t>
  </si>
  <si>
    <t>Arabino-3-hexulose-6-P Isomerase</t>
  </si>
  <si>
    <t>ah6p__D_c --&gt; f6p_c</t>
  </si>
  <si>
    <t>Reaction doesn’t exist in iJO1366 or iHN637 models, but does exist in other BiGG models, including multiple other E.coli models</t>
  </si>
  <si>
    <t>PFK</t>
  </si>
  <si>
    <t>Phosphofructokinase</t>
  </si>
  <si>
    <t>atp_c + f6p_c --&gt; adp_c + fdp_c + h_c</t>
  </si>
  <si>
    <t>FBA</t>
  </si>
  <si>
    <t>Fructose-bisphosphate aldolase</t>
  </si>
  <si>
    <t>fdp_c ⇌ dhap_c + g3p_c</t>
  </si>
  <si>
    <t>Reverse reaction used</t>
  </si>
  <si>
    <t>Ru5P</t>
  </si>
  <si>
    <t>ru5p__D_c</t>
  </si>
  <si>
    <t>C5H9O8P</t>
  </si>
  <si>
    <t>D-Ribulose 5-phosphate</t>
  </si>
  <si>
    <t>AH6P</t>
  </si>
  <si>
    <t>ah6p__D_c</t>
  </si>
  <si>
    <t>C6H11O9P</t>
  </si>
  <si>
    <t>Arabino-3-hexulose-6-P</t>
  </si>
  <si>
    <t>Not in iJO1366 or iHN637 models, but in other BiGG models (including other E.coli models). Charge is reported as 0, but based on reaction stoichiometry it has to be -2...</t>
  </si>
  <si>
    <t>f6p_c</t>
  </si>
  <si>
    <t>D-Fructose 6-phosphate</t>
  </si>
  <si>
    <t>EX_eg_e</t>
  </si>
  <si>
    <t>Ethylene glycol exchange</t>
  </si>
  <si>
    <t>eg_e &lt;=&gt;</t>
  </si>
  <si>
    <t>EG_transport</t>
  </si>
  <si>
    <t>Ethylene glycol transport</t>
  </si>
  <si>
    <t>eg_e &lt;=&gt; eg_c</t>
  </si>
  <si>
    <t>PDO</t>
  </si>
  <si>
    <t>Propanediol oxireductase</t>
  </si>
  <si>
    <t>eg_c + nad_c &lt;=&gt; gcald_c + nadh_c + h_c</t>
  </si>
  <si>
    <t>GCALDt</t>
  </si>
  <si>
    <t>Glycoaldehydye reversible transport</t>
  </si>
  <si>
    <t>Transport</t>
  </si>
  <si>
    <t>gcald_e &lt;=&gt; gcald_c</t>
  </si>
  <si>
    <t>ACPS</t>
  </si>
  <si>
    <t>Acetyl-Phosphate Synthase</t>
  </si>
  <si>
    <t>gcald_c + pi_c &lt;=&gt; actp_c + h2o_c</t>
  </si>
  <si>
    <t>PTAr</t>
  </si>
  <si>
    <t>Phosphotransacetylase</t>
  </si>
  <si>
    <t>accoa_c + pi_c &lt;=&gt; actp_c + coa_c</t>
  </si>
  <si>
    <t>Exists in E.coli but would still need to be engineered in on high copy plasmid under strong promoter</t>
  </si>
  <si>
    <t>EthyleneGlycol_e</t>
  </si>
  <si>
    <t>eg_e</t>
  </si>
  <si>
    <t>EthyleneGlycol_c</t>
  </si>
  <si>
    <t>eg_c</t>
  </si>
  <si>
    <t>Glycolaldehyde_c</t>
  </si>
  <si>
    <t>Acetyl_P</t>
  </si>
  <si>
    <t>actp_c</t>
  </si>
  <si>
    <t>C2H3O5P</t>
  </si>
  <si>
    <t>Acetyl phosphate</t>
  </si>
  <si>
    <t>GCALDD</t>
  </si>
  <si>
    <t>Glycolaldehyde dehydrogenase</t>
  </si>
  <si>
    <t>gcald_c + h2o_c + nad_c &lt;=&gt; glyclt_c + 2.0 h_c + nadh_c</t>
  </si>
  <si>
    <t>GLYCTO2</t>
  </si>
  <si>
    <t>Glycolate oxidase</t>
  </si>
  <si>
    <t>glyclt_c + q8_c --&gt; glx_c + q8h2_c</t>
  </si>
  <si>
    <t>GLYCTO3</t>
  </si>
  <si>
    <t>glyclt_c + mqn8_c --&gt; glx_c + mql8_c</t>
  </si>
  <si>
    <t>GLYCTO4</t>
  </si>
  <si>
    <t>2dmmq8_c + glyclt_c --&gt; 2dmmql8_c + glx_c</t>
  </si>
  <si>
    <t>GLXCL</t>
  </si>
  <si>
    <t>Glyoxylate carboligase</t>
  </si>
  <si>
    <t>2.0 glx_c + h_c --&gt; 2h3oppan_c + co2_c</t>
  </si>
  <si>
    <t>TRSARr</t>
  </si>
  <si>
    <t>Tartronate semialdehyde reductase</t>
  </si>
  <si>
    <t>2h3oppan_c + h_c + nadh_c &lt;=&gt; glyc__R_c + nad_c</t>
  </si>
  <si>
    <t>Ubiquinone</t>
  </si>
  <si>
    <t>q8_c</t>
  </si>
  <si>
    <t>C49H74O4</t>
  </si>
  <si>
    <t>Ubiquinone-8</t>
  </si>
  <si>
    <t>Ubiquinol</t>
  </si>
  <si>
    <t>q8h2_c</t>
  </si>
  <si>
    <t>C49H76O4</t>
  </si>
  <si>
    <t>Ubiquinol-8</t>
  </si>
  <si>
    <t>Menaquinone</t>
  </si>
  <si>
    <t>mqn8_c</t>
  </si>
  <si>
    <t>C51H72O2</t>
  </si>
  <si>
    <t>Menaquinone 8</t>
  </si>
  <si>
    <t>Menaquinol</t>
  </si>
  <si>
    <t>mql8_c</t>
  </si>
  <si>
    <t>C51H74O2</t>
  </si>
  <si>
    <t>Menaquinol 8</t>
  </si>
  <si>
    <t>Demethylmenaquinone</t>
  </si>
  <si>
    <t>2dmmq8_c</t>
  </si>
  <si>
    <t>C50H70O2</t>
  </si>
  <si>
    <t>2-Demethylmenaquinone 8</t>
  </si>
  <si>
    <t>Demethylmenaquinol</t>
  </si>
  <si>
    <t>2dmmql8_c</t>
  </si>
  <si>
    <t>C50H72O2</t>
  </si>
  <si>
    <t>2-Demethylmenaquinol 8</t>
  </si>
  <si>
    <t>glyclt_c</t>
  </si>
  <si>
    <t>C2H3O3</t>
  </si>
  <si>
    <t>Glycolate C2H3O3</t>
  </si>
  <si>
    <t>Tartronate_semialdehyde</t>
  </si>
  <si>
    <t>2h3oppan_c</t>
  </si>
  <si>
    <t>2-Hydroxy-3-oxopropanoate</t>
  </si>
  <si>
    <t>EX_gcald_e</t>
  </si>
  <si>
    <t>Glycolaldehyde exchange</t>
  </si>
  <si>
    <t>gcald_e &lt;=&gt;</t>
  </si>
  <si>
    <t>Exists in some other BiGG models (not iJO1366 or iHN637)</t>
  </si>
  <si>
    <t>Glycolaldehyde_e</t>
  </si>
  <si>
    <t>gcald_e</t>
  </si>
  <si>
    <t>Doesn’t exist in iJO1366 or iHN637, but exists in other BiGG models</t>
  </si>
  <si>
    <t>Electricity Cost</t>
  </si>
  <si>
    <t>'+</t>
  </si>
  <si>
    <t>(Electricity Cost/0.4)</t>
  </si>
  <si>
    <t>CO2 cost</t>
  </si>
  <si>
    <t>Carbon tax</t>
  </si>
  <si>
    <t>Total</t>
  </si>
  <si>
    <t>$/kg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</si>
</sst>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1">
    <font>
      <sz val="10"/>
      <name val="Arial"/>
      <family val="2"/>
      <charset val="1"/>
    </font>
    <font>
      <b/>
      <sz val="10"/>
      <name val="Arial"/>
      <family val="2"/>
      <charset val="1"/>
    </font>
    <font>
      <sz val="11"/>
      <name val="arial"/>
      <family val="2"/>
      <charset val="1"/>
    </font>
    <font>
      <b/>
      <u/>
      <sz val="12"/>
      <name val="Arial"/>
      <family val="2"/>
      <charset val="1"/>
    </font>
    <font>
      <b/>
      <u/>
      <sz val="11"/>
      <name val="Arial"/>
      <family val="2"/>
      <charset val="1"/>
    </font>
    <font>
      <sz val="11"/>
      <name val="Calibri"/>
      <family val="2"/>
      <charset val="1"/>
    </font>
    <font>
      <b/>
      <sz val="11"/>
      <color rgb="FFFFFFFF"/>
      <name val="Arial"/>
      <family val="2"/>
      <charset val="1"/>
    </font>
    <font>
      <b/>
      <sz val="11"/>
      <name val="arial"/>
      <family val="2"/>
      <charset val="1"/>
    </font>
    <font>
      <b/>
      <sz val="11"/>
      <name val="Noto Sans"/>
      <family val="2"/>
      <charset val="1"/>
    </font>
    <font>
      <sz val="11"/>
      <color rgb="FFFF0000"/>
      <name val="Arial"/>
      <family val="2"/>
      <charset val="1"/>
    </font>
    <font>
      <b/>
      <sz val="9"/>
      <color rgb="FF000000"/>
      <name val="Tahoma"/>
      <family val="2"/>
      <charset val="1"/>
    </font>
    <font>
      <sz val="9"/>
      <color rgb="FF000000"/>
      <name val="Tahoma"/>
      <family val="2"/>
      <charset val="1"/>
    </font>
    <font>
      <u/>
      <sz val="9"/>
      <color rgb="FF000000"/>
      <name val="Tahoma"/>
      <family val="2"/>
      <charset val="1"/>
    </font>
    <font>
      <b/>
      <vertAlign val="subscript"/>
      <sz val="11"/>
      <name val="arial"/>
      <family val="2"/>
      <charset val="1"/>
    </font>
    <font>
      <b/>
      <vertAlign val="superscript"/>
      <sz val="11"/>
      <name val="arial"/>
      <family val="2"/>
      <charset val="1"/>
    </font>
    <font>
      <b/>
      <vertAlign val="superscript"/>
      <sz val="11"/>
      <name val="Noto Sans"/>
      <family val="2"/>
      <charset val="1"/>
    </font>
    <font>
      <vertAlign val="superscript"/>
      <sz val="11"/>
      <name val="arial"/>
      <family val="2"/>
      <charset val="1"/>
    </font>
    <font>
      <b/>
      <u/>
      <sz val="14"/>
      <name val="Arial"/>
      <family val="2"/>
      <charset val="1"/>
    </font>
    <font>
      <u/>
      <sz val="10"/>
      <color rgb="FF0563C1"/>
      <name val="Arial"/>
      <family val="2"/>
      <charset val="1"/>
    </font>
    <font>
      <sz val="10"/>
      <color rgb="FF0000FF"/>
      <name val="Arial"/>
      <family val="2"/>
      <charset val="1"/>
    </font>
    <font>
      <i/>
      <sz val="10"/>
      <name val="Arial"/>
      <family val="2"/>
      <charset val="1"/>
    </font>
    <font>
      <b/>
      <sz val="14"/>
      <color rgb="FFED1C24"/>
      <name val="Arial"/>
      <family val="2"/>
      <charset val="1"/>
    </font>
    <font>
      <b/>
      <sz val="10"/>
      <color rgb="FF000000"/>
      <name val="arial"/>
      <family val="2"/>
      <charset val="1"/>
    </font>
    <font>
      <sz val="10"/>
      <color rgb="FF000000"/>
      <name val="arial"/>
      <family val="2"/>
      <charset val="1"/>
    </font>
    <font>
      <b/>
      <sz val="10"/>
      <color rgb="FFFFFFFF"/>
      <name val="arial"/>
      <family val="2"/>
      <charset val="1"/>
    </font>
    <font>
      <sz val="10"/>
      <color rgb="FFFFFFFF"/>
      <name val="Arial"/>
      <family val="2"/>
      <charset val="1"/>
    </font>
    <font>
      <sz val="10"/>
      <color rgb="FFED1C24"/>
      <name val="Arial"/>
      <family val="2"/>
      <charset val="1"/>
    </font>
    <font>
      <b/>
      <sz val="11"/>
      <color rgb="FF000000"/>
      <name val="arial"/>
      <family val="2"/>
      <charset val="1"/>
    </font>
    <font>
      <sz val="11"/>
      <color rgb="FF000000"/>
      <name val="arial"/>
      <family val="2"/>
      <charset val="1"/>
    </font>
    <font>
      <sz val="11"/>
      <color rgb="FF000000"/>
      <name val="Calibri"/>
      <family val="2"/>
      <charset val="1"/>
    </font>
    <font>
      <vertAlign val="superscript"/>
      <sz val="10"/>
      <name val="Arial"/>
      <family val="2"/>
      <charset val="1"/>
    </font>
  </fonts>
  <fills count="23">
    <fill>
      <patternFill patternType="none"/>
    </fill>
    <fill>
      <patternFill patternType="gray125"/>
    </fill>
    <fill>
      <patternFill patternType="solid">
        <fgColor rgb="FFFFF200"/>
        <bgColor rgb="FFFFFF00"/>
      </patternFill>
    </fill>
    <fill>
      <patternFill patternType="solid">
        <fgColor rgb="FF666666"/>
        <bgColor rgb="FF7F7F7F"/>
      </patternFill>
    </fill>
    <fill>
      <patternFill patternType="solid">
        <fgColor rgb="FF000000"/>
        <bgColor rgb="FF003300"/>
      </patternFill>
    </fill>
    <fill>
      <patternFill patternType="solid">
        <fgColor rgb="FFD3FBFD"/>
        <bgColor rgb="FFDFF9F9"/>
      </patternFill>
    </fill>
    <fill>
      <patternFill patternType="solid">
        <fgColor rgb="FF002060"/>
        <bgColor rgb="FF000080"/>
      </patternFill>
    </fill>
    <fill>
      <patternFill patternType="solid">
        <fgColor rgb="FF385724"/>
        <bgColor rgb="FF333300"/>
      </patternFill>
    </fill>
    <fill>
      <patternFill patternType="solid">
        <fgColor rgb="FFDAE3F3"/>
        <bgColor rgb="FFDDDDDD"/>
      </patternFill>
    </fill>
    <fill>
      <patternFill patternType="solid">
        <fgColor rgb="FFE2F0D9"/>
        <bgColor rgb="FFE0EFD4"/>
      </patternFill>
    </fill>
    <fill>
      <patternFill patternType="solid">
        <fgColor rgb="FFFFF2CC"/>
        <bgColor rgb="FFE2F0D9"/>
      </patternFill>
    </fill>
    <fill>
      <patternFill patternType="solid">
        <fgColor rgb="FFFFFF00"/>
        <bgColor rgb="FFFFF200"/>
      </patternFill>
    </fill>
    <fill>
      <patternFill patternType="solid">
        <fgColor rgb="FF7F7F7F"/>
        <bgColor rgb="FF666666"/>
      </patternFill>
    </fill>
    <fill>
      <patternFill patternType="solid">
        <fgColor rgb="FFDDDDDD"/>
        <bgColor rgb="FFD9D9D9"/>
      </patternFill>
    </fill>
    <fill>
      <patternFill patternType="solid">
        <fgColor rgb="FFC2E0AE"/>
        <bgColor rgb="FFD9D9D9"/>
      </patternFill>
    </fill>
    <fill>
      <patternFill patternType="solid">
        <fgColor rgb="FFD9D9D9"/>
        <bgColor rgb="FFDDDDDD"/>
      </patternFill>
    </fill>
    <fill>
      <patternFill patternType="solid">
        <fgColor rgb="FF92D050"/>
        <bgColor rgb="FFC2E0AE"/>
      </patternFill>
    </fill>
    <fill>
      <patternFill patternType="solid">
        <fgColor rgb="FFDFF9F9"/>
        <bgColor rgb="FFD3FBFD"/>
      </patternFill>
    </fill>
    <fill>
      <patternFill patternType="solid">
        <fgColor rgb="FFF7A19A"/>
        <bgColor rgb="FFFF8080"/>
      </patternFill>
    </fill>
    <fill>
      <patternFill patternType="solid">
        <fgColor rgb="FFE0EFD4"/>
        <bgColor rgb="FFE2F0D9"/>
      </patternFill>
    </fill>
    <fill>
      <patternFill patternType="solid">
        <fgColor rgb="FFABFAAE"/>
        <bgColor rgb="FF91FCB6"/>
      </patternFill>
    </fill>
    <fill>
      <patternFill patternType="solid">
        <fgColor rgb="FF91FCB6"/>
        <bgColor rgb="FFABFAAE"/>
      </patternFill>
    </fill>
    <fill>
      <patternFill patternType="solid">
        <fgColor rgb="FFFAA61A"/>
        <bgColor rgb="FFFFCC00"/>
      </patternFill>
    </fill>
  </fills>
  <borders count="15">
    <border>
      <left/>
      <right/>
      <top/>
      <bottom/>
      <diagonal/>
    </border>
    <border>
      <left style="medium">
        <color auto="1"/>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bottom style="thin">
        <color auto="1"/>
      </bottom>
      <diagonal/>
    </border>
    <border>
      <left/>
      <right/>
      <top style="hair">
        <color auto="1"/>
      </top>
      <bottom style="hair">
        <color auto="1"/>
      </bottom>
      <diagonal/>
    </border>
    <border>
      <left/>
      <right/>
      <top style="thin">
        <color auto="1"/>
      </top>
      <bottom style="thin">
        <color auto="1"/>
      </bottom>
      <diagonal/>
    </border>
    <border>
      <left/>
      <right/>
      <top/>
      <bottom style="hair">
        <color auto="1"/>
      </bottom>
      <diagonal/>
    </border>
    <border>
      <left/>
      <right/>
      <top style="hair">
        <color auto="1"/>
      </top>
      <bottom/>
      <diagonal/>
    </border>
    <border>
      <left/>
      <right/>
      <top style="thin">
        <color auto="1"/>
      </top>
      <bottom/>
      <diagonal/>
    </border>
    <border>
      <left style="hair">
        <color auto="1"/>
      </left>
      <right style="hair">
        <color auto="1"/>
      </right>
      <top style="hair">
        <color auto="1"/>
      </top>
      <bottom style="hair">
        <color auto="1"/>
      </bottom>
      <diagonal/>
    </border>
  </borders>
  <cellStyleXfs count="2">
    <xf numFmtId="0" fontId="0" fillId="0" borderId="0"/>
    <xf numFmtId="0" fontId="18" fillId="0" borderId="0" applyBorder="0" applyProtection="0"/>
  </cellStyleXfs>
  <cellXfs count="190">
    <xf numFmtId="0" fontId="0" fillId="0" borderId="0" xfId="0"/>
    <xf numFmtId="0" fontId="0" fillId="0" borderId="0" xfId="0" applyFont="1" applyBorder="1" applyAlignment="1">
      <alignment horizontal="center" wrapText="1"/>
    </xf>
    <xf numFmtId="0" fontId="0" fillId="0" borderId="8" xfId="0" applyBorder="1" applyAlignment="1">
      <alignment horizontal="center"/>
    </xf>
    <xf numFmtId="0" fontId="0" fillId="0" borderId="0" xfId="0" applyBorder="1" applyAlignment="1">
      <alignment horizontal="center"/>
    </xf>
    <xf numFmtId="0" fontId="1" fillId="15" borderId="8" xfId="0" applyFont="1" applyFill="1" applyBorder="1" applyAlignment="1">
      <alignment horizontal="center"/>
    </xf>
    <xf numFmtId="0" fontId="1" fillId="15" borderId="10" xfId="0" applyFont="1" applyFill="1" applyBorder="1" applyAlignment="1">
      <alignment horizontal="center"/>
    </xf>
    <xf numFmtId="0" fontId="1" fillId="0" borderId="13" xfId="0" applyFont="1" applyBorder="1" applyAlignment="1">
      <alignment horizontal="center" vertical="center"/>
    </xf>
    <xf numFmtId="0" fontId="1" fillId="0" borderId="10" xfId="0" applyFont="1" applyBorder="1" applyAlignment="1">
      <alignment horizontal="center" vertical="center"/>
    </xf>
    <xf numFmtId="0" fontId="1" fillId="0" borderId="10" xfId="0" applyFont="1" applyBorder="1" applyAlignment="1">
      <alignment horizontal="center"/>
    </xf>
    <xf numFmtId="0" fontId="6" fillId="7" borderId="0" xfId="0" applyFont="1" applyFill="1" applyBorder="1" applyAlignment="1">
      <alignment horizontal="center"/>
    </xf>
    <xf numFmtId="0" fontId="6" fillId="6" borderId="0" xfId="0" applyFont="1" applyFill="1" applyBorder="1" applyAlignment="1">
      <alignment horizontal="center"/>
    </xf>
    <xf numFmtId="0" fontId="2" fillId="5" borderId="4" xfId="0" applyFont="1" applyFill="1" applyBorder="1" applyAlignment="1">
      <alignment horizontal="center"/>
    </xf>
    <xf numFmtId="0" fontId="2" fillId="5" borderId="1" xfId="0" applyFont="1" applyFill="1" applyBorder="1" applyAlignment="1">
      <alignment horizontal="center"/>
    </xf>
    <xf numFmtId="0" fontId="0" fillId="0" borderId="0" xfId="0" applyFont="1" applyBorder="1" applyAlignment="1">
      <alignment vertical="center"/>
    </xf>
    <xf numFmtId="0" fontId="0" fillId="0" borderId="0" xfId="0" applyAlignment="1">
      <alignment horizontal="center"/>
    </xf>
    <xf numFmtId="0" fontId="1" fillId="0" borderId="0" xfId="0" applyFont="1"/>
    <xf numFmtId="0" fontId="1" fillId="0" borderId="0" xfId="0" applyFont="1" applyAlignment="1">
      <alignment horizontal="center"/>
    </xf>
    <xf numFmtId="0" fontId="2" fillId="0" borderId="0" xfId="0" applyFont="1" applyAlignment="1">
      <alignment horizontal="center"/>
    </xf>
    <xf numFmtId="0" fontId="0" fillId="2" borderId="0" xfId="0" applyFont="1" applyFill="1" applyAlignment="1">
      <alignment horizontal="center"/>
    </xf>
    <xf numFmtId="164" fontId="2" fillId="0" borderId="0" xfId="0" applyNumberFormat="1" applyFont="1" applyAlignment="1">
      <alignment horizontal="center"/>
    </xf>
    <xf numFmtId="0" fontId="0" fillId="3" borderId="0" xfId="0" applyFill="1"/>
    <xf numFmtId="0" fontId="0" fillId="3" borderId="0" xfId="0" applyFill="1" applyAlignment="1">
      <alignment horizontal="center"/>
    </xf>
    <xf numFmtId="0" fontId="2" fillId="3" borderId="0" xfId="0" applyFont="1" applyFill="1" applyAlignment="1">
      <alignment horizontal="center"/>
    </xf>
    <xf numFmtId="0" fontId="0" fillId="0" borderId="0" xfId="0" applyFont="1" applyAlignment="1">
      <alignment horizontal="center"/>
    </xf>
    <xf numFmtId="0" fontId="0" fillId="4" borderId="0" xfId="0" applyFill="1"/>
    <xf numFmtId="0" fontId="0" fillId="4" borderId="0" xfId="0" applyFill="1" applyAlignment="1">
      <alignment horizontal="center"/>
    </xf>
    <xf numFmtId="0" fontId="0" fillId="0" borderId="0" xfId="0" applyFont="1"/>
    <xf numFmtId="0" fontId="0" fillId="0" borderId="0" xfId="0" applyAlignment="1">
      <alignment vertical="center"/>
    </xf>
    <xf numFmtId="0" fontId="1" fillId="0" borderId="0" xfId="0" applyFont="1" applyAlignment="1">
      <alignment vertical="center"/>
    </xf>
    <xf numFmtId="0" fontId="1" fillId="2" borderId="0" xfId="0" applyFont="1" applyFill="1" applyAlignment="1">
      <alignment horizontal="center"/>
    </xf>
    <xf numFmtId="0" fontId="0" fillId="0" borderId="0" xfId="0" applyFont="1" applyBorder="1" applyAlignment="1">
      <alignment vertical="center"/>
    </xf>
    <xf numFmtId="0" fontId="3" fillId="0" borderId="0" xfId="0" applyFont="1"/>
    <xf numFmtId="0" fontId="4" fillId="0" borderId="0" xfId="0" applyFont="1"/>
    <xf numFmtId="0" fontId="2" fillId="0" borderId="0" xfId="0" applyFont="1"/>
    <xf numFmtId="0" fontId="2" fillId="0" borderId="2" xfId="0" applyFont="1" applyBorder="1"/>
    <xf numFmtId="0" fontId="2" fillId="0" borderId="0" xfId="0" applyFont="1" applyBorder="1" applyAlignment="1">
      <alignment horizontal="center"/>
    </xf>
    <xf numFmtId="0" fontId="2" fillId="0" borderId="3" xfId="0" applyFont="1" applyBorder="1"/>
    <xf numFmtId="0" fontId="2" fillId="0" borderId="3" xfId="0" applyFont="1" applyBorder="1" applyAlignment="1">
      <alignment horizontal="center"/>
    </xf>
    <xf numFmtId="0" fontId="0" fillId="0" borderId="5" xfId="0" applyBorder="1"/>
    <xf numFmtId="0" fontId="0" fillId="0" borderId="6" xfId="0" applyBorder="1"/>
    <xf numFmtId="0" fontId="2" fillId="0" borderId="7" xfId="0" applyFont="1" applyBorder="1"/>
    <xf numFmtId="0" fontId="6" fillId="6" borderId="0" xfId="0" applyFont="1" applyFill="1" applyAlignment="1">
      <alignment horizontal="center"/>
    </xf>
    <xf numFmtId="0" fontId="7" fillId="8" borderId="0" xfId="0" applyFont="1" applyFill="1"/>
    <xf numFmtId="0" fontId="7" fillId="8" borderId="0" xfId="0" applyFont="1" applyFill="1" applyAlignment="1">
      <alignment horizontal="center"/>
    </xf>
    <xf numFmtId="0" fontId="7" fillId="8" borderId="0" xfId="0" applyFont="1" applyFill="1" applyAlignment="1">
      <alignment horizontal="center" wrapText="1"/>
    </xf>
    <xf numFmtId="0" fontId="7" fillId="9" borderId="0" xfId="0" applyFont="1" applyFill="1"/>
    <xf numFmtId="0" fontId="7" fillId="9" borderId="0" xfId="0" applyFont="1" applyFill="1" applyAlignment="1">
      <alignment horizontal="center"/>
    </xf>
    <xf numFmtId="0" fontId="7" fillId="9" borderId="0" xfId="0" applyFont="1" applyFill="1" applyAlignment="1">
      <alignment horizontal="center" wrapText="1"/>
    </xf>
    <xf numFmtId="0" fontId="9" fillId="0" borderId="0" xfId="0" applyFont="1"/>
    <xf numFmtId="0" fontId="9" fillId="0" borderId="0" xfId="0" applyFont="1" applyAlignment="1">
      <alignment horizontal="center"/>
    </xf>
    <xf numFmtId="0" fontId="9" fillId="0" borderId="0" xfId="0" applyFont="1" applyAlignment="1"/>
    <xf numFmtId="0" fontId="2" fillId="0" borderId="0" xfId="0" applyFont="1" applyAlignment="1"/>
    <xf numFmtId="0" fontId="2" fillId="10" borderId="0" xfId="0" applyFont="1" applyFill="1" applyAlignment="1">
      <alignment horizontal="center"/>
    </xf>
    <xf numFmtId="0" fontId="2" fillId="11" borderId="0" xfId="0" applyFont="1" applyFill="1"/>
    <xf numFmtId="0" fontId="2" fillId="11" borderId="0" xfId="0" applyFont="1" applyFill="1" applyAlignment="1">
      <alignment horizontal="center"/>
    </xf>
    <xf numFmtId="0" fontId="2" fillId="0" borderId="0" xfId="0" applyFont="1" applyAlignment="1">
      <alignment horizontal="left"/>
    </xf>
    <xf numFmtId="0" fontId="2" fillId="12" borderId="0" xfId="0" applyFont="1" applyFill="1" applyAlignment="1">
      <alignment horizontal="center"/>
    </xf>
    <xf numFmtId="0" fontId="2" fillId="11" borderId="0" xfId="0" applyFont="1" applyFill="1" applyBorder="1"/>
    <xf numFmtId="0" fontId="2" fillId="11" borderId="0" xfId="0" applyFont="1" applyFill="1" applyBorder="1" applyAlignment="1">
      <alignment horizontal="center"/>
    </xf>
    <xf numFmtId="0" fontId="2" fillId="0" borderId="0" xfId="0" applyFont="1" applyBorder="1" applyAlignment="1">
      <alignment horizontal="left"/>
    </xf>
    <xf numFmtId="0" fontId="2" fillId="10" borderId="0" xfId="0" applyFont="1" applyFill="1" applyBorder="1" applyAlignment="1">
      <alignment horizontal="center"/>
    </xf>
    <xf numFmtId="0" fontId="2" fillId="12" borderId="0" xfId="0" applyFont="1" applyFill="1" applyBorder="1" applyAlignment="1">
      <alignment horizontal="center"/>
    </xf>
    <xf numFmtId="0" fontId="2" fillId="0" borderId="8" xfId="0" applyFont="1" applyBorder="1"/>
    <xf numFmtId="0" fontId="2" fillId="0" borderId="8" xfId="0" applyFont="1" applyBorder="1" applyAlignment="1">
      <alignment horizontal="center"/>
    </xf>
    <xf numFmtId="0" fontId="7" fillId="0" borderId="9" xfId="0" applyFont="1" applyBorder="1"/>
    <xf numFmtId="0" fontId="7" fillId="0" borderId="9" xfId="0" applyFont="1" applyBorder="1" applyAlignment="1">
      <alignment horizontal="center"/>
    </xf>
    <xf numFmtId="0" fontId="7" fillId="0" borderId="9" xfId="0" applyFont="1" applyBorder="1" applyAlignment="1">
      <alignment horizontal="center" wrapText="1"/>
    </xf>
    <xf numFmtId="0" fontId="1" fillId="0" borderId="9" xfId="0" applyFont="1" applyBorder="1"/>
    <xf numFmtId="0" fontId="1" fillId="0" borderId="10" xfId="0" applyFont="1" applyBorder="1"/>
    <xf numFmtId="0" fontId="7" fillId="0" borderId="10" xfId="0" applyFont="1" applyBorder="1"/>
    <xf numFmtId="0" fontId="7" fillId="0" borderId="10" xfId="0" applyFont="1" applyBorder="1" applyAlignment="1">
      <alignment horizontal="center"/>
    </xf>
    <xf numFmtId="0" fontId="7" fillId="0" borderId="10" xfId="0" applyFont="1" applyBorder="1" applyAlignment="1">
      <alignment horizontal="center" wrapText="1"/>
    </xf>
    <xf numFmtId="0" fontId="1" fillId="13" borderId="0" xfId="0" applyFont="1" applyFill="1"/>
    <xf numFmtId="0" fontId="0" fillId="13" borderId="0" xfId="0" applyFill="1"/>
    <xf numFmtId="0" fontId="0" fillId="13" borderId="0" xfId="0" applyFont="1" applyFill="1"/>
    <xf numFmtId="2" fontId="2" fillId="0" borderId="0" xfId="0" applyNumberFormat="1" applyFont="1" applyAlignment="1">
      <alignment horizontal="center"/>
    </xf>
    <xf numFmtId="2" fontId="0" fillId="0" borderId="0" xfId="0" applyNumberFormat="1"/>
    <xf numFmtId="0" fontId="0" fillId="13" borderId="0" xfId="0" applyFont="1" applyFill="1" applyAlignment="1">
      <alignment horizontal="center"/>
    </xf>
    <xf numFmtId="0" fontId="0" fillId="0" borderId="8" xfId="0" applyFont="1" applyBorder="1"/>
    <xf numFmtId="0" fontId="2" fillId="0" borderId="8" xfId="0" applyFont="1" applyBorder="1" applyAlignment="1">
      <alignment horizontal="left"/>
    </xf>
    <xf numFmtId="0" fontId="0" fillId="13" borderId="8" xfId="0" applyFont="1" applyFill="1" applyBorder="1" applyAlignment="1">
      <alignment horizontal="center"/>
    </xf>
    <xf numFmtId="0" fontId="2" fillId="2" borderId="0" xfId="0" applyFont="1" applyFill="1"/>
    <xf numFmtId="0" fontId="11" fillId="0" borderId="0" xfId="0" applyFont="1"/>
    <xf numFmtId="0" fontId="2" fillId="13" borderId="0" xfId="0" applyFont="1" applyFill="1" applyAlignment="1">
      <alignment horizontal="center"/>
    </xf>
    <xf numFmtId="0" fontId="2" fillId="11" borderId="11" xfId="0" applyFont="1" applyFill="1" applyBorder="1"/>
    <xf numFmtId="0" fontId="2" fillId="0" borderId="11" xfId="0" applyFont="1" applyBorder="1" applyAlignment="1">
      <alignment horizontal="center"/>
    </xf>
    <xf numFmtId="0" fontId="2" fillId="13" borderId="11" xfId="0" applyFont="1" applyFill="1" applyBorder="1" applyAlignment="1">
      <alignment horizontal="center"/>
    </xf>
    <xf numFmtId="0" fontId="0" fillId="13" borderId="11" xfId="0" applyFont="1" applyFill="1" applyBorder="1"/>
    <xf numFmtId="0" fontId="17" fillId="0" borderId="0" xfId="0" applyFont="1"/>
    <xf numFmtId="0" fontId="1" fillId="0" borderId="10" xfId="0" applyFont="1" applyBorder="1" applyAlignment="1">
      <alignment horizontal="center"/>
    </xf>
    <xf numFmtId="0" fontId="0" fillId="14" borderId="12" xfId="0" applyFont="1" applyFill="1" applyBorder="1"/>
    <xf numFmtId="0" fontId="0" fillId="14" borderId="12" xfId="0" applyFont="1" applyFill="1" applyBorder="1" applyAlignment="1">
      <alignment horizontal="center"/>
    </xf>
    <xf numFmtId="0" fontId="0" fillId="14" borderId="0" xfId="0" applyFont="1" applyFill="1" applyBorder="1"/>
    <xf numFmtId="0" fontId="0" fillId="14" borderId="0" xfId="0" applyFont="1" applyFill="1" applyBorder="1" applyAlignment="1">
      <alignment horizontal="center"/>
    </xf>
    <xf numFmtId="0" fontId="0" fillId="14" borderId="0" xfId="0" applyFont="1" applyFill="1" applyAlignment="1">
      <alignment horizontal="center"/>
    </xf>
    <xf numFmtId="0" fontId="0" fillId="14" borderId="0" xfId="0" applyFont="1" applyFill="1"/>
    <xf numFmtId="0" fontId="0" fillId="0" borderId="0" xfId="0" applyFont="1" applyAlignment="1">
      <alignment wrapText="1"/>
    </xf>
    <xf numFmtId="0" fontId="0" fillId="0" borderId="0" xfId="0" applyFont="1" applyAlignment="1">
      <alignment horizontal="left"/>
    </xf>
    <xf numFmtId="0" fontId="0" fillId="14" borderId="0" xfId="0" applyFont="1" applyFill="1" applyAlignment="1">
      <alignment horizontal="left"/>
    </xf>
    <xf numFmtId="0" fontId="0" fillId="2" borderId="0" xfId="0" applyFont="1" applyFill="1"/>
    <xf numFmtId="0" fontId="0" fillId="2" borderId="8" xfId="0" applyFont="1" applyFill="1" applyBorder="1"/>
    <xf numFmtId="0" fontId="0" fillId="2" borderId="8" xfId="0" applyFont="1" applyFill="1" applyBorder="1" applyAlignment="1">
      <alignment horizontal="left"/>
    </xf>
    <xf numFmtId="0" fontId="0" fillId="2" borderId="8" xfId="0" applyFont="1" applyFill="1" applyBorder="1" applyAlignment="1">
      <alignment horizontal="center"/>
    </xf>
    <xf numFmtId="0" fontId="18" fillId="0" borderId="0" xfId="1" applyFont="1" applyBorder="1" applyAlignment="1" applyProtection="1"/>
    <xf numFmtId="0" fontId="19" fillId="0" borderId="0" xfId="0" applyFont="1"/>
    <xf numFmtId="0" fontId="20" fillId="0" borderId="0" xfId="0" applyFont="1"/>
    <xf numFmtId="0" fontId="1" fillId="0" borderId="10" xfId="0" applyFont="1" applyBorder="1" applyAlignment="1">
      <alignment horizontal="center" vertical="center"/>
    </xf>
    <xf numFmtId="0" fontId="1" fillId="0" borderId="8" xfId="0" applyFont="1" applyBorder="1" applyAlignment="1">
      <alignment horizontal="center" vertical="center"/>
    </xf>
    <xf numFmtId="0" fontId="0" fillId="0" borderId="10" xfId="0" applyFont="1" applyBorder="1" applyAlignment="1">
      <alignment horizontal="center" vertical="center"/>
    </xf>
    <xf numFmtId="0" fontId="0" fillId="0" borderId="10" xfId="0" applyBorder="1" applyAlignment="1">
      <alignment horizontal="center"/>
    </xf>
    <xf numFmtId="0" fontId="0" fillId="4" borderId="10" xfId="0" applyFill="1" applyBorder="1"/>
    <xf numFmtId="0" fontId="0" fillId="0" borderId="0" xfId="0" applyFont="1" applyBorder="1" applyAlignment="1">
      <alignment horizontal="center"/>
    </xf>
    <xf numFmtId="0" fontId="0" fillId="11" borderId="0" xfId="0" applyFill="1" applyBorder="1" applyAlignment="1">
      <alignment horizontal="center"/>
    </xf>
    <xf numFmtId="0" fontId="0" fillId="0" borderId="0" xfId="0" applyBorder="1" applyAlignment="1">
      <alignment horizontal="center"/>
    </xf>
    <xf numFmtId="0" fontId="0" fillId="0" borderId="0" xfId="0" applyFont="1" applyBorder="1" applyAlignment="1">
      <alignment horizontal="center" vertical="center"/>
    </xf>
    <xf numFmtId="0" fontId="0" fillId="0" borderId="0" xfId="0" applyBorder="1"/>
    <xf numFmtId="0" fontId="0" fillId="0" borderId="0" xfId="0" applyFont="1" applyBorder="1" applyAlignment="1">
      <alignment horizontal="center" wrapText="1"/>
    </xf>
    <xf numFmtId="0" fontId="0" fillId="0" borderId="8" xfId="0" applyFont="1" applyBorder="1" applyAlignment="1">
      <alignment horizontal="center"/>
    </xf>
    <xf numFmtId="0" fontId="0" fillId="0" borderId="8" xfId="0" applyBorder="1"/>
    <xf numFmtId="0" fontId="1" fillId="0" borderId="10" xfId="0" applyFont="1" applyBorder="1" applyAlignment="1">
      <alignment vertical="center"/>
    </xf>
    <xf numFmtId="0" fontId="0" fillId="16" borderId="12" xfId="0" applyFont="1" applyFill="1" applyBorder="1" applyAlignment="1">
      <alignment vertical="center"/>
    </xf>
    <xf numFmtId="0" fontId="0" fillId="0" borderId="12" xfId="0" applyFont="1" applyBorder="1" applyAlignment="1">
      <alignment vertical="center"/>
    </xf>
    <xf numFmtId="0" fontId="0" fillId="0" borderId="12" xfId="0" applyFont="1" applyBorder="1" applyAlignment="1">
      <alignment horizontal="center" vertical="center"/>
    </xf>
    <xf numFmtId="0" fontId="0" fillId="11" borderId="12" xfId="0" applyFont="1" applyFill="1" applyBorder="1" applyAlignment="1">
      <alignment horizontal="center" vertical="center"/>
    </xf>
    <xf numFmtId="0" fontId="0" fillId="0" borderId="0" xfId="0" applyFont="1" applyAlignment="1">
      <alignment vertical="center"/>
    </xf>
    <xf numFmtId="0" fontId="0" fillId="0" borderId="0" xfId="0" applyFont="1" applyAlignment="1">
      <alignment horizontal="center" vertical="center"/>
    </xf>
    <xf numFmtId="0" fontId="0" fillId="11" borderId="0" xfId="0" applyFont="1" applyFill="1" applyAlignment="1">
      <alignment horizontal="center" vertical="center"/>
    </xf>
    <xf numFmtId="0" fontId="0" fillId="0" borderId="0" xfId="0" applyFont="1" applyAlignment="1">
      <alignment vertical="center" wrapText="1"/>
    </xf>
    <xf numFmtId="0" fontId="0" fillId="0" borderId="0" xfId="0" applyFont="1" applyAlignment="1">
      <alignment horizontal="left" vertical="center"/>
    </xf>
    <xf numFmtId="0" fontId="0" fillId="0" borderId="8" xfId="0" applyFont="1" applyBorder="1" applyAlignment="1">
      <alignment vertical="center"/>
    </xf>
    <xf numFmtId="0" fontId="0" fillId="0" borderId="8" xfId="0" applyFont="1" applyBorder="1" applyAlignment="1">
      <alignment vertical="center" wrapText="1"/>
    </xf>
    <xf numFmtId="0" fontId="0" fillId="0" borderId="8" xfId="0" applyFont="1" applyBorder="1" applyAlignment="1">
      <alignment horizontal="center" vertical="center"/>
    </xf>
    <xf numFmtId="0" fontId="1" fillId="0" borderId="14" xfId="0" applyFont="1" applyBorder="1" applyAlignment="1">
      <alignment horizontal="center"/>
    </xf>
    <xf numFmtId="0" fontId="1" fillId="0" borderId="0" xfId="0" applyFont="1" applyBorder="1" applyAlignment="1">
      <alignment horizontal="center" wrapText="1"/>
    </xf>
    <xf numFmtId="0" fontId="1" fillId="17" borderId="14" xfId="0" applyFont="1" applyFill="1" applyBorder="1" applyAlignment="1">
      <alignment horizontal="center"/>
    </xf>
    <xf numFmtId="2" fontId="0" fillId="0" borderId="0" xfId="0" applyNumberFormat="1" applyAlignment="1">
      <alignment horizontal="center"/>
    </xf>
    <xf numFmtId="9" fontId="0" fillId="0" borderId="0" xfId="0" applyNumberFormat="1" applyAlignment="1">
      <alignment horizontal="center"/>
    </xf>
    <xf numFmtId="0" fontId="0" fillId="18" borderId="0" xfId="0" applyFill="1" applyAlignment="1">
      <alignment horizontal="center"/>
    </xf>
    <xf numFmtId="0" fontId="0" fillId="14" borderId="0" xfId="0" applyFill="1" applyAlignment="1">
      <alignment horizontal="center"/>
    </xf>
    <xf numFmtId="2" fontId="0" fillId="4" borderId="0" xfId="0" applyNumberFormat="1" applyFill="1" applyAlignment="1">
      <alignment horizontal="center"/>
    </xf>
    <xf numFmtId="0" fontId="0" fillId="19" borderId="0" xfId="0" applyFill="1" applyAlignment="1">
      <alignment horizontal="center"/>
    </xf>
    <xf numFmtId="164" fontId="0" fillId="0" borderId="0" xfId="0" applyNumberFormat="1" applyAlignment="1">
      <alignment horizontal="center"/>
    </xf>
    <xf numFmtId="164" fontId="0" fillId="18" borderId="0" xfId="0" applyNumberFormat="1" applyFill="1" applyAlignment="1">
      <alignment horizontal="center"/>
    </xf>
    <xf numFmtId="164" fontId="0" fillId="14" borderId="0" xfId="0" applyNumberFormat="1" applyFill="1" applyAlignment="1">
      <alignment horizontal="center"/>
    </xf>
    <xf numFmtId="0" fontId="21" fillId="0" borderId="0" xfId="0" applyFont="1"/>
    <xf numFmtId="0" fontId="22" fillId="0" borderId="0" xfId="0" applyFont="1" applyAlignment="1">
      <alignment horizontal="left"/>
    </xf>
    <xf numFmtId="0" fontId="1" fillId="0" borderId="0" xfId="0" applyFont="1" applyBorder="1" applyAlignment="1">
      <alignment horizontal="center"/>
    </xf>
    <xf numFmtId="0" fontId="0" fillId="17" borderId="14" xfId="0" applyFont="1" applyFill="1" applyBorder="1" applyAlignment="1">
      <alignment horizontal="center"/>
    </xf>
    <xf numFmtId="0" fontId="24" fillId="4" borderId="0" xfId="0" applyFont="1" applyFill="1" applyAlignment="1">
      <alignment horizontal="left"/>
    </xf>
    <xf numFmtId="0" fontId="22" fillId="4" borderId="0" xfId="0" applyFont="1" applyFill="1" applyAlignment="1">
      <alignment horizontal="left"/>
    </xf>
    <xf numFmtId="0" fontId="0" fillId="2" borderId="14" xfId="0" applyFont="1" applyFill="1" applyBorder="1" applyAlignment="1">
      <alignment horizontal="center"/>
    </xf>
    <xf numFmtId="0" fontId="23" fillId="0" borderId="0" xfId="0" applyFont="1"/>
    <xf numFmtId="0" fontId="23" fillId="0" borderId="0" xfId="0" applyFont="1" applyAlignment="1">
      <alignment horizontal="center"/>
    </xf>
    <xf numFmtId="0" fontId="25" fillId="4" borderId="0" xfId="0" applyFont="1" applyFill="1"/>
    <xf numFmtId="0" fontId="0" fillId="4" borderId="0" xfId="0" applyFont="1" applyFill="1"/>
    <xf numFmtId="0" fontId="25" fillId="4" borderId="14" xfId="0" applyFont="1" applyFill="1" applyBorder="1" applyAlignment="1">
      <alignment horizontal="center"/>
    </xf>
    <xf numFmtId="0" fontId="1" fillId="2" borderId="14" xfId="0" applyFont="1" applyFill="1" applyBorder="1" applyAlignment="1">
      <alignment horizontal="center"/>
    </xf>
    <xf numFmtId="0" fontId="0" fillId="20" borderId="0" xfId="0" applyFont="1" applyFill="1"/>
    <xf numFmtId="0" fontId="0" fillId="20" borderId="0" xfId="0" applyFill="1"/>
    <xf numFmtId="0" fontId="26" fillId="0" borderId="0" xfId="0" applyFont="1"/>
    <xf numFmtId="0" fontId="0" fillId="4" borderId="14" xfId="0" applyFont="1" applyFill="1" applyBorder="1" applyAlignment="1">
      <alignment horizontal="center"/>
    </xf>
    <xf numFmtId="0" fontId="0" fillId="2" borderId="0" xfId="0" applyFill="1"/>
    <xf numFmtId="0" fontId="27" fillId="0" borderId="0" xfId="0" applyFont="1" applyAlignment="1">
      <alignment horizontal="left"/>
    </xf>
    <xf numFmtId="0" fontId="28" fillId="0" borderId="0" xfId="0" applyFont="1" applyAlignment="1">
      <alignment horizontal="left"/>
    </xf>
    <xf numFmtId="0" fontId="0" fillId="17" borderId="14" xfId="0" applyFill="1" applyBorder="1" applyAlignment="1">
      <alignment horizontal="center"/>
    </xf>
    <xf numFmtId="0" fontId="28" fillId="0" borderId="0" xfId="0" applyFont="1"/>
    <xf numFmtId="0" fontId="0" fillId="2" borderId="14" xfId="0" applyFill="1" applyBorder="1" applyAlignment="1">
      <alignment horizontal="center"/>
    </xf>
    <xf numFmtId="0" fontId="28" fillId="2" borderId="0" xfId="0" applyFont="1" applyFill="1"/>
    <xf numFmtId="0" fontId="28" fillId="2" borderId="0" xfId="0" applyFont="1" applyFill="1" applyAlignment="1">
      <alignment horizontal="left"/>
    </xf>
    <xf numFmtId="0" fontId="28" fillId="21" borderId="0" xfId="0" applyFont="1" applyFill="1"/>
    <xf numFmtId="0" fontId="28" fillId="21" borderId="0" xfId="0" applyFont="1" applyFill="1" applyAlignment="1">
      <alignment horizontal="left"/>
    </xf>
    <xf numFmtId="0" fontId="7" fillId="0" borderId="0" xfId="0" applyFont="1" applyAlignment="1">
      <alignment horizontal="left"/>
    </xf>
    <xf numFmtId="0" fontId="27" fillId="0" borderId="0" xfId="0" applyFont="1" applyAlignment="1">
      <alignment horizontal="center"/>
    </xf>
    <xf numFmtId="0" fontId="29" fillId="0" borderId="0" xfId="0" applyFont="1"/>
    <xf numFmtId="0" fontId="28" fillId="0" borderId="0" xfId="0" applyFont="1" applyAlignment="1">
      <alignment horizontal="left" vertical="top"/>
    </xf>
    <xf numFmtId="0" fontId="28" fillId="0" borderId="0" xfId="0" applyFont="1" applyAlignment="1">
      <alignment vertical="top"/>
    </xf>
    <xf numFmtId="0" fontId="28" fillId="0" borderId="0" xfId="0" applyFont="1" applyAlignment="1">
      <alignment horizontal="center"/>
    </xf>
    <xf numFmtId="0" fontId="28" fillId="11" borderId="0" xfId="0" applyFont="1" applyFill="1" applyAlignment="1">
      <alignment horizontal="left"/>
    </xf>
    <xf numFmtId="0" fontId="28" fillId="22" borderId="0" xfId="0" applyFont="1" applyFill="1" applyAlignment="1">
      <alignment horizontal="left"/>
    </xf>
    <xf numFmtId="0" fontId="0" fillId="2" borderId="14" xfId="0" applyFill="1" applyBorder="1"/>
    <xf numFmtId="0" fontId="0" fillId="17" borderId="14" xfId="0" applyFill="1" applyBorder="1"/>
    <xf numFmtId="0" fontId="1" fillId="17" borderId="14" xfId="0" applyFont="1" applyFill="1" applyBorder="1"/>
    <xf numFmtId="0" fontId="28" fillId="0" borderId="9" xfId="0" applyFont="1" applyBorder="1" applyAlignment="1">
      <alignment horizontal="left"/>
    </xf>
    <xf numFmtId="0" fontId="28" fillId="0" borderId="9" xfId="0" applyFont="1" applyBorder="1"/>
    <xf numFmtId="0" fontId="28" fillId="0" borderId="0" xfId="0" applyFont="1" applyBorder="1"/>
    <xf numFmtId="0" fontId="28" fillId="0" borderId="0" xfId="0" applyFont="1" applyBorder="1" applyAlignment="1">
      <alignment horizontal="left"/>
    </xf>
    <xf numFmtId="0" fontId="0" fillId="21" borderId="0" xfId="0" applyFont="1" applyFill="1"/>
    <xf numFmtId="0" fontId="0" fillId="0" borderId="0" xfId="0" applyFont="1" applyAlignment="1">
      <alignment horizontal="right"/>
    </xf>
    <xf numFmtId="0" fontId="24" fillId="4" borderId="14" xfId="0" applyFont="1" applyFill="1" applyBorder="1" applyAlignment="1">
      <alignment horizontal="center"/>
    </xf>
    <xf numFmtId="0" fontId="24" fillId="4" borderId="0" xfId="0" applyFont="1" applyFill="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2E0AE"/>
      <rgbColor rgb="FF7F7F7F"/>
      <rgbColor rgb="FF9999FF"/>
      <rgbColor rgb="FF993366"/>
      <rgbColor rgb="FFFFF2CC"/>
      <rgbColor rgb="FFD3FBFD"/>
      <rgbColor rgb="FF660066"/>
      <rgbColor rgb="FFFF8080"/>
      <rgbColor rgb="FF0563C1"/>
      <rgbColor rgb="FFD9D9D9"/>
      <rgbColor rgb="FF000080"/>
      <rgbColor rgb="FFFF00FF"/>
      <rgbColor rgb="FFFFF200"/>
      <rgbColor rgb="FF00FFFF"/>
      <rgbColor rgb="FF800080"/>
      <rgbColor rgb="FF800000"/>
      <rgbColor rgb="FF008080"/>
      <rgbColor rgb="FF0000FF"/>
      <rgbColor rgb="FF00CCFF"/>
      <rgbColor rgb="FFDFF9F9"/>
      <rgbColor rgb="FFE0EFD4"/>
      <rgbColor rgb="FFE2F0D9"/>
      <rgbColor rgb="FFDAE3F3"/>
      <rgbColor rgb="FFF7A19A"/>
      <rgbColor rgb="FFCC99FF"/>
      <rgbColor rgb="FFDDDDDD"/>
      <rgbColor rgb="FF3366FF"/>
      <rgbColor rgb="FF91FCB6"/>
      <rgbColor rgb="FF92D050"/>
      <rgbColor rgb="FFFFCC00"/>
      <rgbColor rgb="FFFAA61A"/>
      <rgbColor rgb="FFFF6600"/>
      <rgbColor rgb="FF666666"/>
      <rgbColor rgb="FFABFAAE"/>
      <rgbColor rgb="FF002060"/>
      <rgbColor rgb="FF339966"/>
      <rgbColor rgb="FF003300"/>
      <rgbColor rgb="FF333300"/>
      <rgbColor rgb="FFED1C24"/>
      <rgbColor rgb="FF993366"/>
      <rgbColor rgb="FF333399"/>
      <rgbColor rgb="FF38572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2</xdr:col>
      <xdr:colOff>545400</xdr:colOff>
      <xdr:row>58</xdr:row>
      <xdr:rowOff>69480</xdr:rowOff>
    </xdr:from>
    <xdr:to>
      <xdr:col>10</xdr:col>
      <xdr:colOff>516960</xdr:colOff>
      <xdr:row>88</xdr:row>
      <xdr:rowOff>3600</xdr:rowOff>
    </xdr:to>
    <xdr:pic>
      <xdr:nvPicPr>
        <xdr:cNvPr id="2" name="Imag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3115800" y="10289520"/>
          <a:ext cx="7912080" cy="4791960"/>
        </a:xfrm>
        <a:prstGeom prst="rect">
          <a:avLst/>
        </a:prstGeom>
        <a:ln>
          <a:noFill/>
        </a:ln>
      </xdr:spPr>
    </xdr:pic>
    <xdr:clientData/>
  </xdr:twoCellAnchor>
  <xdr:twoCellAnchor editAs="oneCell">
    <xdr:from>
      <xdr:col>0</xdr:col>
      <xdr:colOff>0</xdr:colOff>
      <xdr:row>17</xdr:row>
      <xdr:rowOff>720</xdr:rowOff>
    </xdr:from>
    <xdr:to>
      <xdr:col>9</xdr:col>
      <xdr:colOff>3240720</xdr:colOff>
      <xdr:row>69</xdr:row>
      <xdr:rowOff>77400</xdr:rowOff>
    </xdr:to>
    <xdr:sp macro="" textlink="">
      <xdr:nvSpPr>
        <xdr:cNvPr id="3" name="CustomShape 1" hidden="1">
          <a:extLst>
            <a:ext uri="{FF2B5EF4-FFF2-40B4-BE49-F238E27FC236}">
              <a16:creationId xmlns:a16="http://schemas.microsoft.com/office/drawing/2014/main" id="{00000000-0008-0000-0200-000003000000}"/>
            </a:ext>
          </a:extLst>
        </xdr:cNvPr>
        <xdr:cNvSpPr/>
      </xdr:nvSpPr>
      <xdr:spPr>
        <a:xfrm>
          <a:off x="0" y="3143880"/>
          <a:ext cx="10315080" cy="89348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17</xdr:row>
      <xdr:rowOff>720</xdr:rowOff>
    </xdr:from>
    <xdr:to>
      <xdr:col>9</xdr:col>
      <xdr:colOff>3240720</xdr:colOff>
      <xdr:row>69</xdr:row>
      <xdr:rowOff>77400</xdr:rowOff>
    </xdr:to>
    <xdr:sp macro="" textlink="">
      <xdr:nvSpPr>
        <xdr:cNvPr id="4" name="CustomShape 1" hidden="1">
          <a:extLst>
            <a:ext uri="{FF2B5EF4-FFF2-40B4-BE49-F238E27FC236}">
              <a16:creationId xmlns:a16="http://schemas.microsoft.com/office/drawing/2014/main" id="{00000000-0008-0000-0200-000004000000}"/>
            </a:ext>
          </a:extLst>
        </xdr:cNvPr>
        <xdr:cNvSpPr/>
      </xdr:nvSpPr>
      <xdr:spPr>
        <a:xfrm>
          <a:off x="0" y="3143880"/>
          <a:ext cx="10315080" cy="89348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17</xdr:row>
      <xdr:rowOff>720</xdr:rowOff>
    </xdr:from>
    <xdr:to>
      <xdr:col>9</xdr:col>
      <xdr:colOff>3240720</xdr:colOff>
      <xdr:row>69</xdr:row>
      <xdr:rowOff>77400</xdr:rowOff>
    </xdr:to>
    <xdr:sp macro="" textlink="">
      <xdr:nvSpPr>
        <xdr:cNvPr id="5" name="CustomShape 1" hidden="1">
          <a:extLst>
            <a:ext uri="{FF2B5EF4-FFF2-40B4-BE49-F238E27FC236}">
              <a16:creationId xmlns:a16="http://schemas.microsoft.com/office/drawing/2014/main" id="{00000000-0008-0000-0200-000005000000}"/>
            </a:ext>
          </a:extLst>
        </xdr:cNvPr>
        <xdr:cNvSpPr/>
      </xdr:nvSpPr>
      <xdr:spPr>
        <a:xfrm>
          <a:off x="0" y="3143880"/>
          <a:ext cx="10315080" cy="89348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17</xdr:row>
      <xdr:rowOff>720</xdr:rowOff>
    </xdr:from>
    <xdr:to>
      <xdr:col>9</xdr:col>
      <xdr:colOff>3240720</xdr:colOff>
      <xdr:row>69</xdr:row>
      <xdr:rowOff>77400</xdr:rowOff>
    </xdr:to>
    <xdr:sp macro="" textlink="">
      <xdr:nvSpPr>
        <xdr:cNvPr id="6" name="CustomShape 1" hidden="1">
          <a:extLst>
            <a:ext uri="{FF2B5EF4-FFF2-40B4-BE49-F238E27FC236}">
              <a16:creationId xmlns:a16="http://schemas.microsoft.com/office/drawing/2014/main" id="{00000000-0008-0000-0200-000006000000}"/>
            </a:ext>
          </a:extLst>
        </xdr:cNvPr>
        <xdr:cNvSpPr/>
      </xdr:nvSpPr>
      <xdr:spPr>
        <a:xfrm>
          <a:off x="0" y="3143880"/>
          <a:ext cx="10315080" cy="89348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17</xdr:row>
      <xdr:rowOff>720</xdr:rowOff>
    </xdr:from>
    <xdr:to>
      <xdr:col>9</xdr:col>
      <xdr:colOff>3240720</xdr:colOff>
      <xdr:row>69</xdr:row>
      <xdr:rowOff>77400</xdr:rowOff>
    </xdr:to>
    <xdr:sp macro="" textlink="">
      <xdr:nvSpPr>
        <xdr:cNvPr id="7" name="CustomShape 1" hidden="1">
          <a:extLst>
            <a:ext uri="{FF2B5EF4-FFF2-40B4-BE49-F238E27FC236}">
              <a16:creationId xmlns:a16="http://schemas.microsoft.com/office/drawing/2014/main" id="{00000000-0008-0000-0200-000007000000}"/>
            </a:ext>
          </a:extLst>
        </xdr:cNvPr>
        <xdr:cNvSpPr/>
      </xdr:nvSpPr>
      <xdr:spPr>
        <a:xfrm>
          <a:off x="0" y="3143880"/>
          <a:ext cx="10315080" cy="89348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17</xdr:row>
      <xdr:rowOff>720</xdr:rowOff>
    </xdr:from>
    <xdr:to>
      <xdr:col>9</xdr:col>
      <xdr:colOff>3240720</xdr:colOff>
      <xdr:row>69</xdr:row>
      <xdr:rowOff>77400</xdr:rowOff>
    </xdr:to>
    <xdr:sp macro="" textlink="">
      <xdr:nvSpPr>
        <xdr:cNvPr id="8" name="CustomShape 1" hidden="1">
          <a:extLst>
            <a:ext uri="{FF2B5EF4-FFF2-40B4-BE49-F238E27FC236}">
              <a16:creationId xmlns:a16="http://schemas.microsoft.com/office/drawing/2014/main" id="{00000000-0008-0000-0200-000008000000}"/>
            </a:ext>
          </a:extLst>
        </xdr:cNvPr>
        <xdr:cNvSpPr/>
      </xdr:nvSpPr>
      <xdr:spPr>
        <a:xfrm>
          <a:off x="0" y="3143880"/>
          <a:ext cx="10315080" cy="89348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17</xdr:row>
      <xdr:rowOff>720</xdr:rowOff>
    </xdr:from>
    <xdr:to>
      <xdr:col>9</xdr:col>
      <xdr:colOff>3240720</xdr:colOff>
      <xdr:row>69</xdr:row>
      <xdr:rowOff>77400</xdr:rowOff>
    </xdr:to>
    <xdr:sp macro="" textlink="">
      <xdr:nvSpPr>
        <xdr:cNvPr id="9" name="CustomShape 1" hidden="1">
          <a:extLst>
            <a:ext uri="{FF2B5EF4-FFF2-40B4-BE49-F238E27FC236}">
              <a16:creationId xmlns:a16="http://schemas.microsoft.com/office/drawing/2014/main" id="{00000000-0008-0000-0200-000009000000}"/>
            </a:ext>
          </a:extLst>
        </xdr:cNvPr>
        <xdr:cNvSpPr/>
      </xdr:nvSpPr>
      <xdr:spPr>
        <a:xfrm>
          <a:off x="0" y="3143880"/>
          <a:ext cx="10315080" cy="89348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9</xdr:col>
      <xdr:colOff>2715840</xdr:colOff>
      <xdr:row>32</xdr:row>
      <xdr:rowOff>35640</xdr:rowOff>
    </xdr:from>
    <xdr:to>
      <xdr:col>15</xdr:col>
      <xdr:colOff>727560</xdr:colOff>
      <xdr:row>58</xdr:row>
      <xdr:rowOff>92520</xdr:rowOff>
    </xdr:to>
    <xdr:pic>
      <xdr:nvPicPr>
        <xdr:cNvPr id="10" name="Picture 3">
          <a:extLst>
            <a:ext uri="{FF2B5EF4-FFF2-40B4-BE49-F238E27FC236}">
              <a16:creationId xmlns:a16="http://schemas.microsoft.com/office/drawing/2014/main" id="{00000000-0008-0000-0200-00000A000000}"/>
            </a:ext>
          </a:extLst>
        </xdr:cNvPr>
        <xdr:cNvPicPr/>
      </xdr:nvPicPr>
      <xdr:blipFill>
        <a:blip xmlns:r="http://schemas.openxmlformats.org/officeDocument/2006/relationships" r:embed="rId2"/>
        <a:stretch/>
      </xdr:blipFill>
      <xdr:spPr>
        <a:xfrm>
          <a:off x="9790200" y="6045840"/>
          <a:ext cx="6962040" cy="4266720"/>
        </a:xfrm>
        <a:prstGeom prst="rect">
          <a:avLst/>
        </a:prstGeom>
        <a:ln>
          <a:noFill/>
        </a:ln>
      </xdr:spPr>
    </xdr:pic>
    <xdr:clientData/>
  </xdr:twoCellAnchor>
  <xdr:twoCellAnchor editAs="oneCell">
    <xdr:from>
      <xdr:col>0</xdr:col>
      <xdr:colOff>0</xdr:colOff>
      <xdr:row>0</xdr:row>
      <xdr:rowOff>0</xdr:rowOff>
    </xdr:from>
    <xdr:to>
      <xdr:col>10</xdr:col>
      <xdr:colOff>480240</xdr:colOff>
      <xdr:row>54</xdr:row>
      <xdr:rowOff>144360</xdr:rowOff>
    </xdr:to>
    <xdr:sp macro="" textlink="">
      <xdr:nvSpPr>
        <xdr:cNvPr id="11" name="CustomShape 1" hidden="1">
          <a:extLst>
            <a:ext uri="{FF2B5EF4-FFF2-40B4-BE49-F238E27FC236}">
              <a16:creationId xmlns:a16="http://schemas.microsoft.com/office/drawing/2014/main" id="{00000000-0008-0000-0200-00000B000000}"/>
            </a:ext>
          </a:extLst>
        </xdr:cNvPr>
        <xdr:cNvSpPr/>
      </xdr:nvSpPr>
      <xdr:spPr>
        <a:xfrm>
          <a:off x="0" y="0"/>
          <a:ext cx="10991160" cy="9716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10</xdr:col>
      <xdr:colOff>480240</xdr:colOff>
      <xdr:row>54</xdr:row>
      <xdr:rowOff>144360</xdr:rowOff>
    </xdr:to>
    <xdr:sp macro="" textlink="">
      <xdr:nvSpPr>
        <xdr:cNvPr id="12" name="CustomShape 1" hidden="1">
          <a:extLst>
            <a:ext uri="{FF2B5EF4-FFF2-40B4-BE49-F238E27FC236}">
              <a16:creationId xmlns:a16="http://schemas.microsoft.com/office/drawing/2014/main" id="{00000000-0008-0000-0200-00000C000000}"/>
            </a:ext>
          </a:extLst>
        </xdr:cNvPr>
        <xdr:cNvSpPr/>
      </xdr:nvSpPr>
      <xdr:spPr>
        <a:xfrm>
          <a:off x="0" y="0"/>
          <a:ext cx="10991160" cy="9716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10</xdr:col>
      <xdr:colOff>480240</xdr:colOff>
      <xdr:row>54</xdr:row>
      <xdr:rowOff>144360</xdr:rowOff>
    </xdr:to>
    <xdr:sp macro="" textlink="">
      <xdr:nvSpPr>
        <xdr:cNvPr id="13" name="CustomShape 1" hidden="1">
          <a:extLst>
            <a:ext uri="{FF2B5EF4-FFF2-40B4-BE49-F238E27FC236}">
              <a16:creationId xmlns:a16="http://schemas.microsoft.com/office/drawing/2014/main" id="{00000000-0008-0000-0200-00000D000000}"/>
            </a:ext>
          </a:extLst>
        </xdr:cNvPr>
        <xdr:cNvSpPr/>
      </xdr:nvSpPr>
      <xdr:spPr>
        <a:xfrm>
          <a:off x="0" y="0"/>
          <a:ext cx="10991160" cy="9716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10</xdr:col>
      <xdr:colOff>480240</xdr:colOff>
      <xdr:row>54</xdr:row>
      <xdr:rowOff>144360</xdr:rowOff>
    </xdr:to>
    <xdr:sp macro="" textlink="">
      <xdr:nvSpPr>
        <xdr:cNvPr id="14" name="CustomShape 1" hidden="1">
          <a:extLst>
            <a:ext uri="{FF2B5EF4-FFF2-40B4-BE49-F238E27FC236}">
              <a16:creationId xmlns:a16="http://schemas.microsoft.com/office/drawing/2014/main" id="{00000000-0008-0000-0200-00000E000000}"/>
            </a:ext>
          </a:extLst>
        </xdr:cNvPr>
        <xdr:cNvSpPr/>
      </xdr:nvSpPr>
      <xdr:spPr>
        <a:xfrm>
          <a:off x="0" y="0"/>
          <a:ext cx="10991160" cy="9716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10</xdr:col>
      <xdr:colOff>480240</xdr:colOff>
      <xdr:row>54</xdr:row>
      <xdr:rowOff>144360</xdr:rowOff>
    </xdr:to>
    <xdr:sp macro="" textlink="">
      <xdr:nvSpPr>
        <xdr:cNvPr id="15" name="CustomShape 1" hidden="1">
          <a:extLst>
            <a:ext uri="{FF2B5EF4-FFF2-40B4-BE49-F238E27FC236}">
              <a16:creationId xmlns:a16="http://schemas.microsoft.com/office/drawing/2014/main" id="{00000000-0008-0000-0200-00000F000000}"/>
            </a:ext>
          </a:extLst>
        </xdr:cNvPr>
        <xdr:cNvSpPr/>
      </xdr:nvSpPr>
      <xdr:spPr>
        <a:xfrm>
          <a:off x="0" y="0"/>
          <a:ext cx="10991160" cy="9716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10</xdr:col>
      <xdr:colOff>480240</xdr:colOff>
      <xdr:row>54</xdr:row>
      <xdr:rowOff>144360</xdr:rowOff>
    </xdr:to>
    <xdr:sp macro="" textlink="">
      <xdr:nvSpPr>
        <xdr:cNvPr id="16" name="CustomShape 1" hidden="1">
          <a:extLst>
            <a:ext uri="{FF2B5EF4-FFF2-40B4-BE49-F238E27FC236}">
              <a16:creationId xmlns:a16="http://schemas.microsoft.com/office/drawing/2014/main" id="{00000000-0008-0000-0200-000010000000}"/>
            </a:ext>
          </a:extLst>
        </xdr:cNvPr>
        <xdr:cNvSpPr/>
      </xdr:nvSpPr>
      <xdr:spPr>
        <a:xfrm>
          <a:off x="0" y="0"/>
          <a:ext cx="10991160" cy="9716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10</xdr:col>
      <xdr:colOff>480240</xdr:colOff>
      <xdr:row>54</xdr:row>
      <xdr:rowOff>144360</xdr:rowOff>
    </xdr:to>
    <xdr:sp macro="" textlink="">
      <xdr:nvSpPr>
        <xdr:cNvPr id="17" name="CustomShape 1" hidden="1">
          <a:extLst>
            <a:ext uri="{FF2B5EF4-FFF2-40B4-BE49-F238E27FC236}">
              <a16:creationId xmlns:a16="http://schemas.microsoft.com/office/drawing/2014/main" id="{00000000-0008-0000-0200-000011000000}"/>
            </a:ext>
          </a:extLst>
        </xdr:cNvPr>
        <xdr:cNvSpPr/>
      </xdr:nvSpPr>
      <xdr:spPr>
        <a:xfrm>
          <a:off x="0" y="0"/>
          <a:ext cx="10991160" cy="9716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10</xdr:col>
      <xdr:colOff>480240</xdr:colOff>
      <xdr:row>54</xdr:row>
      <xdr:rowOff>144360</xdr:rowOff>
    </xdr:to>
    <xdr:sp macro="" textlink="">
      <xdr:nvSpPr>
        <xdr:cNvPr id="18" name="CustomShape 1" hidden="1">
          <a:extLst>
            <a:ext uri="{FF2B5EF4-FFF2-40B4-BE49-F238E27FC236}">
              <a16:creationId xmlns:a16="http://schemas.microsoft.com/office/drawing/2014/main" id="{00000000-0008-0000-0200-000012000000}"/>
            </a:ext>
          </a:extLst>
        </xdr:cNvPr>
        <xdr:cNvSpPr/>
      </xdr:nvSpPr>
      <xdr:spPr>
        <a:xfrm>
          <a:off x="0" y="0"/>
          <a:ext cx="10991160" cy="9716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2835000</xdr:colOff>
      <xdr:row>53</xdr:row>
      <xdr:rowOff>116640</xdr:rowOff>
    </xdr:to>
    <xdr:sp macro="" textlink="">
      <xdr:nvSpPr>
        <xdr:cNvPr id="19" name="CustomShape 1" hidden="1">
          <a:extLst>
            <a:ext uri="{FF2B5EF4-FFF2-40B4-BE49-F238E27FC236}">
              <a16:creationId xmlns:a16="http://schemas.microsoft.com/office/drawing/2014/main" id="{00000000-0008-0000-0200-000013000000}"/>
            </a:ext>
          </a:extLst>
        </xdr:cNvPr>
        <xdr:cNvSpPr/>
      </xdr:nvSpPr>
      <xdr:spPr>
        <a:xfrm>
          <a:off x="0" y="0"/>
          <a:ext cx="9909360" cy="952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2835000</xdr:colOff>
      <xdr:row>53</xdr:row>
      <xdr:rowOff>116640</xdr:rowOff>
    </xdr:to>
    <xdr:sp macro="" textlink="">
      <xdr:nvSpPr>
        <xdr:cNvPr id="20" name="CustomShape 1" hidden="1">
          <a:extLst>
            <a:ext uri="{FF2B5EF4-FFF2-40B4-BE49-F238E27FC236}">
              <a16:creationId xmlns:a16="http://schemas.microsoft.com/office/drawing/2014/main" id="{00000000-0008-0000-0200-000014000000}"/>
            </a:ext>
          </a:extLst>
        </xdr:cNvPr>
        <xdr:cNvSpPr/>
      </xdr:nvSpPr>
      <xdr:spPr>
        <a:xfrm>
          <a:off x="0" y="0"/>
          <a:ext cx="9909360" cy="952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2835000</xdr:colOff>
      <xdr:row>53</xdr:row>
      <xdr:rowOff>116640</xdr:rowOff>
    </xdr:to>
    <xdr:sp macro="" textlink="">
      <xdr:nvSpPr>
        <xdr:cNvPr id="21" name="CustomShape 1" hidden="1">
          <a:extLst>
            <a:ext uri="{FF2B5EF4-FFF2-40B4-BE49-F238E27FC236}">
              <a16:creationId xmlns:a16="http://schemas.microsoft.com/office/drawing/2014/main" id="{00000000-0008-0000-0200-000015000000}"/>
            </a:ext>
          </a:extLst>
        </xdr:cNvPr>
        <xdr:cNvSpPr/>
      </xdr:nvSpPr>
      <xdr:spPr>
        <a:xfrm>
          <a:off x="0" y="0"/>
          <a:ext cx="9909360" cy="952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2835000</xdr:colOff>
      <xdr:row>53</xdr:row>
      <xdr:rowOff>116640</xdr:rowOff>
    </xdr:to>
    <xdr:sp macro="" textlink="">
      <xdr:nvSpPr>
        <xdr:cNvPr id="22" name="CustomShape 1" hidden="1">
          <a:extLst>
            <a:ext uri="{FF2B5EF4-FFF2-40B4-BE49-F238E27FC236}">
              <a16:creationId xmlns:a16="http://schemas.microsoft.com/office/drawing/2014/main" id="{00000000-0008-0000-0200-000016000000}"/>
            </a:ext>
          </a:extLst>
        </xdr:cNvPr>
        <xdr:cNvSpPr/>
      </xdr:nvSpPr>
      <xdr:spPr>
        <a:xfrm>
          <a:off x="0" y="0"/>
          <a:ext cx="9909360" cy="952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2835000</xdr:colOff>
      <xdr:row>53</xdr:row>
      <xdr:rowOff>116640</xdr:rowOff>
    </xdr:to>
    <xdr:sp macro="" textlink="">
      <xdr:nvSpPr>
        <xdr:cNvPr id="23" name="CustomShape 1" hidden="1">
          <a:extLst>
            <a:ext uri="{FF2B5EF4-FFF2-40B4-BE49-F238E27FC236}">
              <a16:creationId xmlns:a16="http://schemas.microsoft.com/office/drawing/2014/main" id="{00000000-0008-0000-0200-000017000000}"/>
            </a:ext>
          </a:extLst>
        </xdr:cNvPr>
        <xdr:cNvSpPr/>
      </xdr:nvSpPr>
      <xdr:spPr>
        <a:xfrm>
          <a:off x="0" y="0"/>
          <a:ext cx="9909360" cy="952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2835000</xdr:colOff>
      <xdr:row>53</xdr:row>
      <xdr:rowOff>116640</xdr:rowOff>
    </xdr:to>
    <xdr:sp macro="" textlink="">
      <xdr:nvSpPr>
        <xdr:cNvPr id="24" name="CustomShape 1" hidden="1">
          <a:extLst>
            <a:ext uri="{FF2B5EF4-FFF2-40B4-BE49-F238E27FC236}">
              <a16:creationId xmlns:a16="http://schemas.microsoft.com/office/drawing/2014/main" id="{00000000-0008-0000-0200-000018000000}"/>
            </a:ext>
          </a:extLst>
        </xdr:cNvPr>
        <xdr:cNvSpPr/>
      </xdr:nvSpPr>
      <xdr:spPr>
        <a:xfrm>
          <a:off x="0" y="0"/>
          <a:ext cx="9909360" cy="952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2835000</xdr:colOff>
      <xdr:row>53</xdr:row>
      <xdr:rowOff>116640</xdr:rowOff>
    </xdr:to>
    <xdr:sp macro="" textlink="">
      <xdr:nvSpPr>
        <xdr:cNvPr id="25" name="CustomShape 1" hidden="1">
          <a:extLst>
            <a:ext uri="{FF2B5EF4-FFF2-40B4-BE49-F238E27FC236}">
              <a16:creationId xmlns:a16="http://schemas.microsoft.com/office/drawing/2014/main" id="{00000000-0008-0000-0200-000019000000}"/>
            </a:ext>
          </a:extLst>
        </xdr:cNvPr>
        <xdr:cNvSpPr/>
      </xdr:nvSpPr>
      <xdr:spPr>
        <a:xfrm>
          <a:off x="0" y="0"/>
          <a:ext cx="9909360" cy="952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2835000</xdr:colOff>
      <xdr:row>53</xdr:row>
      <xdr:rowOff>116640</xdr:rowOff>
    </xdr:to>
    <xdr:sp macro="" textlink="">
      <xdr:nvSpPr>
        <xdr:cNvPr id="26" name="CustomShape 1" hidden="1">
          <a:extLst>
            <a:ext uri="{FF2B5EF4-FFF2-40B4-BE49-F238E27FC236}">
              <a16:creationId xmlns:a16="http://schemas.microsoft.com/office/drawing/2014/main" id="{00000000-0008-0000-0200-00001A000000}"/>
            </a:ext>
          </a:extLst>
        </xdr:cNvPr>
        <xdr:cNvSpPr/>
      </xdr:nvSpPr>
      <xdr:spPr>
        <a:xfrm>
          <a:off x="0" y="0"/>
          <a:ext cx="9909360" cy="952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2835720</xdr:colOff>
      <xdr:row>53</xdr:row>
      <xdr:rowOff>111600</xdr:rowOff>
    </xdr:to>
    <xdr:sp macro="" textlink="">
      <xdr:nvSpPr>
        <xdr:cNvPr id="27" name="CustomShape 1" hidden="1">
          <a:extLst>
            <a:ext uri="{FF2B5EF4-FFF2-40B4-BE49-F238E27FC236}">
              <a16:creationId xmlns:a16="http://schemas.microsoft.com/office/drawing/2014/main" id="{00000000-0008-0000-0200-00001B000000}"/>
            </a:ext>
          </a:extLst>
        </xdr:cNvPr>
        <xdr:cNvSpPr/>
      </xdr:nvSpPr>
      <xdr:spPr>
        <a:xfrm>
          <a:off x="0" y="0"/>
          <a:ext cx="9910080" cy="9522000"/>
        </a:xfrm>
        <a:prstGeom prst="rect">
          <a:avLst/>
        </a:prstGeom>
        <a:solidFill>
          <a:srgbClr val="FFFFFF"/>
        </a:solidFill>
        <a:ln w="9360">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2835720</xdr:colOff>
      <xdr:row>53</xdr:row>
      <xdr:rowOff>111600</xdr:rowOff>
    </xdr:to>
    <xdr:sp macro="" textlink="">
      <xdr:nvSpPr>
        <xdr:cNvPr id="28" name="CustomShape 1" hidden="1">
          <a:extLst>
            <a:ext uri="{FF2B5EF4-FFF2-40B4-BE49-F238E27FC236}">
              <a16:creationId xmlns:a16="http://schemas.microsoft.com/office/drawing/2014/main" id="{00000000-0008-0000-0200-00001C000000}"/>
            </a:ext>
          </a:extLst>
        </xdr:cNvPr>
        <xdr:cNvSpPr/>
      </xdr:nvSpPr>
      <xdr:spPr>
        <a:xfrm>
          <a:off x="0" y="0"/>
          <a:ext cx="9910080" cy="9522000"/>
        </a:xfrm>
        <a:prstGeom prst="rect">
          <a:avLst/>
        </a:prstGeom>
        <a:solidFill>
          <a:srgbClr val="FFFFFF"/>
        </a:solidFill>
        <a:ln w="9360">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2835720</xdr:colOff>
      <xdr:row>53</xdr:row>
      <xdr:rowOff>111600</xdr:rowOff>
    </xdr:to>
    <xdr:sp macro="" textlink="">
      <xdr:nvSpPr>
        <xdr:cNvPr id="29" name="CustomShape 1" hidden="1">
          <a:extLst>
            <a:ext uri="{FF2B5EF4-FFF2-40B4-BE49-F238E27FC236}">
              <a16:creationId xmlns:a16="http://schemas.microsoft.com/office/drawing/2014/main" id="{00000000-0008-0000-0200-00001D000000}"/>
            </a:ext>
          </a:extLst>
        </xdr:cNvPr>
        <xdr:cNvSpPr/>
      </xdr:nvSpPr>
      <xdr:spPr>
        <a:xfrm>
          <a:off x="0" y="0"/>
          <a:ext cx="9910080" cy="9522000"/>
        </a:xfrm>
        <a:prstGeom prst="rect">
          <a:avLst/>
        </a:prstGeom>
        <a:solidFill>
          <a:srgbClr val="FFFFFF"/>
        </a:solidFill>
        <a:ln w="9360">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2835720</xdr:colOff>
      <xdr:row>53</xdr:row>
      <xdr:rowOff>111600</xdr:rowOff>
    </xdr:to>
    <xdr:sp macro="" textlink="">
      <xdr:nvSpPr>
        <xdr:cNvPr id="30" name="CustomShape 1" hidden="1">
          <a:extLst>
            <a:ext uri="{FF2B5EF4-FFF2-40B4-BE49-F238E27FC236}">
              <a16:creationId xmlns:a16="http://schemas.microsoft.com/office/drawing/2014/main" id="{00000000-0008-0000-0200-00001E000000}"/>
            </a:ext>
          </a:extLst>
        </xdr:cNvPr>
        <xdr:cNvSpPr/>
      </xdr:nvSpPr>
      <xdr:spPr>
        <a:xfrm>
          <a:off x="0" y="0"/>
          <a:ext cx="9910080" cy="9522000"/>
        </a:xfrm>
        <a:prstGeom prst="rect">
          <a:avLst/>
        </a:prstGeom>
        <a:solidFill>
          <a:srgbClr val="FFFFFF"/>
        </a:solidFill>
        <a:ln w="9360">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2835720</xdr:colOff>
      <xdr:row>53</xdr:row>
      <xdr:rowOff>111600</xdr:rowOff>
    </xdr:to>
    <xdr:sp macro="" textlink="">
      <xdr:nvSpPr>
        <xdr:cNvPr id="31" name="CustomShape 1" hidden="1">
          <a:extLst>
            <a:ext uri="{FF2B5EF4-FFF2-40B4-BE49-F238E27FC236}">
              <a16:creationId xmlns:a16="http://schemas.microsoft.com/office/drawing/2014/main" id="{00000000-0008-0000-0200-00001F000000}"/>
            </a:ext>
          </a:extLst>
        </xdr:cNvPr>
        <xdr:cNvSpPr/>
      </xdr:nvSpPr>
      <xdr:spPr>
        <a:xfrm>
          <a:off x="0" y="0"/>
          <a:ext cx="9910080" cy="9522000"/>
        </a:xfrm>
        <a:prstGeom prst="rect">
          <a:avLst/>
        </a:prstGeom>
        <a:solidFill>
          <a:srgbClr val="FFFFFF"/>
        </a:solidFill>
        <a:ln w="9360">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2835720</xdr:colOff>
      <xdr:row>53</xdr:row>
      <xdr:rowOff>111600</xdr:rowOff>
    </xdr:to>
    <xdr:sp macro="" textlink="">
      <xdr:nvSpPr>
        <xdr:cNvPr id="32" name="CustomShape 1" hidden="1">
          <a:extLst>
            <a:ext uri="{FF2B5EF4-FFF2-40B4-BE49-F238E27FC236}">
              <a16:creationId xmlns:a16="http://schemas.microsoft.com/office/drawing/2014/main" id="{00000000-0008-0000-0200-000020000000}"/>
            </a:ext>
          </a:extLst>
        </xdr:cNvPr>
        <xdr:cNvSpPr/>
      </xdr:nvSpPr>
      <xdr:spPr>
        <a:xfrm>
          <a:off x="0" y="0"/>
          <a:ext cx="9910080" cy="9522000"/>
        </a:xfrm>
        <a:prstGeom prst="rect">
          <a:avLst/>
        </a:prstGeom>
        <a:solidFill>
          <a:srgbClr val="FFFFFF"/>
        </a:solidFill>
        <a:ln w="9360">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2835720</xdr:colOff>
      <xdr:row>53</xdr:row>
      <xdr:rowOff>111600</xdr:rowOff>
    </xdr:to>
    <xdr:sp macro="" textlink="">
      <xdr:nvSpPr>
        <xdr:cNvPr id="33" name="CustomShape 1" hidden="1">
          <a:extLst>
            <a:ext uri="{FF2B5EF4-FFF2-40B4-BE49-F238E27FC236}">
              <a16:creationId xmlns:a16="http://schemas.microsoft.com/office/drawing/2014/main" id="{00000000-0008-0000-0200-000021000000}"/>
            </a:ext>
          </a:extLst>
        </xdr:cNvPr>
        <xdr:cNvSpPr/>
      </xdr:nvSpPr>
      <xdr:spPr>
        <a:xfrm>
          <a:off x="0" y="0"/>
          <a:ext cx="9910080" cy="9522000"/>
        </a:xfrm>
        <a:prstGeom prst="rect">
          <a:avLst/>
        </a:prstGeom>
        <a:solidFill>
          <a:srgbClr val="FFFFFF"/>
        </a:solidFill>
        <a:ln w="9360">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2835720</xdr:colOff>
      <xdr:row>53</xdr:row>
      <xdr:rowOff>111600</xdr:rowOff>
    </xdr:to>
    <xdr:sp macro="" textlink="">
      <xdr:nvSpPr>
        <xdr:cNvPr id="34" name="CustomShape 1" hidden="1">
          <a:extLst>
            <a:ext uri="{FF2B5EF4-FFF2-40B4-BE49-F238E27FC236}">
              <a16:creationId xmlns:a16="http://schemas.microsoft.com/office/drawing/2014/main" id="{00000000-0008-0000-0200-000022000000}"/>
            </a:ext>
          </a:extLst>
        </xdr:cNvPr>
        <xdr:cNvSpPr/>
      </xdr:nvSpPr>
      <xdr:spPr>
        <a:xfrm>
          <a:off x="0" y="0"/>
          <a:ext cx="9910080" cy="9522000"/>
        </a:xfrm>
        <a:prstGeom prst="rect">
          <a:avLst/>
        </a:prstGeom>
        <a:solidFill>
          <a:srgbClr val="FFFFFF"/>
        </a:solidFill>
        <a:ln w="9360">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2838240</xdr:colOff>
      <xdr:row>53</xdr:row>
      <xdr:rowOff>114120</xdr:rowOff>
    </xdr:to>
    <xdr:sp macro="" textlink="">
      <xdr:nvSpPr>
        <xdr:cNvPr id="35" name="CustomShape 1" hidden="1">
          <a:extLst>
            <a:ext uri="{FF2B5EF4-FFF2-40B4-BE49-F238E27FC236}">
              <a16:creationId xmlns:a16="http://schemas.microsoft.com/office/drawing/2014/main" id="{00000000-0008-0000-0200-000023000000}"/>
            </a:ext>
          </a:extLst>
        </xdr:cNvPr>
        <xdr:cNvSpPr/>
      </xdr:nvSpPr>
      <xdr:spPr>
        <a:xfrm>
          <a:off x="0" y="0"/>
          <a:ext cx="991260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2838240</xdr:colOff>
      <xdr:row>53</xdr:row>
      <xdr:rowOff>114120</xdr:rowOff>
    </xdr:to>
    <xdr:sp macro="" textlink="">
      <xdr:nvSpPr>
        <xdr:cNvPr id="36" name="CustomShape 1" hidden="1">
          <a:extLst>
            <a:ext uri="{FF2B5EF4-FFF2-40B4-BE49-F238E27FC236}">
              <a16:creationId xmlns:a16="http://schemas.microsoft.com/office/drawing/2014/main" id="{00000000-0008-0000-0200-000024000000}"/>
            </a:ext>
          </a:extLst>
        </xdr:cNvPr>
        <xdr:cNvSpPr/>
      </xdr:nvSpPr>
      <xdr:spPr>
        <a:xfrm>
          <a:off x="0" y="0"/>
          <a:ext cx="991260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2838240</xdr:colOff>
      <xdr:row>53</xdr:row>
      <xdr:rowOff>114120</xdr:rowOff>
    </xdr:to>
    <xdr:sp macro="" textlink="">
      <xdr:nvSpPr>
        <xdr:cNvPr id="37" name="CustomShape 1" hidden="1">
          <a:extLst>
            <a:ext uri="{FF2B5EF4-FFF2-40B4-BE49-F238E27FC236}">
              <a16:creationId xmlns:a16="http://schemas.microsoft.com/office/drawing/2014/main" id="{00000000-0008-0000-0200-000025000000}"/>
            </a:ext>
          </a:extLst>
        </xdr:cNvPr>
        <xdr:cNvSpPr/>
      </xdr:nvSpPr>
      <xdr:spPr>
        <a:xfrm>
          <a:off x="0" y="0"/>
          <a:ext cx="991260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2838240</xdr:colOff>
      <xdr:row>53</xdr:row>
      <xdr:rowOff>114120</xdr:rowOff>
    </xdr:to>
    <xdr:sp macro="" textlink="">
      <xdr:nvSpPr>
        <xdr:cNvPr id="38" name="CustomShape 1" hidden="1">
          <a:extLst>
            <a:ext uri="{FF2B5EF4-FFF2-40B4-BE49-F238E27FC236}">
              <a16:creationId xmlns:a16="http://schemas.microsoft.com/office/drawing/2014/main" id="{00000000-0008-0000-0200-000026000000}"/>
            </a:ext>
          </a:extLst>
        </xdr:cNvPr>
        <xdr:cNvSpPr/>
      </xdr:nvSpPr>
      <xdr:spPr>
        <a:xfrm>
          <a:off x="0" y="0"/>
          <a:ext cx="991260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2838240</xdr:colOff>
      <xdr:row>53</xdr:row>
      <xdr:rowOff>114120</xdr:rowOff>
    </xdr:to>
    <xdr:sp macro="" textlink="">
      <xdr:nvSpPr>
        <xdr:cNvPr id="39" name="CustomShape 1" hidden="1">
          <a:extLst>
            <a:ext uri="{FF2B5EF4-FFF2-40B4-BE49-F238E27FC236}">
              <a16:creationId xmlns:a16="http://schemas.microsoft.com/office/drawing/2014/main" id="{00000000-0008-0000-0200-000027000000}"/>
            </a:ext>
          </a:extLst>
        </xdr:cNvPr>
        <xdr:cNvSpPr/>
      </xdr:nvSpPr>
      <xdr:spPr>
        <a:xfrm>
          <a:off x="0" y="0"/>
          <a:ext cx="991260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2838240</xdr:colOff>
      <xdr:row>53</xdr:row>
      <xdr:rowOff>114120</xdr:rowOff>
    </xdr:to>
    <xdr:sp macro="" textlink="">
      <xdr:nvSpPr>
        <xdr:cNvPr id="40" name="CustomShape 1" hidden="1">
          <a:extLst>
            <a:ext uri="{FF2B5EF4-FFF2-40B4-BE49-F238E27FC236}">
              <a16:creationId xmlns:a16="http://schemas.microsoft.com/office/drawing/2014/main" id="{00000000-0008-0000-0200-000028000000}"/>
            </a:ext>
          </a:extLst>
        </xdr:cNvPr>
        <xdr:cNvSpPr/>
      </xdr:nvSpPr>
      <xdr:spPr>
        <a:xfrm>
          <a:off x="0" y="0"/>
          <a:ext cx="991260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2838240</xdr:colOff>
      <xdr:row>53</xdr:row>
      <xdr:rowOff>114120</xdr:rowOff>
    </xdr:to>
    <xdr:sp macro="" textlink="">
      <xdr:nvSpPr>
        <xdr:cNvPr id="41" name="CustomShape 1" hidden="1">
          <a:extLst>
            <a:ext uri="{FF2B5EF4-FFF2-40B4-BE49-F238E27FC236}">
              <a16:creationId xmlns:a16="http://schemas.microsoft.com/office/drawing/2014/main" id="{00000000-0008-0000-0200-000029000000}"/>
            </a:ext>
          </a:extLst>
        </xdr:cNvPr>
        <xdr:cNvSpPr/>
      </xdr:nvSpPr>
      <xdr:spPr>
        <a:xfrm>
          <a:off x="0" y="0"/>
          <a:ext cx="991260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2838240</xdr:colOff>
      <xdr:row>53</xdr:row>
      <xdr:rowOff>114120</xdr:rowOff>
    </xdr:to>
    <xdr:sp macro="" textlink="">
      <xdr:nvSpPr>
        <xdr:cNvPr id="42" name="CustomShape 1" hidden="1">
          <a:extLst>
            <a:ext uri="{FF2B5EF4-FFF2-40B4-BE49-F238E27FC236}">
              <a16:creationId xmlns:a16="http://schemas.microsoft.com/office/drawing/2014/main" id="{00000000-0008-0000-0200-00002A000000}"/>
            </a:ext>
          </a:extLst>
        </xdr:cNvPr>
        <xdr:cNvSpPr/>
      </xdr:nvSpPr>
      <xdr:spPr>
        <a:xfrm>
          <a:off x="0" y="0"/>
          <a:ext cx="991260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2838240</xdr:colOff>
      <xdr:row>53</xdr:row>
      <xdr:rowOff>114120</xdr:rowOff>
    </xdr:to>
    <xdr:sp macro="" textlink="">
      <xdr:nvSpPr>
        <xdr:cNvPr id="43" name="CustomShape 1" hidden="1">
          <a:extLst>
            <a:ext uri="{FF2B5EF4-FFF2-40B4-BE49-F238E27FC236}">
              <a16:creationId xmlns:a16="http://schemas.microsoft.com/office/drawing/2014/main" id="{00000000-0008-0000-0200-00002B000000}"/>
            </a:ext>
          </a:extLst>
        </xdr:cNvPr>
        <xdr:cNvSpPr/>
      </xdr:nvSpPr>
      <xdr:spPr>
        <a:xfrm>
          <a:off x="0" y="0"/>
          <a:ext cx="991260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24840</xdr:colOff>
      <xdr:row>55</xdr:row>
      <xdr:rowOff>72720</xdr:rowOff>
    </xdr:to>
    <xdr:sp macro="" textlink="">
      <xdr:nvSpPr>
        <xdr:cNvPr id="42" name="CustomShape 1" hidden="1">
          <a:extLst>
            <a:ext uri="{FF2B5EF4-FFF2-40B4-BE49-F238E27FC236}">
              <a16:creationId xmlns:a16="http://schemas.microsoft.com/office/drawing/2014/main" id="{00000000-0008-0000-0300-00002A000000}"/>
            </a:ext>
          </a:extLst>
        </xdr:cNvPr>
        <xdr:cNvSpPr/>
      </xdr:nvSpPr>
      <xdr:spPr>
        <a:xfrm>
          <a:off x="0" y="0"/>
          <a:ext cx="9064440" cy="95212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10</xdr:col>
      <xdr:colOff>100080</xdr:colOff>
      <xdr:row>23</xdr:row>
      <xdr:rowOff>140040</xdr:rowOff>
    </xdr:from>
    <xdr:to>
      <xdr:col>13</xdr:col>
      <xdr:colOff>1345680</xdr:colOff>
      <xdr:row>41</xdr:row>
      <xdr:rowOff>135720</xdr:rowOff>
    </xdr:to>
    <xdr:sp macro="" textlink="">
      <xdr:nvSpPr>
        <xdr:cNvPr id="43" name="CustomShape 1">
          <a:extLst>
            <a:ext uri="{FF2B5EF4-FFF2-40B4-BE49-F238E27FC236}">
              <a16:creationId xmlns:a16="http://schemas.microsoft.com/office/drawing/2014/main" id="{00000000-0008-0000-0300-00002B000000}"/>
            </a:ext>
          </a:extLst>
        </xdr:cNvPr>
        <xdr:cNvSpPr/>
      </xdr:nvSpPr>
      <xdr:spPr>
        <a:xfrm>
          <a:off x="9139680" y="4216680"/>
          <a:ext cx="7998120" cy="3100680"/>
        </a:xfrm>
        <a:prstGeom prst="rect">
          <a:avLst/>
        </a:prstGeom>
        <a:solidFill>
          <a:srgbClr val="FFFFFF"/>
        </a:solidFill>
        <a:ln>
          <a:noFill/>
        </a:ln>
      </xdr:spPr>
      <xdr:style>
        <a:lnRef idx="0">
          <a:scrgbClr r="0" g="0" b="0"/>
        </a:lnRef>
        <a:fillRef idx="0">
          <a:scrgbClr r="0" g="0" b="0"/>
        </a:fillRef>
        <a:effectRef idx="0">
          <a:scrgbClr r="0" g="0" b="0"/>
        </a:effectRef>
        <a:fontRef idx="minor"/>
      </xdr:style>
      <xdr:txBody>
        <a:bodyPr lIns="0" tIns="0" rIns="0" bIns="0"/>
        <a:lstStyle/>
        <a:p>
          <a:pPr>
            <a:lnSpc>
              <a:spcPct val="100000"/>
            </a:lnSpc>
          </a:pPr>
          <a:r>
            <a:rPr lang="en-CA" sz="1200" b="0" strike="noStrike" spc="-1">
              <a:solidFill>
                <a:srgbClr val="000000"/>
              </a:solidFill>
              <a:latin typeface="arial"/>
            </a:rPr>
            <a:t>E (vs RHE) = E (vs SHE) + 0.0591*pH (see Yang (2019))</a:t>
          </a:r>
          <a:endParaRPr lang="en-CA" sz="1200" b="0" strike="noStrike" spc="-1">
            <a:latin typeface="Times New Roman"/>
          </a:endParaRPr>
        </a:p>
        <a:p>
          <a:pPr>
            <a:lnSpc>
              <a:spcPct val="100000"/>
            </a:lnSpc>
          </a:pPr>
          <a:r>
            <a:rPr lang="en-CA" sz="1200" b="0" strike="noStrike" spc="-1">
              <a:solidFill>
                <a:srgbClr val="000000"/>
              </a:solidFill>
              <a:latin typeface="arial"/>
            </a:rPr>
            <a:t>--&gt; Derived from the Nerst equation which says that the hydrogen electrode changes with pH according to:</a:t>
          </a:r>
          <a:endParaRPr lang="en-CA" sz="1200" b="0" strike="noStrike" spc="-1">
            <a:latin typeface="Times New Roman"/>
          </a:endParaRPr>
        </a:p>
        <a:p>
          <a:pPr>
            <a:lnSpc>
              <a:spcPct val="100000"/>
            </a:lnSpc>
          </a:pPr>
          <a:r>
            <a:rPr lang="en-CA" sz="1200" b="0" strike="noStrike" spc="-1">
              <a:solidFill>
                <a:srgbClr val="000000"/>
              </a:solidFill>
              <a:latin typeface="arial"/>
            </a:rPr>
            <a:t>E = E^0-0.0591*pH</a:t>
          </a:r>
          <a:endParaRPr lang="en-CA" sz="1200" b="0" strike="noStrike" spc="-1">
            <a:latin typeface="Times New Roman"/>
          </a:endParaRPr>
        </a:p>
        <a:p>
          <a:pPr>
            <a:lnSpc>
              <a:spcPct val="100000"/>
            </a:lnSpc>
          </a:pPr>
          <a:endParaRPr lang="en-CA" sz="1200" b="0" strike="noStrike" spc="-1">
            <a:latin typeface="Times New Roman"/>
          </a:endParaRPr>
        </a:p>
        <a:p>
          <a:pPr>
            <a:lnSpc>
              <a:spcPct val="100000"/>
            </a:lnSpc>
          </a:pPr>
          <a:r>
            <a:rPr lang="en-CA" sz="1200" b="0" strike="noStrike" spc="-1">
              <a:solidFill>
                <a:srgbClr val="000000"/>
              </a:solidFill>
              <a:latin typeface="arial"/>
            </a:rPr>
            <a:t>All electrode half-cell potentials change with pH, so if using vs RHE then its potential changes with pH too along the same slope, meaning that the half-cell potential of any given half reaction vs RHE stays the same (the difference between the two lines stays the same). BUT if using SHE, then the half cell potential of the reference reaction remains at 0, while the other reactions still change with pH. Thus the difference between the given half cell reaction and SHE changes with pH, meaning the V vs SHE changes with pH as well for all non-hydrogen electrodes.</a:t>
          </a:r>
          <a:endParaRPr lang="en-CA" sz="1200" b="0" strike="noStrike" spc="-1">
            <a:latin typeface="Times New Roman"/>
          </a:endParaRPr>
        </a:p>
      </xdr:txBody>
    </xdr:sp>
    <xdr:clientData/>
  </xdr:twoCellAnchor>
  <xdr:twoCellAnchor editAs="oneCell">
    <xdr:from>
      <xdr:col>0</xdr:col>
      <xdr:colOff>0</xdr:colOff>
      <xdr:row>0</xdr:row>
      <xdr:rowOff>0</xdr:rowOff>
    </xdr:from>
    <xdr:to>
      <xdr:col>10</xdr:col>
      <xdr:colOff>978120</xdr:colOff>
      <xdr:row>55</xdr:row>
      <xdr:rowOff>73440</xdr:rowOff>
    </xdr:to>
    <xdr:sp macro="" textlink="">
      <xdr:nvSpPr>
        <xdr:cNvPr id="44" name="CustomShape 1" hidden="1">
          <a:extLst>
            <a:ext uri="{FF2B5EF4-FFF2-40B4-BE49-F238E27FC236}">
              <a16:creationId xmlns:a16="http://schemas.microsoft.com/office/drawing/2014/main" id="{00000000-0008-0000-0300-00002C000000}"/>
            </a:ext>
          </a:extLst>
        </xdr:cNvPr>
        <xdr:cNvSpPr/>
      </xdr:nvSpPr>
      <xdr:spPr>
        <a:xfrm>
          <a:off x="0" y="0"/>
          <a:ext cx="10017720" cy="9522000"/>
        </a:xfrm>
        <a:prstGeom prst="rect">
          <a:avLst/>
        </a:prstGeom>
        <a:solidFill>
          <a:srgbClr val="FFFFFF"/>
        </a:solidFill>
        <a:ln w="9360">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10</xdr:col>
      <xdr:colOff>978120</xdr:colOff>
      <xdr:row>55</xdr:row>
      <xdr:rowOff>73440</xdr:rowOff>
    </xdr:to>
    <xdr:sp macro="" textlink="">
      <xdr:nvSpPr>
        <xdr:cNvPr id="45" name="CustomShape 1" hidden="1">
          <a:extLst>
            <a:ext uri="{FF2B5EF4-FFF2-40B4-BE49-F238E27FC236}">
              <a16:creationId xmlns:a16="http://schemas.microsoft.com/office/drawing/2014/main" id="{00000000-0008-0000-0300-00002D000000}"/>
            </a:ext>
          </a:extLst>
        </xdr:cNvPr>
        <xdr:cNvSpPr/>
      </xdr:nvSpPr>
      <xdr:spPr>
        <a:xfrm>
          <a:off x="0" y="0"/>
          <a:ext cx="10017720" cy="9522000"/>
        </a:xfrm>
        <a:prstGeom prst="rect">
          <a:avLst/>
        </a:prstGeom>
        <a:solidFill>
          <a:srgbClr val="FFFFFF"/>
        </a:solidFill>
        <a:ln w="9360">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10</xdr:col>
      <xdr:colOff>980640</xdr:colOff>
      <xdr:row>55</xdr:row>
      <xdr:rowOff>75960</xdr:rowOff>
    </xdr:to>
    <xdr:sp macro="" textlink="">
      <xdr:nvSpPr>
        <xdr:cNvPr id="46" name="CustomShape 1" hidden="1">
          <a:extLst>
            <a:ext uri="{FF2B5EF4-FFF2-40B4-BE49-F238E27FC236}">
              <a16:creationId xmlns:a16="http://schemas.microsoft.com/office/drawing/2014/main" id="{00000000-0008-0000-0300-00002E000000}"/>
            </a:ext>
          </a:extLst>
        </xdr:cNvPr>
        <xdr:cNvSpPr/>
      </xdr:nvSpPr>
      <xdr:spPr>
        <a:xfrm>
          <a:off x="0" y="0"/>
          <a:ext cx="100202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10</xdr:col>
      <xdr:colOff>980640</xdr:colOff>
      <xdr:row>55</xdr:row>
      <xdr:rowOff>75960</xdr:rowOff>
    </xdr:to>
    <xdr:sp macro="" textlink="">
      <xdr:nvSpPr>
        <xdr:cNvPr id="47" name="CustomShape 1" hidden="1">
          <a:extLst>
            <a:ext uri="{FF2B5EF4-FFF2-40B4-BE49-F238E27FC236}">
              <a16:creationId xmlns:a16="http://schemas.microsoft.com/office/drawing/2014/main" id="{00000000-0008-0000-0300-00002F000000}"/>
            </a:ext>
          </a:extLst>
        </xdr:cNvPr>
        <xdr:cNvSpPr/>
      </xdr:nvSpPr>
      <xdr:spPr>
        <a:xfrm>
          <a:off x="0" y="0"/>
          <a:ext cx="100202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98280</xdr:colOff>
      <xdr:row>23</xdr:row>
      <xdr:rowOff>90360</xdr:rowOff>
    </xdr:from>
    <xdr:to>
      <xdr:col>10</xdr:col>
      <xdr:colOff>1437840</xdr:colOff>
      <xdr:row>45</xdr:row>
      <xdr:rowOff>93240</xdr:rowOff>
    </xdr:to>
    <xdr:sp macro="" textlink="">
      <xdr:nvSpPr>
        <xdr:cNvPr id="48" name="CustomShape 1">
          <a:extLst>
            <a:ext uri="{FF2B5EF4-FFF2-40B4-BE49-F238E27FC236}">
              <a16:creationId xmlns:a16="http://schemas.microsoft.com/office/drawing/2014/main" id="{00000000-0008-0000-0400-000030000000}"/>
            </a:ext>
          </a:extLst>
        </xdr:cNvPr>
        <xdr:cNvSpPr/>
      </xdr:nvSpPr>
      <xdr:spPr>
        <a:xfrm>
          <a:off x="98280" y="4528800"/>
          <a:ext cx="14655240" cy="3565440"/>
        </a:xfrm>
        <a:prstGeom prst="rect">
          <a:avLst/>
        </a:prstGeom>
        <a:solidFill>
          <a:srgbClr val="FFFFFF"/>
        </a:solidFill>
        <a:ln>
          <a:solidFill>
            <a:srgbClr val="FFFFFF"/>
          </a:solidFill>
        </a:ln>
      </xdr:spPr>
      <xdr:style>
        <a:lnRef idx="0">
          <a:scrgbClr r="0" g="0" b="0"/>
        </a:lnRef>
        <a:fillRef idx="0">
          <a:scrgbClr r="0" g="0" b="0"/>
        </a:fillRef>
        <a:effectRef idx="0">
          <a:scrgbClr r="0" g="0" b="0"/>
        </a:effectRef>
        <a:fontRef idx="minor"/>
      </xdr:style>
      <xdr:txBody>
        <a:bodyPr wrap="none" lIns="0" tIns="0" rIns="0" bIns="0"/>
        <a:lstStyle/>
        <a:p>
          <a:pPr>
            <a:lnSpc>
              <a:spcPct val="100000"/>
            </a:lnSpc>
          </a:pPr>
          <a:r>
            <a:rPr lang="en-CA" sz="1100" b="1" strike="noStrike" spc="-1">
              <a:solidFill>
                <a:srgbClr val="000000"/>
              </a:solidFill>
              <a:latin typeface="Arial"/>
            </a:rPr>
            <a:t>Notes:</a:t>
          </a:r>
          <a:endParaRPr lang="en-CA" sz="1100" b="0" strike="noStrike" spc="-1">
            <a:latin typeface="Times New Roman"/>
          </a:endParaRPr>
        </a:p>
        <a:p>
          <a:pPr>
            <a:lnSpc>
              <a:spcPct val="100000"/>
            </a:lnSpc>
          </a:pPr>
          <a:endParaRPr lang="en-CA" sz="1100" b="0" strike="noStrike" spc="-1">
            <a:latin typeface="Times New Roman"/>
          </a:endParaRPr>
        </a:p>
        <a:p>
          <a:pPr>
            <a:lnSpc>
              <a:spcPct val="100000"/>
            </a:lnSpc>
          </a:pPr>
          <a:r>
            <a:rPr lang="en-CA" sz="1100" b="0" strike="noStrike" spc="-1">
              <a:solidFill>
                <a:srgbClr val="000000"/>
              </a:solidFill>
              <a:latin typeface="Arial"/>
            </a:rPr>
            <a:t>- For ethanol production, both ethylene and ethanol are usually produced together.</a:t>
          </a:r>
          <a:endParaRPr lang="en-CA" sz="1100" b="0" strike="noStrike" spc="-1">
            <a:latin typeface="Times New Roman"/>
          </a:endParaRPr>
        </a:p>
        <a:p>
          <a:pPr>
            <a:lnSpc>
              <a:spcPct val="100000"/>
            </a:lnSpc>
          </a:pPr>
          <a:endParaRPr lang="en-CA" sz="1100" b="0" strike="noStrike" spc="-1">
            <a:latin typeface="Times New Roman"/>
          </a:endParaRPr>
        </a:p>
        <a:p>
          <a:pPr>
            <a:lnSpc>
              <a:spcPct val="100000"/>
            </a:lnSpc>
          </a:pPr>
          <a:r>
            <a:rPr lang="en-CA" sz="1100" b="0" strike="noStrike" spc="-1">
              <a:solidFill>
                <a:srgbClr val="000000"/>
              </a:solidFill>
              <a:latin typeface="Arial"/>
            </a:rPr>
            <a:t>- Acetaldehyde seems to be an intermediate in the production of ethanol; it’s been suggested that while it’s produced,  it’s quite transient (hard to prevent reduction to ethanol...) (Nitopi, 2019). So may not really be a suitable feedstock...</a:t>
          </a:r>
          <a:endParaRPr lang="en-CA" sz="1100" b="0" strike="noStrike" spc="-1">
            <a:latin typeface="Times New Roman"/>
          </a:endParaRPr>
        </a:p>
        <a:p>
          <a:pPr>
            <a:lnSpc>
              <a:spcPct val="100000"/>
            </a:lnSpc>
          </a:pPr>
          <a:endParaRPr lang="en-CA" sz="1100" b="0" strike="noStrike" spc="-1">
            <a:latin typeface="Times New Roman"/>
          </a:endParaRPr>
        </a:p>
        <a:p>
          <a:pPr>
            <a:lnSpc>
              <a:spcPct val="100000"/>
            </a:lnSpc>
          </a:pPr>
          <a:r>
            <a:rPr lang="en-CA" sz="1100" b="0" strike="noStrike" spc="-1">
              <a:solidFill>
                <a:srgbClr val="000000"/>
              </a:solidFill>
              <a:latin typeface="Arial"/>
            </a:rPr>
            <a:t>- Couldn't find a paper that looked specifically at glycolaldehyde production</a:t>
          </a:r>
          <a:endParaRPr lang="en-CA" sz="1100" b="0" strike="noStrike" spc="-1">
            <a:latin typeface="Times New Roman"/>
          </a:endParaRPr>
        </a:p>
        <a:p>
          <a:pPr>
            <a:lnSpc>
              <a:spcPct val="100000"/>
            </a:lnSpc>
          </a:pPr>
          <a:endParaRPr lang="en-CA" sz="1100" b="0" strike="noStrike" spc="-1">
            <a:latin typeface="Times New Roman"/>
          </a:endParaRPr>
        </a:p>
        <a:p>
          <a:pPr>
            <a:lnSpc>
              <a:spcPct val="100000"/>
            </a:lnSpc>
          </a:pPr>
          <a:r>
            <a:rPr lang="en-CA" sz="1100" b="1" u="sng" strike="noStrike" spc="-1">
              <a:solidFill>
                <a:srgbClr val="000000"/>
              </a:solidFill>
              <a:uFillTx/>
              <a:latin typeface="Arial"/>
            </a:rPr>
            <a:t>Meeting with Roham (2021-4-23):</a:t>
          </a:r>
          <a:endParaRPr lang="en-CA" sz="1100" b="0" strike="noStrike" spc="-1">
            <a:latin typeface="Times New Roman"/>
          </a:endParaRPr>
        </a:p>
        <a:p>
          <a:pPr>
            <a:lnSpc>
              <a:spcPct val="100000"/>
            </a:lnSpc>
          </a:pPr>
          <a:r>
            <a:rPr lang="en-CA" sz="1100" b="0" strike="noStrike" spc="-1">
              <a:solidFill>
                <a:srgbClr val="000000"/>
              </a:solidFill>
              <a:latin typeface="Arial"/>
            </a:rPr>
            <a:t>- Can use different reactions at the anode side (doesn’t have to be OER); if using OER are you selling your O2?</a:t>
          </a:r>
          <a:endParaRPr lang="en-CA" sz="1100" b="0" strike="noStrike" spc="-1">
            <a:latin typeface="Times New Roman"/>
          </a:endParaRPr>
        </a:p>
        <a:p>
          <a:pPr>
            <a:lnSpc>
              <a:spcPct val="100000"/>
            </a:lnSpc>
          </a:pPr>
          <a:r>
            <a:rPr lang="en-CA" sz="1100" b="0" strike="noStrike" spc="-1">
              <a:solidFill>
                <a:srgbClr val="000000"/>
              </a:solidFill>
              <a:latin typeface="Arial"/>
            </a:rPr>
            <a:t>-  V vs RHE (or w.e.) is the measured voltage for the HALF CELL reaction</a:t>
          </a:r>
          <a:endParaRPr lang="en-CA" sz="1100" b="0" strike="noStrike" spc="-1">
            <a:latin typeface="Times New Roman"/>
          </a:endParaRPr>
        </a:p>
        <a:p>
          <a:pPr>
            <a:lnSpc>
              <a:spcPct val="100000"/>
            </a:lnSpc>
          </a:pPr>
          <a:r>
            <a:rPr lang="en-CA" sz="1100" b="0" strike="noStrike" spc="-1">
              <a:solidFill>
                <a:srgbClr val="000000"/>
              </a:solidFill>
              <a:latin typeface="Arial"/>
            </a:rPr>
            <a:t>- To calculate for whole cell: </a:t>
          </a:r>
          <a:endParaRPr lang="en-CA" sz="1100" b="0" strike="noStrike" spc="-1">
            <a:latin typeface="Times New Roman"/>
          </a:endParaRPr>
        </a:p>
        <a:p>
          <a:pPr>
            <a:lnSpc>
              <a:spcPct val="100000"/>
            </a:lnSpc>
          </a:pPr>
          <a:r>
            <a:rPr lang="en-CA" sz="1100" b="0" strike="noStrike" spc="-1">
              <a:solidFill>
                <a:srgbClr val="000000"/>
              </a:solidFill>
              <a:latin typeface="Arial"/>
            </a:rPr>
            <a:t>E_cell = E_anode - E_cathodeMeasured + E_IR</a:t>
          </a:r>
          <a:endParaRPr lang="en-CA" sz="1100" b="0" strike="noStrike" spc="-1">
            <a:latin typeface="Times New Roman"/>
          </a:endParaRPr>
        </a:p>
        <a:p>
          <a:pPr>
            <a:lnSpc>
              <a:spcPct val="100000"/>
            </a:lnSpc>
          </a:pPr>
          <a:endParaRPr lang="en-CA" sz="1100" b="0" strike="noStrike" spc="-1">
            <a:latin typeface="Times New Roman"/>
          </a:endParaRPr>
        </a:p>
        <a:p>
          <a:pPr>
            <a:lnSpc>
              <a:spcPct val="100000"/>
            </a:lnSpc>
          </a:pPr>
          <a:r>
            <a:rPr lang="en-CA" sz="1100" b="0" strike="noStrike" spc="-1">
              <a:solidFill>
                <a:srgbClr val="000000"/>
              </a:solidFill>
              <a:latin typeface="Arial"/>
            </a:rPr>
            <a:t>Where E_anode can either be the thermodynamic value of 1.23V (knowing that this doesn’t account for overpotential on anode side) OR can look up V vs RHE values for typical/good OER catalysts</a:t>
          </a:r>
          <a:endParaRPr lang="en-CA" sz="1100" b="0" strike="noStrike" spc="-1">
            <a:latin typeface="Times New Roman"/>
          </a:endParaRPr>
        </a:p>
        <a:p>
          <a:pPr>
            <a:lnSpc>
              <a:spcPct val="100000"/>
            </a:lnSpc>
          </a:pPr>
          <a:r>
            <a:rPr lang="en-CA" sz="1100" b="0" strike="noStrike" spc="-1">
              <a:solidFill>
                <a:srgbClr val="000000"/>
              </a:solidFill>
              <a:latin typeface="Arial"/>
            </a:rPr>
            <a:t>E_IR is the resistance across the membrane; Look up typical values for this for different ECR configurations (set up/type of ECR will affect membrane resistance values)</a:t>
          </a:r>
          <a:endParaRPr lang="en-CA" sz="1100" b="0" strike="noStrike" spc="-1">
            <a:latin typeface="Times New Roman"/>
          </a:endParaRPr>
        </a:p>
        <a:p>
          <a:pPr>
            <a:lnSpc>
              <a:spcPct val="100000"/>
            </a:lnSpc>
          </a:pPr>
          <a:r>
            <a:rPr lang="en-CA" sz="1100" b="0" strike="noStrike" spc="-1">
              <a:solidFill>
                <a:srgbClr val="000000"/>
              </a:solidFill>
              <a:latin typeface="Arial"/>
            </a:rPr>
            <a:t>--&gt; E_IR is actually the ohmic drop from electrolyte Resistance (R_s).</a:t>
          </a:r>
          <a:endParaRPr lang="en-CA" sz="1100" b="0" strike="noStrike" spc="-1">
            <a:latin typeface="Times New Roman"/>
          </a:endParaRPr>
        </a:p>
        <a:p>
          <a:pPr>
            <a:lnSpc>
              <a:spcPct val="100000"/>
            </a:lnSpc>
          </a:pPr>
          <a:endParaRPr lang="en-CA" sz="1100" b="0" strike="noStrike" spc="-1">
            <a:latin typeface="Times New Roman"/>
          </a:endParaRPr>
        </a:p>
        <a:p>
          <a:pPr>
            <a:lnSpc>
              <a:spcPct val="100000"/>
            </a:lnSpc>
          </a:pPr>
          <a:r>
            <a:rPr lang="en-CA" sz="1100" b="0" strike="noStrike" spc="-1">
              <a:solidFill>
                <a:srgbClr val="000000"/>
              </a:solidFill>
              <a:latin typeface="Arial"/>
            </a:rPr>
            <a:t>- EG, acetaldehyde and glycolaldehyde might be more likely to be anode side products (from oxidation of glycerol...); might need to look into this more!</a:t>
          </a:r>
          <a:endParaRPr lang="en-CA" sz="1100" b="0" strike="noStrike" spc="-1">
            <a:latin typeface="Times New Roman"/>
          </a:endParaRPr>
        </a:p>
        <a:p>
          <a:pPr>
            <a:lnSpc>
              <a:spcPct val="100000"/>
            </a:lnSpc>
          </a:pPr>
          <a:endParaRPr lang="en-CA" sz="1100" b="0" strike="noStrike" spc="-1">
            <a:latin typeface="Times New Roman"/>
          </a:endParaRPr>
        </a:p>
        <a:p>
          <a:pPr>
            <a:lnSpc>
              <a:spcPct val="100000"/>
            </a:lnSpc>
          </a:pPr>
          <a:r>
            <a:rPr lang="en-CA" sz="1100" b="0" strike="noStrike" spc="-1">
              <a:solidFill>
                <a:srgbClr val="000000"/>
              </a:solidFill>
              <a:latin typeface="Arial"/>
            </a:rPr>
            <a:t>- Try to only use CD/V/FE values for CD &gt;10 mA/cm^2, ideally greater than 100 (if possible); more likely to be scalable</a:t>
          </a:r>
          <a:endParaRPr lang="en-CA" sz="1100" b="0" strike="noStrike" spc="-1">
            <a:latin typeface="Times New Roman"/>
          </a:endParaRPr>
        </a:p>
        <a:p>
          <a:pPr>
            <a:lnSpc>
              <a:spcPct val="100000"/>
            </a:lnSpc>
          </a:pPr>
          <a:endParaRPr lang="en-CA" sz="1100" b="0" strike="noStrike" spc="-1">
            <a:latin typeface="Times New Roman"/>
          </a:endParaRPr>
        </a:p>
        <a:p>
          <a:pPr>
            <a:lnSpc>
              <a:spcPct val="100000"/>
            </a:lnSpc>
          </a:pPr>
          <a:endParaRPr lang="en-CA" sz="1100" b="0" strike="noStrike" spc="-1">
            <a:latin typeface="Times New Roman"/>
          </a:endParaRPr>
        </a:p>
        <a:p>
          <a:pPr>
            <a:lnSpc>
              <a:spcPct val="100000"/>
            </a:lnSpc>
          </a:pPr>
          <a:endParaRPr lang="en-CA" sz="1100" b="0" strike="noStrike" spc="-1">
            <a:latin typeface="Times New Roman"/>
          </a:endParaRPr>
        </a:p>
      </xdr:txBody>
    </xdr:sp>
    <xdr:clientData/>
  </xdr:twoCellAnchor>
  <xdr:twoCellAnchor editAs="oneCell">
    <xdr:from>
      <xdr:col>0</xdr:col>
      <xdr:colOff>0</xdr:colOff>
      <xdr:row>0</xdr:row>
      <xdr:rowOff>0</xdr:rowOff>
    </xdr:from>
    <xdr:to>
      <xdr:col>9</xdr:col>
      <xdr:colOff>99360</xdr:colOff>
      <xdr:row>64</xdr:row>
      <xdr:rowOff>52560</xdr:rowOff>
    </xdr:to>
    <xdr:sp macro="" textlink="">
      <xdr:nvSpPr>
        <xdr:cNvPr id="49" name="CustomShape 1" hidden="1">
          <a:extLst>
            <a:ext uri="{FF2B5EF4-FFF2-40B4-BE49-F238E27FC236}">
              <a16:creationId xmlns:a16="http://schemas.microsoft.com/office/drawing/2014/main" id="{00000000-0008-0000-0400-000031000000}"/>
            </a:ext>
          </a:extLst>
        </xdr:cNvPr>
        <xdr:cNvSpPr/>
      </xdr:nvSpPr>
      <xdr:spPr>
        <a:xfrm>
          <a:off x="0" y="0"/>
          <a:ext cx="11520360" cy="111301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99360</xdr:colOff>
      <xdr:row>64</xdr:row>
      <xdr:rowOff>52560</xdr:rowOff>
    </xdr:to>
    <xdr:sp macro="" textlink="">
      <xdr:nvSpPr>
        <xdr:cNvPr id="50" name="CustomShape 1" hidden="1">
          <a:extLst>
            <a:ext uri="{FF2B5EF4-FFF2-40B4-BE49-F238E27FC236}">
              <a16:creationId xmlns:a16="http://schemas.microsoft.com/office/drawing/2014/main" id="{00000000-0008-0000-0400-000032000000}"/>
            </a:ext>
          </a:extLst>
        </xdr:cNvPr>
        <xdr:cNvSpPr/>
      </xdr:nvSpPr>
      <xdr:spPr>
        <a:xfrm>
          <a:off x="0" y="0"/>
          <a:ext cx="11520360" cy="111301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99360</xdr:colOff>
      <xdr:row>64</xdr:row>
      <xdr:rowOff>52560</xdr:rowOff>
    </xdr:to>
    <xdr:sp macro="" textlink="">
      <xdr:nvSpPr>
        <xdr:cNvPr id="51" name="CustomShape 1" hidden="1">
          <a:extLst>
            <a:ext uri="{FF2B5EF4-FFF2-40B4-BE49-F238E27FC236}">
              <a16:creationId xmlns:a16="http://schemas.microsoft.com/office/drawing/2014/main" id="{00000000-0008-0000-0400-000033000000}"/>
            </a:ext>
          </a:extLst>
        </xdr:cNvPr>
        <xdr:cNvSpPr/>
      </xdr:nvSpPr>
      <xdr:spPr>
        <a:xfrm>
          <a:off x="0" y="0"/>
          <a:ext cx="11520360" cy="111301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99360</xdr:colOff>
      <xdr:row>64</xdr:row>
      <xdr:rowOff>52560</xdr:rowOff>
    </xdr:to>
    <xdr:sp macro="" textlink="">
      <xdr:nvSpPr>
        <xdr:cNvPr id="52" name="CustomShape 1" hidden="1">
          <a:extLst>
            <a:ext uri="{FF2B5EF4-FFF2-40B4-BE49-F238E27FC236}">
              <a16:creationId xmlns:a16="http://schemas.microsoft.com/office/drawing/2014/main" id="{00000000-0008-0000-0400-000034000000}"/>
            </a:ext>
          </a:extLst>
        </xdr:cNvPr>
        <xdr:cNvSpPr/>
      </xdr:nvSpPr>
      <xdr:spPr>
        <a:xfrm>
          <a:off x="0" y="0"/>
          <a:ext cx="11520360" cy="111301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9</xdr:col>
      <xdr:colOff>99360</xdr:colOff>
      <xdr:row>64</xdr:row>
      <xdr:rowOff>52560</xdr:rowOff>
    </xdr:to>
    <xdr:sp macro="" textlink="">
      <xdr:nvSpPr>
        <xdr:cNvPr id="53" name="CustomShape 1" hidden="1">
          <a:extLst>
            <a:ext uri="{FF2B5EF4-FFF2-40B4-BE49-F238E27FC236}">
              <a16:creationId xmlns:a16="http://schemas.microsoft.com/office/drawing/2014/main" id="{00000000-0008-0000-0400-000035000000}"/>
            </a:ext>
          </a:extLst>
        </xdr:cNvPr>
        <xdr:cNvSpPr/>
      </xdr:nvSpPr>
      <xdr:spPr>
        <a:xfrm>
          <a:off x="0" y="0"/>
          <a:ext cx="11520360" cy="111301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6</xdr:col>
      <xdr:colOff>1101600</xdr:colOff>
      <xdr:row>54</xdr:row>
      <xdr:rowOff>63000</xdr:rowOff>
    </xdr:to>
    <xdr:sp macro="" textlink="">
      <xdr:nvSpPr>
        <xdr:cNvPr id="54" name="CustomShape 1" hidden="1">
          <a:extLst>
            <a:ext uri="{FF2B5EF4-FFF2-40B4-BE49-F238E27FC236}">
              <a16:creationId xmlns:a16="http://schemas.microsoft.com/office/drawing/2014/main" id="{00000000-0008-0000-0400-000036000000}"/>
            </a:ext>
          </a:extLst>
        </xdr:cNvPr>
        <xdr:cNvSpPr/>
      </xdr:nvSpPr>
      <xdr:spPr>
        <a:xfrm>
          <a:off x="0" y="0"/>
          <a:ext cx="10012320" cy="95212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6</xdr:col>
      <xdr:colOff>1101600</xdr:colOff>
      <xdr:row>54</xdr:row>
      <xdr:rowOff>63000</xdr:rowOff>
    </xdr:to>
    <xdr:sp macro="" textlink="">
      <xdr:nvSpPr>
        <xdr:cNvPr id="55" name="CustomShape 1" hidden="1">
          <a:extLst>
            <a:ext uri="{FF2B5EF4-FFF2-40B4-BE49-F238E27FC236}">
              <a16:creationId xmlns:a16="http://schemas.microsoft.com/office/drawing/2014/main" id="{00000000-0008-0000-0400-000037000000}"/>
            </a:ext>
          </a:extLst>
        </xdr:cNvPr>
        <xdr:cNvSpPr/>
      </xdr:nvSpPr>
      <xdr:spPr>
        <a:xfrm>
          <a:off x="0" y="0"/>
          <a:ext cx="10012320" cy="95212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6</xdr:col>
      <xdr:colOff>1101600</xdr:colOff>
      <xdr:row>54</xdr:row>
      <xdr:rowOff>63000</xdr:rowOff>
    </xdr:to>
    <xdr:sp macro="" textlink="">
      <xdr:nvSpPr>
        <xdr:cNvPr id="56" name="CustomShape 1" hidden="1">
          <a:extLst>
            <a:ext uri="{FF2B5EF4-FFF2-40B4-BE49-F238E27FC236}">
              <a16:creationId xmlns:a16="http://schemas.microsoft.com/office/drawing/2014/main" id="{00000000-0008-0000-0400-000038000000}"/>
            </a:ext>
          </a:extLst>
        </xdr:cNvPr>
        <xdr:cNvSpPr/>
      </xdr:nvSpPr>
      <xdr:spPr>
        <a:xfrm>
          <a:off x="0" y="0"/>
          <a:ext cx="10012320" cy="95212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6</xdr:col>
      <xdr:colOff>1101600</xdr:colOff>
      <xdr:row>54</xdr:row>
      <xdr:rowOff>63000</xdr:rowOff>
    </xdr:to>
    <xdr:sp macro="" textlink="">
      <xdr:nvSpPr>
        <xdr:cNvPr id="57" name="CustomShape 1" hidden="1">
          <a:extLst>
            <a:ext uri="{FF2B5EF4-FFF2-40B4-BE49-F238E27FC236}">
              <a16:creationId xmlns:a16="http://schemas.microsoft.com/office/drawing/2014/main" id="{00000000-0008-0000-0400-000039000000}"/>
            </a:ext>
          </a:extLst>
        </xdr:cNvPr>
        <xdr:cNvSpPr/>
      </xdr:nvSpPr>
      <xdr:spPr>
        <a:xfrm>
          <a:off x="0" y="0"/>
          <a:ext cx="10012320" cy="95212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6</xdr:col>
      <xdr:colOff>1101600</xdr:colOff>
      <xdr:row>54</xdr:row>
      <xdr:rowOff>63000</xdr:rowOff>
    </xdr:to>
    <xdr:sp macro="" textlink="">
      <xdr:nvSpPr>
        <xdr:cNvPr id="58" name="CustomShape 1" hidden="1">
          <a:extLst>
            <a:ext uri="{FF2B5EF4-FFF2-40B4-BE49-F238E27FC236}">
              <a16:creationId xmlns:a16="http://schemas.microsoft.com/office/drawing/2014/main" id="{00000000-0008-0000-0400-00003A000000}"/>
            </a:ext>
          </a:extLst>
        </xdr:cNvPr>
        <xdr:cNvSpPr/>
      </xdr:nvSpPr>
      <xdr:spPr>
        <a:xfrm>
          <a:off x="0" y="0"/>
          <a:ext cx="10012320" cy="95212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6</xdr:col>
      <xdr:colOff>1101600</xdr:colOff>
      <xdr:row>54</xdr:row>
      <xdr:rowOff>63000</xdr:rowOff>
    </xdr:to>
    <xdr:sp macro="" textlink="">
      <xdr:nvSpPr>
        <xdr:cNvPr id="59" name="CustomShape 1" hidden="1">
          <a:extLst>
            <a:ext uri="{FF2B5EF4-FFF2-40B4-BE49-F238E27FC236}">
              <a16:creationId xmlns:a16="http://schemas.microsoft.com/office/drawing/2014/main" id="{00000000-0008-0000-0400-00003B000000}"/>
            </a:ext>
          </a:extLst>
        </xdr:cNvPr>
        <xdr:cNvSpPr/>
      </xdr:nvSpPr>
      <xdr:spPr>
        <a:xfrm>
          <a:off x="0" y="0"/>
          <a:ext cx="10012320" cy="95212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6</xdr:col>
      <xdr:colOff>1101960</xdr:colOff>
      <xdr:row>54</xdr:row>
      <xdr:rowOff>63720</xdr:rowOff>
    </xdr:to>
    <xdr:sp macro="" textlink="">
      <xdr:nvSpPr>
        <xdr:cNvPr id="60" name="CustomShape 1" hidden="1">
          <a:extLst>
            <a:ext uri="{FF2B5EF4-FFF2-40B4-BE49-F238E27FC236}">
              <a16:creationId xmlns:a16="http://schemas.microsoft.com/office/drawing/2014/main" id="{00000000-0008-0000-0400-00003C000000}"/>
            </a:ext>
          </a:extLst>
        </xdr:cNvPr>
        <xdr:cNvSpPr/>
      </xdr:nvSpPr>
      <xdr:spPr>
        <a:xfrm>
          <a:off x="0" y="0"/>
          <a:ext cx="10012680" cy="9522000"/>
        </a:xfrm>
        <a:prstGeom prst="rect">
          <a:avLst/>
        </a:prstGeom>
        <a:solidFill>
          <a:srgbClr val="FFFFFF"/>
        </a:solidFill>
        <a:ln w="9360">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6</xdr:col>
      <xdr:colOff>1101960</xdr:colOff>
      <xdr:row>54</xdr:row>
      <xdr:rowOff>63720</xdr:rowOff>
    </xdr:to>
    <xdr:sp macro="" textlink="">
      <xdr:nvSpPr>
        <xdr:cNvPr id="61" name="CustomShape 1" hidden="1">
          <a:extLst>
            <a:ext uri="{FF2B5EF4-FFF2-40B4-BE49-F238E27FC236}">
              <a16:creationId xmlns:a16="http://schemas.microsoft.com/office/drawing/2014/main" id="{00000000-0008-0000-0400-00003D000000}"/>
            </a:ext>
          </a:extLst>
        </xdr:cNvPr>
        <xdr:cNvSpPr/>
      </xdr:nvSpPr>
      <xdr:spPr>
        <a:xfrm>
          <a:off x="0" y="0"/>
          <a:ext cx="10012680" cy="9522000"/>
        </a:xfrm>
        <a:prstGeom prst="rect">
          <a:avLst/>
        </a:prstGeom>
        <a:solidFill>
          <a:srgbClr val="FFFFFF"/>
        </a:solidFill>
        <a:ln w="9360">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6</xdr:col>
      <xdr:colOff>1101960</xdr:colOff>
      <xdr:row>54</xdr:row>
      <xdr:rowOff>63720</xdr:rowOff>
    </xdr:to>
    <xdr:sp macro="" textlink="">
      <xdr:nvSpPr>
        <xdr:cNvPr id="62" name="CustomShape 1" hidden="1">
          <a:extLst>
            <a:ext uri="{FF2B5EF4-FFF2-40B4-BE49-F238E27FC236}">
              <a16:creationId xmlns:a16="http://schemas.microsoft.com/office/drawing/2014/main" id="{00000000-0008-0000-0400-00003E000000}"/>
            </a:ext>
          </a:extLst>
        </xdr:cNvPr>
        <xdr:cNvSpPr/>
      </xdr:nvSpPr>
      <xdr:spPr>
        <a:xfrm>
          <a:off x="0" y="0"/>
          <a:ext cx="10012680" cy="9522000"/>
        </a:xfrm>
        <a:prstGeom prst="rect">
          <a:avLst/>
        </a:prstGeom>
        <a:solidFill>
          <a:srgbClr val="FFFFFF"/>
        </a:solidFill>
        <a:ln w="9360">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6</xdr:col>
      <xdr:colOff>1101960</xdr:colOff>
      <xdr:row>54</xdr:row>
      <xdr:rowOff>63720</xdr:rowOff>
    </xdr:to>
    <xdr:sp macro="" textlink="">
      <xdr:nvSpPr>
        <xdr:cNvPr id="63" name="CustomShape 1" hidden="1">
          <a:extLst>
            <a:ext uri="{FF2B5EF4-FFF2-40B4-BE49-F238E27FC236}">
              <a16:creationId xmlns:a16="http://schemas.microsoft.com/office/drawing/2014/main" id="{00000000-0008-0000-0400-00003F000000}"/>
            </a:ext>
          </a:extLst>
        </xdr:cNvPr>
        <xdr:cNvSpPr/>
      </xdr:nvSpPr>
      <xdr:spPr>
        <a:xfrm>
          <a:off x="0" y="0"/>
          <a:ext cx="10012680" cy="9522000"/>
        </a:xfrm>
        <a:prstGeom prst="rect">
          <a:avLst/>
        </a:prstGeom>
        <a:solidFill>
          <a:srgbClr val="FFFFFF"/>
        </a:solidFill>
        <a:ln w="9360">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6</xdr:col>
      <xdr:colOff>1101960</xdr:colOff>
      <xdr:row>54</xdr:row>
      <xdr:rowOff>63720</xdr:rowOff>
    </xdr:to>
    <xdr:sp macro="" textlink="">
      <xdr:nvSpPr>
        <xdr:cNvPr id="64" name="CustomShape 1" hidden="1">
          <a:extLst>
            <a:ext uri="{FF2B5EF4-FFF2-40B4-BE49-F238E27FC236}">
              <a16:creationId xmlns:a16="http://schemas.microsoft.com/office/drawing/2014/main" id="{00000000-0008-0000-0400-000040000000}"/>
            </a:ext>
          </a:extLst>
        </xdr:cNvPr>
        <xdr:cNvSpPr/>
      </xdr:nvSpPr>
      <xdr:spPr>
        <a:xfrm>
          <a:off x="0" y="0"/>
          <a:ext cx="10012680" cy="9522000"/>
        </a:xfrm>
        <a:prstGeom prst="rect">
          <a:avLst/>
        </a:prstGeom>
        <a:solidFill>
          <a:srgbClr val="FFFFFF"/>
        </a:solidFill>
        <a:ln w="9360">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6</xdr:col>
      <xdr:colOff>1101960</xdr:colOff>
      <xdr:row>54</xdr:row>
      <xdr:rowOff>63720</xdr:rowOff>
    </xdr:to>
    <xdr:sp macro="" textlink="">
      <xdr:nvSpPr>
        <xdr:cNvPr id="65" name="CustomShape 1" hidden="1">
          <a:extLst>
            <a:ext uri="{FF2B5EF4-FFF2-40B4-BE49-F238E27FC236}">
              <a16:creationId xmlns:a16="http://schemas.microsoft.com/office/drawing/2014/main" id="{00000000-0008-0000-0400-000041000000}"/>
            </a:ext>
          </a:extLst>
        </xdr:cNvPr>
        <xdr:cNvSpPr/>
      </xdr:nvSpPr>
      <xdr:spPr>
        <a:xfrm>
          <a:off x="0" y="0"/>
          <a:ext cx="10012680" cy="9522000"/>
        </a:xfrm>
        <a:prstGeom prst="rect">
          <a:avLst/>
        </a:prstGeom>
        <a:solidFill>
          <a:srgbClr val="FFFFFF"/>
        </a:solidFill>
        <a:ln w="9360">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6</xdr:col>
      <xdr:colOff>1101960</xdr:colOff>
      <xdr:row>54</xdr:row>
      <xdr:rowOff>63720</xdr:rowOff>
    </xdr:to>
    <xdr:sp macro="" textlink="">
      <xdr:nvSpPr>
        <xdr:cNvPr id="66" name="CustomShape 1" hidden="1">
          <a:extLst>
            <a:ext uri="{FF2B5EF4-FFF2-40B4-BE49-F238E27FC236}">
              <a16:creationId xmlns:a16="http://schemas.microsoft.com/office/drawing/2014/main" id="{00000000-0008-0000-0400-000042000000}"/>
            </a:ext>
          </a:extLst>
        </xdr:cNvPr>
        <xdr:cNvSpPr/>
      </xdr:nvSpPr>
      <xdr:spPr>
        <a:xfrm>
          <a:off x="0" y="0"/>
          <a:ext cx="10012680" cy="9522000"/>
        </a:xfrm>
        <a:prstGeom prst="rect">
          <a:avLst/>
        </a:prstGeom>
        <a:solidFill>
          <a:srgbClr val="FFFFFF"/>
        </a:solidFill>
        <a:ln w="9360">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6</xdr:col>
      <xdr:colOff>1104480</xdr:colOff>
      <xdr:row>54</xdr:row>
      <xdr:rowOff>66240</xdr:rowOff>
    </xdr:to>
    <xdr:sp macro="" textlink="">
      <xdr:nvSpPr>
        <xdr:cNvPr id="67" name="CustomShape 1" hidden="1">
          <a:extLst>
            <a:ext uri="{FF2B5EF4-FFF2-40B4-BE49-F238E27FC236}">
              <a16:creationId xmlns:a16="http://schemas.microsoft.com/office/drawing/2014/main" id="{00000000-0008-0000-0400-000043000000}"/>
            </a:ext>
          </a:extLst>
        </xdr:cNvPr>
        <xdr:cNvSpPr/>
      </xdr:nvSpPr>
      <xdr:spPr>
        <a:xfrm>
          <a:off x="0" y="0"/>
          <a:ext cx="1001520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6</xdr:col>
      <xdr:colOff>1104480</xdr:colOff>
      <xdr:row>54</xdr:row>
      <xdr:rowOff>66240</xdr:rowOff>
    </xdr:to>
    <xdr:sp macro="" textlink="">
      <xdr:nvSpPr>
        <xdr:cNvPr id="68" name="CustomShape 1" hidden="1">
          <a:extLst>
            <a:ext uri="{FF2B5EF4-FFF2-40B4-BE49-F238E27FC236}">
              <a16:creationId xmlns:a16="http://schemas.microsoft.com/office/drawing/2014/main" id="{00000000-0008-0000-0400-000044000000}"/>
            </a:ext>
          </a:extLst>
        </xdr:cNvPr>
        <xdr:cNvSpPr/>
      </xdr:nvSpPr>
      <xdr:spPr>
        <a:xfrm>
          <a:off x="0" y="0"/>
          <a:ext cx="1001520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6</xdr:col>
      <xdr:colOff>1104480</xdr:colOff>
      <xdr:row>54</xdr:row>
      <xdr:rowOff>66240</xdr:rowOff>
    </xdr:to>
    <xdr:sp macro="" textlink="">
      <xdr:nvSpPr>
        <xdr:cNvPr id="69" name="CustomShape 1" hidden="1">
          <a:extLst>
            <a:ext uri="{FF2B5EF4-FFF2-40B4-BE49-F238E27FC236}">
              <a16:creationId xmlns:a16="http://schemas.microsoft.com/office/drawing/2014/main" id="{00000000-0008-0000-0400-000045000000}"/>
            </a:ext>
          </a:extLst>
        </xdr:cNvPr>
        <xdr:cNvSpPr/>
      </xdr:nvSpPr>
      <xdr:spPr>
        <a:xfrm>
          <a:off x="0" y="0"/>
          <a:ext cx="1001520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6</xdr:col>
      <xdr:colOff>1104480</xdr:colOff>
      <xdr:row>54</xdr:row>
      <xdr:rowOff>66240</xdr:rowOff>
    </xdr:to>
    <xdr:sp macro="" textlink="">
      <xdr:nvSpPr>
        <xdr:cNvPr id="70" name="CustomShape 1" hidden="1">
          <a:extLst>
            <a:ext uri="{FF2B5EF4-FFF2-40B4-BE49-F238E27FC236}">
              <a16:creationId xmlns:a16="http://schemas.microsoft.com/office/drawing/2014/main" id="{00000000-0008-0000-0400-000046000000}"/>
            </a:ext>
          </a:extLst>
        </xdr:cNvPr>
        <xdr:cNvSpPr/>
      </xdr:nvSpPr>
      <xdr:spPr>
        <a:xfrm>
          <a:off x="0" y="0"/>
          <a:ext cx="1001520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6</xdr:col>
      <xdr:colOff>1104480</xdr:colOff>
      <xdr:row>54</xdr:row>
      <xdr:rowOff>66240</xdr:rowOff>
    </xdr:to>
    <xdr:sp macro="" textlink="">
      <xdr:nvSpPr>
        <xdr:cNvPr id="71" name="CustomShape 1" hidden="1">
          <a:extLst>
            <a:ext uri="{FF2B5EF4-FFF2-40B4-BE49-F238E27FC236}">
              <a16:creationId xmlns:a16="http://schemas.microsoft.com/office/drawing/2014/main" id="{00000000-0008-0000-0400-000047000000}"/>
            </a:ext>
          </a:extLst>
        </xdr:cNvPr>
        <xdr:cNvSpPr/>
      </xdr:nvSpPr>
      <xdr:spPr>
        <a:xfrm>
          <a:off x="0" y="0"/>
          <a:ext cx="1001520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6</xdr:col>
      <xdr:colOff>1104480</xdr:colOff>
      <xdr:row>54</xdr:row>
      <xdr:rowOff>66240</xdr:rowOff>
    </xdr:to>
    <xdr:sp macro="" textlink="">
      <xdr:nvSpPr>
        <xdr:cNvPr id="72" name="CustomShape 1" hidden="1">
          <a:extLst>
            <a:ext uri="{FF2B5EF4-FFF2-40B4-BE49-F238E27FC236}">
              <a16:creationId xmlns:a16="http://schemas.microsoft.com/office/drawing/2014/main" id="{00000000-0008-0000-0400-000048000000}"/>
            </a:ext>
          </a:extLst>
        </xdr:cNvPr>
        <xdr:cNvSpPr/>
      </xdr:nvSpPr>
      <xdr:spPr>
        <a:xfrm>
          <a:off x="0" y="0"/>
          <a:ext cx="1001520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6</xdr:col>
      <xdr:colOff>1104480</xdr:colOff>
      <xdr:row>54</xdr:row>
      <xdr:rowOff>66240</xdr:rowOff>
    </xdr:to>
    <xdr:sp macro="" textlink="">
      <xdr:nvSpPr>
        <xdr:cNvPr id="73" name="CustomShape 1" hidden="1">
          <a:extLst>
            <a:ext uri="{FF2B5EF4-FFF2-40B4-BE49-F238E27FC236}">
              <a16:creationId xmlns:a16="http://schemas.microsoft.com/office/drawing/2014/main" id="{00000000-0008-0000-0400-000049000000}"/>
            </a:ext>
          </a:extLst>
        </xdr:cNvPr>
        <xdr:cNvSpPr/>
      </xdr:nvSpPr>
      <xdr:spPr>
        <a:xfrm>
          <a:off x="0" y="0"/>
          <a:ext cx="1001520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6</xdr:col>
      <xdr:colOff>1104480</xdr:colOff>
      <xdr:row>54</xdr:row>
      <xdr:rowOff>66240</xdr:rowOff>
    </xdr:to>
    <xdr:sp macro="" textlink="">
      <xdr:nvSpPr>
        <xdr:cNvPr id="74" name="CustomShape 1" hidden="1">
          <a:extLst>
            <a:ext uri="{FF2B5EF4-FFF2-40B4-BE49-F238E27FC236}">
              <a16:creationId xmlns:a16="http://schemas.microsoft.com/office/drawing/2014/main" id="{00000000-0008-0000-0400-00004A000000}"/>
            </a:ext>
          </a:extLst>
        </xdr:cNvPr>
        <xdr:cNvSpPr/>
      </xdr:nvSpPr>
      <xdr:spPr>
        <a:xfrm>
          <a:off x="0" y="0"/>
          <a:ext cx="1001520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323640</xdr:colOff>
      <xdr:row>53</xdr:row>
      <xdr:rowOff>75960</xdr:rowOff>
    </xdr:to>
    <xdr:sp macro="" textlink="">
      <xdr:nvSpPr>
        <xdr:cNvPr id="75" name="CustomShape 1" hidden="1">
          <a:extLst>
            <a:ext uri="{FF2B5EF4-FFF2-40B4-BE49-F238E27FC236}">
              <a16:creationId xmlns:a16="http://schemas.microsoft.com/office/drawing/2014/main" id="{00000000-0008-0000-0600-00004B000000}"/>
            </a:ext>
          </a:extLst>
        </xdr:cNvPr>
        <xdr:cNvSpPr/>
      </xdr:nvSpPr>
      <xdr:spPr>
        <a:xfrm>
          <a:off x="0" y="0"/>
          <a:ext cx="1006056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7</xdr:col>
      <xdr:colOff>323640</xdr:colOff>
      <xdr:row>53</xdr:row>
      <xdr:rowOff>75960</xdr:rowOff>
    </xdr:to>
    <xdr:sp macro="" textlink="">
      <xdr:nvSpPr>
        <xdr:cNvPr id="76" name="CustomShape 1" hidden="1">
          <a:extLst>
            <a:ext uri="{FF2B5EF4-FFF2-40B4-BE49-F238E27FC236}">
              <a16:creationId xmlns:a16="http://schemas.microsoft.com/office/drawing/2014/main" id="{00000000-0008-0000-0600-00004C000000}"/>
            </a:ext>
          </a:extLst>
        </xdr:cNvPr>
        <xdr:cNvSpPr/>
      </xdr:nvSpPr>
      <xdr:spPr>
        <a:xfrm>
          <a:off x="0" y="0"/>
          <a:ext cx="1006056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7</xdr:col>
      <xdr:colOff>323640</xdr:colOff>
      <xdr:row>53</xdr:row>
      <xdr:rowOff>75960</xdr:rowOff>
    </xdr:to>
    <xdr:sp macro="" textlink="">
      <xdr:nvSpPr>
        <xdr:cNvPr id="77" name="CustomShape 1" hidden="1">
          <a:extLst>
            <a:ext uri="{FF2B5EF4-FFF2-40B4-BE49-F238E27FC236}">
              <a16:creationId xmlns:a16="http://schemas.microsoft.com/office/drawing/2014/main" id="{00000000-0008-0000-0600-00004D000000}"/>
            </a:ext>
          </a:extLst>
        </xdr:cNvPr>
        <xdr:cNvSpPr/>
      </xdr:nvSpPr>
      <xdr:spPr>
        <a:xfrm>
          <a:off x="0" y="0"/>
          <a:ext cx="1006056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7</xdr:col>
      <xdr:colOff>323640</xdr:colOff>
      <xdr:row>53</xdr:row>
      <xdr:rowOff>75960</xdr:rowOff>
    </xdr:to>
    <xdr:sp macro="" textlink="">
      <xdr:nvSpPr>
        <xdr:cNvPr id="78" name="CustomShape 1" hidden="1">
          <a:extLst>
            <a:ext uri="{FF2B5EF4-FFF2-40B4-BE49-F238E27FC236}">
              <a16:creationId xmlns:a16="http://schemas.microsoft.com/office/drawing/2014/main" id="{00000000-0008-0000-0600-00004E000000}"/>
            </a:ext>
          </a:extLst>
        </xdr:cNvPr>
        <xdr:cNvSpPr/>
      </xdr:nvSpPr>
      <xdr:spPr>
        <a:xfrm>
          <a:off x="0" y="0"/>
          <a:ext cx="1006056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7</xdr:col>
      <xdr:colOff>323640</xdr:colOff>
      <xdr:row>53</xdr:row>
      <xdr:rowOff>75960</xdr:rowOff>
    </xdr:to>
    <xdr:sp macro="" textlink="">
      <xdr:nvSpPr>
        <xdr:cNvPr id="79" name="CustomShape 1" hidden="1">
          <a:extLst>
            <a:ext uri="{FF2B5EF4-FFF2-40B4-BE49-F238E27FC236}">
              <a16:creationId xmlns:a16="http://schemas.microsoft.com/office/drawing/2014/main" id="{00000000-0008-0000-0600-00004F000000}"/>
            </a:ext>
          </a:extLst>
        </xdr:cNvPr>
        <xdr:cNvSpPr/>
      </xdr:nvSpPr>
      <xdr:spPr>
        <a:xfrm>
          <a:off x="0" y="0"/>
          <a:ext cx="1006056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7</xdr:col>
      <xdr:colOff>323640</xdr:colOff>
      <xdr:row>53</xdr:row>
      <xdr:rowOff>75960</xdr:rowOff>
    </xdr:to>
    <xdr:sp macro="" textlink="">
      <xdr:nvSpPr>
        <xdr:cNvPr id="80" name="CustomShape 1" hidden="1">
          <a:extLst>
            <a:ext uri="{FF2B5EF4-FFF2-40B4-BE49-F238E27FC236}">
              <a16:creationId xmlns:a16="http://schemas.microsoft.com/office/drawing/2014/main" id="{00000000-0008-0000-0600-000050000000}"/>
            </a:ext>
          </a:extLst>
        </xdr:cNvPr>
        <xdr:cNvSpPr/>
      </xdr:nvSpPr>
      <xdr:spPr>
        <a:xfrm>
          <a:off x="0" y="0"/>
          <a:ext cx="1006056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7</xdr:col>
      <xdr:colOff>323640</xdr:colOff>
      <xdr:row>53</xdr:row>
      <xdr:rowOff>75960</xdr:rowOff>
    </xdr:to>
    <xdr:sp macro="" textlink="">
      <xdr:nvSpPr>
        <xdr:cNvPr id="81" name="CustomShape 1" hidden="1">
          <a:extLst>
            <a:ext uri="{FF2B5EF4-FFF2-40B4-BE49-F238E27FC236}">
              <a16:creationId xmlns:a16="http://schemas.microsoft.com/office/drawing/2014/main" id="{00000000-0008-0000-0600-000051000000}"/>
            </a:ext>
          </a:extLst>
        </xdr:cNvPr>
        <xdr:cNvSpPr/>
      </xdr:nvSpPr>
      <xdr:spPr>
        <a:xfrm>
          <a:off x="0" y="0"/>
          <a:ext cx="1006056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47160</xdr:colOff>
      <xdr:row>54</xdr:row>
      <xdr:rowOff>18720</xdr:rowOff>
    </xdr:to>
    <xdr:sp macro="" textlink="">
      <xdr:nvSpPr>
        <xdr:cNvPr id="82" name="CustomShape 1" hidden="1">
          <a:extLst>
            <a:ext uri="{FF2B5EF4-FFF2-40B4-BE49-F238E27FC236}">
              <a16:creationId xmlns:a16="http://schemas.microsoft.com/office/drawing/2014/main" id="{00000000-0008-0000-0B00-000052000000}"/>
            </a:ext>
          </a:extLst>
        </xdr:cNvPr>
        <xdr:cNvSpPr/>
      </xdr:nvSpPr>
      <xdr:spPr>
        <a:xfrm>
          <a:off x="0" y="0"/>
          <a:ext cx="1007424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285480</xdr:colOff>
      <xdr:row>55</xdr:row>
      <xdr:rowOff>85320</xdr:rowOff>
    </xdr:to>
    <xdr:sp macro="" textlink="">
      <xdr:nvSpPr>
        <xdr:cNvPr id="83" name="CustomShape 1" hidden="1">
          <a:extLst>
            <a:ext uri="{FF2B5EF4-FFF2-40B4-BE49-F238E27FC236}">
              <a16:creationId xmlns:a16="http://schemas.microsoft.com/office/drawing/2014/main" id="{00000000-0008-0000-0E00-000053000000}"/>
            </a:ext>
          </a:extLst>
        </xdr:cNvPr>
        <xdr:cNvSpPr/>
      </xdr:nvSpPr>
      <xdr:spPr>
        <a:xfrm>
          <a:off x="0" y="0"/>
          <a:ext cx="1006056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11</xdr:col>
      <xdr:colOff>285480</xdr:colOff>
      <xdr:row>55</xdr:row>
      <xdr:rowOff>85320</xdr:rowOff>
    </xdr:to>
    <xdr:sp macro="" textlink="">
      <xdr:nvSpPr>
        <xdr:cNvPr id="84" name="CustomShape 1" hidden="1">
          <a:extLst>
            <a:ext uri="{FF2B5EF4-FFF2-40B4-BE49-F238E27FC236}">
              <a16:creationId xmlns:a16="http://schemas.microsoft.com/office/drawing/2014/main" id="{00000000-0008-0000-0E00-000054000000}"/>
            </a:ext>
          </a:extLst>
        </xdr:cNvPr>
        <xdr:cNvSpPr/>
      </xdr:nvSpPr>
      <xdr:spPr>
        <a:xfrm>
          <a:off x="0" y="0"/>
          <a:ext cx="10060560" cy="952452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openxmlformats.org/officeDocument/2006/relationships/hyperlink" Target="https://link.springer.com/article/10.1007%2Fs10800-006-9194-z" TargetMode="External"/><Relationship Id="rId13" Type="http://schemas.openxmlformats.org/officeDocument/2006/relationships/hyperlink" Target="https://www.pnas.org/content/117/23/12572" TargetMode="External"/><Relationship Id="rId18" Type="http://schemas.openxmlformats.org/officeDocument/2006/relationships/hyperlink" Target="https://www.nature.com/articles/s41467-019-12744-y" TargetMode="External"/><Relationship Id="rId3" Type="http://schemas.openxmlformats.org/officeDocument/2006/relationships/hyperlink" Target="https://www.nature.com/articles/s41929-017-0005-1" TargetMode="External"/><Relationship Id="rId21" Type="http://schemas.openxmlformats.org/officeDocument/2006/relationships/comments" Target="../comments3.xml"/><Relationship Id="rId7" Type="http://schemas.openxmlformats.org/officeDocument/2006/relationships/hyperlink" Target="https://www.sciencedirect.com/science/article/abs/pii/S0306261916306882?via%3Dihub" TargetMode="External"/><Relationship Id="rId12" Type="http://schemas.openxmlformats.org/officeDocument/2006/relationships/hyperlink" Target="https://www.nature.com/articles/s41467-019-13833-8" TargetMode="External"/><Relationship Id="rId17" Type="http://schemas.openxmlformats.org/officeDocument/2006/relationships/hyperlink" Target="https://pubs.rsc.org/en/content/articlelanding/2012/ee/c2ee21234j" TargetMode="External"/><Relationship Id="rId2" Type="http://schemas.openxmlformats.org/officeDocument/2006/relationships/hyperlink" Target="https://iopscience.iop.org/article/10.1149/2.011209jes/pdf" TargetMode="External"/><Relationship Id="rId16" Type="http://schemas.openxmlformats.org/officeDocument/2006/relationships/hyperlink" Target="https://pubs.rsc.org/en/content/articlelanding/2018/ta/c7ta10802h" TargetMode="External"/><Relationship Id="rId20" Type="http://schemas.openxmlformats.org/officeDocument/2006/relationships/vmlDrawing" Target="../drawings/vmlDrawing3.vml"/><Relationship Id="rId1" Type="http://schemas.openxmlformats.org/officeDocument/2006/relationships/hyperlink" Target="https://science.sciencemag.org/content/364/6438/eaav3506" TargetMode="External"/><Relationship Id="rId6" Type="http://schemas.openxmlformats.org/officeDocument/2006/relationships/hyperlink" Target="https://iopscience.iop.org/article/10.1149/1.3456590" TargetMode="External"/><Relationship Id="rId11" Type="http://schemas.openxmlformats.org/officeDocument/2006/relationships/hyperlink" Target="https://pubs.acs.org/doi/10.1021/acscatal.6b02162" TargetMode="External"/><Relationship Id="rId5" Type="http://schemas.openxmlformats.org/officeDocument/2006/relationships/hyperlink" Target="https://pubs.rsc.org/en/content/articlelanding/2016/ta/c6ta00427j" TargetMode="External"/><Relationship Id="rId15" Type="http://schemas.openxmlformats.org/officeDocument/2006/relationships/hyperlink" Target="https://www.sciencedirect.com/science/article/pii/S0021951719306074" TargetMode="External"/><Relationship Id="rId10" Type="http://schemas.openxmlformats.org/officeDocument/2006/relationships/hyperlink" Target="https://pubs.acs.org/doi/10.1021/jacs.5b02975" TargetMode="External"/><Relationship Id="rId19" Type="http://schemas.openxmlformats.org/officeDocument/2006/relationships/drawing" Target="../drawings/drawing3.xml"/><Relationship Id="rId4" Type="http://schemas.openxmlformats.org/officeDocument/2006/relationships/hyperlink" Target="https://pubs-rsc-org.myaccess.library.utoronto.ca/en/content/articlelanding/2017/GC/C7GC00398F" TargetMode="External"/><Relationship Id="rId9" Type="http://schemas.openxmlformats.org/officeDocument/2006/relationships/hyperlink" Target="https://pubs.acs.org/doi/10.1021/acsenergylett.0c02165?goto=supporting-info&amp;ref=pdf" TargetMode="External"/><Relationship Id="rId14" Type="http://schemas.openxmlformats.org/officeDocument/2006/relationships/hyperlink" Target="https://pubs.rsc.org/en/content/articlelanding/2020/ta/c9ta13298h"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8"/>
  <sheetViews>
    <sheetView zoomScale="90" zoomScaleNormal="90" workbookViewId="0">
      <selection activeCell="A7" sqref="A7"/>
    </sheetView>
  </sheetViews>
  <sheetFormatPr defaultRowHeight="12.75"/>
  <cols>
    <col min="1" max="1" width="14.28515625" customWidth="1"/>
    <col min="2" max="2" width="11.5703125"/>
    <col min="3" max="7" width="11.5703125" style="14"/>
    <col min="8" max="8" width="16.85546875" style="14" customWidth="1"/>
    <col min="9" max="9" width="19.7109375" style="14" customWidth="1"/>
    <col min="10" max="10" width="25" style="14" customWidth="1"/>
    <col min="11" max="1025" width="8.7109375" customWidth="1"/>
  </cols>
  <sheetData>
    <row r="1" spans="1:10">
      <c r="A1" s="15" t="s">
        <v>0</v>
      </c>
      <c r="B1" s="15" t="s">
        <v>1</v>
      </c>
      <c r="C1" s="16" t="s">
        <v>2</v>
      </c>
      <c r="D1" s="16" t="s">
        <v>3</v>
      </c>
      <c r="E1" s="16" t="s">
        <v>4</v>
      </c>
      <c r="F1" s="16" t="s">
        <v>5</v>
      </c>
      <c r="G1" s="16" t="s">
        <v>6</v>
      </c>
      <c r="H1" s="16" t="s">
        <v>7</v>
      </c>
      <c r="I1" s="16" t="s">
        <v>8</v>
      </c>
      <c r="J1" s="16" t="s">
        <v>9</v>
      </c>
    </row>
    <row r="2" spans="1:10" ht="14.25">
      <c r="A2" t="s">
        <v>10</v>
      </c>
      <c r="B2" t="s">
        <v>11</v>
      </c>
      <c r="C2" s="14" t="s">
        <v>12</v>
      </c>
      <c r="D2" s="14">
        <v>6</v>
      </c>
      <c r="E2" s="14">
        <v>12</v>
      </c>
      <c r="F2" s="14">
        <v>6</v>
      </c>
      <c r="G2" s="14">
        <v>0</v>
      </c>
      <c r="H2" s="14">
        <f>D2*12.0107+E2*1.00784+F2*15.999</f>
        <v>180.15228000000002</v>
      </c>
      <c r="I2" s="17">
        <f>(D2*4+E2*1+F2*-2)/D2</f>
        <v>4</v>
      </c>
      <c r="J2" s="18" t="s">
        <v>13</v>
      </c>
    </row>
    <row r="3" spans="1:10" ht="14.25">
      <c r="A3" t="s">
        <v>14</v>
      </c>
      <c r="B3" t="s">
        <v>11</v>
      </c>
      <c r="C3" s="14" t="s">
        <v>15</v>
      </c>
      <c r="D3" s="14">
        <v>3</v>
      </c>
      <c r="E3" s="14">
        <v>8</v>
      </c>
      <c r="F3" s="14">
        <v>3</v>
      </c>
      <c r="G3" s="14">
        <v>0</v>
      </c>
      <c r="H3" s="14">
        <f>D3*12.0107+E3*1.00784+F3*15.999</f>
        <v>92.091819999999998</v>
      </c>
      <c r="I3" s="19">
        <f>(D3*4+E3*1+F3*-2)/D3</f>
        <v>4.666666666666667</v>
      </c>
      <c r="J3" s="14" t="s">
        <v>16</v>
      </c>
    </row>
    <row r="4" spans="1:10" ht="14.25">
      <c r="A4" t="s">
        <v>17</v>
      </c>
      <c r="B4" t="s">
        <v>11</v>
      </c>
      <c r="C4" s="14" t="s">
        <v>18</v>
      </c>
      <c r="D4" s="14">
        <v>5</v>
      </c>
      <c r="E4" s="14">
        <v>10</v>
      </c>
      <c r="F4" s="14">
        <v>5</v>
      </c>
      <c r="G4" s="14">
        <v>0</v>
      </c>
      <c r="H4" s="14">
        <f>D4*12.0107+E4*1.00784+F4*15.999</f>
        <v>150.12690000000001</v>
      </c>
      <c r="I4" s="17">
        <f>(D4*4+E4*1+F4*-2)/D4</f>
        <v>4</v>
      </c>
      <c r="J4" s="18" t="s">
        <v>13</v>
      </c>
    </row>
    <row r="5" spans="1:10" ht="14.25">
      <c r="A5" t="s">
        <v>19</v>
      </c>
      <c r="B5" t="s">
        <v>20</v>
      </c>
      <c r="C5" s="14" t="s">
        <v>21</v>
      </c>
      <c r="D5" s="14">
        <v>1</v>
      </c>
      <c r="E5" s="14">
        <v>1</v>
      </c>
      <c r="F5" s="14">
        <v>2</v>
      </c>
      <c r="G5" s="14">
        <v>-1</v>
      </c>
      <c r="H5" s="14">
        <f>D5*12.0107+E5*1.00784+F5*15.999</f>
        <v>45.016539999999999</v>
      </c>
      <c r="I5" s="17">
        <f>(D5*4+E5*1+F5*-2)/D5</f>
        <v>1</v>
      </c>
      <c r="J5" s="14" t="s">
        <v>22</v>
      </c>
    </row>
    <row r="6" spans="1:10" ht="14.25">
      <c r="A6" t="s">
        <v>23</v>
      </c>
      <c r="B6" t="s">
        <v>20</v>
      </c>
      <c r="C6" s="14" t="s">
        <v>24</v>
      </c>
      <c r="D6" s="14">
        <v>1</v>
      </c>
      <c r="E6" s="14">
        <v>2</v>
      </c>
      <c r="F6" s="14">
        <v>2</v>
      </c>
      <c r="G6" s="14">
        <v>-1</v>
      </c>
      <c r="H6" s="14">
        <f>D6*12.0107+E6*1.00784+F6*15.999</f>
        <v>46.024380000000001</v>
      </c>
      <c r="I6" s="17">
        <f>(D6*4+E6*1+F6*-2)/D6</f>
        <v>2</v>
      </c>
    </row>
    <row r="7" spans="1:10" ht="14.25">
      <c r="A7" t="s">
        <v>25</v>
      </c>
      <c r="B7" t="s">
        <v>20</v>
      </c>
      <c r="C7" s="14" t="s">
        <v>26</v>
      </c>
      <c r="D7" s="14">
        <v>1</v>
      </c>
      <c r="E7" s="14">
        <v>4</v>
      </c>
      <c r="F7" s="14">
        <v>1</v>
      </c>
      <c r="G7" s="14">
        <v>0</v>
      </c>
      <c r="H7" s="14">
        <f>D7*12.0107+E7*1.00784+F7*15.999</f>
        <v>32.041060000000002</v>
      </c>
      <c r="I7" s="17">
        <f>(D7*4+E7*1+F7*-2)/D7</f>
        <v>6</v>
      </c>
      <c r="J7" s="14" t="s">
        <v>27</v>
      </c>
    </row>
    <row r="8" spans="1:10" ht="14.25">
      <c r="A8" t="s">
        <v>28</v>
      </c>
      <c r="B8" t="s">
        <v>29</v>
      </c>
      <c r="C8" s="14" t="s">
        <v>30</v>
      </c>
      <c r="D8" s="14">
        <v>2</v>
      </c>
      <c r="E8" s="14">
        <v>4</v>
      </c>
      <c r="F8" s="14">
        <v>1</v>
      </c>
      <c r="G8" s="14">
        <v>0</v>
      </c>
      <c r="H8" s="14">
        <f>D8*12.0107+E8*1.00784+F8*15.999</f>
        <v>44.051760000000002</v>
      </c>
      <c r="I8" s="17">
        <f>(D8*4+E8*1+F8*-2)/D8</f>
        <v>5</v>
      </c>
      <c r="J8" s="14" t="s">
        <v>27</v>
      </c>
    </row>
    <row r="9" spans="1:10" ht="14.25">
      <c r="A9" t="s">
        <v>31</v>
      </c>
      <c r="B9" t="s">
        <v>29</v>
      </c>
      <c r="C9" s="14" t="s">
        <v>32</v>
      </c>
      <c r="D9" s="14">
        <v>2</v>
      </c>
      <c r="E9" s="14">
        <v>3</v>
      </c>
      <c r="F9" s="14">
        <v>2</v>
      </c>
      <c r="G9" s="14">
        <v>-1</v>
      </c>
      <c r="H9" s="14">
        <f>D9*12.0107+E9*1.00784+F9*15.999</f>
        <v>59.042920000000002</v>
      </c>
      <c r="I9" s="17">
        <f>(D9*4+E9*1+F9*-2)/D9</f>
        <v>3.5</v>
      </c>
      <c r="J9" s="14" t="s">
        <v>22</v>
      </c>
    </row>
    <row r="10" spans="1:10" ht="14.25">
      <c r="A10" t="s">
        <v>33</v>
      </c>
      <c r="B10" t="s">
        <v>29</v>
      </c>
      <c r="C10" s="14" t="s">
        <v>34</v>
      </c>
      <c r="D10" s="14">
        <v>2</v>
      </c>
      <c r="E10" s="14">
        <v>4</v>
      </c>
      <c r="F10" s="14">
        <v>2</v>
      </c>
      <c r="G10" s="14">
        <v>-1</v>
      </c>
      <c r="H10" s="14">
        <f>D10*12.0107+E10*1.00784+F10*15.999</f>
        <v>60.050759999999997</v>
      </c>
      <c r="I10" s="17">
        <f>(D10*4+E10*1+F10*-2)/D10</f>
        <v>4</v>
      </c>
    </row>
    <row r="11" spans="1:10" ht="14.25">
      <c r="A11" t="s">
        <v>35</v>
      </c>
      <c r="B11" t="s">
        <v>29</v>
      </c>
      <c r="C11" s="14" t="s">
        <v>36</v>
      </c>
      <c r="D11" s="14">
        <v>2</v>
      </c>
      <c r="E11" s="14">
        <v>6</v>
      </c>
      <c r="F11" s="14">
        <v>1</v>
      </c>
      <c r="G11" s="14">
        <v>0</v>
      </c>
      <c r="H11" s="14">
        <f>D11*12.0107+E11*1.00784+F11*15.999</f>
        <v>46.067440000000005</v>
      </c>
      <c r="I11" s="17">
        <f>(D11*4+E11*1+F11*-2)/D11</f>
        <v>6</v>
      </c>
      <c r="J11" s="14" t="s">
        <v>27</v>
      </c>
    </row>
    <row r="12" spans="1:10" ht="14.25">
      <c r="A12" t="s">
        <v>37</v>
      </c>
      <c r="B12" t="s">
        <v>29</v>
      </c>
      <c r="C12" s="14" t="s">
        <v>38</v>
      </c>
      <c r="D12" s="14">
        <v>2</v>
      </c>
      <c r="E12" s="14">
        <v>6</v>
      </c>
      <c r="F12" s="14">
        <v>2</v>
      </c>
      <c r="G12" s="14">
        <v>0</v>
      </c>
      <c r="H12" s="14">
        <f>D12*12.0107+E12*1.00784+F12*15.999</f>
        <v>62.06644</v>
      </c>
      <c r="I12" s="17">
        <f>(D12*4+E12*1+F12*-2)/D12</f>
        <v>5</v>
      </c>
      <c r="J12" s="14" t="s">
        <v>39</v>
      </c>
    </row>
    <row r="13" spans="1:10" ht="14.25">
      <c r="A13" t="s">
        <v>40</v>
      </c>
      <c r="B13" t="s">
        <v>29</v>
      </c>
      <c r="C13" s="14" t="s">
        <v>34</v>
      </c>
      <c r="D13" s="14">
        <v>2</v>
      </c>
      <c r="E13" s="14">
        <v>4</v>
      </c>
      <c r="F13" s="14">
        <v>2</v>
      </c>
      <c r="G13" s="14">
        <v>0</v>
      </c>
      <c r="H13" s="14">
        <f>D13*12.0107+E13*1.00784+F13*15.999</f>
        <v>60.050759999999997</v>
      </c>
      <c r="I13" s="17">
        <f>(D13*4+E13*1+F13*-2)/D13</f>
        <v>4</v>
      </c>
      <c r="J13" s="14" t="s">
        <v>27</v>
      </c>
    </row>
    <row r="14" spans="1:10" ht="14.25">
      <c r="A14" s="20"/>
      <c r="B14" s="20"/>
      <c r="C14" s="21"/>
      <c r="D14" s="21"/>
      <c r="E14" s="21"/>
      <c r="F14" s="21"/>
      <c r="G14" s="21"/>
      <c r="H14" s="21"/>
      <c r="I14" s="22"/>
      <c r="J14" s="21"/>
    </row>
    <row r="15" spans="1:10" ht="14.25">
      <c r="A15" t="s">
        <v>41</v>
      </c>
      <c r="B15" t="s">
        <v>42</v>
      </c>
      <c r="C15" s="14" t="s">
        <v>43</v>
      </c>
      <c r="D15" s="14">
        <v>1</v>
      </c>
      <c r="E15" s="14">
        <v>0</v>
      </c>
      <c r="F15" s="14">
        <v>1</v>
      </c>
      <c r="G15" s="14">
        <v>0</v>
      </c>
      <c r="H15" s="14">
        <f>D15*12.0107+E15*1.00784+F15*15.999</f>
        <v>28.009700000000002</v>
      </c>
      <c r="I15" s="17">
        <f>(D15*4+E15*1+F15*-2)/D15</f>
        <v>2</v>
      </c>
      <c r="J15" s="14" t="s">
        <v>27</v>
      </c>
    </row>
    <row r="16" spans="1:10" ht="14.25">
      <c r="A16" t="s">
        <v>19</v>
      </c>
      <c r="B16" t="s">
        <v>42</v>
      </c>
      <c r="C16" s="14" t="s">
        <v>21</v>
      </c>
      <c r="D16" s="14">
        <v>1</v>
      </c>
      <c r="E16" s="14">
        <v>1</v>
      </c>
      <c r="F16" s="14">
        <v>2</v>
      </c>
      <c r="G16" s="14">
        <v>-1</v>
      </c>
      <c r="H16" s="14">
        <f>D16*12.0107+E16*1.00784+F16*15.999</f>
        <v>45.016539999999999</v>
      </c>
      <c r="I16" s="17">
        <f>(D16*4+E16*1+F16*-2)/D16</f>
        <v>1</v>
      </c>
      <c r="J16" s="14" t="s">
        <v>22</v>
      </c>
    </row>
    <row r="17" spans="1:10" ht="14.25">
      <c r="A17" t="s">
        <v>44</v>
      </c>
      <c r="B17" t="s">
        <v>45</v>
      </c>
      <c r="C17" s="14" t="s">
        <v>46</v>
      </c>
      <c r="D17" s="14">
        <v>0</v>
      </c>
      <c r="E17" s="14">
        <v>2</v>
      </c>
      <c r="F17" s="14">
        <v>0</v>
      </c>
      <c r="G17" s="14">
        <v>0</v>
      </c>
      <c r="H17" s="14">
        <f>D17*12.0107+E17*1.00784+F17*15.999</f>
        <v>2.0156800000000001</v>
      </c>
      <c r="I17" s="17"/>
      <c r="J17" s="14" t="s">
        <v>27</v>
      </c>
    </row>
    <row r="18" spans="1:10" ht="14.25">
      <c r="A18" t="s">
        <v>47</v>
      </c>
      <c r="C18" s="14" t="s">
        <v>43</v>
      </c>
      <c r="D18" s="14">
        <v>1</v>
      </c>
      <c r="E18" s="14">
        <v>0</v>
      </c>
      <c r="F18" s="14">
        <v>1</v>
      </c>
      <c r="G18" s="14">
        <v>0</v>
      </c>
      <c r="H18" s="14">
        <f>$H$15*1/1+$H$17*0/1</f>
        <v>28.009700000000002</v>
      </c>
      <c r="I18" s="17">
        <f>(D18*4+E18*1+F18*-2)/D18</f>
        <v>2</v>
      </c>
      <c r="J18" s="14" t="s">
        <v>39</v>
      </c>
    </row>
    <row r="19" spans="1:10" ht="14.25">
      <c r="A19" t="s">
        <v>48</v>
      </c>
      <c r="C19" s="14" t="s">
        <v>49</v>
      </c>
      <c r="D19" s="14">
        <v>1</v>
      </c>
      <c r="E19" s="14">
        <v>0</v>
      </c>
      <c r="F19" s="14">
        <v>1</v>
      </c>
      <c r="G19" s="14">
        <v>0</v>
      </c>
      <c r="H19" s="14">
        <f>$H$15*1/1.5+$H$17*0.5/1.5</f>
        <v>19.345026666666669</v>
      </c>
      <c r="I19" s="17">
        <f>(D19*4+E19*1+F19*-2)/D19</f>
        <v>2</v>
      </c>
      <c r="J19" s="14" t="s">
        <v>27</v>
      </c>
    </row>
    <row r="20" spans="1:10" ht="14.25">
      <c r="A20" t="s">
        <v>50</v>
      </c>
      <c r="C20" s="14" t="s">
        <v>51</v>
      </c>
      <c r="D20" s="14">
        <v>1</v>
      </c>
      <c r="E20" s="14">
        <v>0</v>
      </c>
      <c r="F20" s="14">
        <v>1</v>
      </c>
      <c r="G20" s="14">
        <v>0</v>
      </c>
      <c r="H20" s="14">
        <f>$H$15*1/2+$H$17*1/2</f>
        <v>15.012690000000001</v>
      </c>
      <c r="I20" s="17">
        <f>(D20*4+E20*1+F20*-2)/D20</f>
        <v>2</v>
      </c>
      <c r="J20" s="14" t="s">
        <v>27</v>
      </c>
    </row>
    <row r="21" spans="1:10" ht="14.25">
      <c r="A21" t="s">
        <v>52</v>
      </c>
      <c r="C21" s="14" t="s">
        <v>53</v>
      </c>
      <c r="D21" s="14">
        <v>1</v>
      </c>
      <c r="E21" s="14">
        <v>0</v>
      </c>
      <c r="F21" s="14">
        <v>1</v>
      </c>
      <c r="G21" s="14">
        <v>0</v>
      </c>
      <c r="H21" s="14">
        <f>$H$15*1/3+$H$17*3/2</f>
        <v>12.360086666666668</v>
      </c>
      <c r="I21" s="17">
        <f>(D21*4+E21*1+F21*-2)/D21</f>
        <v>2</v>
      </c>
      <c r="J21" s="14" t="s">
        <v>27</v>
      </c>
    </row>
    <row r="22" spans="1:10" ht="14.25">
      <c r="A22" t="s">
        <v>54</v>
      </c>
      <c r="C22" s="14" t="s">
        <v>21</v>
      </c>
      <c r="D22" s="14">
        <v>1</v>
      </c>
      <c r="E22" s="14">
        <v>1</v>
      </c>
      <c r="F22" s="14">
        <v>2</v>
      </c>
      <c r="G22" s="14">
        <v>-1</v>
      </c>
      <c r="H22" s="14">
        <f>D22*12.0107+E22*1.00784+F22*15.999</f>
        <v>45.016539999999999</v>
      </c>
      <c r="I22" s="17">
        <f>(D22*4+E22*1+F22*-2)/D22</f>
        <v>1</v>
      </c>
      <c r="J22" s="14" t="s">
        <v>55</v>
      </c>
    </row>
    <row r="23" spans="1:10" ht="14.25">
      <c r="A23" t="s">
        <v>56</v>
      </c>
      <c r="C23" s="23" t="s">
        <v>57</v>
      </c>
      <c r="D23" s="14">
        <v>1</v>
      </c>
      <c r="E23" s="14">
        <v>1</v>
      </c>
      <c r="F23" s="14">
        <v>2</v>
      </c>
      <c r="G23" s="14">
        <v>-1</v>
      </c>
      <c r="H23" s="14">
        <f>$H$22*1/1.5+$H$17*0.5/1.5</f>
        <v>30.682919999999999</v>
      </c>
      <c r="I23" s="17">
        <f>(D23*4+E23*1+F23*-2)/D23</f>
        <v>1</v>
      </c>
      <c r="J23" s="14" t="s">
        <v>55</v>
      </c>
    </row>
    <row r="24" spans="1:10" ht="14.25">
      <c r="A24" t="s">
        <v>58</v>
      </c>
      <c r="C24" s="23" t="s">
        <v>59</v>
      </c>
      <c r="D24" s="14">
        <v>1</v>
      </c>
      <c r="E24" s="14">
        <v>1</v>
      </c>
      <c r="F24" s="14">
        <v>2</v>
      </c>
      <c r="G24" s="14">
        <v>-1</v>
      </c>
      <c r="H24" s="14">
        <f>$H$22*1/2+$H$17*1/2</f>
        <v>23.516110000000001</v>
      </c>
      <c r="I24" s="17">
        <f>(D24*4+E24*1+F24*-2)/D24</f>
        <v>1</v>
      </c>
      <c r="J24" s="14" t="s">
        <v>55</v>
      </c>
    </row>
    <row r="25" spans="1:10" ht="14.25">
      <c r="A25" t="s">
        <v>60</v>
      </c>
      <c r="C25" s="23" t="s">
        <v>61</v>
      </c>
      <c r="D25" s="14">
        <v>1</v>
      </c>
      <c r="E25" s="14">
        <v>1</v>
      </c>
      <c r="F25" s="14">
        <v>2</v>
      </c>
      <c r="G25" s="14">
        <v>-1</v>
      </c>
      <c r="H25" s="14">
        <f>$H$22*1/3+$H$17*3/2</f>
        <v>18.029033333333334</v>
      </c>
      <c r="I25" s="17">
        <f>(D25*4+E25*1+F25*-2)/D25</f>
        <v>1</v>
      </c>
      <c r="J25" s="14" t="s">
        <v>55</v>
      </c>
    </row>
    <row r="26" spans="1:10" ht="14.25">
      <c r="A26" t="s">
        <v>62</v>
      </c>
      <c r="C26" s="14" t="s">
        <v>62</v>
      </c>
      <c r="D26" s="14">
        <v>1</v>
      </c>
      <c r="E26" s="14">
        <v>0</v>
      </c>
      <c r="F26" s="14">
        <v>2</v>
      </c>
      <c r="I26" s="17">
        <f>(D26*4+E26*1+F26*-2)/D26</f>
        <v>0</v>
      </c>
    </row>
    <row r="27" spans="1:10">
      <c r="A27" s="24"/>
      <c r="B27" s="24"/>
      <c r="C27" s="25"/>
      <c r="D27" s="25"/>
      <c r="E27" s="25"/>
      <c r="F27" s="25"/>
      <c r="G27" s="25"/>
      <c r="H27" s="25"/>
      <c r="I27" s="25"/>
      <c r="J27" s="25"/>
    </row>
    <row r="28" spans="1:10">
      <c r="A28" s="26" t="s">
        <v>63</v>
      </c>
      <c r="C28" s="23" t="s">
        <v>64</v>
      </c>
      <c r="D28" s="23">
        <v>2</v>
      </c>
      <c r="E28" s="23">
        <v>3</v>
      </c>
      <c r="F28" s="23">
        <v>1</v>
      </c>
      <c r="G28" s="23">
        <v>0</v>
      </c>
      <c r="H28" s="14">
        <f>D28*12.0107+E28*1.00784+F28*15.999</f>
        <v>43.04392</v>
      </c>
    </row>
  </sheetData>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
  <sheetViews>
    <sheetView zoomScale="90" zoomScaleNormal="90" workbookViewId="0">
      <selection activeCell="K8" sqref="K8"/>
    </sheetView>
  </sheetViews>
  <sheetFormatPr defaultRowHeight="12.75"/>
  <cols>
    <col min="1" max="1" width="15" style="27" customWidth="1"/>
    <col min="2" max="2" width="29.42578125" customWidth="1"/>
    <col min="3" max="3" width="17.7109375" style="14" customWidth="1"/>
    <col min="4" max="4" width="25.7109375" style="14" customWidth="1"/>
    <col min="5" max="5" width="31.7109375" style="14" customWidth="1"/>
    <col min="6" max="6" width="16.140625" style="14" customWidth="1"/>
    <col min="7" max="1025" width="8.7109375" customWidth="1"/>
  </cols>
  <sheetData>
    <row r="1" spans="1:7">
      <c r="A1" s="28" t="s">
        <v>0</v>
      </c>
      <c r="B1" s="16" t="s">
        <v>65</v>
      </c>
      <c r="C1" s="16" t="s">
        <v>66</v>
      </c>
      <c r="D1" s="16" t="s">
        <v>67</v>
      </c>
      <c r="E1" s="16" t="s">
        <v>68</v>
      </c>
      <c r="F1" s="29" t="s">
        <v>69</v>
      </c>
      <c r="G1" s="29" t="s">
        <v>70</v>
      </c>
    </row>
    <row r="2" spans="1:7">
      <c r="A2" s="27" t="s">
        <v>10</v>
      </c>
      <c r="B2" s="14" t="s">
        <v>71</v>
      </c>
      <c r="C2" s="14" t="s">
        <v>72</v>
      </c>
      <c r="D2" s="14">
        <v>1</v>
      </c>
      <c r="E2" s="14">
        <f>D2+9</f>
        <v>10</v>
      </c>
      <c r="G2" s="14"/>
    </row>
    <row r="3" spans="1:7">
      <c r="A3" s="27" t="s">
        <v>14</v>
      </c>
      <c r="B3" s="14" t="s">
        <v>71</v>
      </c>
      <c r="C3" s="14" t="s">
        <v>73</v>
      </c>
      <c r="D3" s="14" t="s">
        <v>74</v>
      </c>
      <c r="E3" s="14" t="s">
        <v>75</v>
      </c>
      <c r="G3" s="14"/>
    </row>
    <row r="4" spans="1:7">
      <c r="A4" s="27" t="s">
        <v>17</v>
      </c>
      <c r="B4" s="14" t="s">
        <v>76</v>
      </c>
      <c r="C4" s="18" t="s">
        <v>77</v>
      </c>
      <c r="D4" s="18"/>
      <c r="E4" s="18"/>
      <c r="G4" s="14"/>
    </row>
    <row r="5" spans="1:7">
      <c r="A5" s="13" t="s">
        <v>19</v>
      </c>
      <c r="B5" s="14" t="s">
        <v>78</v>
      </c>
      <c r="C5" s="14" t="s">
        <v>73</v>
      </c>
      <c r="D5" s="14">
        <v>6</v>
      </c>
      <c r="E5" s="14">
        <f>D5+6</f>
        <v>12</v>
      </c>
      <c r="G5" s="14"/>
    </row>
    <row r="6" spans="1:7">
      <c r="A6" s="13"/>
      <c r="B6" s="14" t="s">
        <v>79</v>
      </c>
      <c r="C6" s="14" t="s">
        <v>80</v>
      </c>
      <c r="D6" s="18">
        <v>6</v>
      </c>
      <c r="E6" s="18">
        <f>D6+1</f>
        <v>7</v>
      </c>
      <c r="G6" s="14"/>
    </row>
    <row r="7" spans="1:7">
      <c r="A7" s="13"/>
      <c r="B7" s="14" t="s">
        <v>81</v>
      </c>
      <c r="C7" s="14" t="s">
        <v>80</v>
      </c>
      <c r="D7" s="18">
        <v>12</v>
      </c>
      <c r="E7" s="14">
        <v>13</v>
      </c>
      <c r="G7" s="14"/>
    </row>
    <row r="8" spans="1:7">
      <c r="A8" s="13" t="s">
        <v>25</v>
      </c>
      <c r="B8" s="14" t="s">
        <v>78</v>
      </c>
      <c r="C8" s="14" t="s">
        <v>73</v>
      </c>
      <c r="D8" s="18">
        <v>8</v>
      </c>
      <c r="E8" s="14">
        <f>D8+1</f>
        <v>9</v>
      </c>
      <c r="G8" s="14"/>
    </row>
    <row r="9" spans="1:7">
      <c r="A9" s="13"/>
      <c r="B9" s="14" t="s">
        <v>79</v>
      </c>
      <c r="C9" s="14" t="s">
        <v>80</v>
      </c>
      <c r="D9" s="18">
        <v>14</v>
      </c>
      <c r="E9" s="18">
        <f>D9+1</f>
        <v>15</v>
      </c>
      <c r="G9" s="14"/>
    </row>
    <row r="10" spans="1:7">
      <c r="A10" s="13"/>
      <c r="B10" s="14" t="s">
        <v>82</v>
      </c>
      <c r="C10" s="14" t="s">
        <v>83</v>
      </c>
      <c r="D10" s="18"/>
      <c r="E10" s="18"/>
      <c r="G10" s="14"/>
    </row>
    <row r="11" spans="1:7">
      <c r="A11" s="27" t="s">
        <v>28</v>
      </c>
      <c r="B11" s="14" t="s">
        <v>71</v>
      </c>
      <c r="C11" s="14" t="s">
        <v>84</v>
      </c>
      <c r="D11" s="14">
        <v>1</v>
      </c>
      <c r="E11" s="14">
        <v>1</v>
      </c>
      <c r="G11" s="14"/>
    </row>
    <row r="12" spans="1:7">
      <c r="A12" s="27" t="s">
        <v>31</v>
      </c>
      <c r="B12" s="14" t="s">
        <v>71</v>
      </c>
      <c r="C12" s="14" t="s">
        <v>84</v>
      </c>
      <c r="D12" s="14" t="s">
        <v>85</v>
      </c>
      <c r="E12" s="14" t="s">
        <v>85</v>
      </c>
      <c r="G12" s="14"/>
    </row>
    <row r="13" spans="1:7">
      <c r="A13" s="27" t="s">
        <v>35</v>
      </c>
      <c r="B13" s="14" t="s">
        <v>86</v>
      </c>
      <c r="C13" s="14" t="s">
        <v>84</v>
      </c>
      <c r="D13" s="14">
        <v>2</v>
      </c>
      <c r="E13" s="14">
        <v>2</v>
      </c>
      <c r="G13" s="14"/>
    </row>
    <row r="14" spans="1:7">
      <c r="A14" s="13" t="s">
        <v>37</v>
      </c>
      <c r="B14" s="14" t="s">
        <v>87</v>
      </c>
      <c r="C14" s="14" t="s">
        <v>84</v>
      </c>
      <c r="D14" s="14">
        <v>3</v>
      </c>
      <c r="E14" s="14">
        <v>3</v>
      </c>
      <c r="G14" s="14"/>
    </row>
    <row r="15" spans="1:7">
      <c r="A15" s="13"/>
      <c r="B15" s="14" t="s">
        <v>88</v>
      </c>
      <c r="C15" s="14" t="s">
        <v>89</v>
      </c>
      <c r="D15" s="14">
        <v>6</v>
      </c>
      <c r="E15" s="14">
        <f>D15+3</f>
        <v>9</v>
      </c>
      <c r="G15" s="14"/>
    </row>
    <row r="16" spans="1:7">
      <c r="A16" s="13" t="s">
        <v>40</v>
      </c>
      <c r="B16" s="14" t="s">
        <v>87</v>
      </c>
      <c r="C16" s="14" t="s">
        <v>84</v>
      </c>
      <c r="D16" s="14">
        <v>2</v>
      </c>
      <c r="E16" s="14">
        <v>2</v>
      </c>
      <c r="G16" s="14"/>
    </row>
    <row r="17" spans="1:5">
      <c r="A17" s="13"/>
      <c r="B17" s="14" t="s">
        <v>88</v>
      </c>
      <c r="C17" s="14" t="s">
        <v>89</v>
      </c>
      <c r="D17" s="14">
        <v>5</v>
      </c>
      <c r="E17" s="14">
        <f>D17+3</f>
        <v>8</v>
      </c>
    </row>
  </sheetData>
  <mergeCells count="4">
    <mergeCell ref="A5:A7"/>
    <mergeCell ref="A8:A10"/>
    <mergeCell ref="A14:A15"/>
    <mergeCell ref="A16:A17"/>
  </mergeCell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9"/>
  <sheetViews>
    <sheetView topLeftCell="A13" zoomScale="90" zoomScaleNormal="90" workbookViewId="0">
      <selection activeCell="I38" sqref="I38"/>
    </sheetView>
  </sheetViews>
  <sheetFormatPr defaultRowHeight="12.75"/>
  <cols>
    <col min="1" max="1" width="19.28515625" customWidth="1"/>
    <col min="2" max="2" width="17.140625" customWidth="1"/>
    <col min="3" max="3" width="13.5703125" customWidth="1"/>
    <col min="4" max="4" width="2.85546875" customWidth="1"/>
    <col min="5" max="5" width="3.7109375" customWidth="1"/>
    <col min="6" max="6" width="3.42578125" customWidth="1"/>
    <col min="7" max="7" width="13.42578125" customWidth="1"/>
    <col min="8" max="8" width="13.42578125" style="14" customWidth="1"/>
    <col min="9" max="9" width="13.42578125" customWidth="1"/>
    <col min="10" max="10" width="48.7109375" customWidth="1"/>
    <col min="11" max="12" width="17.140625" customWidth="1"/>
    <col min="13" max="13" width="8.7109375" customWidth="1"/>
    <col min="14" max="14" width="14" customWidth="1"/>
    <col min="15" max="15" width="21.140625" customWidth="1"/>
    <col min="16" max="17" width="21.7109375" customWidth="1"/>
    <col min="18" max="18" width="20.140625" customWidth="1"/>
    <col min="19" max="1025" width="8.7109375" customWidth="1"/>
  </cols>
  <sheetData>
    <row r="1" spans="1:17" ht="15.75">
      <c r="A1" s="31" t="s">
        <v>90</v>
      </c>
    </row>
    <row r="2" spans="1:17" ht="15.75">
      <c r="A2" s="31"/>
    </row>
    <row r="3" spans="1:17" ht="15">
      <c r="A3" s="32" t="s">
        <v>91</v>
      </c>
      <c r="B3" s="33"/>
      <c r="C3" s="33"/>
      <c r="D3" s="33"/>
      <c r="E3" s="33"/>
      <c r="F3" s="33"/>
      <c r="G3" s="33"/>
      <c r="H3" s="17"/>
      <c r="I3" s="33"/>
      <c r="J3" s="33"/>
      <c r="K3" s="33"/>
      <c r="L3" s="33"/>
      <c r="M3" s="33"/>
      <c r="N3" s="33"/>
      <c r="O3" s="33"/>
      <c r="P3" s="33"/>
      <c r="Q3" s="33"/>
    </row>
    <row r="4" spans="1:17" ht="15">
      <c r="A4" s="12" t="s">
        <v>92</v>
      </c>
      <c r="B4" s="12"/>
      <c r="C4" s="12"/>
      <c r="D4" s="33"/>
      <c r="E4" s="33"/>
      <c r="F4" s="33"/>
      <c r="G4" s="33"/>
      <c r="H4" s="17"/>
      <c r="I4" s="33"/>
      <c r="J4" s="33"/>
      <c r="K4" s="33"/>
      <c r="L4" s="33"/>
      <c r="M4" s="33"/>
      <c r="N4" s="33"/>
      <c r="O4" s="33"/>
      <c r="P4" s="33"/>
      <c r="Q4" s="33"/>
    </row>
    <row r="5" spans="1:17" ht="14.25">
      <c r="A5" s="34" t="s">
        <v>62</v>
      </c>
      <c r="B5" s="35">
        <v>-394359</v>
      </c>
      <c r="C5" s="36" t="s">
        <v>93</v>
      </c>
      <c r="E5" s="33"/>
      <c r="F5" s="33"/>
      <c r="G5" s="33"/>
      <c r="H5" s="17"/>
      <c r="I5" s="33"/>
      <c r="J5" s="33"/>
      <c r="K5" s="33"/>
      <c r="L5" s="33"/>
      <c r="M5" s="33"/>
      <c r="N5" s="33"/>
      <c r="O5" s="33"/>
      <c r="P5" s="33"/>
      <c r="Q5" s="33"/>
    </row>
    <row r="6" spans="1:17" ht="14.25">
      <c r="A6" s="34" t="s">
        <v>94</v>
      </c>
      <c r="B6" s="35">
        <v>-237129</v>
      </c>
      <c r="C6" s="36" t="s">
        <v>93</v>
      </c>
      <c r="E6" s="33"/>
      <c r="F6" s="33"/>
      <c r="G6" s="33"/>
      <c r="H6" s="17"/>
      <c r="I6" s="33"/>
      <c r="J6" s="33"/>
      <c r="K6" s="33"/>
      <c r="L6" s="33"/>
      <c r="M6" s="33"/>
      <c r="N6" s="33"/>
      <c r="O6" s="33"/>
      <c r="P6" s="33"/>
      <c r="Q6" s="33"/>
    </row>
    <row r="7" spans="1:17" ht="14.25">
      <c r="A7" s="34" t="s">
        <v>95</v>
      </c>
      <c r="B7" s="35">
        <v>0</v>
      </c>
      <c r="C7" s="36" t="s">
        <v>93</v>
      </c>
      <c r="E7" s="33"/>
      <c r="F7" s="33"/>
      <c r="G7" s="33"/>
      <c r="H7" s="17"/>
      <c r="I7" s="33"/>
      <c r="J7" s="33"/>
      <c r="K7" s="33"/>
      <c r="L7" s="33"/>
      <c r="M7" s="33"/>
      <c r="N7" s="33"/>
      <c r="O7" s="33"/>
      <c r="P7" s="33"/>
      <c r="Q7" s="33"/>
    </row>
    <row r="8" spans="1:17" ht="14.25">
      <c r="A8" s="34" t="s">
        <v>96</v>
      </c>
      <c r="B8" s="35">
        <v>0</v>
      </c>
      <c r="C8" s="36" t="s">
        <v>93</v>
      </c>
      <c r="E8" s="33"/>
      <c r="F8" s="33"/>
      <c r="G8" s="33"/>
      <c r="H8" s="17"/>
      <c r="I8" s="33"/>
      <c r="J8" s="33"/>
      <c r="K8" s="33"/>
      <c r="L8" s="33"/>
      <c r="M8" s="33"/>
      <c r="N8" s="33"/>
      <c r="O8" s="33"/>
      <c r="P8" s="33"/>
      <c r="Q8" s="33"/>
    </row>
    <row r="9" spans="1:17" ht="14.25">
      <c r="A9" s="34" t="s">
        <v>46</v>
      </c>
      <c r="B9" s="35">
        <v>0</v>
      </c>
      <c r="C9" s="36"/>
      <c r="E9" s="33"/>
      <c r="F9" s="33"/>
      <c r="G9" s="33"/>
      <c r="H9" s="17"/>
      <c r="I9" s="33"/>
      <c r="J9" s="33"/>
      <c r="K9" s="33"/>
      <c r="L9" s="33"/>
      <c r="M9" s="33"/>
      <c r="N9" s="33"/>
      <c r="O9" s="33"/>
      <c r="P9" s="33"/>
      <c r="Q9" s="33"/>
    </row>
    <row r="10" spans="1:17" ht="14.25">
      <c r="A10" s="11" t="s">
        <v>97</v>
      </c>
      <c r="B10" s="11"/>
      <c r="C10" s="11"/>
      <c r="E10" s="33"/>
      <c r="F10" s="33"/>
      <c r="G10" s="33"/>
      <c r="H10" s="17"/>
      <c r="I10" s="33"/>
      <c r="J10" s="33"/>
      <c r="K10" s="33"/>
      <c r="L10" s="33"/>
      <c r="M10" s="33"/>
      <c r="N10" s="33"/>
      <c r="O10" s="33"/>
      <c r="P10" s="33"/>
      <c r="Q10" s="33"/>
    </row>
    <row r="11" spans="1:17" ht="14.25">
      <c r="A11" s="34" t="s">
        <v>98</v>
      </c>
      <c r="B11" s="35">
        <v>96485</v>
      </c>
      <c r="C11" s="36" t="s">
        <v>99</v>
      </c>
      <c r="E11" s="33"/>
      <c r="F11" s="33"/>
      <c r="G11" s="33"/>
      <c r="H11" s="17"/>
      <c r="I11" s="33"/>
      <c r="J11" s="33"/>
      <c r="K11" s="33"/>
      <c r="L11" s="33"/>
      <c r="M11" s="33"/>
      <c r="N11" s="33"/>
      <c r="O11" s="33"/>
      <c r="P11" s="33"/>
      <c r="Q11" s="33"/>
    </row>
    <row r="12" spans="1:17" ht="14.25">
      <c r="A12" s="34"/>
      <c r="B12" s="35"/>
      <c r="C12" s="36"/>
      <c r="E12" s="33"/>
      <c r="F12" s="33"/>
      <c r="G12" s="33"/>
      <c r="H12" s="17"/>
      <c r="I12" s="33"/>
      <c r="J12" s="33"/>
      <c r="K12" s="33"/>
      <c r="L12" s="33"/>
      <c r="M12" s="33"/>
      <c r="N12" s="33"/>
      <c r="O12" s="33"/>
      <c r="P12" s="33"/>
      <c r="Q12" s="33"/>
    </row>
    <row r="13" spans="1:17" ht="14.25">
      <c r="A13" s="11" t="s">
        <v>100</v>
      </c>
      <c r="B13" s="11"/>
      <c r="C13" s="11"/>
      <c r="E13" s="33"/>
      <c r="F13" s="33"/>
      <c r="G13" s="33"/>
      <c r="H13" s="17"/>
      <c r="I13" s="33"/>
      <c r="J13" s="33"/>
      <c r="K13" s="33"/>
      <c r="L13" s="33"/>
      <c r="M13" s="33"/>
      <c r="N13" s="33"/>
      <c r="O13" s="33"/>
      <c r="P13" s="33"/>
      <c r="Q13" s="33"/>
    </row>
    <row r="14" spans="1:17" ht="14.25">
      <c r="A14" s="34" t="s">
        <v>101</v>
      </c>
      <c r="B14" s="35">
        <v>7</v>
      </c>
      <c r="C14" s="37"/>
      <c r="E14" s="33"/>
      <c r="F14" s="33"/>
      <c r="G14" s="33"/>
      <c r="H14" s="17"/>
      <c r="I14" s="33"/>
      <c r="J14" s="33"/>
      <c r="K14" s="33"/>
      <c r="L14" s="33"/>
      <c r="M14" s="33"/>
      <c r="N14" s="33"/>
      <c r="O14" s="33"/>
      <c r="P14" s="33"/>
      <c r="Q14" s="33"/>
    </row>
    <row r="15" spans="1:17" ht="14.25">
      <c r="A15" s="38"/>
      <c r="B15" s="39"/>
      <c r="C15" s="40"/>
      <c r="E15" s="33"/>
      <c r="F15" s="33"/>
      <c r="G15" s="33"/>
      <c r="H15" s="17">
        <f>-361.4*10^3</f>
        <v>-361400</v>
      </c>
      <c r="I15" s="33"/>
      <c r="J15" s="33"/>
      <c r="K15" s="33"/>
      <c r="L15" s="33"/>
      <c r="M15" s="33"/>
      <c r="N15" s="33"/>
      <c r="O15" s="33"/>
      <c r="P15" s="33"/>
      <c r="Q15" s="33"/>
    </row>
    <row r="16" spans="1:17" ht="14.25">
      <c r="A16" s="33"/>
      <c r="B16" s="33"/>
      <c r="C16" s="33"/>
      <c r="D16" s="33"/>
      <c r="E16" s="33"/>
      <c r="F16" s="33"/>
      <c r="G16" s="33"/>
      <c r="H16" s="17"/>
      <c r="I16" s="33"/>
      <c r="J16" s="33"/>
      <c r="K16" s="33"/>
      <c r="L16" s="33"/>
      <c r="M16" s="33"/>
      <c r="N16" s="33"/>
      <c r="O16" s="33"/>
      <c r="P16" s="33" t="s">
        <v>102</v>
      </c>
      <c r="Q16" s="33"/>
    </row>
    <row r="17" spans="1:18" ht="15">
      <c r="A17" s="10" t="s">
        <v>103</v>
      </c>
      <c r="B17" s="10"/>
      <c r="C17" s="10"/>
      <c r="D17" s="10"/>
      <c r="E17" s="10"/>
      <c r="F17" s="10"/>
      <c r="G17" s="10"/>
      <c r="H17" s="10"/>
      <c r="I17" s="41"/>
      <c r="J17" s="9" t="s">
        <v>104</v>
      </c>
      <c r="K17" s="9"/>
      <c r="L17" s="9"/>
      <c r="M17" s="9"/>
      <c r="N17" s="9"/>
      <c r="O17" s="9"/>
      <c r="P17" s="9"/>
      <c r="Q17" s="33"/>
    </row>
    <row r="18" spans="1:18" ht="30.75" customHeight="1">
      <c r="A18" s="42" t="s">
        <v>0</v>
      </c>
      <c r="B18" s="43" t="s">
        <v>2</v>
      </c>
      <c r="C18" s="43" t="s">
        <v>105</v>
      </c>
      <c r="D18" s="43" t="s">
        <v>3</v>
      </c>
      <c r="E18" s="43" t="s">
        <v>4</v>
      </c>
      <c r="F18" s="43" t="s">
        <v>5</v>
      </c>
      <c r="G18" s="43"/>
      <c r="H18" s="44" t="s">
        <v>106</v>
      </c>
      <c r="I18" s="44" t="s">
        <v>107</v>
      </c>
      <c r="J18" s="45" t="s">
        <v>108</v>
      </c>
      <c r="K18" s="46" t="s">
        <v>109</v>
      </c>
      <c r="L18" s="46" t="s">
        <v>110</v>
      </c>
      <c r="M18" s="46" t="s">
        <v>111</v>
      </c>
      <c r="N18" s="46" t="s">
        <v>112</v>
      </c>
      <c r="O18" s="46" t="s">
        <v>113</v>
      </c>
      <c r="P18" s="47" t="s">
        <v>114</v>
      </c>
      <c r="Q18" s="33" t="s">
        <v>115</v>
      </c>
      <c r="R18" s="33" t="s">
        <v>116</v>
      </c>
    </row>
    <row r="19" spans="1:18" ht="14.25">
      <c r="A19" s="48" t="s">
        <v>117</v>
      </c>
      <c r="B19" s="49" t="s">
        <v>96</v>
      </c>
      <c r="C19" s="49" t="s">
        <v>118</v>
      </c>
      <c r="D19" s="49">
        <v>0</v>
      </c>
      <c r="E19" s="49">
        <v>0</v>
      </c>
      <c r="F19" s="49">
        <v>2</v>
      </c>
      <c r="G19" s="49">
        <f>B8</f>
        <v>0</v>
      </c>
      <c r="H19" s="49">
        <f>B8</f>
        <v>0</v>
      </c>
      <c r="I19" s="49" t="s">
        <v>119</v>
      </c>
      <c r="J19" s="50" t="s">
        <v>120</v>
      </c>
      <c r="K19" s="49">
        <f>H19-dG_H2O*2</f>
        <v>474258</v>
      </c>
      <c r="L19" s="49" t="s">
        <v>118</v>
      </c>
      <c r="M19" s="49">
        <f>-4</f>
        <v>-4</v>
      </c>
      <c r="N19" s="49">
        <f>-K19/(M19*F)</f>
        <v>1.2288386795875006</v>
      </c>
      <c r="O19" s="49">
        <f>N19-0.0591*pH</f>
        <v>0.81513867958750064</v>
      </c>
      <c r="P19" s="49">
        <v>1.23</v>
      </c>
      <c r="Q19" s="33"/>
    </row>
    <row r="20" spans="1:18" ht="14.25">
      <c r="A20" s="48" t="s">
        <v>44</v>
      </c>
      <c r="B20" s="49" t="s">
        <v>46</v>
      </c>
      <c r="C20" s="49" t="s">
        <v>118</v>
      </c>
      <c r="D20" s="49">
        <v>0</v>
      </c>
      <c r="E20" s="49">
        <v>2</v>
      </c>
      <c r="F20" s="49">
        <v>0</v>
      </c>
      <c r="G20" s="49">
        <f>B7</f>
        <v>0</v>
      </c>
      <c r="H20" s="49">
        <f>B7</f>
        <v>0</v>
      </c>
      <c r="I20" s="49" t="s">
        <v>119</v>
      </c>
      <c r="J20" s="50" t="s">
        <v>121</v>
      </c>
      <c r="K20" s="49">
        <f>H20*2-B9</f>
        <v>0</v>
      </c>
      <c r="L20" s="49">
        <f>K20-$K$19</f>
        <v>-474258</v>
      </c>
      <c r="M20" s="49">
        <v>2</v>
      </c>
      <c r="N20" s="49">
        <f>-K20/(M20*F)</f>
        <v>0</v>
      </c>
      <c r="O20" s="49">
        <f>N20-0.0591*pH</f>
        <v>-0.41370000000000001</v>
      </c>
      <c r="P20" s="49">
        <v>0</v>
      </c>
      <c r="Q20" s="33">
        <f>$N$19-N20</f>
        <v>1.2288386795875006</v>
      </c>
      <c r="R20" s="33">
        <f>$O$19-O20</f>
        <v>1.2288386795875006</v>
      </c>
    </row>
    <row r="21" spans="1:18" s="26" customFormat="1" ht="14.25">
      <c r="A21" s="33" t="s">
        <v>41</v>
      </c>
      <c r="B21" s="17" t="s">
        <v>43</v>
      </c>
      <c r="C21" s="17" t="s">
        <v>118</v>
      </c>
      <c r="D21" s="17">
        <v>1</v>
      </c>
      <c r="E21" s="17">
        <v>0</v>
      </c>
      <c r="F21" s="17">
        <v>1</v>
      </c>
      <c r="G21" s="17">
        <v>-137168</v>
      </c>
      <c r="H21" s="17">
        <v>-137168</v>
      </c>
      <c r="I21" s="17" t="s">
        <v>119</v>
      </c>
      <c r="J21" s="51" t="s">
        <v>122</v>
      </c>
      <c r="K21" s="17">
        <f>SUM(H21+dG_H2O)-SUM(dG_CO2)</f>
        <v>20062</v>
      </c>
      <c r="L21" s="17">
        <f>K21-$K$19</f>
        <v>-454196</v>
      </c>
      <c r="M21" s="17">
        <v>2</v>
      </c>
      <c r="N21" s="17">
        <f>-K21/(M21*F)</f>
        <v>-0.10396434678965642</v>
      </c>
      <c r="O21" s="17">
        <f>N21-0.0591*pH</f>
        <v>-0.51766434678965645</v>
      </c>
      <c r="P21" s="17">
        <v>-0.1</v>
      </c>
      <c r="Q21" s="33">
        <f>$N$19-N21</f>
        <v>1.3328030263771571</v>
      </c>
      <c r="R21" s="33">
        <f>$O$19-O21</f>
        <v>1.3328030263771571</v>
      </c>
    </row>
    <row r="22" spans="1:18" ht="14.25">
      <c r="A22" s="33" t="s">
        <v>19</v>
      </c>
      <c r="B22" s="17" t="s">
        <v>123</v>
      </c>
      <c r="C22" s="17" t="s">
        <v>124</v>
      </c>
      <c r="D22" s="17">
        <v>2</v>
      </c>
      <c r="E22" s="17">
        <v>1</v>
      </c>
      <c r="F22" s="17">
        <v>2</v>
      </c>
      <c r="G22" s="17">
        <f>-361.4*10^3</f>
        <v>-361400</v>
      </c>
      <c r="H22" s="17">
        <f>-346*10^3</f>
        <v>-346000</v>
      </c>
      <c r="I22" s="17" t="s">
        <v>125</v>
      </c>
      <c r="J22" s="51" t="s">
        <v>126</v>
      </c>
      <c r="K22" s="52">
        <f>H22-(dG_CO2)</f>
        <v>48359</v>
      </c>
      <c r="L22" s="17">
        <f>K22-$K$19</f>
        <v>-425899</v>
      </c>
      <c r="M22" s="17">
        <v>2</v>
      </c>
      <c r="N22" s="17">
        <f>-K22/(M22*F)</f>
        <v>-0.25060372078561433</v>
      </c>
      <c r="O22" s="17">
        <f>N22-0.0591*pH</f>
        <v>-0.66430372078561439</v>
      </c>
      <c r="P22" s="17">
        <v>-0.12</v>
      </c>
      <c r="Q22" s="33">
        <f>$N$19-N22</f>
        <v>1.4794424003731148</v>
      </c>
      <c r="R22" s="33">
        <f>$O$19-O22</f>
        <v>1.479442400373115</v>
      </c>
    </row>
    <row r="23" spans="1:18" ht="14.25">
      <c r="A23" s="33" t="s">
        <v>25</v>
      </c>
      <c r="B23" s="17" t="s">
        <v>26</v>
      </c>
      <c r="C23" s="17" t="s">
        <v>127</v>
      </c>
      <c r="D23" s="17">
        <v>1</v>
      </c>
      <c r="E23" s="17">
        <v>4</v>
      </c>
      <c r="F23" s="17">
        <v>1</v>
      </c>
      <c r="G23" s="17">
        <v>-166270</v>
      </c>
      <c r="H23" s="17">
        <v>-166270</v>
      </c>
      <c r="I23" s="17" t="s">
        <v>125</v>
      </c>
      <c r="J23" s="51" t="s">
        <v>128</v>
      </c>
      <c r="K23" s="52">
        <f>(H23+ dG_H2O*1)-(dG_CO2*1)</f>
        <v>-9040</v>
      </c>
      <c r="L23" s="17">
        <f>K23-$K$19</f>
        <v>-483298</v>
      </c>
      <c r="M23" s="17">
        <v>6</v>
      </c>
      <c r="N23" s="17">
        <f>-K23/(M23*F)</f>
        <v>1.5615553367535541E-2</v>
      </c>
      <c r="O23" s="17">
        <f>N23-0.0591*pH</f>
        <v>-0.39808444663246445</v>
      </c>
      <c r="P23" s="17">
        <v>0.03</v>
      </c>
      <c r="Q23" s="33">
        <f>$N$19-N23</f>
        <v>1.2132231262199651</v>
      </c>
      <c r="R23" s="33">
        <f>$O$19-O23</f>
        <v>1.2132231262199651</v>
      </c>
    </row>
    <row r="24" spans="1:18" ht="14.25">
      <c r="A24" s="33" t="s">
        <v>28</v>
      </c>
      <c r="B24" s="17" t="s">
        <v>30</v>
      </c>
      <c r="C24" s="17" t="s">
        <v>129</v>
      </c>
      <c r="D24" s="17">
        <v>2</v>
      </c>
      <c r="E24" s="17">
        <v>4</v>
      </c>
      <c r="F24" s="17">
        <v>1</v>
      </c>
      <c r="G24" s="17">
        <v>-128860</v>
      </c>
      <c r="H24" s="17">
        <v>-128860</v>
      </c>
      <c r="I24" s="17" t="s">
        <v>125</v>
      </c>
      <c r="J24" s="51" t="s">
        <v>130</v>
      </c>
      <c r="K24" s="52">
        <f>(H24+ dG_H2O*3)-(dG_CO2*2)</f>
        <v>-51529</v>
      </c>
      <c r="L24" s="17">
        <f>K24-$K$19</f>
        <v>-525787</v>
      </c>
      <c r="M24" s="17">
        <v>10</v>
      </c>
      <c r="N24" s="17">
        <f>-K24/(M24*F)</f>
        <v>5.3406228947504797E-2</v>
      </c>
      <c r="O24" s="17">
        <f>N24-0.0591*pH</f>
        <v>-0.36029377105249522</v>
      </c>
      <c r="P24" s="17">
        <v>0.06</v>
      </c>
      <c r="Q24" s="33">
        <f>$N$19-N24</f>
        <v>1.1754324506399958</v>
      </c>
      <c r="R24" s="33">
        <f>$O$19-O24</f>
        <v>1.1754324506399958</v>
      </c>
    </row>
    <row r="25" spans="1:18" ht="14.25">
      <c r="A25" s="33" t="s">
        <v>33</v>
      </c>
      <c r="B25" s="17" t="s">
        <v>32</v>
      </c>
      <c r="C25" s="17" t="s">
        <v>131</v>
      </c>
      <c r="D25" s="17">
        <v>2</v>
      </c>
      <c r="E25" s="17">
        <v>3</v>
      </c>
      <c r="F25" s="17">
        <v>2</v>
      </c>
      <c r="G25" s="17">
        <v>-389900</v>
      </c>
      <c r="H25" s="17">
        <v>-389900</v>
      </c>
      <c r="I25" s="17" t="s">
        <v>125</v>
      </c>
      <c r="J25" s="51" t="s">
        <v>132</v>
      </c>
      <c r="K25" s="52">
        <f>(H25+dG_H2O*2)-(dG_CO2*2)</f>
        <v>-75440</v>
      </c>
      <c r="L25" s="17">
        <f>K25-$K$19</f>
        <v>-549698</v>
      </c>
      <c r="M25" s="17">
        <v>8</v>
      </c>
      <c r="N25" s="17">
        <f>-K25/(M25*F)</f>
        <v>9.7735399284862925E-2</v>
      </c>
      <c r="O25" s="17">
        <f>N25-0.0591*pH</f>
        <v>-0.3159646007151371</v>
      </c>
      <c r="P25" s="17">
        <v>0.11</v>
      </c>
      <c r="Q25" s="33">
        <f>$N$19-N25</f>
        <v>1.1311032803026377</v>
      </c>
      <c r="R25" s="33">
        <f>$O$19-O25</f>
        <v>1.1311032803026377</v>
      </c>
    </row>
    <row r="26" spans="1:18" ht="14.25">
      <c r="A26" s="33" t="s">
        <v>35</v>
      </c>
      <c r="B26" s="17" t="s">
        <v>36</v>
      </c>
      <c r="C26" s="17" t="s">
        <v>133</v>
      </c>
      <c r="D26" s="17">
        <v>2</v>
      </c>
      <c r="E26" s="17">
        <v>6</v>
      </c>
      <c r="F26" s="17">
        <v>1</v>
      </c>
      <c r="G26" s="17">
        <v>-174780</v>
      </c>
      <c r="H26" s="17">
        <v>-174780</v>
      </c>
      <c r="I26" s="17" t="s">
        <v>125</v>
      </c>
      <c r="J26" s="51" t="s">
        <v>134</v>
      </c>
      <c r="K26" s="52">
        <f>(H26+ dG_H2O*3)-(dG_CO2*2)</f>
        <v>-97449</v>
      </c>
      <c r="L26" s="17">
        <f>K26-$K$19</f>
        <v>-571707</v>
      </c>
      <c r="M26" s="17">
        <v>12</v>
      </c>
      <c r="N26" s="17">
        <f>-K26/(M26*F)</f>
        <v>8.4165932528372289E-2</v>
      </c>
      <c r="O26" s="17">
        <f>N26-0.0591*pH</f>
        <v>-0.32953406747162772</v>
      </c>
      <c r="P26" s="17">
        <v>0.09</v>
      </c>
      <c r="Q26" s="33">
        <f>$N$19-N26</f>
        <v>1.1446727470591282</v>
      </c>
      <c r="R26" s="33">
        <f>$O$19-O26</f>
        <v>1.1446727470591282</v>
      </c>
    </row>
    <row r="27" spans="1:18" ht="14.25">
      <c r="A27" s="53" t="s">
        <v>37</v>
      </c>
      <c r="B27" s="17" t="s">
        <v>38</v>
      </c>
      <c r="C27" s="17" t="s">
        <v>135</v>
      </c>
      <c r="D27" s="17">
        <v>2</v>
      </c>
      <c r="E27" s="17">
        <v>6</v>
      </c>
      <c r="F27" s="17">
        <v>2</v>
      </c>
      <c r="G27" s="17"/>
      <c r="H27" s="54"/>
      <c r="I27" s="54"/>
      <c r="J27" s="55" t="s">
        <v>136</v>
      </c>
      <c r="K27" s="52">
        <f>(H27+ dG_H2O*2)-(dG_CO2*2)</f>
        <v>314460</v>
      </c>
      <c r="L27" s="17">
        <f>K27-$K$19</f>
        <v>-159798</v>
      </c>
      <c r="M27" s="17">
        <v>10</v>
      </c>
      <c r="N27" s="17">
        <f>-K27/(M27*F)</f>
        <v>-0.32591594548375397</v>
      </c>
      <c r="O27" s="17">
        <f>N27-0.0591*pH</f>
        <v>-0.73961594548375398</v>
      </c>
      <c r="P27" s="56"/>
      <c r="Q27" s="33">
        <f>$N$19-N27</f>
        <v>1.5547546250712545</v>
      </c>
      <c r="R27" s="33">
        <f>$O$19-O27</f>
        <v>1.5547546250712547</v>
      </c>
    </row>
    <row r="28" spans="1:18" ht="14.25">
      <c r="A28" s="57" t="s">
        <v>40</v>
      </c>
      <c r="B28" s="35" t="s">
        <v>34</v>
      </c>
      <c r="C28" s="35" t="s">
        <v>137</v>
      </c>
      <c r="D28" s="35">
        <v>2</v>
      </c>
      <c r="E28" s="35">
        <v>4</v>
      </c>
      <c r="F28" s="35">
        <v>2</v>
      </c>
      <c r="G28" s="35"/>
      <c r="H28" s="58"/>
      <c r="I28" s="58"/>
      <c r="J28" s="59" t="s">
        <v>138</v>
      </c>
      <c r="K28" s="60">
        <f>(H28+ dG_H2O*2)-(dG_CO2*2)</f>
        <v>314460</v>
      </c>
      <c r="L28" s="17">
        <f>K28-$K$19</f>
        <v>-159798</v>
      </c>
      <c r="M28" s="35">
        <v>8</v>
      </c>
      <c r="N28" s="35">
        <f>-K28/(M28*F)</f>
        <v>-0.40739493185469244</v>
      </c>
      <c r="O28" s="17">
        <f>N28-0.0591*pH</f>
        <v>-0.82109493185469251</v>
      </c>
      <c r="P28" s="61"/>
      <c r="Q28" s="33">
        <f>$N$19-N28</f>
        <v>1.6362336114421931</v>
      </c>
      <c r="R28" s="33">
        <f>$O$19-O28</f>
        <v>1.6362336114421931</v>
      </c>
    </row>
    <row r="29" spans="1:18" ht="14.25">
      <c r="A29" s="62"/>
      <c r="B29" s="62"/>
      <c r="C29" s="62"/>
      <c r="D29" s="62"/>
      <c r="E29" s="62"/>
      <c r="F29" s="62"/>
      <c r="G29" s="62"/>
      <c r="H29" s="63"/>
      <c r="I29" s="62"/>
      <c r="J29" s="62"/>
      <c r="K29" s="63"/>
      <c r="L29" s="63"/>
      <c r="M29" s="63"/>
      <c r="N29" s="63"/>
      <c r="O29" s="63"/>
      <c r="P29" s="63"/>
      <c r="Q29" s="33"/>
    </row>
  </sheetData>
  <mergeCells count="5">
    <mergeCell ref="A4:C4"/>
    <mergeCell ref="A10:C10"/>
    <mergeCell ref="A13:C13"/>
    <mergeCell ref="A17:H17"/>
    <mergeCell ref="J17:P17"/>
  </mergeCell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8:S38"/>
  <sheetViews>
    <sheetView topLeftCell="E4" zoomScale="90" zoomScaleNormal="90" workbookViewId="0">
      <selection activeCell="O29" sqref="O29"/>
    </sheetView>
  </sheetViews>
  <sheetFormatPr defaultRowHeight="12.75"/>
  <cols>
    <col min="1" max="1" width="20.28515625" customWidth="1"/>
    <col min="2" max="2" width="15.28515625" customWidth="1"/>
    <col min="3" max="3" width="12.42578125" customWidth="1"/>
    <col min="4" max="5" width="8.7109375" customWidth="1"/>
    <col min="6" max="6" width="19.42578125" style="14" customWidth="1"/>
    <col min="7" max="7" width="17.140625" customWidth="1"/>
    <col min="8" max="10" width="8.7109375" customWidth="1"/>
    <col min="11" max="11" width="20" customWidth="1"/>
    <col min="12" max="12" width="55.28515625" customWidth="1"/>
    <col min="13" max="14" width="20.42578125" customWidth="1"/>
    <col min="15" max="15" width="19" customWidth="1"/>
    <col min="16" max="16" width="20.85546875" customWidth="1"/>
    <col min="17" max="17" width="16.85546875" customWidth="1"/>
    <col min="18" max="18" width="28.85546875" customWidth="1"/>
    <col min="19" max="1025" width="8.7109375" customWidth="1"/>
  </cols>
  <sheetData>
    <row r="8" spans="1:19" ht="18">
      <c r="A8" s="64" t="s">
        <v>0</v>
      </c>
      <c r="B8" s="65" t="s">
        <v>2</v>
      </c>
      <c r="C8" s="65" t="s">
        <v>3</v>
      </c>
      <c r="D8" s="65" t="s">
        <v>4</v>
      </c>
      <c r="E8" s="65" t="s">
        <v>5</v>
      </c>
      <c r="F8" s="66" t="s">
        <v>139</v>
      </c>
      <c r="G8" s="66" t="s">
        <v>140</v>
      </c>
      <c r="H8" s="67" t="s">
        <v>141</v>
      </c>
      <c r="K8" s="68" t="s">
        <v>142</v>
      </c>
      <c r="L8" s="69" t="s">
        <v>143</v>
      </c>
      <c r="M8" s="70" t="s">
        <v>144</v>
      </c>
      <c r="N8" s="70" t="s">
        <v>145</v>
      </c>
      <c r="O8" s="70" t="s">
        <v>146</v>
      </c>
      <c r="P8" s="70" t="s">
        <v>112</v>
      </c>
      <c r="Q8" s="70" t="s">
        <v>147</v>
      </c>
      <c r="R8" s="71" t="s">
        <v>114</v>
      </c>
      <c r="S8" s="70" t="s">
        <v>148</v>
      </c>
    </row>
    <row r="9" spans="1:19" ht="14.25">
      <c r="A9" s="33" t="s">
        <v>117</v>
      </c>
      <c r="B9" s="17" t="s">
        <v>96</v>
      </c>
      <c r="C9" s="17">
        <v>0</v>
      </c>
      <c r="D9" s="17">
        <v>0</v>
      </c>
      <c r="E9" s="17">
        <v>2</v>
      </c>
      <c r="F9" s="17">
        <v>0</v>
      </c>
      <c r="G9" s="17" t="s">
        <v>119</v>
      </c>
      <c r="H9" t="s">
        <v>149</v>
      </c>
      <c r="K9" s="72" t="s">
        <v>150</v>
      </c>
      <c r="L9" s="72"/>
      <c r="M9" s="73"/>
      <c r="N9" s="73"/>
      <c r="O9" s="73"/>
      <c r="P9" s="73"/>
      <c r="Q9" s="73"/>
      <c r="R9" s="73"/>
      <c r="S9" s="73"/>
    </row>
    <row r="10" spans="1:19" ht="14.25">
      <c r="A10" s="33" t="s">
        <v>44</v>
      </c>
      <c r="B10" s="17" t="s">
        <v>46</v>
      </c>
      <c r="C10" s="17">
        <v>0</v>
      </c>
      <c r="D10" s="17">
        <v>2</v>
      </c>
      <c r="E10" s="17">
        <v>0</v>
      </c>
      <c r="F10" s="17">
        <v>0</v>
      </c>
      <c r="G10" s="17" t="s">
        <v>119</v>
      </c>
      <c r="H10" t="s">
        <v>149</v>
      </c>
      <c r="K10" t="s">
        <v>151</v>
      </c>
      <c r="L10" s="51" t="s">
        <v>152</v>
      </c>
      <c r="M10" s="75">
        <f>(F9+4*F11)-F14*2</f>
        <v>474.35599999999999</v>
      </c>
      <c r="N10" s="74"/>
      <c r="O10" s="17">
        <f>-4</f>
        <v>-4</v>
      </c>
      <c r="P10" s="75">
        <f>-M10/(O10*F)*10^3</f>
        <v>1.2290926050681452</v>
      </c>
      <c r="Q10" s="75">
        <f>P10-0.0591*pH</f>
        <v>0.81539260506814526</v>
      </c>
      <c r="R10" s="17">
        <v>1.23</v>
      </c>
      <c r="S10" s="73"/>
    </row>
    <row r="11" spans="1:19" ht="14.25">
      <c r="A11" s="33" t="s">
        <v>153</v>
      </c>
      <c r="B11" s="17" t="s">
        <v>95</v>
      </c>
      <c r="C11" s="17">
        <v>0</v>
      </c>
      <c r="D11" s="17">
        <v>1</v>
      </c>
      <c r="E11" s="17">
        <v>0</v>
      </c>
      <c r="F11" s="17">
        <v>0</v>
      </c>
      <c r="G11" s="17" t="s">
        <v>154</v>
      </c>
      <c r="H11" t="s">
        <v>149</v>
      </c>
      <c r="K11" s="72" t="s">
        <v>155</v>
      </c>
      <c r="L11" s="72"/>
      <c r="M11" s="74"/>
      <c r="N11" s="74"/>
      <c r="O11" s="74"/>
      <c r="P11" s="74"/>
      <c r="Q11" s="74"/>
      <c r="R11" s="74"/>
      <c r="S11" s="73"/>
    </row>
    <row r="12" spans="1:19" ht="14.25">
      <c r="A12" s="33" t="s">
        <v>156</v>
      </c>
      <c r="B12" s="17" t="s">
        <v>157</v>
      </c>
      <c r="C12" s="17">
        <v>0</v>
      </c>
      <c r="D12" s="17">
        <v>1</v>
      </c>
      <c r="E12" s="17">
        <v>1</v>
      </c>
      <c r="F12" s="17">
        <v>-157.29300000000001</v>
      </c>
      <c r="G12" s="17" t="s">
        <v>154</v>
      </c>
      <c r="H12" t="s">
        <v>149</v>
      </c>
      <c r="K12" t="s">
        <v>158</v>
      </c>
      <c r="L12" s="51" t="s">
        <v>159</v>
      </c>
      <c r="M12" s="75">
        <f>F10-2*F11</f>
        <v>0</v>
      </c>
      <c r="N12" s="75">
        <f>M12-$M$10</f>
        <v>-474.35599999999999</v>
      </c>
      <c r="O12" s="17">
        <v>2</v>
      </c>
      <c r="P12" s="75">
        <f>-M12/(O12*F)*10^3</f>
        <v>0</v>
      </c>
      <c r="Q12" s="75">
        <f>P12-0.0591*pH</f>
        <v>-0.41370000000000001</v>
      </c>
      <c r="R12" s="17">
        <v>0</v>
      </c>
      <c r="S12" s="76">
        <f>P12-$P$10</f>
        <v>-1.2290926050681452</v>
      </c>
    </row>
    <row r="13" spans="1:19" ht="14.25">
      <c r="A13" s="33" t="s">
        <v>160</v>
      </c>
      <c r="B13" s="17" t="s">
        <v>62</v>
      </c>
      <c r="C13" s="17">
        <v>1</v>
      </c>
      <c r="D13" s="17">
        <v>0</v>
      </c>
      <c r="E13" s="17">
        <v>2</v>
      </c>
      <c r="F13" s="17">
        <v>-394.38299999999998</v>
      </c>
      <c r="G13" s="17" t="s">
        <v>119</v>
      </c>
      <c r="H13" t="s">
        <v>149</v>
      </c>
      <c r="K13" t="s">
        <v>41</v>
      </c>
      <c r="L13" s="51" t="s">
        <v>161</v>
      </c>
      <c r="M13" s="75">
        <f>SUM(F15,F14)-SUM(2*F11,F13)</f>
        <v>19.936999999999955</v>
      </c>
      <c r="N13" s="75">
        <f>M13-$M$10</f>
        <v>-454.41900000000004</v>
      </c>
      <c r="O13" s="17">
        <v>2</v>
      </c>
      <c r="P13" s="75">
        <f>-M13/(O13*F)*10^3</f>
        <v>-0.103316577706379</v>
      </c>
      <c r="Q13" s="75">
        <f>P13-0.0591*pH</f>
        <v>-0.51701657770637899</v>
      </c>
      <c r="R13" s="17">
        <v>-0.1</v>
      </c>
      <c r="S13" s="76">
        <f>P13-$P$10</f>
        <v>-1.3324091827745241</v>
      </c>
    </row>
    <row r="14" spans="1:19" ht="14.25">
      <c r="A14" s="33" t="s">
        <v>162</v>
      </c>
      <c r="B14" s="17" t="s">
        <v>94</v>
      </c>
      <c r="C14" s="17">
        <v>0</v>
      </c>
      <c r="D14" s="17">
        <v>2</v>
      </c>
      <c r="E14" s="17">
        <v>1</v>
      </c>
      <c r="F14" s="17">
        <v>-237.178</v>
      </c>
      <c r="G14" s="17" t="s">
        <v>125</v>
      </c>
      <c r="H14" t="s">
        <v>149</v>
      </c>
      <c r="K14" t="s">
        <v>163</v>
      </c>
      <c r="L14" s="51" t="s">
        <v>164</v>
      </c>
      <c r="M14" s="75">
        <f>SUM(F16)-SUM(2*F11,F13)</f>
        <v>38.382999999999981</v>
      </c>
      <c r="N14" s="75">
        <f>M14-$M$10</f>
        <v>-435.97300000000001</v>
      </c>
      <c r="O14" s="17">
        <v>2</v>
      </c>
      <c r="P14" s="75">
        <f>-M14/(O14*F)*10^3</f>
        <v>-0.19890656578742799</v>
      </c>
      <c r="Q14" s="75">
        <f>P14-0.0591*pH</f>
        <v>-0.612606565787428</v>
      </c>
      <c r="R14" s="17">
        <v>-0.12</v>
      </c>
      <c r="S14" s="76">
        <f>P14-$P$10</f>
        <v>-1.4279991708555733</v>
      </c>
    </row>
    <row r="15" spans="1:19" ht="14.25">
      <c r="A15" s="33" t="s">
        <v>41</v>
      </c>
      <c r="B15" s="17" t="s">
        <v>43</v>
      </c>
      <c r="C15" s="17">
        <v>1</v>
      </c>
      <c r="D15" s="17">
        <v>0</v>
      </c>
      <c r="E15" s="17">
        <v>1</v>
      </c>
      <c r="F15" s="17">
        <v>-137.268</v>
      </c>
      <c r="G15" s="17" t="s">
        <v>119</v>
      </c>
      <c r="H15" t="s">
        <v>149</v>
      </c>
      <c r="K15" t="s">
        <v>25</v>
      </c>
      <c r="L15" s="51" t="s">
        <v>165</v>
      </c>
      <c r="M15" s="75">
        <f>(F19+F14)-(F13+6*F11)</f>
        <v>-17.295000000000016</v>
      </c>
      <c r="N15" s="75">
        <f>M15-$M$10</f>
        <v>-491.65100000000001</v>
      </c>
      <c r="O15" s="17">
        <v>6</v>
      </c>
      <c r="P15" s="75">
        <f>-M15/(O15*F)*10^3</f>
        <v>2.9875110120744185E-2</v>
      </c>
      <c r="Q15" s="75">
        <f>P15-0.0591*pH</f>
        <v>-0.38382488987925584</v>
      </c>
      <c r="R15" s="17">
        <v>0.03</v>
      </c>
      <c r="S15" s="76">
        <f>P15-$P$10</f>
        <v>-1.199217494947401</v>
      </c>
    </row>
    <row r="16" spans="1:19" ht="14.25">
      <c r="A16" s="33" t="s">
        <v>23</v>
      </c>
      <c r="B16" s="17" t="s">
        <v>124</v>
      </c>
      <c r="C16" s="17">
        <v>2</v>
      </c>
      <c r="D16" s="17">
        <v>2</v>
      </c>
      <c r="E16" s="17">
        <v>2</v>
      </c>
      <c r="F16" s="17">
        <v>-356</v>
      </c>
      <c r="G16" s="17" t="s">
        <v>154</v>
      </c>
      <c r="H16" t="s">
        <v>149</v>
      </c>
      <c r="K16" t="s">
        <v>28</v>
      </c>
      <c r="L16" s="51" t="s">
        <v>166</v>
      </c>
      <c r="M16" s="75">
        <f>(F21+3*F14)-(2*F13+10*F11)</f>
        <v>-51.628000000000043</v>
      </c>
      <c r="N16" s="75">
        <f>M16-$M$10</f>
        <v>-525.98400000000004</v>
      </c>
      <c r="O16" s="17">
        <v>10</v>
      </c>
      <c r="P16" s="75">
        <f>-M16/(O16*F)*10^3</f>
        <v>5.3508835570295947E-2</v>
      </c>
      <c r="Q16" s="75">
        <f>P16-0.0591*pH</f>
        <v>-0.36019116442970406</v>
      </c>
      <c r="R16" s="17">
        <v>0.06</v>
      </c>
      <c r="S16" s="76">
        <f>P16-$P$10</f>
        <v>-1.1755837694978493</v>
      </c>
    </row>
    <row r="17" spans="1:19" ht="14.25">
      <c r="A17" s="33" t="s">
        <v>23</v>
      </c>
      <c r="B17" s="17" t="s">
        <v>124</v>
      </c>
      <c r="C17" s="17">
        <v>2</v>
      </c>
      <c r="D17" s="17">
        <v>2</v>
      </c>
      <c r="E17" s="17">
        <v>2</v>
      </c>
      <c r="F17" s="17">
        <v>-346</v>
      </c>
      <c r="G17" s="17" t="s">
        <v>125</v>
      </c>
      <c r="H17" t="s">
        <v>149</v>
      </c>
      <c r="K17" t="s">
        <v>167</v>
      </c>
      <c r="L17" s="51" t="s">
        <v>168</v>
      </c>
      <c r="M17" s="75">
        <f>(F22+2*F14)-(2*F13+8*F11)</f>
        <v>-85.190000000000055</v>
      </c>
      <c r="N17" s="75">
        <f>M17-$M$10</f>
        <v>-559.54600000000005</v>
      </c>
      <c r="O17" s="17">
        <v>8</v>
      </c>
      <c r="P17" s="75">
        <f>-M17/(O17*F)*10^3</f>
        <v>0.11036689640876828</v>
      </c>
      <c r="Q17" s="75">
        <f>P17-0.0591*pH</f>
        <v>-0.30333310359123172</v>
      </c>
      <c r="R17" s="17">
        <v>0.11</v>
      </c>
      <c r="S17" s="76">
        <f>P17-$P$10</f>
        <v>-1.1187257086593769</v>
      </c>
    </row>
    <row r="18" spans="1:19" ht="14.25">
      <c r="A18" s="33" t="s">
        <v>19</v>
      </c>
      <c r="B18" s="17" t="s">
        <v>169</v>
      </c>
      <c r="C18" s="17">
        <v>2</v>
      </c>
      <c r="D18" s="17">
        <v>1</v>
      </c>
      <c r="E18" s="17">
        <v>2</v>
      </c>
      <c r="F18" s="17">
        <v>-351</v>
      </c>
      <c r="G18" s="17" t="s">
        <v>154</v>
      </c>
      <c r="H18" t="s">
        <v>149</v>
      </c>
      <c r="K18" t="s">
        <v>35</v>
      </c>
      <c r="L18" s="51" t="s">
        <v>170</v>
      </c>
      <c r="M18" s="75">
        <f>(F25+3*F14)-(2*F13+12*F11)</f>
        <v>-99.768000000000029</v>
      </c>
      <c r="N18" s="75">
        <f>M18-$M$10</f>
        <v>-574.12400000000002</v>
      </c>
      <c r="O18" s="17">
        <v>12</v>
      </c>
      <c r="P18" s="75">
        <f>-M18/(O18*F)*10^3</f>
        <v>8.6168834533865396E-2</v>
      </c>
      <c r="Q18" s="75">
        <f>P18-0.0591*pH</f>
        <v>-0.32753116546613459</v>
      </c>
      <c r="R18" s="17">
        <v>0.09</v>
      </c>
      <c r="S18" s="76">
        <f>P18-$P$10</f>
        <v>-1.1429237705342798</v>
      </c>
    </row>
    <row r="19" spans="1:19" ht="14.25">
      <c r="A19" s="33" t="s">
        <v>25</v>
      </c>
      <c r="B19" s="17" t="s">
        <v>127</v>
      </c>
      <c r="C19" s="17">
        <v>1</v>
      </c>
      <c r="D19" s="17">
        <v>4</v>
      </c>
      <c r="E19" s="17">
        <v>1</v>
      </c>
      <c r="F19" s="17">
        <v>-174.5</v>
      </c>
      <c r="G19" s="17" t="s">
        <v>154</v>
      </c>
      <c r="H19" t="s">
        <v>149</v>
      </c>
      <c r="K19" t="s">
        <v>37</v>
      </c>
      <c r="L19" s="55" t="s">
        <v>171</v>
      </c>
      <c r="M19" s="77" t="s">
        <v>172</v>
      </c>
      <c r="N19" s="77" t="s">
        <v>172</v>
      </c>
      <c r="O19" s="17">
        <v>10</v>
      </c>
      <c r="P19" s="77" t="s">
        <v>172</v>
      </c>
      <c r="Q19" s="77" t="s">
        <v>172</v>
      </c>
      <c r="R19" s="77" t="s">
        <v>172</v>
      </c>
      <c r="S19" s="73"/>
    </row>
    <row r="20" spans="1:19" ht="14.25">
      <c r="A20" s="33" t="s">
        <v>25</v>
      </c>
      <c r="B20" s="17" t="s">
        <v>127</v>
      </c>
      <c r="C20" s="17">
        <v>1</v>
      </c>
      <c r="D20" s="17">
        <v>4</v>
      </c>
      <c r="E20" s="17">
        <v>1</v>
      </c>
      <c r="F20" s="17">
        <v>-166.3</v>
      </c>
      <c r="G20" s="17" t="s">
        <v>125</v>
      </c>
      <c r="H20" t="s">
        <v>149</v>
      </c>
      <c r="K20" s="78" t="s">
        <v>40</v>
      </c>
      <c r="L20" s="79" t="s">
        <v>173</v>
      </c>
      <c r="M20" s="80" t="s">
        <v>172</v>
      </c>
      <c r="N20" s="80" t="s">
        <v>172</v>
      </c>
      <c r="O20" s="63">
        <v>8</v>
      </c>
      <c r="P20" s="80" t="s">
        <v>172</v>
      </c>
      <c r="Q20" s="80" t="s">
        <v>172</v>
      </c>
      <c r="R20" s="80" t="s">
        <v>172</v>
      </c>
      <c r="S20" s="73"/>
    </row>
    <row r="21" spans="1:19" ht="14.25">
      <c r="A21" s="81" t="s">
        <v>28</v>
      </c>
      <c r="B21" s="17" t="s">
        <v>129</v>
      </c>
      <c r="C21" s="17">
        <v>2</v>
      </c>
      <c r="D21" s="17">
        <v>4</v>
      </c>
      <c r="E21" s="17">
        <v>1</v>
      </c>
      <c r="F21" s="17">
        <v>-128.86000000000001</v>
      </c>
      <c r="G21" s="17" t="s">
        <v>119</v>
      </c>
      <c r="H21" s="82" t="s">
        <v>174</v>
      </c>
      <c r="K21" t="s">
        <v>175</v>
      </c>
    </row>
    <row r="22" spans="1:19" ht="14.25">
      <c r="A22" s="33" t="s">
        <v>33</v>
      </c>
      <c r="B22" s="17" t="s">
        <v>131</v>
      </c>
      <c r="C22" s="17">
        <v>2</v>
      </c>
      <c r="D22" s="17">
        <v>3</v>
      </c>
      <c r="E22" s="17">
        <v>2</v>
      </c>
      <c r="F22" s="17">
        <v>-399.6</v>
      </c>
      <c r="G22" s="17" t="s">
        <v>154</v>
      </c>
      <c r="H22" t="s">
        <v>149</v>
      </c>
      <c r="L22" s="51"/>
      <c r="M22" s="17"/>
      <c r="N22" s="17"/>
      <c r="O22" s="17"/>
      <c r="P22" s="17"/>
      <c r="Q22" s="17"/>
      <c r="R22" s="17"/>
    </row>
    <row r="23" spans="1:19" ht="14.25">
      <c r="A23" s="33" t="s">
        <v>33</v>
      </c>
      <c r="B23" s="17" t="s">
        <v>131</v>
      </c>
      <c r="C23" s="17">
        <v>2</v>
      </c>
      <c r="D23" s="17">
        <v>3</v>
      </c>
      <c r="E23" s="17">
        <v>2</v>
      </c>
      <c r="F23" s="17">
        <v>-392</v>
      </c>
      <c r="G23" s="17" t="s">
        <v>125</v>
      </c>
      <c r="H23" t="s">
        <v>149</v>
      </c>
      <c r="L23" s="51"/>
      <c r="M23" s="17"/>
      <c r="N23" s="17"/>
      <c r="O23" s="17"/>
      <c r="P23" s="17"/>
      <c r="Q23" s="17"/>
      <c r="R23" s="17"/>
    </row>
    <row r="24" spans="1:19" ht="14.25">
      <c r="A24" s="33" t="s">
        <v>31</v>
      </c>
      <c r="B24" s="17" t="s">
        <v>176</v>
      </c>
      <c r="C24" s="17">
        <v>2</v>
      </c>
      <c r="D24" s="17">
        <v>2</v>
      </c>
      <c r="E24" s="17">
        <v>2</v>
      </c>
      <c r="F24" s="17">
        <v>-369.4</v>
      </c>
      <c r="G24" s="17" t="s">
        <v>154</v>
      </c>
      <c r="H24" t="s">
        <v>149</v>
      </c>
    </row>
    <row r="25" spans="1:19" ht="14.25">
      <c r="A25" s="33" t="s">
        <v>35</v>
      </c>
      <c r="B25" s="17" t="s">
        <v>133</v>
      </c>
      <c r="C25" s="17">
        <v>2</v>
      </c>
      <c r="D25" s="17">
        <v>6</v>
      </c>
      <c r="E25" s="17">
        <v>1</v>
      </c>
      <c r="F25" s="14">
        <v>-177</v>
      </c>
      <c r="G25" s="17" t="s">
        <v>154</v>
      </c>
      <c r="H25" t="s">
        <v>149</v>
      </c>
    </row>
    <row r="26" spans="1:19" ht="14.25">
      <c r="A26" s="33" t="s">
        <v>35</v>
      </c>
      <c r="B26" s="17" t="s">
        <v>133</v>
      </c>
      <c r="C26" s="17">
        <v>2</v>
      </c>
      <c r="D26" s="17">
        <v>6</v>
      </c>
      <c r="E26" s="17">
        <v>1</v>
      </c>
      <c r="F26" s="14">
        <v>-174.8</v>
      </c>
      <c r="G26" s="17" t="s">
        <v>125</v>
      </c>
      <c r="H26" t="s">
        <v>149</v>
      </c>
      <c r="L26" s="59"/>
      <c r="M26" s="35"/>
      <c r="N26" s="35"/>
      <c r="O26" s="35"/>
      <c r="P26" s="17"/>
      <c r="Q26" s="17"/>
      <c r="R26" s="35"/>
    </row>
    <row r="27" spans="1:19" ht="16.5">
      <c r="A27" s="53" t="s">
        <v>177</v>
      </c>
      <c r="B27" s="17" t="s">
        <v>135</v>
      </c>
      <c r="C27" s="17">
        <v>2</v>
      </c>
      <c r="D27" s="17">
        <v>6</v>
      </c>
      <c r="E27" s="17">
        <v>2</v>
      </c>
      <c r="F27" s="83" t="s">
        <v>172</v>
      </c>
      <c r="G27" s="83" t="s">
        <v>172</v>
      </c>
      <c r="H27" s="73" t="s">
        <v>172</v>
      </c>
    </row>
    <row r="28" spans="1:19" ht="16.5">
      <c r="A28" s="84" t="s">
        <v>178</v>
      </c>
      <c r="B28" s="85" t="s">
        <v>137</v>
      </c>
      <c r="C28" s="85">
        <v>2</v>
      </c>
      <c r="D28" s="85">
        <v>4</v>
      </c>
      <c r="E28" s="85">
        <v>2</v>
      </c>
      <c r="F28" s="86" t="s">
        <v>172</v>
      </c>
      <c r="G28" s="86" t="s">
        <v>172</v>
      </c>
      <c r="H28" s="87" t="s">
        <v>172</v>
      </c>
    </row>
    <row r="29" spans="1:19">
      <c r="A29" t="s">
        <v>179</v>
      </c>
    </row>
    <row r="30" spans="1:19">
      <c r="A30" t="s">
        <v>180</v>
      </c>
    </row>
    <row r="31" spans="1:19" ht="14.25">
      <c r="F31" s="17"/>
    </row>
    <row r="38" spans="1:1" ht="14.25">
      <c r="A38" s="33" t="s">
        <v>102</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K74"/>
  <sheetViews>
    <sheetView zoomScale="90" zoomScaleNormal="90" workbookViewId="0">
      <selection activeCell="A20" sqref="A20"/>
    </sheetView>
  </sheetViews>
  <sheetFormatPr defaultRowHeight="12.75"/>
  <cols>
    <col min="1" max="1" width="32" style="26" customWidth="1"/>
    <col min="2" max="2" width="26.140625" style="26" customWidth="1"/>
    <col min="3" max="3" width="15.140625" style="26" customWidth="1"/>
    <col min="4" max="5" width="17.85546875" style="26" customWidth="1"/>
    <col min="6" max="7" width="17.28515625" style="26" customWidth="1"/>
    <col min="8" max="9" width="9.140625" style="26" customWidth="1"/>
    <col min="10" max="10" width="26.85546875" style="26" customWidth="1"/>
    <col min="11" max="11" width="89.140625" style="26" customWidth="1"/>
    <col min="12" max="1025" width="9.140625" style="26" customWidth="1"/>
  </cols>
  <sheetData>
    <row r="1" spans="1:11" ht="18">
      <c r="A1" s="88" t="s">
        <v>181</v>
      </c>
    </row>
    <row r="3" spans="1:11">
      <c r="A3" s="68" t="s">
        <v>182</v>
      </c>
      <c r="B3" s="68" t="s">
        <v>183</v>
      </c>
      <c r="C3" s="68" t="s">
        <v>184</v>
      </c>
      <c r="D3" s="89" t="s">
        <v>185</v>
      </c>
      <c r="E3" s="89" t="s">
        <v>186</v>
      </c>
      <c r="F3" s="89" t="s">
        <v>187</v>
      </c>
      <c r="G3" s="89" t="s">
        <v>188</v>
      </c>
      <c r="H3" s="89" t="s">
        <v>189</v>
      </c>
      <c r="I3" s="89" t="s">
        <v>190</v>
      </c>
      <c r="J3" s="68" t="s">
        <v>141</v>
      </c>
      <c r="K3" s="68" t="s">
        <v>191</v>
      </c>
    </row>
    <row r="4" spans="1:11">
      <c r="A4" s="90" t="s">
        <v>192</v>
      </c>
      <c r="B4" s="90" t="s">
        <v>193</v>
      </c>
      <c r="C4" s="90" t="s">
        <v>43</v>
      </c>
      <c r="D4" s="91">
        <v>4.7</v>
      </c>
      <c r="E4" s="91" t="s">
        <v>194</v>
      </c>
      <c r="F4" s="91">
        <f>D4</f>
        <v>4.7</v>
      </c>
      <c r="G4" s="91">
        <v>300</v>
      </c>
      <c r="H4" s="91">
        <v>78</v>
      </c>
      <c r="I4" s="91">
        <v>25</v>
      </c>
      <c r="J4" s="90" t="s">
        <v>195</v>
      </c>
      <c r="K4" s="90" t="s">
        <v>196</v>
      </c>
    </row>
    <row r="5" spans="1:11">
      <c r="A5" s="92" t="s">
        <v>192</v>
      </c>
      <c r="B5" s="92" t="s">
        <v>197</v>
      </c>
      <c r="C5" s="92" t="s">
        <v>43</v>
      </c>
      <c r="D5" s="93">
        <v>4</v>
      </c>
      <c r="E5" s="93" t="s">
        <v>194</v>
      </c>
      <c r="F5" s="93">
        <f>D5</f>
        <v>4</v>
      </c>
      <c r="G5" s="93">
        <v>275</v>
      </c>
      <c r="H5" s="93">
        <v>87</v>
      </c>
      <c r="I5" s="93"/>
      <c r="J5" s="92" t="s">
        <v>198</v>
      </c>
      <c r="K5" s="92" t="s">
        <v>199</v>
      </c>
    </row>
    <row r="6" spans="1:11">
      <c r="A6" s="92" t="s">
        <v>200</v>
      </c>
      <c r="B6" s="92" t="s">
        <v>201</v>
      </c>
      <c r="C6" s="92" t="s">
        <v>43</v>
      </c>
      <c r="D6" s="93">
        <v>-2.96</v>
      </c>
      <c r="E6" s="93" t="s">
        <v>202</v>
      </c>
      <c r="F6" s="93"/>
      <c r="G6" s="93">
        <v>100</v>
      </c>
      <c r="H6" s="93">
        <v>52.7</v>
      </c>
      <c r="I6" s="93"/>
      <c r="J6" s="92" t="s">
        <v>203</v>
      </c>
      <c r="K6" s="92" t="s">
        <v>204</v>
      </c>
    </row>
    <row r="7" spans="1:11">
      <c r="A7" s="92" t="s">
        <v>205</v>
      </c>
      <c r="B7" s="92" t="s">
        <v>206</v>
      </c>
      <c r="C7" s="92" t="s">
        <v>43</v>
      </c>
      <c r="D7" s="93">
        <v>-0.8</v>
      </c>
      <c r="E7" s="93" t="s">
        <v>207</v>
      </c>
      <c r="F7" s="94">
        <v>3</v>
      </c>
      <c r="G7" s="93">
        <v>350</v>
      </c>
      <c r="H7" s="93">
        <v>100</v>
      </c>
      <c r="I7" s="93">
        <v>45.4</v>
      </c>
      <c r="J7" s="92" t="s">
        <v>208</v>
      </c>
      <c r="K7" s="92" t="s">
        <v>209</v>
      </c>
    </row>
    <row r="8" spans="1:11">
      <c r="A8" s="95" t="s">
        <v>210</v>
      </c>
      <c r="B8" s="95" t="s">
        <v>211</v>
      </c>
      <c r="C8" s="95" t="s">
        <v>19</v>
      </c>
      <c r="D8" s="94">
        <v>4</v>
      </c>
      <c r="E8" s="94" t="s">
        <v>194</v>
      </c>
      <c r="F8" s="94">
        <f>D8</f>
        <v>4</v>
      </c>
      <c r="G8" s="94">
        <v>163</v>
      </c>
      <c r="H8" s="94">
        <v>84</v>
      </c>
      <c r="I8" s="94">
        <v>32</v>
      </c>
      <c r="J8" s="95" t="s">
        <v>212</v>
      </c>
      <c r="K8" s="95" t="s">
        <v>213</v>
      </c>
    </row>
    <row r="9" spans="1:11">
      <c r="A9" s="95" t="s">
        <v>214</v>
      </c>
      <c r="B9" s="95" t="s">
        <v>215</v>
      </c>
      <c r="C9" s="95" t="s">
        <v>19</v>
      </c>
      <c r="D9" s="94">
        <v>2.8</v>
      </c>
      <c r="E9" s="94" t="s">
        <v>194</v>
      </c>
      <c r="F9" s="94">
        <f>D9</f>
        <v>2.8</v>
      </c>
      <c r="G9" s="94">
        <v>50</v>
      </c>
      <c r="H9" s="94">
        <v>95</v>
      </c>
      <c r="I9" s="94">
        <v>49</v>
      </c>
      <c r="J9" s="95" t="s">
        <v>216</v>
      </c>
      <c r="K9" s="95" t="s">
        <v>213</v>
      </c>
    </row>
    <row r="10" spans="1:11">
      <c r="A10" s="95" t="s">
        <v>210</v>
      </c>
      <c r="B10" s="95" t="s">
        <v>217</v>
      </c>
      <c r="C10" s="95" t="s">
        <v>19</v>
      </c>
      <c r="D10" s="94">
        <v>4.0999999999999996</v>
      </c>
      <c r="E10" s="94" t="s">
        <v>194</v>
      </c>
      <c r="F10" s="94">
        <f>D10</f>
        <v>4.0999999999999996</v>
      </c>
      <c r="G10" s="94">
        <v>133</v>
      </c>
      <c r="H10" s="94">
        <v>86</v>
      </c>
      <c r="I10" s="94">
        <v>33</v>
      </c>
      <c r="J10" s="95" t="s">
        <v>218</v>
      </c>
      <c r="K10" s="95" t="s">
        <v>219</v>
      </c>
    </row>
    <row r="11" spans="1:11">
      <c r="A11" s="95" t="s">
        <v>220</v>
      </c>
      <c r="B11" s="95" t="s">
        <v>221</v>
      </c>
      <c r="C11" s="95" t="s">
        <v>19</v>
      </c>
      <c r="D11" s="94">
        <v>-2.6</v>
      </c>
      <c r="E11" s="93" t="s">
        <v>207</v>
      </c>
      <c r="F11" s="18">
        <f>1.23-D11</f>
        <v>3.83</v>
      </c>
      <c r="G11" s="94">
        <v>1000</v>
      </c>
      <c r="H11" s="94">
        <v>93.1</v>
      </c>
      <c r="I11" s="94"/>
      <c r="J11" s="95" t="s">
        <v>222</v>
      </c>
      <c r="K11" s="95"/>
    </row>
    <row r="12" spans="1:11">
      <c r="A12" s="26" t="s">
        <v>223</v>
      </c>
      <c r="B12" s="26" t="s">
        <v>224</v>
      </c>
      <c r="C12" s="26" t="s">
        <v>25</v>
      </c>
      <c r="D12" s="23">
        <v>-2</v>
      </c>
      <c r="E12" s="23" t="s">
        <v>225</v>
      </c>
      <c r="F12" s="23"/>
      <c r="G12" s="23">
        <v>7.8</v>
      </c>
      <c r="H12" s="23">
        <v>47.5</v>
      </c>
      <c r="I12" s="23"/>
      <c r="J12" s="26" t="s">
        <v>226</v>
      </c>
      <c r="K12" s="26" t="s">
        <v>227</v>
      </c>
    </row>
    <row r="13" spans="1:11" ht="38.25">
      <c r="A13" s="26" t="s">
        <v>228</v>
      </c>
      <c r="B13" s="96" t="s">
        <v>229</v>
      </c>
      <c r="C13" s="26" t="s">
        <v>25</v>
      </c>
      <c r="D13" s="23">
        <v>2.67</v>
      </c>
      <c r="E13" s="23" t="s">
        <v>194</v>
      </c>
      <c r="F13" s="23">
        <f>D13</f>
        <v>2.67</v>
      </c>
      <c r="G13" s="23">
        <v>41.5</v>
      </c>
      <c r="H13" s="23">
        <v>77.599999999999994</v>
      </c>
      <c r="I13" s="23">
        <v>61.7</v>
      </c>
      <c r="J13" s="26" t="s">
        <v>230</v>
      </c>
      <c r="K13" s="26" t="s">
        <v>231</v>
      </c>
    </row>
    <row r="14" spans="1:11">
      <c r="A14" s="26" t="s">
        <v>232</v>
      </c>
      <c r="B14" s="26" t="s">
        <v>233</v>
      </c>
      <c r="C14" s="26" t="s">
        <v>31</v>
      </c>
      <c r="D14" s="23">
        <f>-1</f>
        <v>-1</v>
      </c>
      <c r="E14" s="23" t="s">
        <v>207</v>
      </c>
      <c r="F14" s="18">
        <f>1.23-D14</f>
        <v>2.23</v>
      </c>
      <c r="G14" s="23">
        <v>-2</v>
      </c>
      <c r="H14" s="23">
        <v>77.599999999999994</v>
      </c>
      <c r="I14" s="23"/>
      <c r="J14" s="26" t="s">
        <v>234</v>
      </c>
      <c r="K14" s="26" t="s">
        <v>235</v>
      </c>
    </row>
    <row r="15" spans="1:11" ht="38.25">
      <c r="A15" s="96" t="s">
        <v>236</v>
      </c>
      <c r="B15" s="26" t="s">
        <v>237</v>
      </c>
      <c r="C15" s="26" t="s">
        <v>31</v>
      </c>
      <c r="D15" s="23">
        <v>-0.71</v>
      </c>
      <c r="E15" s="23" t="s">
        <v>207</v>
      </c>
      <c r="F15" s="18">
        <f>1.23-D15</f>
        <v>1.94</v>
      </c>
      <c r="G15" s="23">
        <v>-1.2</v>
      </c>
      <c r="H15" s="23">
        <v>96.5</v>
      </c>
      <c r="I15" s="23"/>
      <c r="J15" s="26" t="s">
        <v>238</v>
      </c>
      <c r="K15" s="26" t="s">
        <v>239</v>
      </c>
    </row>
    <row r="16" spans="1:11">
      <c r="A16" s="26" t="s">
        <v>240</v>
      </c>
      <c r="B16" s="26" t="s">
        <v>241</v>
      </c>
      <c r="C16" s="97" t="s">
        <v>35</v>
      </c>
      <c r="D16" s="23">
        <v>-1.05</v>
      </c>
      <c r="E16" s="23" t="s">
        <v>207</v>
      </c>
      <c r="F16" s="18">
        <f>1.23-D16</f>
        <v>2.2800000000000002</v>
      </c>
      <c r="G16" s="23">
        <v>-8.1999999999999993</v>
      </c>
      <c r="H16" s="23">
        <v>29.1</v>
      </c>
      <c r="I16" s="23"/>
      <c r="J16" s="26" t="s">
        <v>242</v>
      </c>
      <c r="K16" s="26" t="s">
        <v>243</v>
      </c>
    </row>
    <row r="17" spans="1:11">
      <c r="A17" s="95" t="s">
        <v>244</v>
      </c>
      <c r="B17" s="95" t="s">
        <v>245</v>
      </c>
      <c r="C17" s="98" t="s">
        <v>35</v>
      </c>
      <c r="D17" s="94">
        <v>-0.7</v>
      </c>
      <c r="E17" s="94" t="s">
        <v>207</v>
      </c>
      <c r="F17" s="18">
        <f>1.23-D17</f>
        <v>1.93</v>
      </c>
      <c r="G17" s="94">
        <v>128</v>
      </c>
      <c r="H17" s="94">
        <v>43</v>
      </c>
      <c r="I17" s="94">
        <v>25</v>
      </c>
      <c r="J17" s="95" t="s">
        <v>246</v>
      </c>
      <c r="K17" s="95" t="s">
        <v>247</v>
      </c>
    </row>
    <row r="18" spans="1:11">
      <c r="A18" s="26" t="s">
        <v>248</v>
      </c>
      <c r="B18" s="26" t="s">
        <v>249</v>
      </c>
      <c r="C18" s="97" t="s">
        <v>35</v>
      </c>
      <c r="D18" s="23">
        <v>-0.5</v>
      </c>
      <c r="E18" s="23" t="s">
        <v>207</v>
      </c>
      <c r="F18" s="18">
        <f>1.23-D18</f>
        <v>1.73</v>
      </c>
      <c r="G18" s="23">
        <v>-0.35</v>
      </c>
      <c r="H18" s="23">
        <v>79.099999999999994</v>
      </c>
      <c r="I18" s="23"/>
      <c r="J18" s="26" t="s">
        <v>250</v>
      </c>
      <c r="K18" s="26" t="s">
        <v>251</v>
      </c>
    </row>
    <row r="19" spans="1:11">
      <c r="A19" s="26" t="s">
        <v>252</v>
      </c>
      <c r="B19" s="26" t="s">
        <v>253</v>
      </c>
      <c r="C19" s="97" t="s">
        <v>254</v>
      </c>
      <c r="D19" s="23">
        <v>-0.57999999999999996</v>
      </c>
      <c r="E19" s="23" t="s">
        <v>207</v>
      </c>
      <c r="F19" s="18">
        <f>1.23-D19</f>
        <v>1.81</v>
      </c>
      <c r="G19" s="23">
        <v>-0.3</v>
      </c>
      <c r="H19" s="23">
        <v>87</v>
      </c>
      <c r="I19" s="23"/>
      <c r="J19" s="26" t="s">
        <v>255</v>
      </c>
      <c r="K19" s="26" t="s">
        <v>256</v>
      </c>
    </row>
    <row r="20" spans="1:11">
      <c r="A20" s="99" t="s">
        <v>257</v>
      </c>
      <c r="B20" s="99" t="s">
        <v>258</v>
      </c>
      <c r="C20" s="99" t="s">
        <v>28</v>
      </c>
      <c r="D20" s="18">
        <v>-0.33</v>
      </c>
      <c r="E20" s="18" t="s">
        <v>207</v>
      </c>
      <c r="F20" s="18">
        <f>1.23-D20</f>
        <v>1.56</v>
      </c>
      <c r="G20" s="18">
        <v>0.95</v>
      </c>
      <c r="H20" s="18">
        <v>70</v>
      </c>
      <c r="I20" s="18"/>
      <c r="J20" s="99" t="s">
        <v>259</v>
      </c>
      <c r="K20" s="99" t="s">
        <v>260</v>
      </c>
    </row>
    <row r="21" spans="1:11">
      <c r="A21" s="100"/>
      <c r="B21" s="100"/>
      <c r="C21" s="101" t="s">
        <v>261</v>
      </c>
      <c r="D21" s="102"/>
      <c r="E21" s="102"/>
      <c r="F21" s="102"/>
      <c r="G21" s="102"/>
      <c r="H21" s="102"/>
      <c r="I21" s="102"/>
      <c r="J21" s="100" t="s">
        <v>262</v>
      </c>
      <c r="K21" s="100" t="s">
        <v>263</v>
      </c>
    </row>
    <row r="22" spans="1:11">
      <c r="C22" s="26" t="s">
        <v>264</v>
      </c>
    </row>
    <row r="48" spans="1:1">
      <c r="A48" s="15" t="s">
        <v>265</v>
      </c>
    </row>
    <row r="49" spans="1:3">
      <c r="A49" s="26" t="s">
        <v>266</v>
      </c>
      <c r="B49" s="103" t="s">
        <v>267</v>
      </c>
      <c r="C49" s="26" t="s">
        <v>268</v>
      </c>
    </row>
    <row r="50" spans="1:3">
      <c r="A50" s="26" t="s">
        <v>269</v>
      </c>
      <c r="B50" s="103" t="s">
        <v>270</v>
      </c>
      <c r="C50" s="26" t="s">
        <v>271</v>
      </c>
    </row>
    <row r="51" spans="1:3">
      <c r="A51" s="26" t="s">
        <v>272</v>
      </c>
      <c r="B51" s="103" t="s">
        <v>273</v>
      </c>
      <c r="C51" s="26" t="s">
        <v>274</v>
      </c>
    </row>
    <row r="52" spans="1:3">
      <c r="A52" s="26" t="s">
        <v>275</v>
      </c>
      <c r="B52" s="103" t="s">
        <v>276</v>
      </c>
      <c r="C52" s="26" t="s">
        <v>277</v>
      </c>
    </row>
    <row r="53" spans="1:3">
      <c r="A53" s="26" t="s">
        <v>278</v>
      </c>
      <c r="B53" s="103" t="s">
        <v>279</v>
      </c>
      <c r="C53" s="26" t="s">
        <v>280</v>
      </c>
    </row>
    <row r="54" spans="1:3">
      <c r="A54" s="26" t="s">
        <v>281</v>
      </c>
      <c r="B54" s="103" t="s">
        <v>282</v>
      </c>
      <c r="C54" s="26" t="s">
        <v>283</v>
      </c>
    </row>
    <row r="55" spans="1:3">
      <c r="A55" s="26" t="s">
        <v>284</v>
      </c>
      <c r="B55" s="103" t="s">
        <v>285</v>
      </c>
      <c r="C55" s="26" t="s">
        <v>286</v>
      </c>
    </row>
    <row r="56" spans="1:3">
      <c r="A56" s="26" t="s">
        <v>287</v>
      </c>
      <c r="B56" s="104" t="s">
        <v>288</v>
      </c>
      <c r="C56" s="26" t="s">
        <v>289</v>
      </c>
    </row>
    <row r="57" spans="1:3">
      <c r="A57" s="26" t="s">
        <v>290</v>
      </c>
      <c r="B57" s="104" t="s">
        <v>291</v>
      </c>
      <c r="C57" s="26" t="s">
        <v>292</v>
      </c>
    </row>
    <row r="58" spans="1:3">
      <c r="A58" s="26" t="s">
        <v>222</v>
      </c>
      <c r="B58" s="104" t="s">
        <v>293</v>
      </c>
      <c r="C58" s="26" t="s">
        <v>294</v>
      </c>
    </row>
    <row r="59" spans="1:3">
      <c r="A59" s="26" t="s">
        <v>234</v>
      </c>
      <c r="B59" s="104" t="s">
        <v>295</v>
      </c>
      <c r="C59" s="26" t="s">
        <v>296</v>
      </c>
    </row>
    <row r="60" spans="1:3">
      <c r="A60" s="26" t="s">
        <v>242</v>
      </c>
      <c r="B60" s="104" t="s">
        <v>297</v>
      </c>
      <c r="C60" s="26" t="s">
        <v>298</v>
      </c>
    </row>
    <row r="61" spans="1:3">
      <c r="A61" s="26" t="s">
        <v>246</v>
      </c>
      <c r="B61" s="104" t="s">
        <v>299</v>
      </c>
    </row>
    <row r="62" spans="1:3">
      <c r="A62" s="26" t="s">
        <v>300</v>
      </c>
      <c r="B62" s="26" t="s">
        <v>301</v>
      </c>
      <c r="C62" s="26" t="s">
        <v>302</v>
      </c>
    </row>
    <row r="63" spans="1:3">
      <c r="A63" s="26" t="s">
        <v>230</v>
      </c>
      <c r="B63" s="26" t="s">
        <v>303</v>
      </c>
      <c r="C63" s="26" t="s">
        <v>304</v>
      </c>
    </row>
    <row r="64" spans="1:3">
      <c r="A64" s="26" t="s">
        <v>259</v>
      </c>
      <c r="B64" s="104" t="s">
        <v>305</v>
      </c>
      <c r="C64" s="26" t="s">
        <v>306</v>
      </c>
    </row>
    <row r="65" spans="1:3">
      <c r="A65" s="26" t="s">
        <v>307</v>
      </c>
      <c r="B65" s="26" t="s">
        <v>308</v>
      </c>
      <c r="C65" s="26" t="s">
        <v>309</v>
      </c>
    </row>
    <row r="66" spans="1:3">
      <c r="A66" s="26" t="s">
        <v>310</v>
      </c>
      <c r="B66" s="26" t="s">
        <v>311</v>
      </c>
      <c r="C66" s="26" t="s">
        <v>312</v>
      </c>
    </row>
    <row r="67" spans="1:3">
      <c r="A67" s="26" t="s">
        <v>313</v>
      </c>
      <c r="B67" s="104" t="s">
        <v>314</v>
      </c>
      <c r="C67" s="26" t="s">
        <v>315</v>
      </c>
    </row>
    <row r="68" spans="1:3">
      <c r="A68" s="26" t="s">
        <v>238</v>
      </c>
      <c r="B68" s="104" t="s">
        <v>316</v>
      </c>
      <c r="C68" s="26" t="s">
        <v>317</v>
      </c>
    </row>
    <row r="69" spans="1:3">
      <c r="A69" s="26" t="s">
        <v>250</v>
      </c>
      <c r="B69" s="104" t="s">
        <v>318</v>
      </c>
      <c r="C69" s="26" t="s">
        <v>319</v>
      </c>
    </row>
    <row r="70" spans="1:3">
      <c r="A70" s="26" t="s">
        <v>320</v>
      </c>
      <c r="B70" s="104" t="s">
        <v>321</v>
      </c>
      <c r="C70" s="26" t="s">
        <v>322</v>
      </c>
    </row>
    <row r="71" spans="1:3">
      <c r="A71" s="26" t="s">
        <v>323</v>
      </c>
      <c r="B71" s="104" t="s">
        <v>324</v>
      </c>
      <c r="C71" s="26" t="s">
        <v>325</v>
      </c>
    </row>
    <row r="72" spans="1:3">
      <c r="B72" s="104"/>
    </row>
    <row r="74" spans="1:3">
      <c r="A74" s="105" t="s">
        <v>326</v>
      </c>
    </row>
  </sheetData>
  <hyperlinks>
    <hyperlink ref="B49" r:id="rId1" xr:uid="{00000000-0004-0000-0400-000000000000}"/>
    <hyperlink ref="B50" r:id="rId2" xr:uid="{00000000-0004-0000-0400-000001000000}"/>
    <hyperlink ref="B51" r:id="rId3" xr:uid="{00000000-0004-0000-0400-000002000000}"/>
    <hyperlink ref="B53" r:id="rId4" location="!divAbstract" xr:uid="{00000000-0004-0000-0400-000003000000}"/>
    <hyperlink ref="B54" r:id="rId5" location="!divAbstract" xr:uid="{00000000-0004-0000-0400-000004000000}"/>
    <hyperlink ref="B55" r:id="rId6" xr:uid="{00000000-0004-0000-0400-000005000000}"/>
    <hyperlink ref="B56" r:id="rId7" xr:uid="{00000000-0004-0000-0400-000006000000}"/>
    <hyperlink ref="B57" r:id="rId8" xr:uid="{00000000-0004-0000-0400-000007000000}"/>
    <hyperlink ref="B58" r:id="rId9" xr:uid="{00000000-0004-0000-0400-000008000000}"/>
    <hyperlink ref="B59" r:id="rId10" xr:uid="{00000000-0004-0000-0400-000009000000}"/>
    <hyperlink ref="B60" r:id="rId11" xr:uid="{00000000-0004-0000-0400-00000A000000}"/>
    <hyperlink ref="B61" r:id="rId12" xr:uid="{00000000-0004-0000-0400-00000B000000}"/>
    <hyperlink ref="B64" r:id="rId13" xr:uid="{00000000-0004-0000-0400-00000C000000}"/>
    <hyperlink ref="B67" r:id="rId14" location="!divAbstract" xr:uid="{00000000-0004-0000-0400-00000D000000}"/>
    <hyperlink ref="B68" r:id="rId15" xr:uid="{00000000-0004-0000-0400-00000E000000}"/>
    <hyperlink ref="B69" r:id="rId16" location="!divAbstract" xr:uid="{00000000-0004-0000-0400-00000F000000}"/>
    <hyperlink ref="B70" r:id="rId17" location="!divAbstract" xr:uid="{00000000-0004-0000-0400-000010000000}"/>
    <hyperlink ref="B71" r:id="rId18" xr:uid="{00000000-0004-0000-0400-000011000000}"/>
  </hyperlinks>
  <pageMargins left="0.7" right="0.7" top="0.75" bottom="0.75" header="0.51180555555555496" footer="0.51180555555555496"/>
  <pageSetup firstPageNumber="0" orientation="portrait" horizontalDpi="300" verticalDpi="300"/>
  <drawing r:id="rId19"/>
  <legacyDrawing r:id="rId2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N14"/>
  <sheetViews>
    <sheetView zoomScaleNormal="100" workbookViewId="0">
      <selection activeCell="L25" sqref="L25"/>
    </sheetView>
  </sheetViews>
  <sheetFormatPr defaultRowHeight="12.75"/>
  <cols>
    <col min="1" max="1" width="15.140625" customWidth="1"/>
    <col min="2" max="2" width="17.42578125" customWidth="1"/>
    <col min="3" max="7" width="8.7109375" customWidth="1"/>
    <col min="8" max="8" width="17.7109375" customWidth="1"/>
    <col min="9" max="9" width="12.7109375" customWidth="1"/>
    <col min="10" max="10" width="15.140625" customWidth="1"/>
    <col min="11" max="11" width="16.85546875" customWidth="1"/>
    <col min="12" max="12" width="27" customWidth="1"/>
    <col min="13" max="13" width="34" customWidth="1"/>
    <col min="14" max="1025" width="8.7109375" customWidth="1"/>
  </cols>
  <sheetData>
    <row r="3" spans="1:14">
      <c r="A3" s="8" t="s">
        <v>327</v>
      </c>
      <c r="B3" s="8"/>
      <c r="C3" s="8"/>
      <c r="D3" s="8"/>
      <c r="E3" s="8"/>
      <c r="H3" s="89" t="s">
        <v>184</v>
      </c>
      <c r="I3" s="89" t="s">
        <v>328</v>
      </c>
      <c r="J3" s="89" t="s">
        <v>329</v>
      </c>
      <c r="K3" s="89" t="s">
        <v>330</v>
      </c>
      <c r="L3" s="89" t="s">
        <v>331</v>
      </c>
      <c r="M3" s="89" t="s">
        <v>332</v>
      </c>
      <c r="N3" s="89" t="s">
        <v>333</v>
      </c>
    </row>
    <row r="4" spans="1:14">
      <c r="A4" s="7" t="s">
        <v>334</v>
      </c>
      <c r="B4" s="7" t="s">
        <v>335</v>
      </c>
      <c r="C4" s="6" t="s">
        <v>336</v>
      </c>
      <c r="D4" s="6"/>
      <c r="E4" s="6"/>
      <c r="H4" s="5" t="s">
        <v>337</v>
      </c>
      <c r="I4" s="5"/>
      <c r="J4" s="5"/>
      <c r="K4" s="5"/>
      <c r="L4" s="5"/>
      <c r="M4" s="5"/>
      <c r="N4" s="5"/>
    </row>
    <row r="5" spans="1:14">
      <c r="A5" s="7"/>
      <c r="B5" s="7"/>
      <c r="C5" s="107" t="s">
        <v>338</v>
      </c>
      <c r="D5" s="107" t="s">
        <v>339</v>
      </c>
      <c r="E5" s="107" t="s">
        <v>340</v>
      </c>
      <c r="H5" s="108" t="s">
        <v>341</v>
      </c>
      <c r="I5" s="109">
        <v>3</v>
      </c>
      <c r="J5" s="109">
        <v>200</v>
      </c>
      <c r="K5" s="109">
        <v>80</v>
      </c>
      <c r="L5" s="109" t="s">
        <v>342</v>
      </c>
      <c r="M5" s="109">
        <v>20</v>
      </c>
      <c r="N5" s="110"/>
    </row>
    <row r="6" spans="1:14" ht="14.25">
      <c r="A6" s="111" t="s">
        <v>343</v>
      </c>
      <c r="B6" s="35" t="s">
        <v>344</v>
      </c>
      <c r="C6" s="111">
        <v>8</v>
      </c>
      <c r="D6" s="111">
        <v>5</v>
      </c>
      <c r="E6" s="111">
        <v>2.5</v>
      </c>
      <c r="H6" s="4" t="s">
        <v>345</v>
      </c>
      <c r="I6" s="4"/>
      <c r="J6" s="4"/>
      <c r="K6" s="4"/>
      <c r="L6" s="4"/>
      <c r="M6" s="4"/>
      <c r="N6" s="4"/>
    </row>
    <row r="7" spans="1:14">
      <c r="A7" s="111" t="s">
        <v>346</v>
      </c>
      <c r="B7" s="111" t="s">
        <v>347</v>
      </c>
      <c r="C7" s="111"/>
      <c r="D7" s="111"/>
      <c r="E7" s="111"/>
      <c r="H7" s="111" t="s">
        <v>33</v>
      </c>
      <c r="I7" s="112">
        <f>'ECR - V, CD, FE Data'!F15</f>
        <v>1.94</v>
      </c>
      <c r="J7" s="111">
        <f>ABS('ECR - V, CD, FE Data'!G15)</f>
        <v>1.2</v>
      </c>
      <c r="K7" s="111">
        <f>'ECR - V, CD, FE Data'!H15</f>
        <v>96.5</v>
      </c>
      <c r="L7" s="111" t="s">
        <v>23</v>
      </c>
      <c r="M7" s="111">
        <f>100-K7</f>
        <v>3.5</v>
      </c>
      <c r="N7" s="111" t="str">
        <f>'ECR - V, CD, FE Data'!J15</f>
        <v>Zha (2019)</v>
      </c>
    </row>
    <row r="8" spans="1:14">
      <c r="A8" s="111" t="s">
        <v>348</v>
      </c>
      <c r="B8" s="111" t="s">
        <v>349</v>
      </c>
      <c r="C8" s="3">
        <v>170</v>
      </c>
      <c r="D8" s="3"/>
      <c r="E8" s="3"/>
      <c r="H8" s="114" t="s">
        <v>350</v>
      </c>
      <c r="I8" s="111">
        <f>'ECR - V, CD, FE Data'!F7</f>
        <v>3</v>
      </c>
      <c r="J8" s="111">
        <f>'ECR - V, CD, FE Data'!G7</f>
        <v>350</v>
      </c>
      <c r="K8" s="111">
        <f>'ECR - V, CD, FE Data'!H7</f>
        <v>100</v>
      </c>
      <c r="L8" s="111" t="s">
        <v>351</v>
      </c>
      <c r="M8" s="111" t="s">
        <v>118</v>
      </c>
      <c r="N8" s="115" t="str">
        <f>'ECR - V, CD, FE Data'!J7</f>
        <v>Ma (2016), DeLuna (2019), Hernandez (2017)</v>
      </c>
    </row>
    <row r="9" spans="1:14" ht="25.5">
      <c r="A9" s="8" t="s">
        <v>352</v>
      </c>
      <c r="B9" s="8"/>
      <c r="C9" s="8"/>
      <c r="D9" s="8"/>
      <c r="E9" s="8"/>
      <c r="H9" s="111" t="s">
        <v>35</v>
      </c>
      <c r="I9" s="112">
        <f>'ECR - V, CD, FE Data'!F17</f>
        <v>1.93</v>
      </c>
      <c r="J9" s="111">
        <f>'ECR - V, CD, FE Data'!G17</f>
        <v>128</v>
      </c>
      <c r="K9" s="111">
        <f>'ECR - V, CD, FE Data'!H17</f>
        <v>43</v>
      </c>
      <c r="L9" s="116" t="s">
        <v>353</v>
      </c>
      <c r="M9" s="111" t="s">
        <v>354</v>
      </c>
      <c r="N9" s="115" t="str">
        <f>'ECR - V, CD, FE Data'!J17</f>
        <v>Luo (2019)</v>
      </c>
    </row>
    <row r="10" spans="1:14">
      <c r="A10" s="111" t="s">
        <v>355</v>
      </c>
      <c r="B10" s="111" t="s">
        <v>356</v>
      </c>
      <c r="C10" s="3">
        <v>50</v>
      </c>
      <c r="D10" s="3"/>
      <c r="E10" s="3"/>
      <c r="H10" s="111" t="s">
        <v>254</v>
      </c>
      <c r="I10" s="112">
        <f>'ECR - V, CD, FE Data'!F19</f>
        <v>1.81</v>
      </c>
      <c r="J10" s="111">
        <f>ABS('ECR - V, CD, FE Data'!G19)</f>
        <v>0.3</v>
      </c>
      <c r="K10" s="111">
        <f>'ECR - V, CD, FE Data'!H19</f>
        <v>87</v>
      </c>
      <c r="L10" s="111" t="s">
        <v>44</v>
      </c>
      <c r="M10" s="111">
        <f>100-K10</f>
        <v>13</v>
      </c>
      <c r="N10" s="115" t="str">
        <f>'ECR - V, CD, FE Data'!J19</f>
        <v>Tamura (2015), Na (2019)</v>
      </c>
    </row>
    <row r="11" spans="1:14">
      <c r="A11" s="117" t="s">
        <v>357</v>
      </c>
      <c r="B11" s="117" t="s">
        <v>356</v>
      </c>
      <c r="C11" s="2">
        <v>80</v>
      </c>
      <c r="D11" s="2"/>
      <c r="E11" s="2"/>
      <c r="H11" s="111" t="s">
        <v>23</v>
      </c>
      <c r="I11" s="111">
        <f>'ECR - V, CD, FE Data'!F10</f>
        <v>4.0999999999999996</v>
      </c>
      <c r="J11" s="111">
        <f>'ECR - V, CD, FE Data'!G10</f>
        <v>133</v>
      </c>
      <c r="K11" s="111">
        <f>'ECR - V, CD, FE Data'!H10</f>
        <v>86</v>
      </c>
      <c r="L11" s="111" t="s">
        <v>350</v>
      </c>
      <c r="M11" s="111">
        <f>100-K11</f>
        <v>14</v>
      </c>
      <c r="N11" s="115" t="str">
        <f>'ECR - V, CD, FE Data'!J10</f>
        <v>Li (2006), DeLuna (2019)*</v>
      </c>
    </row>
    <row r="12" spans="1:14">
      <c r="H12" s="117" t="s">
        <v>25</v>
      </c>
      <c r="I12" s="117">
        <f>'ECR - V, CD, FE Data'!F13</f>
        <v>2.67</v>
      </c>
      <c r="J12" s="117">
        <f>'ECR - V, CD, FE Data'!G13</f>
        <v>41.5</v>
      </c>
      <c r="K12" s="117">
        <f>'ECR - V, CD, FE Data'!H13</f>
        <v>77.599999999999994</v>
      </c>
      <c r="L12" s="117" t="s">
        <v>358</v>
      </c>
      <c r="M12" s="117" t="s">
        <v>359</v>
      </c>
      <c r="N12" s="118" t="str">
        <f>'ECR - V, CD, FE Data'!J13</f>
        <v>Yang (2019)</v>
      </c>
    </row>
    <row r="13" spans="1:14">
      <c r="H13" s="115"/>
      <c r="I13" s="115"/>
      <c r="J13" s="115"/>
      <c r="K13" s="115"/>
      <c r="L13" s="115"/>
      <c r="M13" s="115"/>
      <c r="N13" s="115"/>
    </row>
    <row r="14" spans="1:14" ht="42.75" customHeight="1">
      <c r="H14" s="1" t="s">
        <v>360</v>
      </c>
      <c r="I14" s="1"/>
      <c r="J14" s="1"/>
      <c r="K14" s="1"/>
      <c r="L14" s="1"/>
      <c r="M14" s="1"/>
      <c r="N14" s="1"/>
    </row>
  </sheetData>
  <mergeCells count="11">
    <mergeCell ref="H14:N14"/>
    <mergeCell ref="H6:N6"/>
    <mergeCell ref="C8:E8"/>
    <mergeCell ref="A9:E9"/>
    <mergeCell ref="C10:E10"/>
    <mergeCell ref="C11:E11"/>
    <mergeCell ref="A3:E3"/>
    <mergeCell ref="A4:A5"/>
    <mergeCell ref="B4:B5"/>
    <mergeCell ref="C4:E4"/>
    <mergeCell ref="H4:N4"/>
  </mergeCells>
  <pageMargins left="0.7" right="0.7" top="0.75" bottom="0.75" header="0.51180555555555496" footer="0.51180555555555496"/>
  <pageSetup firstPageNumber="0"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4:J23"/>
  <sheetViews>
    <sheetView zoomScaleNormal="100" workbookViewId="0">
      <selection activeCell="B5" sqref="B5"/>
    </sheetView>
  </sheetViews>
  <sheetFormatPr defaultRowHeight="12.75"/>
  <cols>
    <col min="1" max="1" width="19" customWidth="1"/>
    <col min="2" max="2" width="29.85546875" customWidth="1"/>
    <col min="3" max="3" width="26.140625" customWidth="1"/>
    <col min="4" max="4" width="11" customWidth="1"/>
    <col min="5" max="5" width="14" customWidth="1"/>
    <col min="6" max="6" width="21.28515625" customWidth="1"/>
    <col min="7" max="7" width="16.7109375" customWidth="1"/>
    <col min="8" max="8" width="13.140625" customWidth="1"/>
    <col min="9" max="9" width="12.5703125" customWidth="1"/>
    <col min="10" max="10" width="29.28515625" customWidth="1"/>
    <col min="11" max="1025" width="8.7109375" customWidth="1"/>
  </cols>
  <sheetData>
    <row r="4" spans="1:10">
      <c r="A4" s="119" t="s">
        <v>184</v>
      </c>
      <c r="B4" s="119" t="s">
        <v>182</v>
      </c>
      <c r="C4" s="119" t="s">
        <v>183</v>
      </c>
      <c r="D4" s="106" t="s">
        <v>185</v>
      </c>
      <c r="E4" s="106" t="s">
        <v>186</v>
      </c>
      <c r="F4" s="106" t="s">
        <v>187</v>
      </c>
      <c r="G4" s="106" t="s">
        <v>188</v>
      </c>
      <c r="H4" s="106" t="s">
        <v>189</v>
      </c>
      <c r="I4" s="106" t="s">
        <v>190</v>
      </c>
      <c r="J4" s="119" t="s">
        <v>141</v>
      </c>
    </row>
    <row r="5" spans="1:10">
      <c r="A5" s="120" t="s">
        <v>28</v>
      </c>
      <c r="B5" s="121"/>
      <c r="C5" s="121"/>
      <c r="D5" s="122">
        <v>-0.33</v>
      </c>
      <c r="E5" s="122" t="s">
        <v>207</v>
      </c>
      <c r="F5" s="123">
        <f>1.23-D5</f>
        <v>1.56</v>
      </c>
      <c r="G5" s="122">
        <v>0.95</v>
      </c>
      <c r="H5" s="122">
        <v>70</v>
      </c>
      <c r="I5" s="122"/>
      <c r="J5" s="121" t="s">
        <v>259</v>
      </c>
    </row>
    <row r="6" spans="1:10">
      <c r="A6" s="124" t="s">
        <v>31</v>
      </c>
      <c r="B6" s="124" t="s">
        <v>232</v>
      </c>
      <c r="C6" s="124" t="s">
        <v>233</v>
      </c>
      <c r="D6" s="125">
        <f>-1</f>
        <v>-1</v>
      </c>
      <c r="E6" s="125" t="s">
        <v>207</v>
      </c>
      <c r="F6" s="126">
        <f>1.23-D6</f>
        <v>2.23</v>
      </c>
      <c r="G6" s="125">
        <v>-2</v>
      </c>
      <c r="H6" s="125">
        <v>77.599999999999994</v>
      </c>
      <c r="I6" s="125"/>
      <c r="J6" s="124" t="s">
        <v>234</v>
      </c>
    </row>
    <row r="7" spans="1:10" ht="38.25">
      <c r="A7" s="124" t="s">
        <v>31</v>
      </c>
      <c r="B7" s="127" t="s">
        <v>236</v>
      </c>
      <c r="C7" s="124" t="s">
        <v>237</v>
      </c>
      <c r="D7" s="125">
        <v>-0.71</v>
      </c>
      <c r="E7" s="125" t="s">
        <v>207</v>
      </c>
      <c r="F7" s="126">
        <f>1.23-D7</f>
        <v>1.94</v>
      </c>
      <c r="G7" s="125">
        <v>-1.2</v>
      </c>
      <c r="H7" s="125">
        <v>96.5</v>
      </c>
      <c r="I7" s="125"/>
      <c r="J7" s="124" t="s">
        <v>238</v>
      </c>
    </row>
    <row r="8" spans="1:10">
      <c r="A8" s="30" t="s">
        <v>43</v>
      </c>
      <c r="B8" s="30" t="s">
        <v>192</v>
      </c>
      <c r="C8" s="30" t="s">
        <v>193</v>
      </c>
      <c r="D8" s="114">
        <v>4.7</v>
      </c>
      <c r="E8" s="114" t="s">
        <v>194</v>
      </c>
      <c r="F8" s="114">
        <f>D8</f>
        <v>4.7</v>
      </c>
      <c r="G8" s="114">
        <v>300</v>
      </c>
      <c r="H8" s="114">
        <v>78</v>
      </c>
      <c r="I8" s="114">
        <v>25</v>
      </c>
      <c r="J8" s="30" t="s">
        <v>195</v>
      </c>
    </row>
    <row r="9" spans="1:10">
      <c r="A9" s="30" t="s">
        <v>43</v>
      </c>
      <c r="B9" s="30" t="s">
        <v>192</v>
      </c>
      <c r="C9" s="30" t="s">
        <v>197</v>
      </c>
      <c r="D9" s="114">
        <v>4</v>
      </c>
      <c r="E9" s="114" t="s">
        <v>194</v>
      </c>
      <c r="F9" s="114">
        <f>D9</f>
        <v>4</v>
      </c>
      <c r="G9" s="114">
        <v>275</v>
      </c>
      <c r="H9" s="114">
        <v>87</v>
      </c>
      <c r="I9" s="114"/>
      <c r="J9" s="30" t="s">
        <v>198</v>
      </c>
    </row>
    <row r="10" spans="1:10">
      <c r="A10" s="30" t="s">
        <v>43</v>
      </c>
      <c r="B10" s="30" t="s">
        <v>200</v>
      </c>
      <c r="C10" s="30" t="s">
        <v>201</v>
      </c>
      <c r="D10" s="114">
        <v>-2.96</v>
      </c>
      <c r="E10" s="114" t="s">
        <v>202</v>
      </c>
      <c r="F10" s="114" t="s">
        <v>118</v>
      </c>
      <c r="G10" s="114">
        <v>100</v>
      </c>
      <c r="H10" s="114">
        <v>52.7</v>
      </c>
      <c r="I10" s="114"/>
      <c r="J10" s="30" t="s">
        <v>203</v>
      </c>
    </row>
    <row r="11" spans="1:10">
      <c r="A11" s="30" t="s">
        <v>43</v>
      </c>
      <c r="B11" s="30" t="s">
        <v>205</v>
      </c>
      <c r="C11" s="30" t="s">
        <v>206</v>
      </c>
      <c r="D11" s="114">
        <v>-0.8</v>
      </c>
      <c r="E11" s="114" t="s">
        <v>207</v>
      </c>
      <c r="F11" s="125">
        <v>3</v>
      </c>
      <c r="G11" s="114">
        <v>350</v>
      </c>
      <c r="H11" s="114">
        <v>100</v>
      </c>
      <c r="I11" s="114">
        <v>45.4</v>
      </c>
      <c r="J11" s="30" t="s">
        <v>208</v>
      </c>
    </row>
    <row r="12" spans="1:10">
      <c r="A12" s="128" t="s">
        <v>35</v>
      </c>
      <c r="B12" s="124" t="s">
        <v>240</v>
      </c>
      <c r="C12" s="124" t="s">
        <v>241</v>
      </c>
      <c r="D12" s="125">
        <v>-1.05</v>
      </c>
      <c r="E12" s="125" t="s">
        <v>207</v>
      </c>
      <c r="F12" s="126">
        <f>1.23-D12</f>
        <v>2.2800000000000002</v>
      </c>
      <c r="G12" s="125">
        <v>-8.1999999999999993</v>
      </c>
      <c r="H12" s="125">
        <v>29.1</v>
      </c>
      <c r="I12" s="125"/>
      <c r="J12" s="124" t="s">
        <v>242</v>
      </c>
    </row>
    <row r="13" spans="1:10">
      <c r="A13" s="128" t="s">
        <v>35</v>
      </c>
      <c r="B13" s="124" t="s">
        <v>244</v>
      </c>
      <c r="C13" s="124" t="s">
        <v>245</v>
      </c>
      <c r="D13" s="125">
        <v>-0.7</v>
      </c>
      <c r="E13" s="125" t="s">
        <v>207</v>
      </c>
      <c r="F13" s="126">
        <f>1.23-D13</f>
        <v>1.93</v>
      </c>
      <c r="G13" s="125">
        <v>128</v>
      </c>
      <c r="H13" s="125">
        <v>43</v>
      </c>
      <c r="I13" s="125">
        <v>25</v>
      </c>
      <c r="J13" s="124" t="s">
        <v>246</v>
      </c>
    </row>
    <row r="14" spans="1:10">
      <c r="A14" s="128" t="s">
        <v>35</v>
      </c>
      <c r="B14" s="124" t="s">
        <v>248</v>
      </c>
      <c r="C14" s="124" t="s">
        <v>249</v>
      </c>
      <c r="D14" s="125">
        <v>-0.5</v>
      </c>
      <c r="E14" s="125" t="s">
        <v>207</v>
      </c>
      <c r="F14" s="126">
        <f>1.23-D14</f>
        <v>1.73</v>
      </c>
      <c r="G14" s="125">
        <v>-0.35</v>
      </c>
      <c r="H14" s="125">
        <v>79.099999999999994</v>
      </c>
      <c r="I14" s="125"/>
      <c r="J14" s="124" t="s">
        <v>250</v>
      </c>
    </row>
    <row r="15" spans="1:10">
      <c r="A15" s="128" t="s">
        <v>254</v>
      </c>
      <c r="B15" s="124" t="s">
        <v>252</v>
      </c>
      <c r="C15" s="124" t="s">
        <v>253</v>
      </c>
      <c r="D15" s="125">
        <v>-0.57999999999999996</v>
      </c>
      <c r="E15" s="125" t="s">
        <v>207</v>
      </c>
      <c r="F15" s="126">
        <f>1.23-D15</f>
        <v>1.81</v>
      </c>
      <c r="G15" s="125">
        <v>-0.3</v>
      </c>
      <c r="H15" s="125">
        <v>87</v>
      </c>
      <c r="I15" s="125"/>
      <c r="J15" s="124" t="s">
        <v>255</v>
      </c>
    </row>
    <row r="16" spans="1:10">
      <c r="A16" s="124" t="s">
        <v>19</v>
      </c>
      <c r="B16" s="124" t="s">
        <v>210</v>
      </c>
      <c r="C16" s="124" t="s">
        <v>211</v>
      </c>
      <c r="D16" s="125">
        <v>4</v>
      </c>
      <c r="E16" s="125" t="s">
        <v>194</v>
      </c>
      <c r="F16" s="125">
        <f>D16</f>
        <v>4</v>
      </c>
      <c r="G16" s="125">
        <v>163</v>
      </c>
      <c r="H16" s="125">
        <v>84</v>
      </c>
      <c r="I16" s="125">
        <v>32</v>
      </c>
      <c r="J16" s="124" t="s">
        <v>212</v>
      </c>
    </row>
    <row r="17" spans="1:10">
      <c r="A17" s="124" t="s">
        <v>19</v>
      </c>
      <c r="B17" s="124" t="s">
        <v>214</v>
      </c>
      <c r="C17" s="124" t="s">
        <v>215</v>
      </c>
      <c r="D17" s="125">
        <v>2.8</v>
      </c>
      <c r="E17" s="125" t="s">
        <v>194</v>
      </c>
      <c r="F17" s="125">
        <f>D17</f>
        <v>2.8</v>
      </c>
      <c r="G17" s="125">
        <v>50</v>
      </c>
      <c r="H17" s="125">
        <v>95</v>
      </c>
      <c r="I17" s="125">
        <v>49</v>
      </c>
      <c r="J17" s="124" t="s">
        <v>216</v>
      </c>
    </row>
    <row r="18" spans="1:10">
      <c r="A18" s="124" t="s">
        <v>19</v>
      </c>
      <c r="B18" s="124" t="s">
        <v>210</v>
      </c>
      <c r="C18" s="124" t="s">
        <v>217</v>
      </c>
      <c r="D18" s="125">
        <v>4.0999999999999996</v>
      </c>
      <c r="E18" s="125" t="s">
        <v>194</v>
      </c>
      <c r="F18" s="125">
        <f>D18</f>
        <v>4.0999999999999996</v>
      </c>
      <c r="G18" s="125">
        <v>133</v>
      </c>
      <c r="H18" s="125">
        <v>86</v>
      </c>
      <c r="I18" s="125">
        <v>33</v>
      </c>
      <c r="J18" s="124" t="s">
        <v>218</v>
      </c>
    </row>
    <row r="19" spans="1:10">
      <c r="A19" s="124" t="s">
        <v>19</v>
      </c>
      <c r="B19" s="124" t="s">
        <v>220</v>
      </c>
      <c r="C19" s="124" t="s">
        <v>221</v>
      </c>
      <c r="D19" s="125">
        <v>-2.6</v>
      </c>
      <c r="E19" s="114" t="s">
        <v>207</v>
      </c>
      <c r="F19" s="126">
        <f>1.23-D19</f>
        <v>3.83</v>
      </c>
      <c r="G19" s="125">
        <v>1000</v>
      </c>
      <c r="H19" s="125">
        <v>93.1</v>
      </c>
      <c r="I19" s="125"/>
      <c r="J19" s="124" t="s">
        <v>222</v>
      </c>
    </row>
    <row r="20" spans="1:10">
      <c r="A20" s="124" t="s">
        <v>25</v>
      </c>
      <c r="B20" s="124" t="s">
        <v>223</v>
      </c>
      <c r="C20" s="124" t="s">
        <v>224</v>
      </c>
      <c r="D20" s="125">
        <v>-2</v>
      </c>
      <c r="E20" s="125" t="s">
        <v>225</v>
      </c>
      <c r="F20" s="125" t="s">
        <v>118</v>
      </c>
      <c r="G20" s="125">
        <v>7.8</v>
      </c>
      <c r="H20" s="125">
        <v>47.5</v>
      </c>
      <c r="I20" s="125"/>
      <c r="J20" s="124" t="s">
        <v>226</v>
      </c>
    </row>
    <row r="21" spans="1:10" ht="38.25">
      <c r="A21" s="129" t="s">
        <v>25</v>
      </c>
      <c r="B21" s="129" t="s">
        <v>228</v>
      </c>
      <c r="C21" s="130" t="s">
        <v>229</v>
      </c>
      <c r="D21" s="131">
        <v>2.67</v>
      </c>
      <c r="E21" s="131" t="s">
        <v>194</v>
      </c>
      <c r="F21" s="131">
        <f>D21</f>
        <v>2.67</v>
      </c>
      <c r="G21" s="131">
        <v>41.5</v>
      </c>
      <c r="H21" s="131">
        <v>77.599999999999994</v>
      </c>
      <c r="I21" s="131">
        <v>61.7</v>
      </c>
      <c r="J21" s="129" t="s">
        <v>230</v>
      </c>
    </row>
    <row r="23" spans="1:10" ht="30" customHeight="1">
      <c r="A23" s="1" t="s">
        <v>360</v>
      </c>
      <c r="B23" s="1"/>
      <c r="C23" s="1"/>
      <c r="D23" s="1"/>
      <c r="E23" s="1"/>
      <c r="F23" s="1"/>
      <c r="G23" s="1"/>
      <c r="H23" s="1"/>
      <c r="I23" s="1"/>
      <c r="J23" s="1"/>
    </row>
  </sheetData>
  <autoFilter ref="A4:J4" xr:uid="{00000000-0009-0000-0000-000006000000}"/>
  <mergeCells count="1">
    <mergeCell ref="A23:J23"/>
  </mergeCells>
  <pageMargins left="0.7" right="0.7" top="0.75" bottom="0.75" header="0.51180555555555496" footer="0.51180555555555496"/>
  <pageSetup firstPageNumber="0" orientation="portrait" horizontalDpi="300" verticalDpi="300"/>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5"/>
  <sheetViews>
    <sheetView tabSelected="1" zoomScaleNormal="100" workbookViewId="0">
      <selection activeCell="O16" sqref="O16"/>
    </sheetView>
  </sheetViews>
  <sheetFormatPr defaultRowHeight="12.75"/>
  <cols>
    <col min="2" max="2" width="12.85546875" customWidth="1"/>
    <col min="5" max="5" width="21.85546875" customWidth="1"/>
    <col min="6" max="6" width="20.140625" customWidth="1"/>
    <col min="7" max="7" width="18.140625" customWidth="1"/>
    <col min="8" max="8" width="26" customWidth="1"/>
    <col min="15" max="15" width="19.5703125" customWidth="1"/>
  </cols>
  <sheetData>
    <row r="1" spans="1:20" ht="23.85">
      <c r="A1" s="15" t="s">
        <v>65</v>
      </c>
      <c r="B1" s="15" t="s">
        <v>0</v>
      </c>
      <c r="C1" s="16" t="s">
        <v>361</v>
      </c>
      <c r="D1" s="16" t="s">
        <v>84</v>
      </c>
      <c r="E1" s="132" t="s">
        <v>362</v>
      </c>
      <c r="F1" s="132" t="s">
        <v>363</v>
      </c>
      <c r="G1" s="132" t="s">
        <v>364</v>
      </c>
      <c r="H1" s="133" t="s">
        <v>365</v>
      </c>
      <c r="I1" s="134" t="s">
        <v>366</v>
      </c>
      <c r="J1" s="134" t="s">
        <v>367</v>
      </c>
      <c r="K1" s="134" t="s">
        <v>368</v>
      </c>
      <c r="L1" s="134" t="s">
        <v>369</v>
      </c>
      <c r="M1" s="134" t="s">
        <v>95</v>
      </c>
      <c r="N1" s="134" t="s">
        <v>62</v>
      </c>
      <c r="O1" s="15" t="s">
        <v>370</v>
      </c>
    </row>
    <row r="2" spans="1:20">
      <c r="A2" t="s">
        <v>78</v>
      </c>
      <c r="B2" t="s">
        <v>19</v>
      </c>
      <c r="C2" s="14">
        <v>3</v>
      </c>
      <c r="D2" s="14">
        <v>1</v>
      </c>
      <c r="E2" s="135">
        <f>D2/C2*Substrates!H28/Substrates!H16</f>
        <v>0.31872670208179776</v>
      </c>
      <c r="F2" s="14">
        <v>0.13</v>
      </c>
      <c r="G2" s="136">
        <f>F2/E2</f>
        <v>0.40787294930387386</v>
      </c>
      <c r="H2" s="135">
        <f>10/1.4-C2</f>
        <v>4.1428571428571432</v>
      </c>
      <c r="I2" s="137">
        <f>sFormate_pwFormolase!G19</f>
        <v>-1</v>
      </c>
      <c r="J2" s="14">
        <f>sFormate_pwFormolase!H19</f>
        <v>0</v>
      </c>
      <c r="K2" s="25"/>
      <c r="L2" s="137">
        <f>sFormate_pwFormolase!J19</f>
        <v>-2</v>
      </c>
      <c r="M2" s="138">
        <f>sFormate_pwFormolase!L19</f>
        <v>4</v>
      </c>
      <c r="N2" s="138">
        <f>sFormate_pwFormolase!M19</f>
        <v>1</v>
      </c>
      <c r="O2" t="s">
        <v>371</v>
      </c>
    </row>
    <row r="3" spans="1:20">
      <c r="A3" t="s">
        <v>79</v>
      </c>
      <c r="B3" t="s">
        <v>19</v>
      </c>
      <c r="C3" s="14">
        <v>1</v>
      </c>
      <c r="D3" s="14">
        <v>1</v>
      </c>
      <c r="E3" s="135">
        <f>D3/C3*Substrates!H28/Substrates!H16</f>
        <v>0.9561801062453934</v>
      </c>
      <c r="F3" s="14">
        <v>0.04</v>
      </c>
      <c r="G3" s="136">
        <f>F3/E3</f>
        <v>4.1833123005525517E-2</v>
      </c>
      <c r="H3" s="135">
        <f>10/0.5-C3</f>
        <v>19</v>
      </c>
      <c r="I3" s="137">
        <f>sFormate_pwSerineCycle!G18</f>
        <v>-2</v>
      </c>
      <c r="J3" s="137">
        <f>sFormate_pwSerineCycle!H18</f>
        <v>-1</v>
      </c>
      <c r="K3" s="25"/>
      <c r="L3" s="137">
        <f>sFormate_pwSerineCycle!J18</f>
        <v>-3</v>
      </c>
      <c r="M3" s="138">
        <f>sFormate_pwSerineCycle!L18</f>
        <v>1</v>
      </c>
      <c r="N3" s="137">
        <f>sFormate_pwSerineCycle!M18</f>
        <v>-1</v>
      </c>
      <c r="O3" t="s">
        <v>372</v>
      </c>
    </row>
    <row r="4" spans="1:20">
      <c r="A4" t="s">
        <v>373</v>
      </c>
      <c r="B4" t="s">
        <v>19</v>
      </c>
      <c r="C4" s="14">
        <v>2</v>
      </c>
      <c r="D4" s="14">
        <v>1</v>
      </c>
      <c r="E4" s="135">
        <f>D4/C4*Substrates!H28/Substrates!H16</f>
        <v>0.4780900531226967</v>
      </c>
      <c r="F4" s="14">
        <v>0.09</v>
      </c>
      <c r="G4" s="136">
        <f>F4/E4</f>
        <v>0.18824905352486482</v>
      </c>
      <c r="H4" s="135">
        <f>10/1-C4</f>
        <v>8</v>
      </c>
      <c r="I4" s="14">
        <f>sFormate_pwRGPviaSerine!G14</f>
        <v>0</v>
      </c>
      <c r="J4" s="137">
        <f>sFormate_pwRGPviaSerine!H14</f>
        <v>-2</v>
      </c>
      <c r="K4" s="25"/>
      <c r="L4" s="137">
        <f>sFormate_pwRGPviaSerine!J14</f>
        <v>-2</v>
      </c>
      <c r="M4" s="14">
        <f>sFormate_pwRGPviaSerine!L14</f>
        <v>0</v>
      </c>
      <c r="N4" s="14">
        <f>sFormate_pwRGPviaSerine!M14</f>
        <v>0</v>
      </c>
      <c r="O4" t="s">
        <v>374</v>
      </c>
    </row>
    <row r="5" spans="1:20">
      <c r="A5" t="s">
        <v>78</v>
      </c>
      <c r="B5" t="s">
        <v>25</v>
      </c>
      <c r="C5" s="14">
        <v>3</v>
      </c>
      <c r="D5" s="14">
        <v>1</v>
      </c>
      <c r="E5" s="135">
        <f>D5/C5*Substrates!H28/Substrates!H7</f>
        <v>0.44779958382567031</v>
      </c>
      <c r="F5" s="14">
        <v>0.75</v>
      </c>
      <c r="G5" s="136">
        <f>F5/E5</f>
        <v>1.6748564024837889</v>
      </c>
      <c r="H5" s="135">
        <f>10/5.6-C5</f>
        <v>-1.2142857142857142</v>
      </c>
      <c r="I5" s="138">
        <f>sMethanol_pwFormolase!G17</f>
        <v>5</v>
      </c>
      <c r="J5" s="14">
        <f>sMethanol_pwFormolase!H17</f>
        <v>0</v>
      </c>
      <c r="K5" s="25"/>
      <c r="L5" s="138">
        <f>sMethanol_pwFormolase!J17</f>
        <v>1</v>
      </c>
      <c r="M5" s="138">
        <f>sMethanol_pwFormolase!L17</f>
        <v>4</v>
      </c>
      <c r="N5" s="138">
        <f>sMethanol_pwFormolase!M17</f>
        <v>1</v>
      </c>
      <c r="O5" s="99" t="s">
        <v>375</v>
      </c>
      <c r="P5" s="99"/>
      <c r="Q5" s="99"/>
      <c r="R5" s="99"/>
    </row>
    <row r="6" spans="1:20">
      <c r="A6" t="s">
        <v>79</v>
      </c>
      <c r="B6" t="s">
        <v>25</v>
      </c>
      <c r="C6" s="14">
        <v>1</v>
      </c>
      <c r="D6" s="14">
        <v>1</v>
      </c>
      <c r="E6" s="135">
        <f>D6/C6*Substrates!H28/Substrates!H7</f>
        <v>1.3433987514770109</v>
      </c>
      <c r="F6" s="14">
        <v>0.6</v>
      </c>
      <c r="G6" s="136">
        <f>F6/E6</f>
        <v>0.44662837399567701</v>
      </c>
      <c r="H6" s="135">
        <f>10/4.4-C6</f>
        <v>1.2727272727272725</v>
      </c>
      <c r="I6" s="14">
        <f>sMethanol_pwSerineCycle!H19</f>
        <v>0</v>
      </c>
      <c r="J6" s="137">
        <f>sMethanol_pwSerineCycle!I19</f>
        <v>-1</v>
      </c>
      <c r="K6" s="25"/>
      <c r="L6" s="137">
        <f>sMethanol_pwSerineCycle!K19</f>
        <v>-3</v>
      </c>
      <c r="M6" s="138">
        <f>sMethanol_pwSerineCycle!M19</f>
        <v>2</v>
      </c>
      <c r="N6" s="137">
        <f>sMethanol_pwSerineCycle!N19</f>
        <v>-1</v>
      </c>
      <c r="O6" t="s">
        <v>376</v>
      </c>
    </row>
    <row r="7" spans="1:20">
      <c r="A7" t="s">
        <v>377</v>
      </c>
      <c r="B7" t="s">
        <v>25</v>
      </c>
      <c r="C7" s="14">
        <v>3</v>
      </c>
      <c r="D7" s="14">
        <v>1</v>
      </c>
      <c r="E7" s="135">
        <f>D7/C7*Substrates!H28/Substrates!H7</f>
        <v>0.44779958382567031</v>
      </c>
      <c r="F7" s="14">
        <v>0.75</v>
      </c>
      <c r="G7" s="136">
        <f>F7/E7</f>
        <v>1.6748564024837889</v>
      </c>
      <c r="H7" s="135">
        <f>10/5.6-C7</f>
        <v>-1.2142857142857142</v>
      </c>
      <c r="I7" s="138">
        <f>sMethanol_pwRuMP!G17</f>
        <v>5</v>
      </c>
      <c r="J7" s="14">
        <f>sMethanol_pwRuMP!H17</f>
        <v>0</v>
      </c>
      <c r="K7" s="25"/>
      <c r="L7" s="138">
        <f>sMethanol_pwRuMP!J17</f>
        <v>1</v>
      </c>
      <c r="M7" s="138">
        <f>sMethanol_pwRuMP!L17</f>
        <v>5</v>
      </c>
      <c r="N7" s="138">
        <f>sMethanol_pwRuMP!M17</f>
        <v>1</v>
      </c>
      <c r="O7" s="99" t="s">
        <v>378</v>
      </c>
      <c r="P7" s="99"/>
      <c r="Q7" s="99"/>
      <c r="R7" s="99"/>
    </row>
    <row r="8" spans="1:20">
      <c r="A8" s="24"/>
      <c r="B8" s="24"/>
      <c r="C8" s="25"/>
      <c r="D8" s="25"/>
      <c r="E8" s="139"/>
      <c r="F8" s="25"/>
      <c r="G8" s="25"/>
      <c r="H8" s="139"/>
      <c r="I8" s="25"/>
      <c r="J8" s="25"/>
      <c r="K8" s="25"/>
      <c r="L8" s="25"/>
      <c r="M8" s="25"/>
      <c r="N8" s="25"/>
      <c r="O8" s="24"/>
      <c r="P8" s="24"/>
      <c r="Q8" s="24"/>
      <c r="R8" s="24"/>
    </row>
    <row r="9" spans="1:20">
      <c r="A9" t="s">
        <v>379</v>
      </c>
      <c r="B9" t="s">
        <v>47</v>
      </c>
      <c r="C9" s="14">
        <v>2</v>
      </c>
      <c r="D9" s="14">
        <v>1</v>
      </c>
      <c r="E9" s="135">
        <f>D9/C9*Substrates!H28/Substrates!H18</f>
        <v>0.76837524143421732</v>
      </c>
      <c r="F9" s="135">
        <v>0.38418350589075301</v>
      </c>
      <c r="G9" s="136">
        <f>F9/$E$9</f>
        <v>0.49999464476972477</v>
      </c>
      <c r="H9" s="135">
        <f>10/2.5-C9</f>
        <v>2</v>
      </c>
      <c r="I9" s="137">
        <f>'sCO-FOR_pwWLP'!G17</f>
        <v>-2</v>
      </c>
      <c r="J9" s="137">
        <f>'sCO-FOR_pwWLP'!H17</f>
        <v>-1</v>
      </c>
      <c r="K9" s="14">
        <f>'sCO-FOR_pwWLP'!I17</f>
        <v>0</v>
      </c>
      <c r="L9" s="137">
        <f>'sCO-FOR_pwWLP'!J17</f>
        <v>-1</v>
      </c>
      <c r="M9" s="137">
        <f>'sCO-FOR_pwWLP'!K17</f>
        <v>-2</v>
      </c>
      <c r="N9" s="14">
        <f>'sCO-FOR_pwWLP'!L17</f>
        <v>0</v>
      </c>
      <c r="O9" t="s">
        <v>380</v>
      </c>
      <c r="T9" s="135">
        <f>2.5/10*43/28</f>
        <v>0.38392857142857145</v>
      </c>
    </row>
    <row r="10" spans="1:20">
      <c r="A10" t="s">
        <v>379</v>
      </c>
      <c r="B10" t="s">
        <v>48</v>
      </c>
      <c r="C10" s="14">
        <v>2</v>
      </c>
      <c r="D10" s="14">
        <v>1</v>
      </c>
      <c r="E10" s="135"/>
      <c r="F10" s="135">
        <v>0.53586105520711302</v>
      </c>
      <c r="G10" s="136">
        <f>F10/$E$9</f>
        <v>0.69739500482459205</v>
      </c>
      <c r="H10" s="135">
        <f>10/3.6-C10</f>
        <v>0.77777777777777768</v>
      </c>
      <c r="I10" s="14"/>
      <c r="J10" s="14"/>
      <c r="K10" s="14"/>
      <c r="L10" s="14"/>
      <c r="M10" s="14"/>
      <c r="N10" s="14"/>
      <c r="O10" t="s">
        <v>381</v>
      </c>
      <c r="T10" s="135">
        <f>3.6/10*43/28</f>
        <v>0.55285714285714282</v>
      </c>
    </row>
    <row r="11" spans="1:20">
      <c r="A11" t="s">
        <v>379</v>
      </c>
      <c r="B11" t="s">
        <v>50</v>
      </c>
      <c r="C11" s="14">
        <v>2</v>
      </c>
      <c r="D11" s="14">
        <v>1</v>
      </c>
      <c r="E11" s="135"/>
      <c r="F11" s="135">
        <v>0.65226748817691305</v>
      </c>
      <c r="G11" s="136">
        <f>F11/$E$9</f>
        <v>0.84889186038766373</v>
      </c>
      <c r="H11" s="135">
        <f>10/4.55-C11</f>
        <v>0.19780219780219799</v>
      </c>
      <c r="I11" s="14"/>
      <c r="J11" s="14"/>
      <c r="K11" s="14"/>
      <c r="L11" s="14"/>
      <c r="M11" s="14"/>
      <c r="N11" s="14"/>
      <c r="O11" t="s">
        <v>382</v>
      </c>
      <c r="T11" s="135">
        <f>4.55/10*43/29</f>
        <v>0.67465517241379303</v>
      </c>
    </row>
    <row r="12" spans="1:20">
      <c r="A12" t="s">
        <v>379</v>
      </c>
      <c r="B12" t="s">
        <v>52</v>
      </c>
      <c r="C12" s="14">
        <v>2</v>
      </c>
      <c r="D12" s="14">
        <v>1</v>
      </c>
      <c r="E12" s="135"/>
      <c r="F12" s="135">
        <v>0.66196938320419396</v>
      </c>
      <c r="G12" s="136">
        <f>F12/$E$9</f>
        <v>0.86151836694866613</v>
      </c>
      <c r="H12" s="135">
        <f>10/4.64-C12</f>
        <v>0.15517241379310365</v>
      </c>
      <c r="I12" s="14"/>
      <c r="J12" s="14"/>
      <c r="K12" s="14"/>
      <c r="L12" s="14"/>
      <c r="M12" s="14"/>
      <c r="N12" s="14"/>
      <c r="O12" t="s">
        <v>383</v>
      </c>
      <c r="T12" s="135">
        <f>4.64/10*43/28</f>
        <v>0.71257142857142852</v>
      </c>
    </row>
    <row r="13" spans="1:20">
      <c r="A13" t="s">
        <v>379</v>
      </c>
      <c r="B13" t="s">
        <v>54</v>
      </c>
      <c r="C13" s="14">
        <v>2</v>
      </c>
      <c r="D13" s="14">
        <v>1</v>
      </c>
      <c r="E13" s="135">
        <f>D13/C13*Substrates!H28/Substrates!H22</f>
        <v>0.4780900531226967</v>
      </c>
      <c r="F13" s="135">
        <v>0.233783912960356</v>
      </c>
      <c r="G13" s="136">
        <f>F13/$E$13</f>
        <v>0.48899555937918221</v>
      </c>
      <c r="H13" s="135">
        <f>10/2.5-C13</f>
        <v>2</v>
      </c>
      <c r="I13" s="137">
        <f>'sCO-FOR_pwWLP'!G40</f>
        <v>-2</v>
      </c>
      <c r="J13" s="137">
        <f>'sCO-FOR_pwWLP'!H40</f>
        <v>-1</v>
      </c>
      <c r="K13" s="140">
        <f>'sCO-FOR_pwWLP'!I40</f>
        <v>1</v>
      </c>
      <c r="L13" s="137">
        <f>'sCO-FOR_pwWLP'!J40</f>
        <v>-1</v>
      </c>
      <c r="M13" s="137">
        <f>'sCO-FOR_pwWLP'!K40</f>
        <v>-1</v>
      </c>
      <c r="N13" s="14">
        <f>'sCO-FOR_pwWLP'!L40</f>
        <v>0</v>
      </c>
      <c r="O13" t="s">
        <v>384</v>
      </c>
      <c r="T13" s="135">
        <f>2.5/10*43/45</f>
        <v>0.2388888888888889</v>
      </c>
    </row>
    <row r="14" spans="1:20">
      <c r="A14" t="s">
        <v>379</v>
      </c>
      <c r="B14" t="s">
        <v>56</v>
      </c>
      <c r="C14" s="14">
        <v>2</v>
      </c>
      <c r="D14" s="14">
        <v>1</v>
      </c>
      <c r="E14" s="135"/>
      <c r="F14" s="135">
        <v>0.33057843299828199</v>
      </c>
      <c r="G14" s="136">
        <f>F14/$E$13</f>
        <v>0.69145641252955026</v>
      </c>
      <c r="H14" s="135">
        <f>10/3.6-C14</f>
        <v>0.77777777777777768</v>
      </c>
      <c r="O14" t="s">
        <v>385</v>
      </c>
      <c r="T14" s="135">
        <f>3.6/10*43/45</f>
        <v>0.34399999999999997</v>
      </c>
    </row>
    <row r="15" spans="1:20">
      <c r="A15" t="s">
        <v>379</v>
      </c>
      <c r="B15" t="s">
        <v>58</v>
      </c>
      <c r="C15" s="14">
        <v>2</v>
      </c>
      <c r="D15" s="14">
        <v>1</v>
      </c>
      <c r="E15" s="135"/>
      <c r="F15" s="135">
        <v>0.40763324008858298</v>
      </c>
      <c r="G15" s="136">
        <f>F15/$E$13</f>
        <v>0.85262857368833034</v>
      </c>
      <c r="H15" s="135">
        <f>10/4.55-C15</f>
        <v>0.19780219780219799</v>
      </c>
      <c r="O15" t="s">
        <v>386</v>
      </c>
      <c r="T15" s="135">
        <f>4.55/10*43/45</f>
        <v>0.43477777777777771</v>
      </c>
    </row>
    <row r="16" spans="1:20">
      <c r="A16" t="s">
        <v>379</v>
      </c>
      <c r="B16" t="s">
        <v>60</v>
      </c>
      <c r="C16" s="14">
        <v>2</v>
      </c>
      <c r="D16" s="14">
        <v>1</v>
      </c>
      <c r="E16" s="135"/>
      <c r="F16" s="135">
        <v>0.41444422531526398</v>
      </c>
      <c r="G16" s="136">
        <f>F16/$E$13</f>
        <v>0.8668748128271585</v>
      </c>
      <c r="H16" s="135">
        <f>10/4.64-C16</f>
        <v>0.15517241379310365</v>
      </c>
      <c r="O16" t="s">
        <v>387</v>
      </c>
      <c r="T16" s="135">
        <f>4.64/10*43/45</f>
        <v>0.44337777777777776</v>
      </c>
    </row>
    <row r="19" spans="1:9">
      <c r="A19" s="15" t="s">
        <v>65</v>
      </c>
      <c r="B19" s="15" t="s">
        <v>0</v>
      </c>
      <c r="C19" s="16" t="s">
        <v>361</v>
      </c>
      <c r="D19" s="16" t="s">
        <v>84</v>
      </c>
      <c r="E19" s="134" t="s">
        <v>366</v>
      </c>
      <c r="F19" s="134" t="s">
        <v>367</v>
      </c>
      <c r="G19" s="134" t="s">
        <v>369</v>
      </c>
      <c r="H19" s="134" t="s">
        <v>95</v>
      </c>
      <c r="I19" s="134" t="s">
        <v>62</v>
      </c>
    </row>
    <row r="20" spans="1:9">
      <c r="A20" t="s">
        <v>78</v>
      </c>
      <c r="B20" t="s">
        <v>19</v>
      </c>
      <c r="C20">
        <f>C2/$C2</f>
        <v>1</v>
      </c>
      <c r="D20" s="141">
        <f>D2/$C$2</f>
        <v>0.33333333333333331</v>
      </c>
      <c r="E20" s="142">
        <f>I2/$C$2</f>
        <v>-0.33333333333333331</v>
      </c>
      <c r="F20" s="141">
        <f>J2/$C$2</f>
        <v>0</v>
      </c>
      <c r="G20" s="142">
        <f>L2/$C$2</f>
        <v>-0.66666666666666663</v>
      </c>
      <c r="H20" s="143">
        <f>M2/$C$2</f>
        <v>1.3333333333333333</v>
      </c>
      <c r="I20" s="143">
        <f>N2/$C$2</f>
        <v>0.33333333333333331</v>
      </c>
    </row>
    <row r="21" spans="1:9">
      <c r="A21" t="s">
        <v>79</v>
      </c>
      <c r="B21" t="s">
        <v>19</v>
      </c>
      <c r="C21">
        <f>C3/$C3</f>
        <v>1</v>
      </c>
      <c r="D21" s="141">
        <f>D3/$C3</f>
        <v>1</v>
      </c>
      <c r="E21" s="142">
        <f>I3/$C3</f>
        <v>-2</v>
      </c>
      <c r="F21" s="142">
        <f>J3/$C3</f>
        <v>-1</v>
      </c>
      <c r="G21" s="142">
        <f>L3/$C3</f>
        <v>-3</v>
      </c>
      <c r="H21" s="143">
        <f>M3/$C3</f>
        <v>1</v>
      </c>
      <c r="I21" s="142">
        <f>N3/$C3</f>
        <v>-1</v>
      </c>
    </row>
    <row r="22" spans="1:9">
      <c r="A22" t="s">
        <v>373</v>
      </c>
      <c r="B22" t="s">
        <v>19</v>
      </c>
      <c r="C22">
        <f>C4/$C4</f>
        <v>1</v>
      </c>
      <c r="D22" s="141">
        <f>D4/$C4</f>
        <v>0.5</v>
      </c>
      <c r="E22" s="141">
        <f>I4/$C4</f>
        <v>0</v>
      </c>
      <c r="F22" s="142">
        <f>J4/$C4</f>
        <v>-1</v>
      </c>
      <c r="G22" s="142">
        <f>L4/$C4</f>
        <v>-1</v>
      </c>
      <c r="H22" s="141">
        <f>M4/$C4</f>
        <v>0</v>
      </c>
      <c r="I22" s="141">
        <f>N4/$C4</f>
        <v>0</v>
      </c>
    </row>
    <row r="23" spans="1:9">
      <c r="A23" t="s">
        <v>78</v>
      </c>
      <c r="B23" t="s">
        <v>25</v>
      </c>
      <c r="C23">
        <f>C5/$C5</f>
        <v>1</v>
      </c>
      <c r="D23" s="141">
        <f>D5/$C5</f>
        <v>0.33333333333333331</v>
      </c>
      <c r="E23" s="143">
        <f>I5/$C5</f>
        <v>1.6666666666666667</v>
      </c>
      <c r="F23" s="141">
        <f>J5/$C5</f>
        <v>0</v>
      </c>
      <c r="G23" s="143">
        <f>L5/$C5</f>
        <v>0.33333333333333331</v>
      </c>
      <c r="H23" s="143">
        <f>M5/$C5</f>
        <v>1.3333333333333333</v>
      </c>
      <c r="I23" s="143">
        <f>N5/$C5</f>
        <v>0.33333333333333331</v>
      </c>
    </row>
    <row r="24" spans="1:9">
      <c r="A24" t="s">
        <v>79</v>
      </c>
      <c r="B24" t="s">
        <v>25</v>
      </c>
      <c r="C24">
        <f>C6/$C6</f>
        <v>1</v>
      </c>
      <c r="D24" s="141">
        <f>D6/$C6</f>
        <v>1</v>
      </c>
      <c r="E24" s="141">
        <f>I6/$C6</f>
        <v>0</v>
      </c>
      <c r="F24" s="142">
        <f>J6/$C6</f>
        <v>-1</v>
      </c>
      <c r="G24" s="142">
        <f>L6/$C6</f>
        <v>-3</v>
      </c>
      <c r="H24" s="143">
        <f>M6/$C6</f>
        <v>2</v>
      </c>
      <c r="I24" s="142">
        <f>N6/$C6</f>
        <v>-1</v>
      </c>
    </row>
    <row r="25" spans="1:9">
      <c r="A25" t="s">
        <v>377</v>
      </c>
      <c r="B25" t="s">
        <v>25</v>
      </c>
      <c r="C25">
        <f>C7/$C7</f>
        <v>1</v>
      </c>
      <c r="D25" s="141">
        <f>D7/$C7</f>
        <v>0.33333333333333331</v>
      </c>
      <c r="E25" s="143">
        <f>I7/$C7</f>
        <v>1.6666666666666667</v>
      </c>
      <c r="F25" s="141">
        <f>J7/$C7</f>
        <v>0</v>
      </c>
      <c r="G25" s="143">
        <f>L7/$C7</f>
        <v>0.33333333333333331</v>
      </c>
      <c r="H25" s="143">
        <f>M7/$C7</f>
        <v>1.6666666666666667</v>
      </c>
      <c r="I25" s="143">
        <f>N7/$C7</f>
        <v>0.33333333333333331</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I54"/>
  <sheetViews>
    <sheetView zoomScaleNormal="100" workbookViewId="0">
      <selection activeCell="C13" sqref="C13"/>
    </sheetView>
  </sheetViews>
  <sheetFormatPr defaultRowHeight="12.75"/>
  <cols>
    <col min="1" max="1" width="11.5703125" style="26"/>
    <col min="2" max="2" width="62" style="26" customWidth="1"/>
    <col min="3" max="5" width="11.5703125" style="26"/>
    <col min="6" max="6" width="75" style="26" customWidth="1"/>
    <col min="7" max="8" width="11.5703125" style="26"/>
    <col min="9" max="9" width="12.140625" style="26" customWidth="1"/>
    <col min="10" max="1023" width="11.5703125" style="26"/>
  </cols>
  <sheetData>
    <row r="1" spans="1:15" ht="18">
      <c r="A1" s="144" t="s">
        <v>43</v>
      </c>
      <c r="B1" s="145"/>
      <c r="C1" s="145"/>
      <c r="D1" s="145"/>
      <c r="E1" s="145"/>
      <c r="F1" s="145"/>
      <c r="G1" s="146"/>
      <c r="H1" s="146"/>
      <c r="I1" s="146"/>
      <c r="J1" s="146"/>
      <c r="K1" s="146"/>
      <c r="L1" s="146"/>
      <c r="M1" s="145"/>
      <c r="N1" s="145"/>
      <c r="O1" s="146"/>
    </row>
    <row r="2" spans="1:15">
      <c r="A2" s="145" t="s">
        <v>388</v>
      </c>
      <c r="B2" s="145" t="s">
        <v>389</v>
      </c>
      <c r="C2" s="145" t="s">
        <v>390</v>
      </c>
      <c r="D2" s="145" t="s">
        <v>391</v>
      </c>
      <c r="E2" s="145" t="s">
        <v>392</v>
      </c>
      <c r="F2" s="145" t="s">
        <v>393</v>
      </c>
      <c r="G2" s="134" t="s">
        <v>366</v>
      </c>
      <c r="H2" s="134" t="s">
        <v>367</v>
      </c>
      <c r="I2" s="134" t="s">
        <v>368</v>
      </c>
      <c r="J2" s="134" t="s">
        <v>369</v>
      </c>
      <c r="K2" s="134" t="s">
        <v>95</v>
      </c>
      <c r="L2" s="134" t="s">
        <v>62</v>
      </c>
      <c r="M2" s="145" t="s">
        <v>394</v>
      </c>
      <c r="N2" s="145" t="s">
        <v>395</v>
      </c>
      <c r="O2" s="134" t="s">
        <v>396</v>
      </c>
    </row>
    <row r="3" spans="1:15">
      <c r="A3" s="26" t="s">
        <v>397</v>
      </c>
      <c r="B3" s="26" t="s">
        <v>398</v>
      </c>
      <c r="C3" s="26" t="s">
        <v>399</v>
      </c>
      <c r="D3" s="26">
        <v>0</v>
      </c>
      <c r="E3" s="26">
        <v>1000</v>
      </c>
      <c r="F3" s="26" t="s">
        <v>400</v>
      </c>
      <c r="G3" s="147"/>
      <c r="H3" s="147"/>
      <c r="I3" s="147"/>
      <c r="J3" s="147"/>
      <c r="K3" s="147"/>
      <c r="L3" s="147"/>
      <c r="M3" s="26" t="s">
        <v>401</v>
      </c>
      <c r="O3" s="147"/>
    </row>
    <row r="4" spans="1:15">
      <c r="A4" s="26" t="s">
        <v>402</v>
      </c>
      <c r="B4" s="26" t="s">
        <v>403</v>
      </c>
      <c r="C4" s="26" t="s">
        <v>399</v>
      </c>
      <c r="D4" s="26">
        <v>-1000</v>
      </c>
      <c r="E4" s="26">
        <v>1000</v>
      </c>
      <c r="F4" s="26" t="s">
        <v>404</v>
      </c>
      <c r="G4" s="147"/>
      <c r="H4" s="147"/>
      <c r="I4" s="147"/>
      <c r="J4" s="147"/>
      <c r="K4" s="147"/>
      <c r="L4" s="147"/>
      <c r="M4" s="26" t="s">
        <v>401</v>
      </c>
      <c r="O4" s="147"/>
    </row>
    <row r="5" spans="1:15">
      <c r="A5" s="148" t="s">
        <v>405</v>
      </c>
      <c r="B5" s="149"/>
      <c r="C5" s="149"/>
      <c r="D5" s="149"/>
      <c r="E5" s="149"/>
      <c r="F5" s="24"/>
      <c r="G5" s="188"/>
      <c r="H5" s="188"/>
      <c r="I5" s="188"/>
      <c r="J5" s="188"/>
      <c r="K5" s="188"/>
      <c r="L5" s="188"/>
      <c r="M5" s="149"/>
      <c r="N5" s="145"/>
      <c r="O5" s="188"/>
    </row>
    <row r="6" spans="1:15">
      <c r="A6" s="26" t="s">
        <v>406</v>
      </c>
      <c r="B6" s="26" t="s">
        <v>407</v>
      </c>
      <c r="C6" s="26" t="s">
        <v>408</v>
      </c>
      <c r="D6" s="23">
        <v>0</v>
      </c>
      <c r="E6" s="23">
        <v>1000</v>
      </c>
      <c r="F6" s="26" t="s">
        <v>409</v>
      </c>
      <c r="G6" s="147"/>
      <c r="H6" s="147"/>
      <c r="I6" s="150">
        <v>1</v>
      </c>
      <c r="J6" s="147"/>
      <c r="K6" s="150">
        <v>2</v>
      </c>
      <c r="L6" s="150">
        <v>1</v>
      </c>
      <c r="M6" s="26" t="s">
        <v>401</v>
      </c>
      <c r="O6" s="147"/>
    </row>
    <row r="7" spans="1:15">
      <c r="A7" s="26" t="s">
        <v>410</v>
      </c>
      <c r="B7" s="26" t="s">
        <v>411</v>
      </c>
      <c r="C7" s="26" t="s">
        <v>408</v>
      </c>
      <c r="D7" s="23">
        <v>-100</v>
      </c>
      <c r="E7" s="23">
        <v>1000</v>
      </c>
      <c r="F7" s="26" t="s">
        <v>412</v>
      </c>
      <c r="G7" s="147"/>
      <c r="H7" s="147"/>
      <c r="I7" s="150">
        <v>-1</v>
      </c>
      <c r="J7" s="147"/>
      <c r="K7" s="150">
        <v>-1</v>
      </c>
      <c r="L7" s="147"/>
      <c r="M7" s="26" t="s">
        <v>401</v>
      </c>
      <c r="O7" s="147"/>
    </row>
    <row r="8" spans="1:15">
      <c r="A8" s="151" t="s">
        <v>413</v>
      </c>
      <c r="B8" s="151" t="s">
        <v>414</v>
      </c>
      <c r="C8" s="26" t="s">
        <v>408</v>
      </c>
      <c r="D8" s="152">
        <v>0</v>
      </c>
      <c r="E8" s="152">
        <v>1000</v>
      </c>
      <c r="F8" s="151" t="s">
        <v>415</v>
      </c>
      <c r="G8" s="147"/>
      <c r="H8" s="147"/>
      <c r="I8" s="147"/>
      <c r="J8" s="150">
        <v>-1</v>
      </c>
      <c r="K8" s="147"/>
      <c r="L8" s="147"/>
      <c r="M8" s="26" t="s">
        <v>401</v>
      </c>
      <c r="O8" s="147"/>
    </row>
    <row r="9" spans="1:15">
      <c r="A9" s="151" t="s">
        <v>416</v>
      </c>
      <c r="B9" s="151" t="s">
        <v>417</v>
      </c>
      <c r="C9" s="26" t="s">
        <v>408</v>
      </c>
      <c r="D9" s="152">
        <v>-1000</v>
      </c>
      <c r="E9" s="152">
        <v>1000</v>
      </c>
      <c r="F9" s="151" t="s">
        <v>418</v>
      </c>
      <c r="G9" s="147"/>
      <c r="H9" s="147"/>
      <c r="I9" s="147"/>
      <c r="J9" s="147"/>
      <c r="K9" s="150">
        <v>-1</v>
      </c>
      <c r="L9" s="147"/>
      <c r="M9" s="26" t="s">
        <v>401</v>
      </c>
      <c r="N9" s="26" t="s">
        <v>419</v>
      </c>
      <c r="O9" s="147"/>
    </row>
    <row r="10" spans="1:15">
      <c r="A10" s="151" t="s">
        <v>420</v>
      </c>
      <c r="B10" s="151" t="s">
        <v>421</v>
      </c>
      <c r="C10" s="26" t="s">
        <v>408</v>
      </c>
      <c r="D10" s="152">
        <v>-1000</v>
      </c>
      <c r="E10" s="152">
        <v>1000</v>
      </c>
      <c r="F10" s="151" t="s">
        <v>422</v>
      </c>
      <c r="G10" s="147"/>
      <c r="H10" s="150">
        <v>-1</v>
      </c>
      <c r="I10" s="147"/>
      <c r="J10" s="147"/>
      <c r="K10" s="147"/>
      <c r="L10" s="147"/>
      <c r="M10" s="26" t="s">
        <v>401</v>
      </c>
      <c r="N10" s="26" t="s">
        <v>419</v>
      </c>
      <c r="O10" s="147"/>
    </row>
    <row r="11" spans="1:15">
      <c r="A11" s="26" t="s">
        <v>423</v>
      </c>
      <c r="B11" s="26" t="s">
        <v>424</v>
      </c>
      <c r="C11" s="26" t="s">
        <v>408</v>
      </c>
      <c r="D11" s="152">
        <v>-1000</v>
      </c>
      <c r="E11" s="152">
        <v>1000</v>
      </c>
      <c r="F11" s="26" t="s">
        <v>425</v>
      </c>
      <c r="G11" s="150">
        <v>-2</v>
      </c>
      <c r="H11" s="147"/>
      <c r="I11" s="150">
        <v>1</v>
      </c>
      <c r="J11" s="147"/>
      <c r="K11" s="150">
        <v>-1</v>
      </c>
      <c r="L11" s="147"/>
      <c r="M11" s="26" t="s">
        <v>401</v>
      </c>
      <c r="O11" s="147"/>
    </row>
    <row r="12" spans="1:15">
      <c r="A12" s="26" t="s">
        <v>426</v>
      </c>
      <c r="B12" s="26" t="s">
        <v>427</v>
      </c>
      <c r="C12" s="26" t="s">
        <v>408</v>
      </c>
      <c r="D12" s="152">
        <v>-1000</v>
      </c>
      <c r="E12" s="152">
        <v>1000</v>
      </c>
      <c r="F12" s="26" t="s">
        <v>428</v>
      </c>
      <c r="G12" s="147"/>
      <c r="H12" s="147"/>
      <c r="I12" s="147"/>
      <c r="J12" s="147"/>
      <c r="K12" s="147"/>
      <c r="L12" s="147"/>
      <c r="M12" s="26" t="s">
        <v>401</v>
      </c>
      <c r="O12" s="147"/>
    </row>
    <row r="13" spans="1:15">
      <c r="A13" s="148" t="s">
        <v>429</v>
      </c>
      <c r="B13" s="24"/>
      <c r="C13" s="24"/>
      <c r="D13" s="24"/>
      <c r="E13" s="24"/>
      <c r="F13" s="24"/>
      <c r="G13" s="188"/>
      <c r="H13" s="188"/>
      <c r="I13" s="188"/>
      <c r="J13" s="188"/>
      <c r="K13" s="188"/>
      <c r="L13" s="188"/>
      <c r="M13" s="24"/>
      <c r="O13" s="188"/>
    </row>
    <row r="14" spans="1:15">
      <c r="A14" s="153" t="s">
        <v>430</v>
      </c>
      <c r="B14" s="154"/>
      <c r="C14" s="154"/>
      <c r="D14" s="154"/>
      <c r="E14" s="154"/>
      <c r="F14" s="24"/>
      <c r="G14" s="155"/>
      <c r="H14" s="155"/>
      <c r="I14" s="155"/>
      <c r="J14" s="155"/>
      <c r="K14" s="155"/>
      <c r="L14" s="155"/>
      <c r="M14" s="154"/>
      <c r="O14" s="155"/>
    </row>
    <row r="15" spans="1:15">
      <c r="A15" s="189" t="s">
        <v>431</v>
      </c>
      <c r="B15" s="154"/>
      <c r="C15" s="154"/>
      <c r="D15" s="154"/>
      <c r="E15" s="154"/>
      <c r="F15" s="24"/>
      <c r="G15" s="155"/>
      <c r="H15" s="155"/>
      <c r="I15" s="155"/>
      <c r="J15" s="155"/>
      <c r="K15" s="155"/>
      <c r="L15" s="155"/>
      <c r="M15" s="154"/>
      <c r="O15" s="155"/>
    </row>
    <row r="16" spans="1:15">
      <c r="A16" s="26" t="s">
        <v>432</v>
      </c>
      <c r="B16" s="26" t="s">
        <v>433</v>
      </c>
      <c r="C16" s="26" t="s">
        <v>408</v>
      </c>
      <c r="D16" s="23">
        <v>0</v>
      </c>
      <c r="E16" s="23">
        <v>1000</v>
      </c>
      <c r="F16" s="26" t="s">
        <v>434</v>
      </c>
      <c r="G16" s="147"/>
      <c r="H16" s="147"/>
      <c r="I16" s="150">
        <v>-1</v>
      </c>
      <c r="J16" s="147"/>
      <c r="K16" s="150">
        <v>-1</v>
      </c>
      <c r="L16" s="150">
        <v>-1</v>
      </c>
      <c r="M16" s="26" t="s">
        <v>401</v>
      </c>
      <c r="O16" s="147"/>
    </row>
    <row r="17" spans="1:15">
      <c r="G17" s="156">
        <f>SUM(G6:G12,G16,G3:G4)</f>
        <v>-2</v>
      </c>
      <c r="H17" s="156">
        <f>SUM(H6:H12,H16,H3:H4)</f>
        <v>-1</v>
      </c>
      <c r="I17" s="156">
        <f>SUM(I6:I12,I16,I3:I4)</f>
        <v>0</v>
      </c>
      <c r="J17" s="156">
        <f>SUM(J6:J12,J16,J3:J4)</f>
        <v>-1</v>
      </c>
      <c r="K17" s="156">
        <f>SUM(K6:K12,K16,K3:K4)</f>
        <v>-2</v>
      </c>
      <c r="L17" s="156">
        <f>SUM(L6:L12,L16,L3:L4)</f>
        <v>0</v>
      </c>
      <c r="O17" s="156">
        <v>0</v>
      </c>
    </row>
    <row r="18" spans="1:15">
      <c r="G18" s="134" t="s">
        <v>366</v>
      </c>
      <c r="H18" s="134" t="s">
        <v>367</v>
      </c>
      <c r="I18" s="134" t="s">
        <v>368</v>
      </c>
      <c r="J18" s="134" t="s">
        <v>369</v>
      </c>
      <c r="K18" s="134" t="s">
        <v>95</v>
      </c>
      <c r="L18" s="134" t="s">
        <v>62</v>
      </c>
      <c r="O18" s="134" t="s">
        <v>396</v>
      </c>
    </row>
    <row r="19" spans="1:15">
      <c r="G19" s="26" t="s">
        <v>435</v>
      </c>
      <c r="H19" s="146"/>
      <c r="I19" s="146"/>
      <c r="J19" s="146"/>
      <c r="K19" s="146"/>
      <c r="L19" s="146"/>
      <c r="O19" s="146"/>
    </row>
    <row r="20" spans="1:15">
      <c r="G20" s="26" t="s">
        <v>436</v>
      </c>
      <c r="H20" s="146"/>
      <c r="I20" s="146"/>
      <c r="J20" s="146"/>
      <c r="K20" s="146"/>
      <c r="L20" s="146"/>
      <c r="O20" s="146"/>
    </row>
    <row r="24" spans="1:15" ht="18">
      <c r="A24" s="144" t="s">
        <v>437</v>
      </c>
    </row>
    <row r="25" spans="1:15">
      <c r="A25" s="145" t="s">
        <v>388</v>
      </c>
      <c r="B25" s="145" t="s">
        <v>389</v>
      </c>
      <c r="C25" s="145" t="s">
        <v>390</v>
      </c>
      <c r="D25" s="145" t="s">
        <v>391</v>
      </c>
      <c r="E25" s="145" t="s">
        <v>392</v>
      </c>
      <c r="F25" s="145" t="s">
        <v>393</v>
      </c>
      <c r="G25" s="134" t="s">
        <v>366</v>
      </c>
      <c r="H25" s="134" t="s">
        <v>367</v>
      </c>
      <c r="I25" s="134" t="s">
        <v>368</v>
      </c>
      <c r="J25" s="134" t="s">
        <v>369</v>
      </c>
      <c r="K25" s="134" t="s">
        <v>95</v>
      </c>
      <c r="L25" s="134" t="s">
        <v>62</v>
      </c>
      <c r="M25" s="145" t="s">
        <v>394</v>
      </c>
      <c r="N25" s="145" t="s">
        <v>395</v>
      </c>
      <c r="O25" s="134" t="s">
        <v>396</v>
      </c>
    </row>
    <row r="26" spans="1:15">
      <c r="A26" s="26" t="s">
        <v>438</v>
      </c>
      <c r="B26" s="26" t="s">
        <v>439</v>
      </c>
      <c r="C26" s="26" t="s">
        <v>399</v>
      </c>
      <c r="D26" s="26">
        <v>0</v>
      </c>
      <c r="E26" s="26">
        <v>1000</v>
      </c>
      <c r="F26" s="26" t="s">
        <v>440</v>
      </c>
      <c r="G26" s="147"/>
      <c r="H26" s="147"/>
      <c r="I26" s="147"/>
      <c r="J26" s="147"/>
      <c r="K26" s="147"/>
      <c r="L26" s="147"/>
      <c r="M26" s="26" t="s">
        <v>401</v>
      </c>
      <c r="O26" s="147"/>
    </row>
    <row r="27" spans="1:15">
      <c r="A27" s="26" t="s">
        <v>441</v>
      </c>
      <c r="B27" s="26" t="s">
        <v>442</v>
      </c>
      <c r="C27" s="26" t="s">
        <v>399</v>
      </c>
      <c r="D27" s="26">
        <v>0</v>
      </c>
      <c r="E27" s="26">
        <v>1000</v>
      </c>
      <c r="F27" s="26" t="s">
        <v>443</v>
      </c>
      <c r="G27" s="147"/>
      <c r="H27" s="147"/>
      <c r="I27" s="147"/>
      <c r="J27" s="147"/>
      <c r="K27" s="150">
        <v>1</v>
      </c>
      <c r="L27" s="147"/>
      <c r="M27" s="26" t="s">
        <v>401</v>
      </c>
      <c r="O27" s="147"/>
    </row>
    <row r="28" spans="1:15">
      <c r="A28" s="148" t="s">
        <v>405</v>
      </c>
      <c r="B28" s="149"/>
      <c r="C28" s="149"/>
      <c r="D28" s="149"/>
      <c r="E28" s="149"/>
      <c r="F28" s="24"/>
      <c r="G28" s="188"/>
      <c r="H28" s="188"/>
      <c r="I28" s="188"/>
      <c r="J28" s="188"/>
      <c r="K28" s="188"/>
      <c r="L28" s="188"/>
      <c r="M28" s="149"/>
      <c r="N28" s="145"/>
      <c r="O28" s="188"/>
    </row>
    <row r="29" spans="1:15">
      <c r="A29" s="148"/>
      <c r="B29" s="149"/>
      <c r="C29" s="149"/>
      <c r="D29" s="149"/>
      <c r="E29" s="149"/>
      <c r="F29" s="24"/>
      <c r="G29" s="188"/>
      <c r="H29" s="188"/>
      <c r="I29" s="188"/>
      <c r="J29" s="188"/>
      <c r="K29" s="188"/>
      <c r="L29" s="188"/>
      <c r="M29" s="149"/>
      <c r="N29" s="145"/>
      <c r="O29" s="188"/>
    </row>
    <row r="30" spans="1:15">
      <c r="A30" s="151" t="s">
        <v>413</v>
      </c>
      <c r="B30" s="151" t="s">
        <v>414</v>
      </c>
      <c r="C30" s="26" t="s">
        <v>408</v>
      </c>
      <c r="D30" s="152">
        <v>0</v>
      </c>
      <c r="E30" s="152">
        <v>1000</v>
      </c>
      <c r="F30" s="151" t="s">
        <v>415</v>
      </c>
      <c r="G30" s="147"/>
      <c r="H30" s="147"/>
      <c r="I30" s="147"/>
      <c r="J30" s="150">
        <v>-1</v>
      </c>
      <c r="K30" s="147"/>
      <c r="L30" s="147"/>
      <c r="M30" s="26" t="s">
        <v>401</v>
      </c>
      <c r="O30" s="147"/>
    </row>
    <row r="31" spans="1:15">
      <c r="A31" s="151" t="s">
        <v>416</v>
      </c>
      <c r="B31" s="151" t="s">
        <v>417</v>
      </c>
      <c r="C31" s="26" t="s">
        <v>408</v>
      </c>
      <c r="D31" s="152">
        <v>-1000</v>
      </c>
      <c r="E31" s="152">
        <v>1000</v>
      </c>
      <c r="F31" s="151" t="s">
        <v>418</v>
      </c>
      <c r="G31" s="147"/>
      <c r="H31" s="147"/>
      <c r="I31" s="147"/>
      <c r="J31" s="147"/>
      <c r="K31" s="150">
        <v>-1</v>
      </c>
      <c r="L31" s="147"/>
      <c r="M31" s="26" t="s">
        <v>401</v>
      </c>
      <c r="N31" s="26" t="s">
        <v>419</v>
      </c>
      <c r="O31" s="147"/>
    </row>
    <row r="32" spans="1:15">
      <c r="A32" s="151" t="s">
        <v>420</v>
      </c>
      <c r="B32" s="151" t="s">
        <v>421</v>
      </c>
      <c r="C32" s="26" t="s">
        <v>408</v>
      </c>
      <c r="D32" s="152">
        <v>-1000</v>
      </c>
      <c r="E32" s="152">
        <v>1000</v>
      </c>
      <c r="F32" s="151" t="s">
        <v>422</v>
      </c>
      <c r="G32" s="147"/>
      <c r="H32" s="150">
        <v>-1</v>
      </c>
      <c r="I32" s="147"/>
      <c r="J32" s="147"/>
      <c r="K32" s="147"/>
      <c r="L32" s="147"/>
      <c r="M32" s="26" t="s">
        <v>401</v>
      </c>
      <c r="N32" s="26" t="s">
        <v>419</v>
      </c>
      <c r="O32" s="147"/>
    </row>
    <row r="33" spans="1:15">
      <c r="A33" s="26" t="s">
        <v>423</v>
      </c>
      <c r="B33" s="26" t="s">
        <v>424</v>
      </c>
      <c r="C33" s="26" t="s">
        <v>408</v>
      </c>
      <c r="D33" s="152">
        <v>-1000</v>
      </c>
      <c r="E33" s="152">
        <v>1000</v>
      </c>
      <c r="F33" s="26" t="s">
        <v>425</v>
      </c>
      <c r="G33" s="150">
        <v>-2</v>
      </c>
      <c r="H33" s="147"/>
      <c r="I33" s="150">
        <v>1</v>
      </c>
      <c r="J33" s="147"/>
      <c r="K33" s="150">
        <v>-1</v>
      </c>
      <c r="L33" s="147"/>
      <c r="M33" s="26" t="s">
        <v>401</v>
      </c>
      <c r="O33" s="147"/>
    </row>
    <row r="34" spans="1:15">
      <c r="A34" s="26" t="s">
        <v>426</v>
      </c>
      <c r="B34" s="26" t="s">
        <v>427</v>
      </c>
      <c r="C34" s="26" t="s">
        <v>408</v>
      </c>
      <c r="D34" s="152">
        <v>-1000</v>
      </c>
      <c r="E34" s="152">
        <v>1000</v>
      </c>
      <c r="F34" s="26" t="s">
        <v>428</v>
      </c>
      <c r="G34" s="147"/>
      <c r="H34" s="147"/>
      <c r="I34" s="147"/>
      <c r="J34" s="147"/>
      <c r="K34" s="147"/>
      <c r="L34" s="147"/>
      <c r="M34" s="26" t="s">
        <v>401</v>
      </c>
      <c r="O34" s="147"/>
    </row>
    <row r="35" spans="1:15">
      <c r="A35" s="148" t="s">
        <v>429</v>
      </c>
      <c r="B35" s="24"/>
      <c r="C35" s="24"/>
      <c r="D35" s="24"/>
      <c r="E35" s="24"/>
      <c r="F35" s="24"/>
      <c r="G35" s="188"/>
      <c r="H35" s="188"/>
      <c r="I35" s="188"/>
      <c r="J35" s="188"/>
      <c r="K35" s="188"/>
      <c r="L35" s="188"/>
      <c r="M35" s="24"/>
      <c r="O35" s="188"/>
    </row>
    <row r="36" spans="1:15">
      <c r="A36" s="26" t="s">
        <v>410</v>
      </c>
      <c r="B36" s="26" t="s">
        <v>411</v>
      </c>
      <c r="C36" s="26" t="s">
        <v>408</v>
      </c>
      <c r="D36" s="23">
        <v>-100</v>
      </c>
      <c r="E36" s="23">
        <v>1000</v>
      </c>
      <c r="F36" s="26" t="s">
        <v>412</v>
      </c>
      <c r="G36" s="147"/>
      <c r="H36" s="147"/>
      <c r="I36" s="150">
        <v>1</v>
      </c>
      <c r="J36" s="147"/>
      <c r="K36" s="150">
        <v>1</v>
      </c>
      <c r="L36" s="150">
        <v>1</v>
      </c>
      <c r="M36" s="26" t="s">
        <v>401</v>
      </c>
      <c r="N36" s="26" t="s">
        <v>419</v>
      </c>
      <c r="O36" s="147"/>
    </row>
    <row r="37" spans="1:15">
      <c r="A37" s="153" t="s">
        <v>430</v>
      </c>
      <c r="B37" s="154"/>
      <c r="C37" s="154"/>
      <c r="D37" s="154"/>
      <c r="E37" s="154"/>
      <c r="F37" s="24"/>
      <c r="G37" s="155"/>
      <c r="H37" s="155"/>
      <c r="I37" s="155"/>
      <c r="J37" s="155"/>
      <c r="K37" s="155"/>
      <c r="L37" s="155"/>
      <c r="M37" s="154"/>
      <c r="O37" s="155"/>
    </row>
    <row r="38" spans="1:15">
      <c r="A38" s="189" t="s">
        <v>431</v>
      </c>
      <c r="B38" s="154"/>
      <c r="C38" s="154"/>
      <c r="D38" s="154"/>
      <c r="E38" s="154"/>
      <c r="F38" s="24"/>
      <c r="G38" s="155"/>
      <c r="H38" s="155"/>
      <c r="I38" s="155"/>
      <c r="J38" s="155"/>
      <c r="K38" s="155"/>
      <c r="L38" s="155"/>
      <c r="M38" s="154"/>
      <c r="O38" s="155"/>
    </row>
    <row r="39" spans="1:15">
      <c r="A39" s="26" t="s">
        <v>432</v>
      </c>
      <c r="B39" s="26" t="s">
        <v>433</v>
      </c>
      <c r="C39" s="26" t="s">
        <v>408</v>
      </c>
      <c r="D39" s="23">
        <v>0</v>
      </c>
      <c r="E39" s="23">
        <v>1000</v>
      </c>
      <c r="F39" s="26" t="s">
        <v>434</v>
      </c>
      <c r="G39" s="147"/>
      <c r="H39" s="147"/>
      <c r="I39" s="150">
        <v>-1</v>
      </c>
      <c r="J39" s="147"/>
      <c r="K39" s="150">
        <v>-1</v>
      </c>
      <c r="L39" s="150">
        <v>-1</v>
      </c>
      <c r="M39" s="26" t="s">
        <v>401</v>
      </c>
      <c r="O39" s="147"/>
    </row>
    <row r="40" spans="1:15">
      <c r="G40" s="156">
        <f>SUM(G26:G39)</f>
        <v>-2</v>
      </c>
      <c r="H40" s="156">
        <f>SUM(H26:H39)</f>
        <v>-1</v>
      </c>
      <c r="I40" s="156">
        <f>SUM(I26:I39)</f>
        <v>1</v>
      </c>
      <c r="J40" s="156">
        <f>SUM(J26:J39)</f>
        <v>-1</v>
      </c>
      <c r="K40" s="156">
        <f>SUM(K26:K39)</f>
        <v>-1</v>
      </c>
      <c r="L40" s="156">
        <f>SUM(L26:L39)</f>
        <v>0</v>
      </c>
      <c r="O40" s="156">
        <v>0</v>
      </c>
    </row>
    <row r="41" spans="1:15">
      <c r="G41" s="134" t="s">
        <v>366</v>
      </c>
      <c r="H41" s="134" t="s">
        <v>367</v>
      </c>
      <c r="I41" s="134" t="s">
        <v>368</v>
      </c>
      <c r="J41" s="134" t="s">
        <v>369</v>
      </c>
      <c r="K41" s="134" t="s">
        <v>95</v>
      </c>
      <c r="L41" s="134" t="s">
        <v>62</v>
      </c>
      <c r="O41" s="134" t="s">
        <v>396</v>
      </c>
    </row>
    <row r="42" spans="1:15">
      <c r="G42" s="26" t="s">
        <v>444</v>
      </c>
      <c r="H42" s="146"/>
      <c r="I42" s="146"/>
      <c r="J42" s="146"/>
      <c r="K42" s="146"/>
      <c r="L42" s="146"/>
      <c r="O42" s="146"/>
    </row>
    <row r="43" spans="1:15">
      <c r="G43" s="26" t="s">
        <v>445</v>
      </c>
      <c r="H43" s="146"/>
      <c r="I43" s="146"/>
      <c r="J43" s="146"/>
      <c r="K43" s="146"/>
      <c r="L43" s="146"/>
      <c r="O43" s="146"/>
    </row>
    <row r="45" spans="1:15" ht="18">
      <c r="A45" s="144" t="s">
        <v>446</v>
      </c>
    </row>
    <row r="46" spans="1:15">
      <c r="A46" s="145" t="s">
        <v>388</v>
      </c>
      <c r="B46" s="145" t="s">
        <v>389</v>
      </c>
      <c r="C46" s="145" t="s">
        <v>390</v>
      </c>
      <c r="D46" s="145" t="s">
        <v>391</v>
      </c>
      <c r="E46" s="145" t="s">
        <v>392</v>
      </c>
      <c r="F46" s="145" t="s">
        <v>393</v>
      </c>
      <c r="G46" s="134" t="s">
        <v>366</v>
      </c>
      <c r="H46" s="134" t="s">
        <v>367</v>
      </c>
      <c r="I46" s="134" t="s">
        <v>368</v>
      </c>
      <c r="J46" s="134" t="s">
        <v>369</v>
      </c>
      <c r="K46" s="134" t="s">
        <v>95</v>
      </c>
      <c r="L46" s="134" t="s">
        <v>62</v>
      </c>
      <c r="M46" s="145" t="s">
        <v>394</v>
      </c>
      <c r="N46" s="145" t="s">
        <v>395</v>
      </c>
      <c r="O46" s="134" t="s">
        <v>396</v>
      </c>
    </row>
    <row r="47" spans="1:15">
      <c r="A47" s="26" t="s">
        <v>447</v>
      </c>
      <c r="B47" s="26" t="s">
        <v>448</v>
      </c>
      <c r="C47" s="26" t="s">
        <v>399</v>
      </c>
      <c r="D47" s="26">
        <v>0</v>
      </c>
      <c r="E47" s="26">
        <v>1000</v>
      </c>
      <c r="F47" s="26" t="s">
        <v>449</v>
      </c>
      <c r="G47" s="147"/>
      <c r="H47" s="147"/>
      <c r="I47" s="147"/>
      <c r="J47" s="147"/>
      <c r="K47" s="147"/>
      <c r="L47" s="147"/>
      <c r="M47" s="26" t="s">
        <v>401</v>
      </c>
      <c r="O47" s="147"/>
    </row>
    <row r="48" spans="1:15">
      <c r="A48" s="26" t="s">
        <v>450</v>
      </c>
      <c r="B48" s="26" t="s">
        <v>451</v>
      </c>
      <c r="C48" s="26" t="s">
        <v>399</v>
      </c>
      <c r="D48" s="26">
        <v>-1000</v>
      </c>
      <c r="E48" s="26">
        <v>1000</v>
      </c>
      <c r="F48" s="26" t="s">
        <v>452</v>
      </c>
      <c r="G48" s="147"/>
      <c r="H48" s="147"/>
      <c r="I48" s="147"/>
      <c r="J48" s="147"/>
      <c r="K48" s="147"/>
      <c r="L48" s="147"/>
      <c r="O48" s="147"/>
    </row>
    <row r="49" spans="1:15">
      <c r="A49" s="157" t="s">
        <v>453</v>
      </c>
      <c r="B49" s="157" t="s">
        <v>454</v>
      </c>
      <c r="C49" s="157" t="s">
        <v>455</v>
      </c>
      <c r="D49" s="158">
        <v>0</v>
      </c>
      <c r="E49" s="158">
        <v>1000</v>
      </c>
      <c r="F49" s="157" t="s">
        <v>456</v>
      </c>
      <c r="G49" s="147"/>
      <c r="H49" s="147"/>
      <c r="I49" s="147"/>
      <c r="J49" s="147"/>
      <c r="K49" s="150">
        <v>-2</v>
      </c>
      <c r="L49" s="147"/>
      <c r="O49" s="150">
        <v>1</v>
      </c>
    </row>
    <row r="50" spans="1:15">
      <c r="A50" s="159" t="s">
        <v>457</v>
      </c>
      <c r="B50" s="159" t="s">
        <v>458</v>
      </c>
      <c r="C50" s="159" t="s">
        <v>455</v>
      </c>
      <c r="D50" s="159">
        <v>0</v>
      </c>
      <c r="E50" s="159">
        <v>0</v>
      </c>
      <c r="F50" s="159" t="s">
        <v>459</v>
      </c>
      <c r="G50" s="160"/>
      <c r="H50" s="160"/>
      <c r="I50" s="160"/>
      <c r="J50" s="160"/>
      <c r="K50" s="160"/>
      <c r="L50" s="160"/>
      <c r="M50" s="26" t="s">
        <v>460</v>
      </c>
      <c r="O50" s="160"/>
    </row>
    <row r="51" spans="1:15">
      <c r="A51" s="159" t="s">
        <v>461</v>
      </c>
      <c r="B51" s="159" t="s">
        <v>462</v>
      </c>
      <c r="C51" s="159" t="s">
        <v>455</v>
      </c>
      <c r="D51" s="159">
        <v>0</v>
      </c>
      <c r="E51" s="159">
        <v>0</v>
      </c>
      <c r="F51" s="159" t="s">
        <v>463</v>
      </c>
      <c r="G51" s="160"/>
      <c r="H51" s="160"/>
      <c r="I51" s="160"/>
      <c r="J51" s="160"/>
      <c r="K51" s="160"/>
      <c r="L51" s="160"/>
      <c r="M51" s="26" t="s">
        <v>460</v>
      </c>
      <c r="O51" s="160"/>
    </row>
    <row r="52" spans="1:15">
      <c r="A52" s="99" t="s">
        <v>464</v>
      </c>
      <c r="B52" s="99" t="s">
        <v>465</v>
      </c>
      <c r="C52" s="99" t="s">
        <v>455</v>
      </c>
      <c r="D52" s="161">
        <v>-1000</v>
      </c>
      <c r="E52" s="161">
        <v>1000</v>
      </c>
      <c r="F52" s="99" t="s">
        <v>466</v>
      </c>
      <c r="G52" s="147"/>
      <c r="H52" s="150">
        <v>1</v>
      </c>
      <c r="I52" s="150">
        <v>1</v>
      </c>
      <c r="J52" s="147"/>
      <c r="K52" s="150">
        <v>3</v>
      </c>
      <c r="L52" s="147"/>
      <c r="O52" s="147"/>
    </row>
    <row r="53" spans="1:15">
      <c r="A53" s="99" t="s">
        <v>467</v>
      </c>
      <c r="B53" s="99" t="s">
        <v>468</v>
      </c>
      <c r="C53" s="161" t="s">
        <v>399</v>
      </c>
      <c r="D53" s="161">
        <v>-1000</v>
      </c>
      <c r="E53" s="161">
        <v>1000</v>
      </c>
      <c r="F53" s="99" t="s">
        <v>469</v>
      </c>
      <c r="G53" s="150">
        <v>1</v>
      </c>
      <c r="H53" s="147"/>
      <c r="I53" s="150">
        <v>-1</v>
      </c>
      <c r="J53" s="147"/>
      <c r="K53" s="150">
        <v>-3</v>
      </c>
      <c r="L53" s="147"/>
      <c r="O53" s="147"/>
    </row>
    <row r="54" spans="1:15">
      <c r="A54" s="99" t="s">
        <v>470</v>
      </c>
      <c r="B54" s="99" t="s">
        <v>471</v>
      </c>
      <c r="C54" s="161" t="s">
        <v>399</v>
      </c>
      <c r="D54" s="161">
        <v>-1000</v>
      </c>
      <c r="E54" s="161">
        <v>1000</v>
      </c>
      <c r="F54" s="99" t="s">
        <v>472</v>
      </c>
      <c r="G54" s="147"/>
      <c r="H54" s="147"/>
      <c r="I54" s="147"/>
      <c r="J54" s="150">
        <v>1</v>
      </c>
      <c r="K54" s="150">
        <v>3</v>
      </c>
      <c r="L54" s="147"/>
      <c r="O54" s="147"/>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43"/>
  <sheetViews>
    <sheetView zoomScale="90" zoomScaleNormal="90" workbookViewId="0">
      <selection activeCell="K1" sqref="K1"/>
    </sheetView>
  </sheetViews>
  <sheetFormatPr defaultRowHeight="12.75"/>
  <cols>
    <col min="1" max="5" width="8.7109375" customWidth="1"/>
    <col min="6" max="6" width="60.5703125" customWidth="1"/>
    <col min="7" max="1025" width="8.7109375" customWidth="1"/>
  </cols>
  <sheetData>
    <row r="1" spans="1:15" ht="15">
      <c r="A1" s="162" t="s">
        <v>388</v>
      </c>
      <c r="B1" s="162" t="s">
        <v>389</v>
      </c>
      <c r="C1" s="162" t="s">
        <v>390</v>
      </c>
      <c r="D1" s="162" t="s">
        <v>391</v>
      </c>
      <c r="E1" s="162" t="s">
        <v>392</v>
      </c>
      <c r="F1" s="162" t="s">
        <v>393</v>
      </c>
      <c r="G1" s="134" t="s">
        <v>366</v>
      </c>
      <c r="H1" s="134" t="s">
        <v>367</v>
      </c>
      <c r="I1" s="134" t="s">
        <v>473</v>
      </c>
      <c r="J1" s="134" t="s">
        <v>369</v>
      </c>
      <c r="K1" s="134" t="s">
        <v>396</v>
      </c>
      <c r="L1" s="134" t="s">
        <v>95</v>
      </c>
      <c r="M1" s="134" t="s">
        <v>62</v>
      </c>
      <c r="N1" s="162" t="s">
        <v>394</v>
      </c>
      <c r="O1" s="162" t="s">
        <v>395</v>
      </c>
    </row>
    <row r="2" spans="1:15" ht="14.25">
      <c r="A2" s="163" t="s">
        <v>438</v>
      </c>
      <c r="B2" s="163" t="s">
        <v>439</v>
      </c>
      <c r="C2" s="163" t="s">
        <v>474</v>
      </c>
      <c r="D2" s="163">
        <v>0</v>
      </c>
      <c r="E2" s="163">
        <v>1000</v>
      </c>
      <c r="F2" s="163" t="s">
        <v>440</v>
      </c>
      <c r="G2" s="164"/>
      <c r="H2" s="164"/>
      <c r="I2" s="164"/>
      <c r="J2" s="164"/>
      <c r="K2" s="164"/>
      <c r="L2" s="164"/>
      <c r="M2" s="164"/>
      <c r="N2" s="165" t="s">
        <v>475</v>
      </c>
      <c r="O2" s="163"/>
    </row>
    <row r="3" spans="1:15" ht="14.25">
      <c r="A3" s="163" t="s">
        <v>476</v>
      </c>
      <c r="B3" s="163" t="s">
        <v>477</v>
      </c>
      <c r="C3" s="163" t="s">
        <v>478</v>
      </c>
      <c r="D3" s="163">
        <v>-1000</v>
      </c>
      <c r="E3" s="163">
        <v>1000</v>
      </c>
      <c r="F3" s="163" t="s">
        <v>479</v>
      </c>
      <c r="G3" s="164"/>
      <c r="H3" s="164"/>
      <c r="I3" s="164"/>
      <c r="J3" s="164"/>
      <c r="K3" s="164"/>
      <c r="L3" s="164"/>
      <c r="M3" s="164"/>
      <c r="N3" s="165" t="s">
        <v>480</v>
      </c>
      <c r="O3" s="163" t="s">
        <v>481</v>
      </c>
    </row>
    <row r="4" spans="1:15" ht="14.25">
      <c r="A4" s="163" t="s">
        <v>482</v>
      </c>
      <c r="B4" s="163" t="s">
        <v>483</v>
      </c>
      <c r="C4" s="163" t="s">
        <v>484</v>
      </c>
      <c r="D4" s="163">
        <v>0</v>
      </c>
      <c r="E4" s="163">
        <v>1000</v>
      </c>
      <c r="F4" s="163" t="s">
        <v>485</v>
      </c>
      <c r="G4" s="164"/>
      <c r="H4" s="164"/>
      <c r="I4" s="164"/>
      <c r="J4" s="164"/>
      <c r="K4" s="164"/>
      <c r="L4" s="166">
        <f>1*3</f>
        <v>3</v>
      </c>
      <c r="M4" s="164"/>
      <c r="N4" s="165" t="s">
        <v>480</v>
      </c>
      <c r="O4" s="163" t="s">
        <v>486</v>
      </c>
    </row>
    <row r="5" spans="1:15" ht="14.25">
      <c r="A5" s="163" t="s">
        <v>487</v>
      </c>
      <c r="B5" s="163" t="s">
        <v>488</v>
      </c>
      <c r="C5" s="163" t="s">
        <v>484</v>
      </c>
      <c r="D5" s="163">
        <v>0</v>
      </c>
      <c r="E5" s="163">
        <v>1000</v>
      </c>
      <c r="F5" s="163" t="s">
        <v>489</v>
      </c>
      <c r="G5" s="164"/>
      <c r="H5" s="164"/>
      <c r="I5" s="164"/>
      <c r="J5" s="164"/>
      <c r="K5" s="164"/>
      <c r="L5" s="164"/>
      <c r="M5" s="164"/>
      <c r="N5" s="165" t="s">
        <v>480</v>
      </c>
      <c r="O5" s="163" t="s">
        <v>490</v>
      </c>
    </row>
    <row r="6" spans="1:15" ht="14.25">
      <c r="A6" s="165" t="s">
        <v>491</v>
      </c>
      <c r="B6" s="165" t="s">
        <v>492</v>
      </c>
      <c r="C6" s="163"/>
      <c r="D6" s="163">
        <v>0</v>
      </c>
      <c r="E6" s="163">
        <v>1000</v>
      </c>
      <c r="F6" s="165" t="s">
        <v>493</v>
      </c>
      <c r="G6" s="164"/>
      <c r="H6" s="164"/>
      <c r="I6" s="164"/>
      <c r="J6" s="166">
        <f>-1*3</f>
        <v>-3</v>
      </c>
      <c r="K6" s="164"/>
      <c r="L6" s="164"/>
      <c r="M6" s="164"/>
      <c r="N6" s="165" t="s">
        <v>351</v>
      </c>
      <c r="O6" s="165" t="s">
        <v>494</v>
      </c>
    </row>
    <row r="7" spans="1:15" ht="14.25">
      <c r="A7" s="165" t="s">
        <v>495</v>
      </c>
      <c r="B7" s="165" t="s">
        <v>496</v>
      </c>
      <c r="C7" s="163"/>
      <c r="D7" s="163">
        <v>-1000</v>
      </c>
      <c r="E7" s="163">
        <v>1000</v>
      </c>
      <c r="F7" s="165" t="s">
        <v>497</v>
      </c>
      <c r="G7" s="166">
        <f>-1*3</f>
        <v>-3</v>
      </c>
      <c r="H7" s="164"/>
      <c r="I7" s="164"/>
      <c r="J7" s="164"/>
      <c r="K7" s="164"/>
      <c r="L7" s="164"/>
      <c r="M7" s="164"/>
      <c r="N7" s="165" t="s">
        <v>351</v>
      </c>
      <c r="O7" s="165" t="s">
        <v>494</v>
      </c>
    </row>
    <row r="8" spans="1:15" ht="14.25">
      <c r="A8" s="163" t="s">
        <v>498</v>
      </c>
      <c r="B8" s="163" t="s">
        <v>499</v>
      </c>
      <c r="C8" s="163"/>
      <c r="D8" s="163">
        <v>0</v>
      </c>
      <c r="E8" s="163">
        <v>1000</v>
      </c>
      <c r="F8" s="163" t="s">
        <v>500</v>
      </c>
      <c r="G8" s="164"/>
      <c r="H8" s="164"/>
      <c r="I8" s="164"/>
      <c r="J8" s="164"/>
      <c r="K8" s="164"/>
      <c r="L8" s="164"/>
      <c r="M8" s="164"/>
      <c r="N8" s="165" t="s">
        <v>351</v>
      </c>
      <c r="O8" s="163" t="s">
        <v>501</v>
      </c>
    </row>
    <row r="9" spans="1:15" ht="14.25">
      <c r="A9" s="165" t="s">
        <v>502</v>
      </c>
      <c r="B9" s="165" t="s">
        <v>503</v>
      </c>
      <c r="C9" s="163"/>
      <c r="D9" s="163">
        <v>0</v>
      </c>
      <c r="E9" s="163">
        <v>1000</v>
      </c>
      <c r="F9" s="165" t="s">
        <v>504</v>
      </c>
      <c r="G9" s="164"/>
      <c r="H9" s="164"/>
      <c r="I9" s="164"/>
      <c r="J9" s="164"/>
      <c r="K9" s="164"/>
      <c r="L9" s="164"/>
      <c r="M9" s="164"/>
      <c r="N9" s="165" t="s">
        <v>351</v>
      </c>
      <c r="O9" s="163" t="s">
        <v>501</v>
      </c>
    </row>
    <row r="10" spans="1:15" ht="14.25">
      <c r="A10" s="167" t="s">
        <v>505</v>
      </c>
      <c r="B10" s="167" t="s">
        <v>506</v>
      </c>
      <c r="C10" s="168" t="s">
        <v>507</v>
      </c>
      <c r="D10" s="168">
        <v>0</v>
      </c>
      <c r="E10" s="168">
        <v>1000</v>
      </c>
      <c r="F10" s="167" t="s">
        <v>508</v>
      </c>
      <c r="G10" s="164"/>
      <c r="H10" s="164"/>
      <c r="I10" s="164"/>
      <c r="J10" s="166">
        <v>-1</v>
      </c>
      <c r="K10" s="164"/>
      <c r="L10" s="164"/>
      <c r="M10" s="164"/>
      <c r="N10" s="167" t="s">
        <v>401</v>
      </c>
      <c r="O10" s="165" t="s">
        <v>509</v>
      </c>
    </row>
    <row r="11" spans="1:15" ht="14.25">
      <c r="A11" s="167" t="s">
        <v>510</v>
      </c>
      <c r="B11" s="167" t="s">
        <v>511</v>
      </c>
      <c r="C11" s="168" t="s">
        <v>512</v>
      </c>
      <c r="D11" s="168">
        <v>0</v>
      </c>
      <c r="E11" s="168">
        <v>1000</v>
      </c>
      <c r="F11" s="167" t="s">
        <v>513</v>
      </c>
      <c r="G11" s="164"/>
      <c r="H11" s="164"/>
      <c r="I11" s="164"/>
      <c r="J11" s="164"/>
      <c r="K11" s="164"/>
      <c r="L11" s="164"/>
      <c r="M11" s="164"/>
      <c r="N11" s="167" t="s">
        <v>480</v>
      </c>
      <c r="O11" s="165" t="s">
        <v>514</v>
      </c>
    </row>
    <row r="12" spans="1:15" ht="14.25">
      <c r="A12" s="169" t="s">
        <v>515</v>
      </c>
      <c r="B12" s="169" t="s">
        <v>516</v>
      </c>
      <c r="C12" s="170" t="s">
        <v>517</v>
      </c>
      <c r="D12" s="170">
        <v>-1000</v>
      </c>
      <c r="E12" s="170">
        <v>1000</v>
      </c>
      <c r="F12" s="169" t="s">
        <v>518</v>
      </c>
      <c r="G12" s="164"/>
      <c r="H12" s="164"/>
      <c r="I12" s="164"/>
      <c r="J12" s="164"/>
      <c r="K12" s="164"/>
      <c r="L12" s="164"/>
      <c r="M12" s="164"/>
      <c r="N12" s="167"/>
      <c r="O12" s="165"/>
    </row>
    <row r="13" spans="1:15" ht="14.25">
      <c r="A13" s="169" t="s">
        <v>519</v>
      </c>
      <c r="B13" s="169" t="s">
        <v>520</v>
      </c>
      <c r="C13" s="170" t="s">
        <v>517</v>
      </c>
      <c r="D13" s="170">
        <v>-1000</v>
      </c>
      <c r="E13" s="170">
        <v>1000</v>
      </c>
      <c r="F13" s="169" t="s">
        <v>521</v>
      </c>
      <c r="G13" s="166">
        <v>1</v>
      </c>
      <c r="H13" s="164"/>
      <c r="I13" s="164"/>
      <c r="J13" s="164"/>
      <c r="K13" s="164"/>
      <c r="L13" s="166">
        <v>1</v>
      </c>
      <c r="M13" s="164"/>
      <c r="N13" s="167"/>
      <c r="O13" s="165"/>
    </row>
    <row r="14" spans="1:15" ht="14.25">
      <c r="A14" s="169" t="s">
        <v>522</v>
      </c>
      <c r="B14" s="169" t="s">
        <v>523</v>
      </c>
      <c r="C14" s="170" t="s">
        <v>517</v>
      </c>
      <c r="D14" s="170">
        <v>-1000</v>
      </c>
      <c r="E14" s="170">
        <v>1000</v>
      </c>
      <c r="F14" s="169" t="s">
        <v>524</v>
      </c>
      <c r="G14" s="164"/>
      <c r="H14" s="164"/>
      <c r="I14" s="164"/>
      <c r="J14" s="166">
        <v>1</v>
      </c>
      <c r="K14" s="164"/>
      <c r="L14" s="164"/>
      <c r="M14" s="164"/>
      <c r="N14" s="167" t="s">
        <v>419</v>
      </c>
      <c r="O14" s="165"/>
    </row>
    <row r="15" spans="1:15" ht="14.25">
      <c r="A15" s="169" t="s">
        <v>525</v>
      </c>
      <c r="B15" s="169" t="s">
        <v>526</v>
      </c>
      <c r="C15" s="170" t="s">
        <v>517</v>
      </c>
      <c r="D15" s="170">
        <v>-1000</v>
      </c>
      <c r="E15" s="170">
        <v>1000</v>
      </c>
      <c r="F15" s="169" t="s">
        <v>527</v>
      </c>
      <c r="G15" s="164"/>
      <c r="H15" s="164"/>
      <c r="I15" s="164"/>
      <c r="J15" s="164"/>
      <c r="K15" s="164"/>
      <c r="L15" s="164"/>
      <c r="M15" s="164"/>
      <c r="N15" s="167"/>
      <c r="O15" s="165"/>
    </row>
    <row r="16" spans="1:15" ht="14.25">
      <c r="A16" s="169" t="s">
        <v>528</v>
      </c>
      <c r="B16" s="169" t="s">
        <v>529</v>
      </c>
      <c r="C16" s="170" t="s">
        <v>517</v>
      </c>
      <c r="D16" s="170">
        <v>-1000</v>
      </c>
      <c r="E16" s="170">
        <v>1000</v>
      </c>
      <c r="F16" s="169" t="s">
        <v>530</v>
      </c>
      <c r="G16" s="164"/>
      <c r="H16" s="164"/>
      <c r="I16" s="164"/>
      <c r="J16" s="164"/>
      <c r="K16" s="164"/>
      <c r="L16" s="164"/>
      <c r="M16" s="164"/>
      <c r="N16" s="167"/>
      <c r="O16" s="165"/>
    </row>
    <row r="17" spans="1:15" ht="14.25">
      <c r="A17" s="169" t="s">
        <v>531</v>
      </c>
      <c r="B17" s="169" t="s">
        <v>532</v>
      </c>
      <c r="C17" s="170" t="s">
        <v>517</v>
      </c>
      <c r="D17" s="170">
        <v>0</v>
      </c>
      <c r="E17" s="170">
        <v>1000</v>
      </c>
      <c r="F17" s="169" t="s">
        <v>533</v>
      </c>
      <c r="G17" s="164"/>
      <c r="H17" s="164"/>
      <c r="I17" s="164"/>
      <c r="J17" s="166">
        <v>1</v>
      </c>
      <c r="K17" s="164"/>
      <c r="L17" s="164"/>
      <c r="M17" s="164"/>
      <c r="N17" s="167"/>
      <c r="O17" s="165"/>
    </row>
    <row r="18" spans="1:15" ht="14.25">
      <c r="A18" s="169" t="s">
        <v>534</v>
      </c>
      <c r="B18" s="169" t="s">
        <v>535</v>
      </c>
      <c r="C18" s="170" t="s">
        <v>517</v>
      </c>
      <c r="D18" s="170">
        <v>0</v>
      </c>
      <c r="E18" s="170">
        <v>1000</v>
      </c>
      <c r="F18" s="169" t="s">
        <v>536</v>
      </c>
      <c r="G18" s="166">
        <v>1</v>
      </c>
      <c r="H18" s="164"/>
      <c r="I18" s="164"/>
      <c r="J18" s="164"/>
      <c r="K18" s="164"/>
      <c r="L18" s="164"/>
      <c r="M18" s="164">
        <v>1</v>
      </c>
      <c r="N18" s="167"/>
      <c r="O18" s="165"/>
    </row>
    <row r="19" spans="1:15">
      <c r="G19" s="156">
        <f>SUM(G2:G18)</f>
        <v>-1</v>
      </c>
      <c r="H19" s="156">
        <f>SUM(H2:H18)</f>
        <v>0</v>
      </c>
      <c r="I19" s="156">
        <f>SUM(I2:I18)</f>
        <v>0</v>
      </c>
      <c r="J19" s="156">
        <f>SUM(J2:J18)</f>
        <v>-2</v>
      </c>
      <c r="K19" s="156">
        <f>SUM(K2:K18)</f>
        <v>0</v>
      </c>
      <c r="L19" s="156">
        <f>SUM(L2:L18)</f>
        <v>4</v>
      </c>
      <c r="M19" s="156">
        <f>SUM(M2:M18)</f>
        <v>1</v>
      </c>
    </row>
    <row r="20" spans="1:15">
      <c r="G20" s="134" t="s">
        <v>366</v>
      </c>
      <c r="H20" s="134" t="s">
        <v>367</v>
      </c>
      <c r="I20" s="134" t="s">
        <v>473</v>
      </c>
      <c r="J20" s="134" t="s">
        <v>369</v>
      </c>
      <c r="K20" s="134" t="s">
        <v>396</v>
      </c>
      <c r="L20" s="134" t="s">
        <v>95</v>
      </c>
      <c r="M20" s="134" t="s">
        <v>62</v>
      </c>
    </row>
    <row r="21" spans="1:15">
      <c r="G21" t="s">
        <v>537</v>
      </c>
      <c r="H21" s="146"/>
      <c r="I21" s="146"/>
      <c r="J21" s="146"/>
      <c r="K21" s="146"/>
      <c r="L21" s="146"/>
      <c r="M21" s="146"/>
    </row>
    <row r="22" spans="1:15">
      <c r="G22" t="s">
        <v>538</v>
      </c>
      <c r="H22" s="146"/>
      <c r="I22" s="146"/>
      <c r="J22" s="146"/>
      <c r="K22" s="146"/>
      <c r="L22" s="146"/>
      <c r="M22" s="146"/>
    </row>
    <row r="24" spans="1:15" ht="15">
      <c r="A24" s="162" t="s">
        <v>539</v>
      </c>
      <c r="B24" s="162" t="s">
        <v>540</v>
      </c>
      <c r="C24" s="162" t="s">
        <v>541</v>
      </c>
      <c r="D24" s="162" t="s">
        <v>542</v>
      </c>
      <c r="E24" s="162" t="s">
        <v>543</v>
      </c>
      <c r="F24" s="171" t="s">
        <v>544</v>
      </c>
      <c r="G24" s="172" t="s">
        <v>545</v>
      </c>
      <c r="H24" s="162" t="s">
        <v>546</v>
      </c>
    </row>
    <row r="25" spans="1:15" ht="14.25">
      <c r="A25" s="163" t="s">
        <v>547</v>
      </c>
      <c r="B25" s="163" t="s">
        <v>548</v>
      </c>
      <c r="C25" s="163" t="s">
        <v>549</v>
      </c>
      <c r="D25" s="163" t="s">
        <v>550</v>
      </c>
      <c r="E25" s="163" t="s">
        <v>551</v>
      </c>
      <c r="F25" s="163">
        <v>-1</v>
      </c>
      <c r="G25" s="163" t="s">
        <v>475</v>
      </c>
      <c r="H25" s="163"/>
    </row>
    <row r="26" spans="1:15" ht="14.25">
      <c r="A26" s="163" t="s">
        <v>366</v>
      </c>
      <c r="B26" s="163" t="s">
        <v>552</v>
      </c>
      <c r="C26" s="163" t="s">
        <v>553</v>
      </c>
      <c r="D26" s="163" t="s">
        <v>554</v>
      </c>
      <c r="E26" s="163" t="s">
        <v>551</v>
      </c>
      <c r="F26" s="163">
        <v>-2</v>
      </c>
      <c r="G26" s="163" t="s">
        <v>475</v>
      </c>
      <c r="H26" s="163"/>
    </row>
    <row r="27" spans="1:15" ht="14.25">
      <c r="A27" s="163" t="s">
        <v>369</v>
      </c>
      <c r="B27" s="163" t="s">
        <v>555</v>
      </c>
      <c r="C27" s="163" t="s">
        <v>556</v>
      </c>
      <c r="D27" s="163" t="s">
        <v>557</v>
      </c>
      <c r="E27" s="163" t="s">
        <v>551</v>
      </c>
      <c r="F27" s="163">
        <v>-4</v>
      </c>
      <c r="G27" s="163" t="s">
        <v>475</v>
      </c>
      <c r="H27" s="163"/>
    </row>
    <row r="28" spans="1:15" ht="14.25">
      <c r="A28" s="163" t="s">
        <v>558</v>
      </c>
      <c r="B28" s="163" t="s">
        <v>559</v>
      </c>
      <c r="C28" s="163" t="s">
        <v>560</v>
      </c>
      <c r="D28" s="163" t="s">
        <v>561</v>
      </c>
      <c r="E28" s="163" t="s">
        <v>551</v>
      </c>
      <c r="F28" s="163">
        <v>-3</v>
      </c>
      <c r="G28" s="163" t="s">
        <v>475</v>
      </c>
      <c r="H28" s="163"/>
    </row>
    <row r="29" spans="1:15" ht="14.25">
      <c r="A29" s="163" t="s">
        <v>562</v>
      </c>
      <c r="B29" s="165" t="s">
        <v>563</v>
      </c>
      <c r="C29" s="165" t="s">
        <v>564</v>
      </c>
      <c r="D29" s="165" t="s">
        <v>565</v>
      </c>
      <c r="E29" s="165" t="s">
        <v>551</v>
      </c>
      <c r="F29" s="163">
        <v>-2</v>
      </c>
      <c r="G29" s="163" t="s">
        <v>475</v>
      </c>
      <c r="H29" s="163"/>
    </row>
    <row r="30" spans="1:15" ht="14.25">
      <c r="A30" s="163" t="s">
        <v>566</v>
      </c>
      <c r="B30" s="163" t="s">
        <v>567</v>
      </c>
      <c r="C30" s="163" t="s">
        <v>4</v>
      </c>
      <c r="D30" s="163" t="s">
        <v>95</v>
      </c>
      <c r="E30" s="163" t="s">
        <v>551</v>
      </c>
      <c r="F30" s="163">
        <v>1</v>
      </c>
      <c r="G30" s="163" t="s">
        <v>475</v>
      </c>
      <c r="H30" s="163"/>
    </row>
    <row r="31" spans="1:15" ht="14.25">
      <c r="A31" s="163" t="s">
        <v>568</v>
      </c>
      <c r="B31" s="163" t="s">
        <v>569</v>
      </c>
      <c r="C31" s="163" t="s">
        <v>4</v>
      </c>
      <c r="D31" s="163" t="s">
        <v>95</v>
      </c>
      <c r="E31" s="163" t="s">
        <v>570</v>
      </c>
      <c r="F31" s="163">
        <v>1</v>
      </c>
      <c r="G31" s="163" t="s">
        <v>480</v>
      </c>
      <c r="H31" s="163"/>
    </row>
    <row r="32" spans="1:15" ht="14.25">
      <c r="A32" s="163" t="s">
        <v>571</v>
      </c>
      <c r="B32" s="163" t="s">
        <v>572</v>
      </c>
      <c r="C32" s="163" t="s">
        <v>573</v>
      </c>
      <c r="D32" s="163" t="s">
        <v>574</v>
      </c>
      <c r="E32" s="163" t="s">
        <v>551</v>
      </c>
      <c r="F32" s="163">
        <v>-3</v>
      </c>
      <c r="G32" s="163" t="s">
        <v>475</v>
      </c>
      <c r="H32" s="163"/>
    </row>
    <row r="33" spans="1:8" ht="14.25">
      <c r="A33" s="165" t="s">
        <v>575</v>
      </c>
      <c r="B33" s="165" t="s">
        <v>576</v>
      </c>
      <c r="C33" s="165" t="s">
        <v>577</v>
      </c>
      <c r="D33" s="165" t="s">
        <v>578</v>
      </c>
      <c r="E33" s="165" t="s">
        <v>551</v>
      </c>
      <c r="F33" s="163">
        <v>-4</v>
      </c>
      <c r="G33" s="163" t="s">
        <v>480</v>
      </c>
      <c r="H33" s="163"/>
    </row>
    <row r="34" spans="1:8" ht="14.25">
      <c r="A34" s="163" t="s">
        <v>579</v>
      </c>
      <c r="B34" s="163" t="s">
        <v>580</v>
      </c>
      <c r="C34" s="163" t="s">
        <v>581</v>
      </c>
      <c r="D34" s="163" t="s">
        <v>19</v>
      </c>
      <c r="E34" s="163" t="s">
        <v>582</v>
      </c>
      <c r="F34" s="163">
        <v>-1</v>
      </c>
      <c r="G34" s="163" t="s">
        <v>475</v>
      </c>
      <c r="H34" s="163"/>
    </row>
    <row r="35" spans="1:8" ht="15">
      <c r="A35" s="173" t="s">
        <v>583</v>
      </c>
      <c r="B35" s="173" t="s">
        <v>584</v>
      </c>
      <c r="C35" s="173" t="s">
        <v>581</v>
      </c>
      <c r="D35" s="163" t="s">
        <v>19</v>
      </c>
      <c r="E35" s="173" t="s">
        <v>570</v>
      </c>
      <c r="F35" s="163">
        <v>-1</v>
      </c>
      <c r="G35" s="163" t="s">
        <v>480</v>
      </c>
      <c r="H35" s="163" t="s">
        <v>585</v>
      </c>
    </row>
    <row r="36" spans="1:8" ht="14.25">
      <c r="A36" s="163" t="s">
        <v>586</v>
      </c>
      <c r="B36" s="163" t="s">
        <v>587</v>
      </c>
      <c r="C36" s="163" t="s">
        <v>581</v>
      </c>
      <c r="D36" s="163" t="s">
        <v>19</v>
      </c>
      <c r="E36" s="163" t="s">
        <v>551</v>
      </c>
      <c r="F36" s="163">
        <v>-1</v>
      </c>
      <c r="G36" s="163" t="s">
        <v>475</v>
      </c>
      <c r="H36" s="163"/>
    </row>
    <row r="37" spans="1:8" ht="14.25">
      <c r="A37" s="163" t="s">
        <v>588</v>
      </c>
      <c r="B37" s="163" t="s">
        <v>589</v>
      </c>
      <c r="C37" s="163" t="s">
        <v>590</v>
      </c>
      <c r="D37" s="163" t="s">
        <v>591</v>
      </c>
      <c r="E37" s="163" t="s">
        <v>551</v>
      </c>
      <c r="F37" s="163">
        <v>-4</v>
      </c>
      <c r="G37" s="163" t="s">
        <v>480</v>
      </c>
      <c r="H37" s="163" t="s">
        <v>585</v>
      </c>
    </row>
    <row r="38" spans="1:8" ht="14.25">
      <c r="A38" s="163" t="s">
        <v>592</v>
      </c>
      <c r="B38" s="163" t="s">
        <v>593</v>
      </c>
      <c r="C38" s="163" t="s">
        <v>594</v>
      </c>
      <c r="D38" s="163" t="s">
        <v>592</v>
      </c>
      <c r="E38" s="163" t="s">
        <v>551</v>
      </c>
      <c r="F38" s="163">
        <v>0</v>
      </c>
      <c r="G38" s="163" t="s">
        <v>480</v>
      </c>
      <c r="H38" s="163" t="s">
        <v>585</v>
      </c>
    </row>
    <row r="39" spans="1:8" ht="14.25">
      <c r="A39" s="163" t="s">
        <v>40</v>
      </c>
      <c r="B39" s="163" t="s">
        <v>595</v>
      </c>
      <c r="C39" s="163" t="s">
        <v>34</v>
      </c>
      <c r="D39" s="163" t="s">
        <v>40</v>
      </c>
      <c r="E39" s="163" t="s">
        <v>551</v>
      </c>
      <c r="F39" s="163">
        <v>0</v>
      </c>
      <c r="G39" s="163" t="s">
        <v>475</v>
      </c>
      <c r="H39" s="163"/>
    </row>
    <row r="40" spans="1:8" ht="14.25">
      <c r="A40" s="163" t="s">
        <v>596</v>
      </c>
      <c r="B40" s="163" t="s">
        <v>597</v>
      </c>
      <c r="C40" s="163" t="s">
        <v>598</v>
      </c>
      <c r="D40" s="163" t="s">
        <v>599</v>
      </c>
      <c r="E40" s="163" t="s">
        <v>551</v>
      </c>
      <c r="F40" s="163">
        <v>0</v>
      </c>
      <c r="G40" s="163" t="s">
        <v>475</v>
      </c>
      <c r="H40" s="163"/>
    </row>
    <row r="41" spans="1:8" ht="14.25">
      <c r="A41" s="163" t="s">
        <v>600</v>
      </c>
      <c r="B41" s="163" t="s">
        <v>601</v>
      </c>
      <c r="C41" s="163" t="s">
        <v>602</v>
      </c>
      <c r="D41" s="163" t="s">
        <v>603</v>
      </c>
      <c r="E41" s="163" t="s">
        <v>551</v>
      </c>
      <c r="F41" s="163">
        <v>-2</v>
      </c>
      <c r="G41" s="163" t="s">
        <v>475</v>
      </c>
      <c r="H41" s="163"/>
    </row>
    <row r="42" spans="1:8" ht="14.25">
      <c r="A42" s="163" t="s">
        <v>604</v>
      </c>
      <c r="B42" s="163" t="s">
        <v>605</v>
      </c>
      <c r="C42" s="163" t="s">
        <v>606</v>
      </c>
      <c r="D42" s="163" t="s">
        <v>607</v>
      </c>
      <c r="E42" s="163" t="s">
        <v>551</v>
      </c>
      <c r="F42" s="163">
        <v>-3</v>
      </c>
      <c r="G42" s="163" t="s">
        <v>480</v>
      </c>
      <c r="H42" s="163"/>
    </row>
    <row r="43" spans="1:8" ht="14.25">
      <c r="A43" s="163" t="s">
        <v>80</v>
      </c>
      <c r="B43" s="163" t="s">
        <v>608</v>
      </c>
      <c r="C43" s="163" t="s">
        <v>609</v>
      </c>
      <c r="D43" s="163" t="s">
        <v>80</v>
      </c>
      <c r="E43" s="163" t="s">
        <v>551</v>
      </c>
      <c r="F43" s="163">
        <v>-1</v>
      </c>
      <c r="G43" s="163" t="s">
        <v>480</v>
      </c>
      <c r="H43" s="163"/>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56"/>
  <sheetViews>
    <sheetView zoomScale="90" zoomScaleNormal="90" workbookViewId="0">
      <selection activeCell="A6" sqref="A6"/>
    </sheetView>
  </sheetViews>
  <sheetFormatPr defaultRowHeight="12.75"/>
  <cols>
    <col min="1" max="5" width="8.7109375" customWidth="1"/>
    <col min="6" max="6" width="54.42578125" customWidth="1"/>
    <col min="7" max="1025" width="8.7109375" customWidth="1"/>
  </cols>
  <sheetData>
    <row r="1" spans="1:15" ht="15">
      <c r="A1" s="162" t="s">
        <v>388</v>
      </c>
      <c r="B1" s="162" t="s">
        <v>389</v>
      </c>
      <c r="C1" s="162" t="s">
        <v>390</v>
      </c>
      <c r="D1" s="162" t="s">
        <v>391</v>
      </c>
      <c r="E1" s="162" t="s">
        <v>392</v>
      </c>
      <c r="F1" s="162" t="s">
        <v>393</v>
      </c>
      <c r="G1" s="134" t="s">
        <v>366</v>
      </c>
      <c r="H1" s="134" t="s">
        <v>367</v>
      </c>
      <c r="I1" s="134" t="s">
        <v>473</v>
      </c>
      <c r="J1" s="134" t="s">
        <v>369</v>
      </c>
      <c r="K1" s="134" t="s">
        <v>396</v>
      </c>
      <c r="L1" s="134" t="s">
        <v>95</v>
      </c>
      <c r="M1" s="134" t="s">
        <v>62</v>
      </c>
      <c r="N1" s="162" t="s">
        <v>394</v>
      </c>
      <c r="O1" s="162" t="s">
        <v>395</v>
      </c>
    </row>
    <row r="2" spans="1:15" ht="14.25">
      <c r="A2" s="163" t="s">
        <v>438</v>
      </c>
      <c r="B2" s="163" t="s">
        <v>439</v>
      </c>
      <c r="C2" s="163" t="s">
        <v>474</v>
      </c>
      <c r="D2" s="163">
        <v>0</v>
      </c>
      <c r="E2" s="163">
        <v>1000</v>
      </c>
      <c r="F2" s="163" t="s">
        <v>440</v>
      </c>
      <c r="G2" s="164"/>
      <c r="H2" s="164"/>
      <c r="I2" s="164"/>
      <c r="J2" s="164"/>
      <c r="K2" s="164"/>
      <c r="L2" s="164"/>
      <c r="M2" s="164"/>
      <c r="N2" s="165" t="s">
        <v>480</v>
      </c>
      <c r="O2" s="163"/>
    </row>
    <row r="3" spans="1:15" ht="14.25">
      <c r="A3" s="163" t="s">
        <v>476</v>
      </c>
      <c r="B3" s="163" t="s">
        <v>477</v>
      </c>
      <c r="C3" s="163" t="s">
        <v>478</v>
      </c>
      <c r="D3" s="163">
        <v>-1000</v>
      </c>
      <c r="E3" s="163">
        <v>1000</v>
      </c>
      <c r="F3" s="163" t="s">
        <v>479</v>
      </c>
      <c r="G3" s="164"/>
      <c r="H3" s="164"/>
      <c r="I3" s="164"/>
      <c r="J3" s="164"/>
      <c r="K3" s="164"/>
      <c r="L3" s="164"/>
      <c r="M3" s="164"/>
      <c r="N3" s="165" t="s">
        <v>480</v>
      </c>
      <c r="O3" s="163"/>
    </row>
    <row r="4" spans="1:15" ht="14.25">
      <c r="A4" s="163" t="s">
        <v>482</v>
      </c>
      <c r="B4" s="163" t="s">
        <v>483</v>
      </c>
      <c r="C4" s="163" t="s">
        <v>484</v>
      </c>
      <c r="D4" s="163">
        <v>0</v>
      </c>
      <c r="E4" s="163">
        <v>1000</v>
      </c>
      <c r="F4" s="163" t="s">
        <v>485</v>
      </c>
      <c r="G4" s="164"/>
      <c r="H4" s="164"/>
      <c r="I4" s="164"/>
      <c r="J4" s="164"/>
      <c r="K4" s="164"/>
      <c r="L4" s="166">
        <v>1</v>
      </c>
      <c r="M4" s="164"/>
      <c r="N4" s="165" t="s">
        <v>480</v>
      </c>
      <c r="O4" s="163" t="s">
        <v>610</v>
      </c>
    </row>
    <row r="5" spans="1:15" ht="14.25">
      <c r="A5" s="163" t="s">
        <v>487</v>
      </c>
      <c r="B5" s="163" t="s">
        <v>488</v>
      </c>
      <c r="C5" s="163" t="s">
        <v>484</v>
      </c>
      <c r="D5" s="163">
        <v>0</v>
      </c>
      <c r="E5" s="163">
        <v>1000</v>
      </c>
      <c r="F5" s="163" t="s">
        <v>489</v>
      </c>
      <c r="G5" s="164"/>
      <c r="H5" s="164"/>
      <c r="I5" s="164"/>
      <c r="J5" s="164"/>
      <c r="K5" s="164"/>
      <c r="L5" s="164"/>
      <c r="M5" s="164"/>
      <c r="N5" s="165" t="s">
        <v>480</v>
      </c>
      <c r="O5" s="163" t="s">
        <v>611</v>
      </c>
    </row>
    <row r="6" spans="1:15" ht="14.25">
      <c r="A6" s="165" t="s">
        <v>413</v>
      </c>
      <c r="B6" s="165" t="s">
        <v>414</v>
      </c>
      <c r="C6" s="163" t="s">
        <v>612</v>
      </c>
      <c r="D6" s="163">
        <v>0</v>
      </c>
      <c r="E6" s="163">
        <v>1000</v>
      </c>
      <c r="F6" s="165" t="s">
        <v>415</v>
      </c>
      <c r="G6" s="164"/>
      <c r="H6" s="164"/>
      <c r="I6" s="164"/>
      <c r="J6" s="166">
        <v>-1</v>
      </c>
      <c r="K6" s="164"/>
      <c r="L6" s="164"/>
      <c r="M6" s="164"/>
      <c r="N6" s="165" t="s">
        <v>475</v>
      </c>
      <c r="O6" s="165"/>
    </row>
    <row r="7" spans="1:15" ht="14.25">
      <c r="A7" s="165" t="s">
        <v>416</v>
      </c>
      <c r="B7" s="165" t="s">
        <v>417</v>
      </c>
      <c r="C7" s="163" t="s">
        <v>612</v>
      </c>
      <c r="D7" s="163">
        <v>-1000</v>
      </c>
      <c r="E7" s="163">
        <v>1000</v>
      </c>
      <c r="F7" s="165" t="s">
        <v>418</v>
      </c>
      <c r="G7" s="164"/>
      <c r="H7" s="164"/>
      <c r="I7" s="164"/>
      <c r="J7" s="164"/>
      <c r="K7" s="164"/>
      <c r="L7" s="166">
        <v>-1</v>
      </c>
      <c r="M7" s="164"/>
      <c r="N7" s="165" t="s">
        <v>475</v>
      </c>
      <c r="O7" s="165"/>
    </row>
    <row r="8" spans="1:15" ht="14.25">
      <c r="A8" s="165" t="s">
        <v>420</v>
      </c>
      <c r="B8" s="165" t="s">
        <v>421</v>
      </c>
      <c r="C8" s="163" t="s">
        <v>612</v>
      </c>
      <c r="D8" s="163">
        <v>-1000</v>
      </c>
      <c r="E8" s="163">
        <v>1000</v>
      </c>
      <c r="F8" s="165" t="s">
        <v>422</v>
      </c>
      <c r="G8" s="164"/>
      <c r="H8" s="166">
        <v>-1</v>
      </c>
      <c r="I8" s="164"/>
      <c r="J8" s="164"/>
      <c r="K8" s="164"/>
      <c r="L8" s="164"/>
      <c r="M8" s="164"/>
      <c r="N8" s="165" t="s">
        <v>475</v>
      </c>
      <c r="O8" s="165"/>
    </row>
    <row r="9" spans="1:15" ht="14.25">
      <c r="A9" s="163" t="s">
        <v>613</v>
      </c>
      <c r="B9" s="163" t="s">
        <v>614</v>
      </c>
      <c r="C9" s="163" t="s">
        <v>615</v>
      </c>
      <c r="D9" s="163">
        <v>-1000</v>
      </c>
      <c r="E9" s="163">
        <v>1000</v>
      </c>
      <c r="F9" s="163" t="s">
        <v>616</v>
      </c>
      <c r="G9" s="164"/>
      <c r="H9" s="164"/>
      <c r="I9" s="164"/>
      <c r="J9" s="164"/>
      <c r="K9" s="164"/>
      <c r="L9" s="164"/>
      <c r="M9" s="164"/>
      <c r="N9" s="165" t="s">
        <v>475</v>
      </c>
      <c r="O9" s="163"/>
    </row>
    <row r="10" spans="1:15" ht="14.25">
      <c r="A10" s="165" t="s">
        <v>617</v>
      </c>
      <c r="B10" s="165" t="s">
        <v>618</v>
      </c>
      <c r="C10" s="163" t="s">
        <v>619</v>
      </c>
      <c r="D10" s="163">
        <v>-1000</v>
      </c>
      <c r="E10" s="163">
        <v>1000</v>
      </c>
      <c r="F10" s="165" t="s">
        <v>620</v>
      </c>
      <c r="G10" s="164"/>
      <c r="H10" s="164"/>
      <c r="I10" s="164"/>
      <c r="J10" s="164"/>
      <c r="K10" s="164"/>
      <c r="L10" s="164"/>
      <c r="M10" s="164"/>
      <c r="N10" s="165"/>
      <c r="O10" s="165" t="s">
        <v>621</v>
      </c>
    </row>
    <row r="11" spans="1:15" ht="14.25">
      <c r="A11" s="165" t="s">
        <v>622</v>
      </c>
      <c r="B11" s="165" t="s">
        <v>623</v>
      </c>
      <c r="C11" s="163" t="s">
        <v>512</v>
      </c>
      <c r="D11" s="163">
        <v>0</v>
      </c>
      <c r="E11" s="163">
        <v>1000</v>
      </c>
      <c r="F11" s="165" t="s">
        <v>624</v>
      </c>
      <c r="G11" s="166">
        <v>-1</v>
      </c>
      <c r="H11" s="164"/>
      <c r="I11" s="164"/>
      <c r="J11" s="164"/>
      <c r="K11" s="164"/>
      <c r="L11" s="164"/>
      <c r="M11" s="164"/>
      <c r="N11" s="165" t="s">
        <v>480</v>
      </c>
      <c r="O11" s="165"/>
    </row>
    <row r="12" spans="1:15" ht="14.25">
      <c r="A12" s="163" t="s">
        <v>625</v>
      </c>
      <c r="B12" s="163" t="s">
        <v>626</v>
      </c>
      <c r="C12" s="163" t="s">
        <v>627</v>
      </c>
      <c r="D12" s="163">
        <v>0</v>
      </c>
      <c r="E12" s="163">
        <v>1000</v>
      </c>
      <c r="F12" s="163" t="s">
        <v>628</v>
      </c>
      <c r="G12" s="164"/>
      <c r="H12" s="164"/>
      <c r="I12" s="164"/>
      <c r="J12" s="166">
        <v>-1</v>
      </c>
      <c r="K12" s="164"/>
      <c r="L12" s="166">
        <v>1</v>
      </c>
      <c r="M12" s="164"/>
      <c r="N12" s="165" t="s">
        <v>480</v>
      </c>
      <c r="O12" s="165"/>
    </row>
    <row r="13" spans="1:15" ht="14.25">
      <c r="A13" s="163" t="s">
        <v>528</v>
      </c>
      <c r="B13" s="163" t="s">
        <v>529</v>
      </c>
      <c r="C13" s="163" t="s">
        <v>517</v>
      </c>
      <c r="D13" s="163">
        <v>-1000</v>
      </c>
      <c r="E13" s="163">
        <v>1000</v>
      </c>
      <c r="F13" s="163" t="s">
        <v>530</v>
      </c>
      <c r="G13" s="164"/>
      <c r="H13" s="164"/>
      <c r="I13" s="164"/>
      <c r="J13" s="164"/>
      <c r="K13" s="164"/>
      <c r="L13" s="164"/>
      <c r="M13" s="164"/>
      <c r="N13" s="165" t="s">
        <v>475</v>
      </c>
      <c r="O13" s="165"/>
    </row>
    <row r="14" spans="1:15" ht="14.25">
      <c r="A14" s="163" t="s">
        <v>629</v>
      </c>
      <c r="B14" s="163" t="s">
        <v>630</v>
      </c>
      <c r="C14" s="163" t="s">
        <v>631</v>
      </c>
      <c r="D14" s="163">
        <v>0</v>
      </c>
      <c r="E14" s="163">
        <v>1000</v>
      </c>
      <c r="F14" s="163" t="s">
        <v>632</v>
      </c>
      <c r="G14" s="164"/>
      <c r="H14" s="164"/>
      <c r="I14" s="164"/>
      <c r="J14" s="164"/>
      <c r="K14" s="164"/>
      <c r="L14" s="166">
        <v>1</v>
      </c>
      <c r="M14" s="166">
        <v>-1</v>
      </c>
      <c r="N14" s="165" t="s">
        <v>480</v>
      </c>
      <c r="O14" s="165" t="s">
        <v>633</v>
      </c>
    </row>
    <row r="15" spans="1:15" ht="14.25">
      <c r="A15" s="163" t="s">
        <v>634</v>
      </c>
      <c r="B15" s="163" t="s">
        <v>635</v>
      </c>
      <c r="C15" s="163" t="s">
        <v>636</v>
      </c>
      <c r="D15" s="163">
        <v>-1000</v>
      </c>
      <c r="E15" s="163">
        <v>1000</v>
      </c>
      <c r="F15" s="163" t="s">
        <v>637</v>
      </c>
      <c r="G15" s="166">
        <v>-1</v>
      </c>
      <c r="H15" s="164"/>
      <c r="I15" s="164"/>
      <c r="J15" s="164"/>
      <c r="K15" s="164"/>
      <c r="L15" s="166">
        <v>-1</v>
      </c>
      <c r="M15" s="164"/>
      <c r="N15" s="165" t="s">
        <v>480</v>
      </c>
      <c r="O15" s="165" t="s">
        <v>638</v>
      </c>
    </row>
    <row r="16" spans="1:15" ht="14.25">
      <c r="A16" s="163" t="s">
        <v>639</v>
      </c>
      <c r="B16" s="163" t="s">
        <v>640</v>
      </c>
      <c r="C16" s="163" t="s">
        <v>172</v>
      </c>
      <c r="D16" s="163">
        <v>-1000</v>
      </c>
      <c r="E16" s="163">
        <v>1000</v>
      </c>
      <c r="F16" s="163" t="s">
        <v>641</v>
      </c>
      <c r="G16" s="164"/>
      <c r="H16" s="164"/>
      <c r="I16" s="164"/>
      <c r="J16" s="166">
        <v>-1</v>
      </c>
      <c r="K16" s="164"/>
      <c r="L16" s="164"/>
      <c r="M16" s="164"/>
      <c r="N16" s="165"/>
      <c r="O16" s="165" t="s">
        <v>642</v>
      </c>
    </row>
    <row r="17" spans="1:15" ht="14.25">
      <c r="A17" s="163" t="s">
        <v>643</v>
      </c>
      <c r="B17" s="163" t="s">
        <v>644</v>
      </c>
      <c r="C17" s="163" t="s">
        <v>172</v>
      </c>
      <c r="D17" s="163">
        <v>-1000</v>
      </c>
      <c r="E17" s="163">
        <v>1000</v>
      </c>
      <c r="F17" s="163" t="s">
        <v>645</v>
      </c>
      <c r="G17" s="164"/>
      <c r="H17" s="164"/>
      <c r="I17" s="164"/>
      <c r="J17" s="164"/>
      <c r="K17" s="164"/>
      <c r="L17" s="164"/>
      <c r="M17" s="164"/>
      <c r="N17" s="165"/>
      <c r="O17" s="165" t="s">
        <v>642</v>
      </c>
    </row>
    <row r="18" spans="1:15">
      <c r="G18" s="156">
        <f>SUM(G2:G17)</f>
        <v>-2</v>
      </c>
      <c r="H18" s="156">
        <f>SUM(H2:H17)</f>
        <v>-1</v>
      </c>
      <c r="I18" s="156">
        <f>SUM(I2:I17)</f>
        <v>0</v>
      </c>
      <c r="J18" s="156">
        <f>SUM(J2:J17)</f>
        <v>-3</v>
      </c>
      <c r="K18" s="156">
        <f>SUM(K2:K17)</f>
        <v>0</v>
      </c>
      <c r="L18" s="156">
        <f>SUM(L2:L17)</f>
        <v>1</v>
      </c>
      <c r="M18" s="156">
        <f>SUM(M2:M17)</f>
        <v>-1</v>
      </c>
    </row>
    <row r="19" spans="1:15">
      <c r="G19" s="134" t="s">
        <v>366</v>
      </c>
      <c r="H19" s="134" t="s">
        <v>367</v>
      </c>
      <c r="I19" s="134" t="s">
        <v>473</v>
      </c>
      <c r="J19" s="134" t="s">
        <v>369</v>
      </c>
      <c r="K19" s="134" t="s">
        <v>396</v>
      </c>
      <c r="L19" s="134" t="s">
        <v>95</v>
      </c>
      <c r="M19" s="134" t="s">
        <v>62</v>
      </c>
    </row>
    <row r="20" spans="1:15">
      <c r="G20" t="s">
        <v>646</v>
      </c>
    </row>
    <row r="21" spans="1:15">
      <c r="G21" t="s">
        <v>647</v>
      </c>
      <c r="H21" s="113"/>
      <c r="I21" s="113"/>
      <c r="J21" s="113"/>
      <c r="K21" s="113"/>
      <c r="L21" s="113"/>
      <c r="M21" s="113"/>
    </row>
    <row r="22" spans="1:15">
      <c r="G22" s="113"/>
      <c r="H22" s="113"/>
      <c r="I22" s="113"/>
      <c r="J22" s="113"/>
      <c r="K22" s="113"/>
      <c r="L22" s="113"/>
      <c r="M22" s="113"/>
    </row>
    <row r="23" spans="1:15" ht="15">
      <c r="A23" s="162" t="s">
        <v>540</v>
      </c>
      <c r="B23" s="162" t="s">
        <v>541</v>
      </c>
      <c r="C23" s="162" t="s">
        <v>542</v>
      </c>
      <c r="D23" s="162" t="s">
        <v>543</v>
      </c>
      <c r="E23" s="162" t="s">
        <v>544</v>
      </c>
      <c r="F23" s="172" t="s">
        <v>545</v>
      </c>
      <c r="G23" s="162" t="s">
        <v>546</v>
      </c>
      <c r="H23" s="172"/>
      <c r="I23" s="172"/>
      <c r="J23" s="172"/>
      <c r="K23" s="172"/>
      <c r="L23" s="172"/>
      <c r="M23" s="172"/>
    </row>
    <row r="24" spans="1:15" ht="14.25">
      <c r="A24" s="163" t="s">
        <v>548</v>
      </c>
      <c r="B24" s="163" t="s">
        <v>549</v>
      </c>
      <c r="C24" s="163" t="s">
        <v>550</v>
      </c>
      <c r="D24" s="163" t="s">
        <v>551</v>
      </c>
      <c r="E24" s="163">
        <v>-1</v>
      </c>
      <c r="F24" s="165" t="s">
        <v>475</v>
      </c>
      <c r="G24" s="163"/>
      <c r="H24" s="165"/>
      <c r="I24" s="165"/>
      <c r="J24" s="165"/>
      <c r="K24" s="165"/>
      <c r="L24" s="165"/>
      <c r="M24" s="165"/>
    </row>
    <row r="25" spans="1:15" ht="14.25">
      <c r="A25" s="163" t="s">
        <v>552</v>
      </c>
      <c r="B25" s="163" t="s">
        <v>553</v>
      </c>
      <c r="C25" s="163" t="s">
        <v>554</v>
      </c>
      <c r="D25" s="163" t="s">
        <v>551</v>
      </c>
      <c r="E25" s="163">
        <v>-2</v>
      </c>
      <c r="F25" s="165" t="s">
        <v>475</v>
      </c>
      <c r="G25" s="163"/>
      <c r="H25" s="165"/>
      <c r="I25" s="165"/>
      <c r="J25" s="165"/>
      <c r="K25" s="165"/>
      <c r="L25" s="165"/>
      <c r="M25" s="165"/>
    </row>
    <row r="26" spans="1:15" ht="14.25">
      <c r="A26" s="165" t="s">
        <v>648</v>
      </c>
      <c r="B26" s="165" t="s">
        <v>649</v>
      </c>
      <c r="C26" s="165" t="s">
        <v>650</v>
      </c>
      <c r="D26" s="165" t="s">
        <v>551</v>
      </c>
      <c r="E26" s="163">
        <v>-3</v>
      </c>
      <c r="F26" s="165" t="s">
        <v>475</v>
      </c>
      <c r="G26" s="163"/>
      <c r="H26" s="165"/>
      <c r="I26" s="165"/>
      <c r="J26" s="165"/>
      <c r="K26" s="165"/>
      <c r="L26" s="165"/>
      <c r="M26" s="165"/>
    </row>
    <row r="27" spans="1:15" ht="14.25">
      <c r="A27" s="165" t="s">
        <v>651</v>
      </c>
      <c r="B27" s="165" t="s">
        <v>652</v>
      </c>
      <c r="C27" s="165" t="s">
        <v>653</v>
      </c>
      <c r="D27" s="165" t="s">
        <v>551</v>
      </c>
      <c r="E27" s="163">
        <v>-4</v>
      </c>
      <c r="F27" s="165" t="s">
        <v>475</v>
      </c>
      <c r="G27" s="163"/>
      <c r="H27" s="165"/>
      <c r="I27" s="165"/>
      <c r="J27" s="165"/>
      <c r="K27" s="165"/>
      <c r="L27" s="165"/>
      <c r="M27" s="165"/>
    </row>
    <row r="28" spans="1:15" ht="14.25">
      <c r="A28" s="163" t="s">
        <v>555</v>
      </c>
      <c r="B28" s="163" t="s">
        <v>556</v>
      </c>
      <c r="C28" s="163" t="s">
        <v>557</v>
      </c>
      <c r="D28" s="163" t="s">
        <v>551</v>
      </c>
      <c r="E28" s="163">
        <v>-4</v>
      </c>
      <c r="F28" s="165" t="s">
        <v>475</v>
      </c>
      <c r="G28" s="163"/>
      <c r="H28" s="165"/>
      <c r="I28" s="165"/>
      <c r="J28" s="165"/>
      <c r="K28" s="165"/>
      <c r="L28" s="165"/>
      <c r="M28" s="165"/>
    </row>
    <row r="29" spans="1:15" ht="14.25">
      <c r="A29" s="163" t="s">
        <v>559</v>
      </c>
      <c r="B29" s="163" t="s">
        <v>560</v>
      </c>
      <c r="C29" s="163" t="s">
        <v>561</v>
      </c>
      <c r="D29" s="163" t="s">
        <v>551</v>
      </c>
      <c r="E29" s="163">
        <v>-3</v>
      </c>
      <c r="F29" s="165" t="s">
        <v>475</v>
      </c>
      <c r="G29" s="163"/>
      <c r="H29" s="165"/>
      <c r="I29" s="165"/>
      <c r="J29" s="165"/>
      <c r="K29" s="165"/>
      <c r="L29" s="165"/>
      <c r="M29" s="165"/>
    </row>
    <row r="30" spans="1:15" ht="14.25">
      <c r="A30" s="165" t="s">
        <v>563</v>
      </c>
      <c r="B30" s="165" t="s">
        <v>564</v>
      </c>
      <c r="C30" s="165" t="s">
        <v>565</v>
      </c>
      <c r="D30" s="165" t="s">
        <v>551</v>
      </c>
      <c r="E30" s="163">
        <v>-2</v>
      </c>
      <c r="F30" s="165" t="s">
        <v>475</v>
      </c>
      <c r="G30" s="163"/>
      <c r="H30" s="165"/>
      <c r="I30" s="165"/>
      <c r="J30" s="165"/>
      <c r="K30" s="165"/>
      <c r="L30" s="165"/>
      <c r="M30" s="165"/>
    </row>
    <row r="31" spans="1:15" ht="14.25">
      <c r="A31" s="163" t="s">
        <v>654</v>
      </c>
      <c r="B31" s="163" t="s">
        <v>94</v>
      </c>
      <c r="C31" s="163" t="s">
        <v>655</v>
      </c>
      <c r="D31" s="163" t="s">
        <v>551</v>
      </c>
      <c r="E31" s="163">
        <v>0</v>
      </c>
      <c r="F31" s="165" t="s">
        <v>475</v>
      </c>
      <c r="G31" s="163"/>
      <c r="H31" s="165"/>
      <c r="I31" s="165"/>
      <c r="J31" s="165"/>
      <c r="K31" s="165"/>
      <c r="L31" s="165"/>
      <c r="M31" s="165"/>
    </row>
    <row r="32" spans="1:15" ht="14.25">
      <c r="A32" s="163" t="s">
        <v>656</v>
      </c>
      <c r="B32" s="163" t="s">
        <v>62</v>
      </c>
      <c r="C32" s="163" t="s">
        <v>657</v>
      </c>
      <c r="D32" s="163" t="s">
        <v>551</v>
      </c>
      <c r="E32" s="163">
        <v>0</v>
      </c>
      <c r="F32" s="165" t="s">
        <v>475</v>
      </c>
      <c r="G32" s="163"/>
      <c r="H32" s="165"/>
      <c r="I32" s="165"/>
      <c r="J32" s="165"/>
      <c r="K32" s="165"/>
      <c r="L32" s="165"/>
      <c r="M32" s="165"/>
    </row>
    <row r="33" spans="1:13" ht="14.25">
      <c r="A33" s="163" t="s">
        <v>567</v>
      </c>
      <c r="B33" s="163" t="s">
        <v>4</v>
      </c>
      <c r="C33" s="163" t="s">
        <v>658</v>
      </c>
      <c r="D33" s="163" t="s">
        <v>551</v>
      </c>
      <c r="E33" s="163">
        <v>1</v>
      </c>
      <c r="F33" s="165" t="s">
        <v>475</v>
      </c>
      <c r="G33" s="163"/>
      <c r="H33" s="165"/>
      <c r="I33" s="165"/>
      <c r="J33" s="165"/>
      <c r="K33" s="165"/>
      <c r="L33" s="165"/>
      <c r="M33" s="165"/>
    </row>
    <row r="34" spans="1:13" ht="14.25">
      <c r="A34" s="163" t="s">
        <v>569</v>
      </c>
      <c r="B34" s="163" t="s">
        <v>4</v>
      </c>
      <c r="C34" s="163" t="s">
        <v>95</v>
      </c>
      <c r="D34" s="163" t="s">
        <v>570</v>
      </c>
      <c r="E34" s="163">
        <v>1</v>
      </c>
      <c r="F34" s="163" t="s">
        <v>480</v>
      </c>
      <c r="G34" s="163"/>
      <c r="H34" s="163"/>
      <c r="I34" s="163"/>
      <c r="J34" s="163"/>
      <c r="K34" s="163"/>
      <c r="L34" s="163"/>
      <c r="M34" s="163"/>
    </row>
    <row r="35" spans="1:13" ht="14.25">
      <c r="A35" s="163" t="s">
        <v>659</v>
      </c>
      <c r="B35" s="163" t="s">
        <v>660</v>
      </c>
      <c r="C35" s="163" t="s">
        <v>661</v>
      </c>
      <c r="D35" s="163" t="s">
        <v>551</v>
      </c>
      <c r="E35" s="163">
        <v>-2</v>
      </c>
      <c r="F35" s="165" t="s">
        <v>475</v>
      </c>
      <c r="G35" s="163"/>
      <c r="H35" s="165"/>
      <c r="I35" s="165"/>
      <c r="J35" s="165"/>
      <c r="K35" s="165"/>
      <c r="L35" s="165"/>
      <c r="M35" s="165"/>
    </row>
    <row r="36" spans="1:13" ht="14.25">
      <c r="A36" s="163" t="s">
        <v>572</v>
      </c>
      <c r="B36" s="163" t="s">
        <v>573</v>
      </c>
      <c r="C36" s="163" t="s">
        <v>574</v>
      </c>
      <c r="D36" s="163" t="s">
        <v>551</v>
      </c>
      <c r="E36" s="163">
        <v>-3</v>
      </c>
      <c r="F36" s="165" t="s">
        <v>475</v>
      </c>
      <c r="G36" s="163"/>
      <c r="H36" s="165"/>
      <c r="I36" s="165"/>
      <c r="J36" s="165"/>
      <c r="K36" s="165"/>
      <c r="L36" s="165"/>
      <c r="M36" s="165"/>
    </row>
    <row r="37" spans="1:13" ht="14.25">
      <c r="A37" s="163" t="s">
        <v>662</v>
      </c>
      <c r="B37" s="163" t="s">
        <v>663</v>
      </c>
      <c r="C37" s="163" t="s">
        <v>664</v>
      </c>
      <c r="D37" s="163" t="s">
        <v>551</v>
      </c>
      <c r="E37" s="163">
        <v>1</v>
      </c>
      <c r="F37" s="165" t="s">
        <v>475</v>
      </c>
      <c r="G37" s="163"/>
      <c r="H37" s="165"/>
      <c r="I37" s="165"/>
      <c r="J37" s="165"/>
      <c r="K37" s="165"/>
      <c r="L37" s="165"/>
      <c r="M37" s="165"/>
    </row>
    <row r="38" spans="1:13" ht="14.25">
      <c r="A38" s="174" t="s">
        <v>576</v>
      </c>
      <c r="B38" s="174" t="s">
        <v>577</v>
      </c>
      <c r="C38" s="175" t="s">
        <v>578</v>
      </c>
      <c r="D38" s="175" t="s">
        <v>551</v>
      </c>
      <c r="E38" s="163">
        <v>-4</v>
      </c>
      <c r="F38" s="163" t="s">
        <v>480</v>
      </c>
      <c r="G38" s="163"/>
      <c r="H38" s="163"/>
      <c r="I38" s="163"/>
      <c r="J38" s="163"/>
      <c r="K38" s="163"/>
      <c r="L38" s="163"/>
      <c r="M38" s="163"/>
    </row>
    <row r="39" spans="1:13" ht="14.25">
      <c r="A39" s="163" t="s">
        <v>580</v>
      </c>
      <c r="B39" s="163" t="s">
        <v>581</v>
      </c>
      <c r="C39" s="163" t="s">
        <v>19</v>
      </c>
      <c r="D39" s="163" t="s">
        <v>582</v>
      </c>
      <c r="E39" s="163">
        <v>-1</v>
      </c>
      <c r="F39" s="176" t="s">
        <v>480</v>
      </c>
      <c r="G39" s="163"/>
      <c r="H39" s="176"/>
      <c r="I39" s="176"/>
      <c r="J39" s="176"/>
      <c r="K39" s="176"/>
      <c r="L39" s="176"/>
      <c r="M39" s="176"/>
    </row>
    <row r="40" spans="1:13" ht="14.25">
      <c r="A40" s="165" t="s">
        <v>584</v>
      </c>
      <c r="B40" s="165" t="s">
        <v>581</v>
      </c>
      <c r="C40" s="163" t="s">
        <v>19</v>
      </c>
      <c r="D40" s="165" t="s">
        <v>570</v>
      </c>
      <c r="E40" s="163">
        <v>-1</v>
      </c>
      <c r="F40" s="176" t="s">
        <v>480</v>
      </c>
      <c r="G40" s="163"/>
      <c r="H40" s="176"/>
      <c r="I40" s="176"/>
      <c r="J40" s="176"/>
      <c r="K40" s="176"/>
      <c r="L40" s="176"/>
      <c r="M40" s="176"/>
    </row>
    <row r="41" spans="1:13" ht="14.25">
      <c r="A41" s="163" t="s">
        <v>587</v>
      </c>
      <c r="B41" s="163" t="s">
        <v>581</v>
      </c>
      <c r="C41" s="163" t="s">
        <v>19</v>
      </c>
      <c r="D41" s="163" t="s">
        <v>551</v>
      </c>
      <c r="E41" s="163">
        <v>-1</v>
      </c>
      <c r="F41" s="176" t="s">
        <v>480</v>
      </c>
      <c r="G41" s="163"/>
      <c r="H41" s="176"/>
      <c r="I41" s="176"/>
      <c r="J41" s="176"/>
      <c r="K41" s="176"/>
      <c r="L41" s="176"/>
      <c r="M41" s="176"/>
    </row>
    <row r="42" spans="1:13" ht="14.25">
      <c r="A42" s="163" t="s">
        <v>665</v>
      </c>
      <c r="B42" s="163" t="s">
        <v>666</v>
      </c>
      <c r="C42" s="163" t="s">
        <v>667</v>
      </c>
      <c r="D42" s="163" t="s">
        <v>551</v>
      </c>
      <c r="E42" s="163">
        <v>-2</v>
      </c>
      <c r="F42" s="165" t="s">
        <v>475</v>
      </c>
      <c r="G42" s="163"/>
      <c r="H42" s="165"/>
      <c r="I42" s="165"/>
      <c r="J42" s="165"/>
      <c r="K42" s="165"/>
      <c r="L42" s="165"/>
      <c r="M42" s="165"/>
    </row>
    <row r="43" spans="1:13" ht="14.25">
      <c r="A43" s="163" t="s">
        <v>668</v>
      </c>
      <c r="B43" s="163" t="s">
        <v>669</v>
      </c>
      <c r="C43" s="163" t="s">
        <v>670</v>
      </c>
      <c r="D43" s="163" t="s">
        <v>551</v>
      </c>
      <c r="E43" s="163">
        <v>-2</v>
      </c>
      <c r="F43" s="165" t="s">
        <v>475</v>
      </c>
      <c r="G43" s="163"/>
      <c r="H43" s="165"/>
      <c r="I43" s="165"/>
      <c r="J43" s="165"/>
      <c r="K43" s="165"/>
      <c r="L43" s="165"/>
      <c r="M43" s="165"/>
    </row>
    <row r="44" spans="1:13" ht="14.25">
      <c r="A44" s="163" t="s">
        <v>671</v>
      </c>
      <c r="B44" s="163" t="s">
        <v>672</v>
      </c>
      <c r="C44" s="163" t="s">
        <v>673</v>
      </c>
      <c r="D44" s="163" t="s">
        <v>551</v>
      </c>
      <c r="E44" s="163">
        <v>-1</v>
      </c>
      <c r="F44" s="165" t="s">
        <v>475</v>
      </c>
      <c r="G44" s="163"/>
      <c r="H44" s="165"/>
      <c r="I44" s="165"/>
      <c r="J44" s="165"/>
      <c r="K44" s="165"/>
      <c r="L44" s="165"/>
      <c r="M44" s="165"/>
    </row>
    <row r="45" spans="1:13" ht="14.25">
      <c r="A45" s="163" t="s">
        <v>674</v>
      </c>
      <c r="B45" s="163" t="s">
        <v>675</v>
      </c>
      <c r="C45" s="163" t="s">
        <v>676</v>
      </c>
      <c r="D45" s="163" t="s">
        <v>551</v>
      </c>
      <c r="E45" s="163">
        <v>-2</v>
      </c>
      <c r="F45" s="165" t="s">
        <v>475</v>
      </c>
      <c r="G45" s="163"/>
      <c r="H45" s="165"/>
      <c r="I45" s="165"/>
      <c r="J45" s="165"/>
      <c r="K45" s="165"/>
      <c r="L45" s="165"/>
      <c r="M45" s="165"/>
    </row>
    <row r="46" spans="1:13" ht="14.25">
      <c r="A46" s="163" t="s">
        <v>677</v>
      </c>
      <c r="B46" s="163" t="s">
        <v>678</v>
      </c>
      <c r="C46" s="163" t="s">
        <v>679</v>
      </c>
      <c r="D46" s="163" t="s">
        <v>551</v>
      </c>
      <c r="E46" s="163">
        <v>-1</v>
      </c>
      <c r="F46" s="163" t="s">
        <v>480</v>
      </c>
      <c r="G46" s="163"/>
      <c r="H46" s="163"/>
      <c r="I46" s="163"/>
      <c r="J46" s="163"/>
      <c r="K46" s="163"/>
      <c r="L46" s="163"/>
      <c r="M46" s="163"/>
    </row>
    <row r="47" spans="1:13" ht="14.25">
      <c r="A47" s="163" t="s">
        <v>680</v>
      </c>
      <c r="B47" s="163" t="s">
        <v>681</v>
      </c>
      <c r="C47" s="163" t="s">
        <v>682</v>
      </c>
      <c r="D47" s="163" t="s">
        <v>551</v>
      </c>
      <c r="E47" s="163">
        <v>0</v>
      </c>
      <c r="F47" s="176" t="s">
        <v>480</v>
      </c>
      <c r="G47" s="163"/>
      <c r="H47" s="176"/>
      <c r="I47" s="176"/>
      <c r="J47" s="176"/>
      <c r="K47" s="176"/>
      <c r="L47" s="176"/>
      <c r="M47" s="176"/>
    </row>
    <row r="48" spans="1:13" ht="14.25">
      <c r="A48" s="163" t="s">
        <v>683</v>
      </c>
      <c r="B48" s="163" t="s">
        <v>684</v>
      </c>
      <c r="C48" s="163" t="s">
        <v>685</v>
      </c>
      <c r="D48" s="163" t="s">
        <v>551</v>
      </c>
      <c r="E48" s="163">
        <v>0</v>
      </c>
      <c r="F48" s="176" t="s">
        <v>480</v>
      </c>
      <c r="G48" s="163"/>
      <c r="H48" s="176"/>
      <c r="I48" s="176"/>
      <c r="J48" s="176"/>
      <c r="K48" s="176"/>
      <c r="L48" s="176"/>
      <c r="M48" s="176"/>
    </row>
    <row r="49" spans="1:14" ht="14.25">
      <c r="A49" s="163" t="s">
        <v>686</v>
      </c>
      <c r="B49" s="163" t="s">
        <v>687</v>
      </c>
      <c r="C49" s="163" t="s">
        <v>688</v>
      </c>
      <c r="D49" s="163" t="s">
        <v>551</v>
      </c>
      <c r="E49" s="163">
        <v>-1</v>
      </c>
      <c r="F49" s="176" t="s">
        <v>480</v>
      </c>
      <c r="G49" s="163" t="s">
        <v>689</v>
      </c>
      <c r="H49" s="176"/>
      <c r="I49" s="176"/>
      <c r="J49" s="176"/>
      <c r="K49" s="176"/>
      <c r="L49" s="176"/>
      <c r="M49" s="176"/>
    </row>
    <row r="50" spans="1:14" ht="14.25">
      <c r="A50" s="163" t="s">
        <v>690</v>
      </c>
      <c r="B50" s="163" t="s">
        <v>691</v>
      </c>
      <c r="C50" s="163" t="s">
        <v>692</v>
      </c>
      <c r="D50" s="163" t="s">
        <v>551</v>
      </c>
      <c r="E50" s="163">
        <v>-1</v>
      </c>
      <c r="F50" s="163" t="s">
        <v>480</v>
      </c>
      <c r="G50" s="163"/>
      <c r="H50" s="163"/>
      <c r="I50" s="163"/>
      <c r="J50" s="163"/>
      <c r="K50" s="163"/>
      <c r="L50" s="163"/>
      <c r="M50" s="163"/>
    </row>
    <row r="51" spans="1:14" ht="14.25">
      <c r="A51" s="165" t="s">
        <v>693</v>
      </c>
      <c r="B51" s="165" t="s">
        <v>694</v>
      </c>
      <c r="C51" s="165" t="s">
        <v>695</v>
      </c>
      <c r="D51" s="165" t="s">
        <v>551</v>
      </c>
      <c r="E51" s="163">
        <v>-3</v>
      </c>
      <c r="F51" s="163" t="s">
        <v>480</v>
      </c>
      <c r="G51" s="163"/>
      <c r="H51" s="163"/>
      <c r="I51" s="163"/>
      <c r="J51" s="163"/>
      <c r="K51" s="163"/>
      <c r="L51" s="163"/>
      <c r="M51" s="163"/>
    </row>
    <row r="52" spans="1:14" ht="14.25">
      <c r="A52" s="163" t="s">
        <v>605</v>
      </c>
      <c r="B52" s="163" t="s">
        <v>606</v>
      </c>
      <c r="C52" s="163" t="s">
        <v>607</v>
      </c>
      <c r="D52" s="163" t="s">
        <v>551</v>
      </c>
      <c r="E52" s="163">
        <v>-3</v>
      </c>
      <c r="F52" s="176" t="s">
        <v>480</v>
      </c>
      <c r="G52" s="163"/>
      <c r="H52" s="176"/>
      <c r="I52" s="176"/>
      <c r="J52" s="176"/>
      <c r="K52" s="176"/>
      <c r="L52" s="176"/>
      <c r="M52" s="176"/>
    </row>
    <row r="53" spans="1:14" ht="14.25">
      <c r="A53" s="165" t="s">
        <v>696</v>
      </c>
      <c r="B53" s="165" t="s">
        <v>697</v>
      </c>
      <c r="C53" s="165" t="s">
        <v>698</v>
      </c>
      <c r="D53" s="165" t="s">
        <v>551</v>
      </c>
      <c r="E53" s="163">
        <v>-2</v>
      </c>
      <c r="F53" s="176" t="s">
        <v>480</v>
      </c>
      <c r="G53" s="163"/>
      <c r="H53" s="176"/>
      <c r="I53" s="176"/>
      <c r="J53" s="176"/>
      <c r="K53" s="176"/>
      <c r="L53" s="176"/>
      <c r="M53" s="176"/>
    </row>
    <row r="54" spans="1:14" ht="14.25">
      <c r="A54" s="165" t="s">
        <v>699</v>
      </c>
      <c r="B54" s="165" t="s">
        <v>700</v>
      </c>
      <c r="C54" s="165" t="s">
        <v>701</v>
      </c>
      <c r="D54" s="163" t="s">
        <v>551</v>
      </c>
      <c r="E54" s="163">
        <v>-2</v>
      </c>
      <c r="F54" s="176" t="s">
        <v>480</v>
      </c>
      <c r="G54" s="163"/>
      <c r="H54" s="176"/>
      <c r="I54" s="176"/>
      <c r="J54" s="176"/>
      <c r="K54" s="176"/>
      <c r="L54" s="176"/>
      <c r="M54" s="176"/>
    </row>
    <row r="55" spans="1:14" ht="14.25">
      <c r="A55" s="165" t="s">
        <v>702</v>
      </c>
      <c r="B55" s="167" t="s">
        <v>703</v>
      </c>
      <c r="C55" s="165" t="s">
        <v>704</v>
      </c>
      <c r="D55" s="163" t="s">
        <v>551</v>
      </c>
      <c r="E55" s="177">
        <v>-5</v>
      </c>
      <c r="F55" s="176"/>
      <c r="G55" s="163" t="s">
        <v>705</v>
      </c>
      <c r="H55" s="176"/>
      <c r="I55" s="176"/>
      <c r="J55" s="176"/>
      <c r="K55" s="176"/>
      <c r="L55" s="176"/>
      <c r="M55" s="176"/>
    </row>
    <row r="56" spans="1:14" ht="14.25">
      <c r="A56" s="174" t="s">
        <v>706</v>
      </c>
      <c r="B56" s="174" t="s">
        <v>707</v>
      </c>
      <c r="C56" s="174" t="s">
        <v>84</v>
      </c>
      <c r="D56" s="174" t="s">
        <v>551</v>
      </c>
      <c r="E56" s="174">
        <v>-4</v>
      </c>
      <c r="F56" s="163" t="s">
        <v>480</v>
      </c>
      <c r="G56" s="163"/>
      <c r="H56" s="163"/>
      <c r="I56" s="163"/>
      <c r="J56" s="163"/>
      <c r="K56" s="163"/>
      <c r="L56" s="163"/>
      <c r="M56" s="163"/>
      <c r="N56" s="163"/>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44"/>
  <sheetViews>
    <sheetView zoomScale="90" zoomScaleNormal="90" workbookViewId="0">
      <selection activeCell="R26" sqref="R26"/>
    </sheetView>
  </sheetViews>
  <sheetFormatPr defaultRowHeight="12.75"/>
  <cols>
    <col min="1" max="5" width="8.7109375" customWidth="1"/>
    <col min="6" max="6" width="63.7109375" customWidth="1"/>
    <col min="7" max="1025" width="8.7109375" customWidth="1"/>
  </cols>
  <sheetData>
    <row r="1" spans="1:15" ht="15">
      <c r="A1" s="162" t="s">
        <v>388</v>
      </c>
      <c r="B1" s="162" t="s">
        <v>389</v>
      </c>
      <c r="C1" s="162" t="s">
        <v>390</v>
      </c>
      <c r="D1" s="162" t="s">
        <v>391</v>
      </c>
      <c r="E1" s="162" t="s">
        <v>392</v>
      </c>
      <c r="F1" s="162" t="s">
        <v>393</v>
      </c>
      <c r="G1" s="134" t="s">
        <v>366</v>
      </c>
      <c r="H1" s="134" t="s">
        <v>367</v>
      </c>
      <c r="I1" s="134" t="s">
        <v>473</v>
      </c>
      <c r="J1" s="134" t="s">
        <v>369</v>
      </c>
      <c r="K1" s="134" t="s">
        <v>396</v>
      </c>
      <c r="L1" s="134" t="s">
        <v>95</v>
      </c>
      <c r="M1" s="134" t="s">
        <v>62</v>
      </c>
      <c r="N1" s="162" t="s">
        <v>394</v>
      </c>
      <c r="O1" s="162" t="s">
        <v>395</v>
      </c>
    </row>
    <row r="2" spans="1:15" ht="14.25">
      <c r="A2" s="163" t="s">
        <v>438</v>
      </c>
      <c r="B2" s="163" t="s">
        <v>439</v>
      </c>
      <c r="C2" s="163" t="s">
        <v>474</v>
      </c>
      <c r="D2" s="163">
        <v>0</v>
      </c>
      <c r="E2" s="163">
        <v>1000</v>
      </c>
      <c r="F2" s="163" t="s">
        <v>440</v>
      </c>
      <c r="G2" s="164"/>
      <c r="H2" s="164"/>
      <c r="I2" s="164"/>
      <c r="J2" s="164"/>
      <c r="K2" s="164"/>
      <c r="L2" s="164"/>
      <c r="M2" s="164"/>
      <c r="N2" s="165" t="s">
        <v>480</v>
      </c>
      <c r="O2" s="163"/>
    </row>
    <row r="3" spans="1:15" ht="14.25">
      <c r="A3" s="163" t="s">
        <v>476</v>
      </c>
      <c r="B3" s="163" t="s">
        <v>477</v>
      </c>
      <c r="C3" s="163" t="s">
        <v>478</v>
      </c>
      <c r="D3" s="163">
        <v>-1000</v>
      </c>
      <c r="E3" s="163">
        <v>1000</v>
      </c>
      <c r="F3" s="163" t="s">
        <v>479</v>
      </c>
      <c r="G3" s="164"/>
      <c r="H3" s="164"/>
      <c r="I3" s="164"/>
      <c r="J3" s="164"/>
      <c r="K3" s="164"/>
      <c r="L3" s="164"/>
      <c r="M3" s="164"/>
      <c r="N3" s="165" t="s">
        <v>480</v>
      </c>
      <c r="O3" s="163"/>
    </row>
    <row r="4" spans="1:15" ht="14.25">
      <c r="A4" s="163" t="s">
        <v>482</v>
      </c>
      <c r="B4" s="163" t="s">
        <v>483</v>
      </c>
      <c r="C4" s="163" t="s">
        <v>484</v>
      </c>
      <c r="D4" s="163">
        <v>0</v>
      </c>
      <c r="E4" s="163">
        <v>1000</v>
      </c>
      <c r="F4" s="163" t="s">
        <v>485</v>
      </c>
      <c r="G4" s="164"/>
      <c r="H4" s="164"/>
      <c r="I4" s="164"/>
      <c r="J4" s="164"/>
      <c r="K4" s="164"/>
      <c r="L4" s="166">
        <f>1*2</f>
        <v>2</v>
      </c>
      <c r="M4" s="164"/>
      <c r="N4" s="165" t="s">
        <v>480</v>
      </c>
      <c r="O4" s="163" t="s">
        <v>610</v>
      </c>
    </row>
    <row r="5" spans="1:15" ht="14.25">
      <c r="A5" s="163" t="s">
        <v>487</v>
      </c>
      <c r="B5" s="163" t="s">
        <v>488</v>
      </c>
      <c r="C5" s="163" t="s">
        <v>484</v>
      </c>
      <c r="D5" s="163">
        <v>0</v>
      </c>
      <c r="E5" s="163">
        <v>1000</v>
      </c>
      <c r="F5" s="163" t="s">
        <v>489</v>
      </c>
      <c r="G5" s="164"/>
      <c r="H5" s="164"/>
      <c r="I5" s="164"/>
      <c r="J5" s="164"/>
      <c r="K5" s="164"/>
      <c r="L5" s="164"/>
      <c r="M5" s="164"/>
      <c r="N5" s="165" t="s">
        <v>480</v>
      </c>
      <c r="O5" s="163" t="s">
        <v>611</v>
      </c>
    </row>
    <row r="6" spans="1:15" ht="14.25">
      <c r="A6" s="165" t="s">
        <v>413</v>
      </c>
      <c r="B6" s="165" t="s">
        <v>414</v>
      </c>
      <c r="C6" s="163" t="s">
        <v>612</v>
      </c>
      <c r="D6" s="163">
        <v>0</v>
      </c>
      <c r="E6" s="163">
        <v>1000</v>
      </c>
      <c r="F6" s="165" t="s">
        <v>415</v>
      </c>
      <c r="G6" s="164"/>
      <c r="H6" s="164"/>
      <c r="I6" s="164"/>
      <c r="J6" s="166">
        <f>-1*2</f>
        <v>-2</v>
      </c>
      <c r="K6" s="164"/>
      <c r="L6" s="164"/>
      <c r="M6" s="164"/>
      <c r="N6" s="165" t="s">
        <v>475</v>
      </c>
      <c r="O6" s="165"/>
    </row>
    <row r="7" spans="1:15" ht="14.25">
      <c r="A7" s="165" t="s">
        <v>416</v>
      </c>
      <c r="B7" s="165" t="s">
        <v>417</v>
      </c>
      <c r="C7" s="163" t="s">
        <v>612</v>
      </c>
      <c r="D7" s="163">
        <v>-1000</v>
      </c>
      <c r="E7" s="163">
        <v>1000</v>
      </c>
      <c r="F7" s="165" t="s">
        <v>418</v>
      </c>
      <c r="G7" s="164"/>
      <c r="H7" s="164"/>
      <c r="I7" s="164"/>
      <c r="J7" s="164"/>
      <c r="K7" s="164"/>
      <c r="L7" s="166">
        <f>-1*2</f>
        <v>-2</v>
      </c>
      <c r="M7" s="164"/>
      <c r="N7" s="165" t="s">
        <v>475</v>
      </c>
      <c r="O7" s="165"/>
    </row>
    <row r="8" spans="1:15" ht="14.25">
      <c r="A8" s="165" t="s">
        <v>420</v>
      </c>
      <c r="B8" s="165" t="s">
        <v>421</v>
      </c>
      <c r="C8" s="163" t="s">
        <v>612</v>
      </c>
      <c r="D8" s="163">
        <v>-1000</v>
      </c>
      <c r="E8" s="163">
        <v>1000</v>
      </c>
      <c r="F8" s="165" t="s">
        <v>422</v>
      </c>
      <c r="G8" s="164"/>
      <c r="H8" s="166">
        <f>-1*2</f>
        <v>-2</v>
      </c>
      <c r="I8" s="164"/>
      <c r="J8" s="164"/>
      <c r="K8" s="164"/>
      <c r="L8" s="164"/>
      <c r="M8" s="164"/>
      <c r="N8" s="165" t="s">
        <v>475</v>
      </c>
      <c r="O8" s="165"/>
    </row>
    <row r="9" spans="1:15" ht="14.25">
      <c r="A9" s="163" t="s">
        <v>708</v>
      </c>
      <c r="B9" s="163" t="s">
        <v>709</v>
      </c>
      <c r="C9" s="163" t="s">
        <v>612</v>
      </c>
      <c r="D9" s="168">
        <v>-1000</v>
      </c>
      <c r="E9" s="163">
        <v>1000</v>
      </c>
      <c r="F9" s="168" t="s">
        <v>710</v>
      </c>
      <c r="G9" s="166">
        <v>-1</v>
      </c>
      <c r="H9" s="164"/>
      <c r="I9" s="164"/>
      <c r="J9" s="164"/>
      <c r="K9" s="164"/>
      <c r="L9" s="164"/>
      <c r="M9" s="166">
        <v>-1</v>
      </c>
      <c r="N9" s="165" t="s">
        <v>475</v>
      </c>
      <c r="O9" s="163" t="s">
        <v>711</v>
      </c>
    </row>
    <row r="10" spans="1:15" ht="14.25">
      <c r="A10" s="163" t="s">
        <v>613</v>
      </c>
      <c r="B10" s="163" t="s">
        <v>614</v>
      </c>
      <c r="C10" s="163" t="s">
        <v>615</v>
      </c>
      <c r="D10" s="163">
        <v>-1000</v>
      </c>
      <c r="E10" s="163">
        <v>1000</v>
      </c>
      <c r="F10" s="163" t="s">
        <v>616</v>
      </c>
      <c r="G10" s="164"/>
      <c r="H10" s="164"/>
      <c r="I10" s="164"/>
      <c r="J10" s="164"/>
      <c r="K10" s="164"/>
      <c r="L10" s="164"/>
      <c r="M10" s="164"/>
      <c r="N10" s="165" t="s">
        <v>475</v>
      </c>
      <c r="O10" s="163"/>
    </row>
    <row r="11" spans="1:15" ht="14.25">
      <c r="A11" s="163" t="s">
        <v>712</v>
      </c>
      <c r="B11" s="163" t="s">
        <v>713</v>
      </c>
      <c r="C11" s="163" t="s">
        <v>615</v>
      </c>
      <c r="D11" s="163">
        <v>0</v>
      </c>
      <c r="E11" s="163">
        <v>1000</v>
      </c>
      <c r="F11" s="163" t="s">
        <v>714</v>
      </c>
      <c r="G11" s="164"/>
      <c r="H11" s="164"/>
      <c r="I11" s="164"/>
      <c r="J11" s="164"/>
      <c r="K11" s="164"/>
      <c r="L11" s="164"/>
      <c r="M11" s="164"/>
      <c r="N11" s="165" t="s">
        <v>475</v>
      </c>
      <c r="O11" s="163"/>
    </row>
    <row r="12" spans="1:15" ht="14.25">
      <c r="A12" s="178" t="s">
        <v>715</v>
      </c>
      <c r="B12" s="178" t="s">
        <v>716</v>
      </c>
      <c r="C12" s="178" t="s">
        <v>517</v>
      </c>
      <c r="D12" s="178">
        <v>0</v>
      </c>
      <c r="E12" s="178">
        <v>1000</v>
      </c>
      <c r="F12" s="178" t="s">
        <v>717</v>
      </c>
      <c r="G12" s="164"/>
      <c r="H12" s="164"/>
      <c r="I12" s="164"/>
      <c r="J12" s="164"/>
      <c r="K12" s="164"/>
      <c r="L12" s="164"/>
      <c r="M12" s="164"/>
      <c r="N12" s="165" t="s">
        <v>480</v>
      </c>
      <c r="O12" s="163" t="s">
        <v>718</v>
      </c>
    </row>
    <row r="13" spans="1:15" ht="14.25">
      <c r="A13" s="169" t="s">
        <v>534</v>
      </c>
      <c r="B13" s="169" t="s">
        <v>535</v>
      </c>
      <c r="C13" s="170" t="s">
        <v>517</v>
      </c>
      <c r="D13" s="170">
        <v>0</v>
      </c>
      <c r="E13" s="170">
        <v>1000</v>
      </c>
      <c r="F13" s="169" t="s">
        <v>536</v>
      </c>
      <c r="G13" s="166">
        <v>1</v>
      </c>
      <c r="H13" s="164"/>
      <c r="I13" s="164"/>
      <c r="J13" s="164"/>
      <c r="K13" s="164"/>
      <c r="L13" s="164"/>
      <c r="M13" s="166">
        <v>1</v>
      </c>
    </row>
    <row r="14" spans="1:15">
      <c r="G14" s="156">
        <f>SUM(G2:G13)</f>
        <v>0</v>
      </c>
      <c r="H14" s="156">
        <f>SUM(H2:H13)</f>
        <v>-2</v>
      </c>
      <c r="I14" s="156">
        <f>SUM(I2:I13)</f>
        <v>0</v>
      </c>
      <c r="J14" s="156">
        <f>SUM(J2:J13)</f>
        <v>-2</v>
      </c>
      <c r="K14" s="156">
        <f>SUM(K2:K13)</f>
        <v>0</v>
      </c>
      <c r="L14" s="156">
        <f>SUM(L2:L13)</f>
        <v>0</v>
      </c>
      <c r="M14" s="156">
        <f>SUM(M2:M13)</f>
        <v>0</v>
      </c>
    </row>
    <row r="15" spans="1:15">
      <c r="G15" s="134" t="s">
        <v>366</v>
      </c>
      <c r="H15" s="134" t="s">
        <v>367</v>
      </c>
      <c r="I15" s="134" t="s">
        <v>473</v>
      </c>
      <c r="J15" s="134" t="s">
        <v>369</v>
      </c>
      <c r="K15" s="134" t="s">
        <v>396</v>
      </c>
      <c r="L15" s="134" t="s">
        <v>95</v>
      </c>
      <c r="M15" s="134" t="s">
        <v>62</v>
      </c>
    </row>
    <row r="16" spans="1:15">
      <c r="G16" t="s">
        <v>444</v>
      </c>
      <c r="H16" s="146"/>
      <c r="I16" s="146"/>
      <c r="J16" s="146"/>
      <c r="K16" s="146"/>
      <c r="L16" s="146"/>
      <c r="M16" s="146"/>
    </row>
    <row r="17" spans="1:13">
      <c r="G17" t="s">
        <v>719</v>
      </c>
      <c r="H17" s="146"/>
      <c r="I17" s="146"/>
      <c r="J17" s="146"/>
      <c r="K17" s="146"/>
      <c r="L17" s="146"/>
      <c r="M17" s="146"/>
    </row>
    <row r="19" spans="1:13" ht="15">
      <c r="A19" s="162" t="s">
        <v>539</v>
      </c>
      <c r="B19" s="162" t="s">
        <v>540</v>
      </c>
      <c r="C19" s="162" t="s">
        <v>541</v>
      </c>
      <c r="D19" s="162" t="s">
        <v>542</v>
      </c>
      <c r="E19" s="162" t="s">
        <v>543</v>
      </c>
      <c r="F19" s="162" t="s">
        <v>544</v>
      </c>
      <c r="G19" s="172" t="s">
        <v>545</v>
      </c>
      <c r="H19" s="162" t="s">
        <v>546</v>
      </c>
    </row>
    <row r="20" spans="1:13" ht="14.25">
      <c r="A20" s="163" t="s">
        <v>547</v>
      </c>
      <c r="B20" s="163" t="s">
        <v>548</v>
      </c>
      <c r="C20" s="163" t="s">
        <v>549</v>
      </c>
      <c r="D20" s="163" t="s">
        <v>550</v>
      </c>
      <c r="E20" s="163" t="s">
        <v>551</v>
      </c>
      <c r="F20" s="163">
        <v>-1</v>
      </c>
      <c r="G20" s="165" t="s">
        <v>475</v>
      </c>
      <c r="H20" s="163"/>
    </row>
    <row r="21" spans="1:13" ht="14.25">
      <c r="A21" s="163" t="s">
        <v>366</v>
      </c>
      <c r="B21" s="163" t="s">
        <v>552</v>
      </c>
      <c r="C21" s="163" t="s">
        <v>553</v>
      </c>
      <c r="D21" s="163" t="s">
        <v>554</v>
      </c>
      <c r="E21" s="163" t="s">
        <v>551</v>
      </c>
      <c r="F21" s="163">
        <v>-2</v>
      </c>
      <c r="G21" s="165" t="s">
        <v>475</v>
      </c>
      <c r="H21" s="163"/>
    </row>
    <row r="22" spans="1:13" ht="14.25">
      <c r="A22" s="165" t="s">
        <v>720</v>
      </c>
      <c r="B22" s="165" t="s">
        <v>648</v>
      </c>
      <c r="C22" s="165" t="s">
        <v>649</v>
      </c>
      <c r="D22" s="165" t="s">
        <v>650</v>
      </c>
      <c r="E22" s="165" t="s">
        <v>551</v>
      </c>
      <c r="F22" s="163">
        <v>-3</v>
      </c>
      <c r="G22" s="165" t="s">
        <v>475</v>
      </c>
      <c r="H22" s="163"/>
    </row>
    <row r="23" spans="1:13" ht="14.25">
      <c r="A23" s="165" t="s">
        <v>367</v>
      </c>
      <c r="B23" s="165" t="s">
        <v>651</v>
      </c>
      <c r="C23" s="165" t="s">
        <v>652</v>
      </c>
      <c r="D23" s="165" t="s">
        <v>653</v>
      </c>
      <c r="E23" s="165" t="s">
        <v>551</v>
      </c>
      <c r="F23" s="163">
        <v>-4</v>
      </c>
      <c r="G23" s="165" t="s">
        <v>475</v>
      </c>
      <c r="H23" s="163"/>
    </row>
    <row r="24" spans="1:13" ht="14.25">
      <c r="A24" s="163" t="s">
        <v>369</v>
      </c>
      <c r="B24" s="163" t="s">
        <v>555</v>
      </c>
      <c r="C24" s="163" t="s">
        <v>556</v>
      </c>
      <c r="D24" s="163" t="s">
        <v>557</v>
      </c>
      <c r="E24" s="163" t="s">
        <v>551</v>
      </c>
      <c r="F24" s="163">
        <v>-4</v>
      </c>
      <c r="G24" s="165" t="s">
        <v>475</v>
      </c>
      <c r="H24" s="163"/>
    </row>
    <row r="25" spans="1:13" ht="14.25">
      <c r="A25" s="163" t="s">
        <v>558</v>
      </c>
      <c r="B25" s="163" t="s">
        <v>559</v>
      </c>
      <c r="C25" s="163" t="s">
        <v>560</v>
      </c>
      <c r="D25" s="163" t="s">
        <v>561</v>
      </c>
      <c r="E25" s="163" t="s">
        <v>551</v>
      </c>
      <c r="F25" s="163">
        <v>-3</v>
      </c>
      <c r="G25" s="165" t="s">
        <v>475</v>
      </c>
      <c r="H25" s="163"/>
    </row>
    <row r="26" spans="1:13" ht="14.25">
      <c r="A26" s="163" t="s">
        <v>562</v>
      </c>
      <c r="B26" s="165" t="s">
        <v>563</v>
      </c>
      <c r="C26" s="165" t="s">
        <v>564</v>
      </c>
      <c r="D26" s="165" t="s">
        <v>565</v>
      </c>
      <c r="E26" s="165" t="s">
        <v>551</v>
      </c>
      <c r="F26" s="163">
        <v>-2</v>
      </c>
      <c r="G26" s="165" t="s">
        <v>475</v>
      </c>
      <c r="H26" s="163"/>
    </row>
    <row r="27" spans="1:13" ht="14.25">
      <c r="A27" s="163" t="s">
        <v>94</v>
      </c>
      <c r="B27" s="163" t="s">
        <v>654</v>
      </c>
      <c r="C27" s="163" t="s">
        <v>94</v>
      </c>
      <c r="D27" s="163" t="s">
        <v>655</v>
      </c>
      <c r="E27" s="163" t="s">
        <v>551</v>
      </c>
      <c r="F27" s="163">
        <v>0</v>
      </c>
      <c r="G27" s="165" t="s">
        <v>475</v>
      </c>
      <c r="H27" s="163"/>
    </row>
    <row r="28" spans="1:13" ht="14.25">
      <c r="A28" s="163" t="s">
        <v>62</v>
      </c>
      <c r="B28" s="163" t="s">
        <v>656</v>
      </c>
      <c r="C28" s="163" t="s">
        <v>62</v>
      </c>
      <c r="D28" s="163" t="s">
        <v>657</v>
      </c>
      <c r="E28" s="163" t="s">
        <v>551</v>
      </c>
      <c r="F28" s="163">
        <v>0</v>
      </c>
      <c r="G28" s="165" t="s">
        <v>475</v>
      </c>
      <c r="H28" s="163"/>
    </row>
    <row r="29" spans="1:13" ht="14.25">
      <c r="A29" s="163" t="s">
        <v>566</v>
      </c>
      <c r="B29" s="163" t="s">
        <v>567</v>
      </c>
      <c r="C29" s="163" t="s">
        <v>4</v>
      </c>
      <c r="D29" s="163" t="s">
        <v>658</v>
      </c>
      <c r="E29" s="163" t="s">
        <v>551</v>
      </c>
      <c r="F29" s="163">
        <v>1</v>
      </c>
      <c r="G29" s="165" t="s">
        <v>475</v>
      </c>
      <c r="H29" s="163"/>
    </row>
    <row r="30" spans="1:13" ht="14.25">
      <c r="A30" s="163" t="s">
        <v>568</v>
      </c>
      <c r="B30" s="163" t="s">
        <v>569</v>
      </c>
      <c r="C30" s="163" t="s">
        <v>4</v>
      </c>
      <c r="D30" s="163" t="s">
        <v>95</v>
      </c>
      <c r="E30" s="163" t="s">
        <v>570</v>
      </c>
      <c r="F30" s="163">
        <v>1</v>
      </c>
      <c r="G30" s="163" t="s">
        <v>480</v>
      </c>
      <c r="H30" s="163"/>
    </row>
    <row r="31" spans="1:13" ht="14.25">
      <c r="A31" s="163" t="s">
        <v>721</v>
      </c>
      <c r="B31" s="163" t="s">
        <v>659</v>
      </c>
      <c r="C31" s="163" t="s">
        <v>660</v>
      </c>
      <c r="D31" s="163" t="s">
        <v>661</v>
      </c>
      <c r="E31" s="163" t="s">
        <v>551</v>
      </c>
      <c r="F31" s="163">
        <v>-2</v>
      </c>
      <c r="G31" s="165" t="s">
        <v>475</v>
      </c>
      <c r="H31" s="163"/>
    </row>
    <row r="32" spans="1:13" ht="14.25">
      <c r="A32" s="163" t="s">
        <v>571</v>
      </c>
      <c r="B32" s="163" t="s">
        <v>572</v>
      </c>
      <c r="C32" s="163" t="s">
        <v>573</v>
      </c>
      <c r="D32" s="163" t="s">
        <v>574</v>
      </c>
      <c r="E32" s="163" t="s">
        <v>551</v>
      </c>
      <c r="F32" s="163">
        <v>-3</v>
      </c>
      <c r="G32" s="165" t="s">
        <v>475</v>
      </c>
      <c r="H32" s="163"/>
    </row>
    <row r="33" spans="1:8" ht="14.25">
      <c r="A33" s="163" t="s">
        <v>722</v>
      </c>
      <c r="B33" s="163" t="s">
        <v>662</v>
      </c>
      <c r="C33" s="163" t="s">
        <v>663</v>
      </c>
      <c r="D33" s="163" t="s">
        <v>664</v>
      </c>
      <c r="E33" s="163" t="s">
        <v>551</v>
      </c>
      <c r="F33" s="163">
        <v>1</v>
      </c>
      <c r="G33" s="165" t="s">
        <v>475</v>
      </c>
      <c r="H33" s="163"/>
    </row>
    <row r="34" spans="1:8" ht="14.25">
      <c r="A34" s="163" t="s">
        <v>579</v>
      </c>
      <c r="B34" s="163" t="s">
        <v>580</v>
      </c>
      <c r="C34" s="163" t="s">
        <v>581</v>
      </c>
      <c r="D34" s="163" t="s">
        <v>19</v>
      </c>
      <c r="E34" s="163" t="s">
        <v>582</v>
      </c>
      <c r="F34" s="163">
        <v>-1</v>
      </c>
      <c r="G34" s="176" t="s">
        <v>480</v>
      </c>
      <c r="H34" s="163"/>
    </row>
    <row r="35" spans="1:8" ht="14.25">
      <c r="A35" s="165" t="s">
        <v>583</v>
      </c>
      <c r="B35" s="165" t="s">
        <v>584</v>
      </c>
      <c r="C35" s="165" t="s">
        <v>581</v>
      </c>
      <c r="D35" s="163" t="s">
        <v>19</v>
      </c>
      <c r="E35" s="165" t="s">
        <v>570</v>
      </c>
      <c r="F35" s="163">
        <v>-1</v>
      </c>
      <c r="G35" s="176" t="s">
        <v>480</v>
      </c>
      <c r="H35" s="163"/>
    </row>
    <row r="36" spans="1:8" ht="14.25">
      <c r="A36" s="163" t="s">
        <v>586</v>
      </c>
      <c r="B36" s="163" t="s">
        <v>587</v>
      </c>
      <c r="C36" s="163" t="s">
        <v>581</v>
      </c>
      <c r="D36" s="163" t="s">
        <v>19</v>
      </c>
      <c r="E36" s="163" t="s">
        <v>551</v>
      </c>
      <c r="F36" s="163">
        <v>-1</v>
      </c>
      <c r="G36" s="176" t="s">
        <v>480</v>
      </c>
      <c r="H36" s="163"/>
    </row>
    <row r="37" spans="1:8" ht="14.25">
      <c r="A37" s="163" t="s">
        <v>723</v>
      </c>
      <c r="B37" s="163" t="s">
        <v>665</v>
      </c>
      <c r="C37" s="163" t="s">
        <v>666</v>
      </c>
      <c r="D37" s="163" t="s">
        <v>667</v>
      </c>
      <c r="E37" s="163" t="s">
        <v>551</v>
      </c>
      <c r="F37" s="163">
        <v>-2</v>
      </c>
      <c r="G37" s="165" t="s">
        <v>475</v>
      </c>
      <c r="H37" s="163"/>
    </row>
    <row r="38" spans="1:8" ht="14.25">
      <c r="A38" s="163" t="s">
        <v>724</v>
      </c>
      <c r="B38" s="163" t="s">
        <v>668</v>
      </c>
      <c r="C38" s="163" t="s">
        <v>669</v>
      </c>
      <c r="D38" s="163" t="s">
        <v>670</v>
      </c>
      <c r="E38" s="163" t="s">
        <v>551</v>
      </c>
      <c r="F38" s="163">
        <v>-2</v>
      </c>
      <c r="G38" s="165" t="s">
        <v>475</v>
      </c>
      <c r="H38" s="163"/>
    </row>
    <row r="39" spans="1:8" ht="14.25">
      <c r="A39" s="163" t="s">
        <v>725</v>
      </c>
      <c r="B39" s="163" t="s">
        <v>671</v>
      </c>
      <c r="C39" s="163" t="s">
        <v>672</v>
      </c>
      <c r="D39" s="163" t="s">
        <v>673</v>
      </c>
      <c r="E39" s="163" t="s">
        <v>551</v>
      </c>
      <c r="F39" s="163">
        <v>-1</v>
      </c>
      <c r="G39" s="165" t="s">
        <v>475</v>
      </c>
      <c r="H39" s="163"/>
    </row>
    <row r="40" spans="1:8" ht="14.25">
      <c r="A40" s="163" t="s">
        <v>726</v>
      </c>
      <c r="B40" s="163" t="s">
        <v>674</v>
      </c>
      <c r="C40" s="163" t="s">
        <v>675</v>
      </c>
      <c r="D40" s="163" t="s">
        <v>676</v>
      </c>
      <c r="E40" s="163" t="s">
        <v>551</v>
      </c>
      <c r="F40" s="163">
        <v>-2</v>
      </c>
      <c r="G40" s="165" t="s">
        <v>475</v>
      </c>
      <c r="H40" s="163"/>
    </row>
    <row r="41" spans="1:8" ht="14.25">
      <c r="A41" s="163" t="s">
        <v>685</v>
      </c>
      <c r="B41" s="163" t="s">
        <v>683</v>
      </c>
      <c r="C41" s="163" t="s">
        <v>684</v>
      </c>
      <c r="D41" s="163" t="s">
        <v>685</v>
      </c>
      <c r="E41" s="163" t="s">
        <v>551</v>
      </c>
      <c r="F41" s="163">
        <v>0</v>
      </c>
      <c r="G41" s="176" t="s">
        <v>480</v>
      </c>
      <c r="H41" s="163"/>
    </row>
    <row r="42" spans="1:8" ht="14.25">
      <c r="A42" s="165" t="s">
        <v>727</v>
      </c>
      <c r="B42" s="163" t="s">
        <v>680</v>
      </c>
      <c r="C42" s="163" t="s">
        <v>681</v>
      </c>
      <c r="D42" s="163" t="s">
        <v>682</v>
      </c>
      <c r="E42" s="163" t="s">
        <v>551</v>
      </c>
      <c r="F42" s="163">
        <v>0</v>
      </c>
      <c r="G42" s="176" t="s">
        <v>480</v>
      </c>
      <c r="H42" s="163"/>
    </row>
    <row r="43" spans="1:8" ht="14.25">
      <c r="A43" s="163" t="s">
        <v>80</v>
      </c>
      <c r="B43" s="163" t="s">
        <v>608</v>
      </c>
      <c r="C43" s="163" t="s">
        <v>609</v>
      </c>
      <c r="D43" s="163" t="s">
        <v>80</v>
      </c>
      <c r="E43" s="163" t="s">
        <v>551</v>
      </c>
      <c r="F43" s="163">
        <v>-1</v>
      </c>
      <c r="G43" s="176" t="s">
        <v>480</v>
      </c>
      <c r="H43" s="163"/>
    </row>
    <row r="44" spans="1:8" ht="14.25">
      <c r="A44" s="163" t="s">
        <v>604</v>
      </c>
      <c r="B44" s="163" t="s">
        <v>605</v>
      </c>
      <c r="C44" s="163" t="s">
        <v>606</v>
      </c>
      <c r="D44" s="163" t="s">
        <v>607</v>
      </c>
      <c r="E44" s="163" t="s">
        <v>551</v>
      </c>
      <c r="F44" s="163">
        <v>-3</v>
      </c>
      <c r="G44" s="176" t="s">
        <v>480</v>
      </c>
      <c r="H44" s="163"/>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43"/>
  <sheetViews>
    <sheetView zoomScale="90" zoomScaleNormal="90" workbookViewId="0">
      <selection activeCell="G19" sqref="G19"/>
    </sheetView>
  </sheetViews>
  <sheetFormatPr defaultRowHeight="12.75"/>
  <cols>
    <col min="1" max="5" width="8.7109375" customWidth="1"/>
    <col min="6" max="6" width="50.42578125" customWidth="1"/>
    <col min="7" max="1025" width="8.7109375" customWidth="1"/>
  </cols>
  <sheetData>
    <row r="1" spans="1:15" ht="15">
      <c r="A1" s="162" t="s">
        <v>388</v>
      </c>
      <c r="B1" s="162" t="s">
        <v>389</v>
      </c>
      <c r="C1" s="162" t="s">
        <v>390</v>
      </c>
      <c r="D1" s="162" t="s">
        <v>391</v>
      </c>
      <c r="E1" s="162" t="s">
        <v>392</v>
      </c>
      <c r="F1" s="162" t="s">
        <v>393</v>
      </c>
      <c r="G1" s="134" t="s">
        <v>366</v>
      </c>
      <c r="H1" s="134" t="s">
        <v>367</v>
      </c>
      <c r="I1" s="134" t="s">
        <v>473</v>
      </c>
      <c r="J1" s="134" t="s">
        <v>369</v>
      </c>
      <c r="K1" s="134" t="s">
        <v>396</v>
      </c>
      <c r="L1" s="134" t="s">
        <v>95</v>
      </c>
      <c r="M1" s="134" t="s">
        <v>62</v>
      </c>
      <c r="N1" s="162" t="s">
        <v>394</v>
      </c>
      <c r="O1" s="162" t="s">
        <v>395</v>
      </c>
    </row>
    <row r="2" spans="1:15" ht="14.25">
      <c r="A2" s="163" t="s">
        <v>728</v>
      </c>
      <c r="B2" s="163" t="s">
        <v>729</v>
      </c>
      <c r="C2" s="163" t="s">
        <v>474</v>
      </c>
      <c r="D2" s="163">
        <v>0</v>
      </c>
      <c r="E2" s="163">
        <v>1000</v>
      </c>
      <c r="F2" s="163" t="s">
        <v>730</v>
      </c>
      <c r="G2" s="164"/>
      <c r="H2" s="164"/>
      <c r="I2" s="164"/>
      <c r="J2" s="164"/>
      <c r="K2" s="164"/>
      <c r="L2" s="164"/>
      <c r="M2" s="164"/>
      <c r="N2" s="165" t="s">
        <v>480</v>
      </c>
      <c r="O2" s="163"/>
    </row>
    <row r="3" spans="1:15" ht="14.25">
      <c r="A3" s="163" t="s">
        <v>731</v>
      </c>
      <c r="B3" s="163" t="s">
        <v>732</v>
      </c>
      <c r="C3" s="163" t="s">
        <v>478</v>
      </c>
      <c r="D3" s="163">
        <v>-1000</v>
      </c>
      <c r="E3" s="163">
        <v>1000</v>
      </c>
      <c r="F3" s="163" t="s">
        <v>733</v>
      </c>
      <c r="G3" s="164"/>
      <c r="H3" s="164"/>
      <c r="I3" s="164"/>
      <c r="J3" s="164"/>
      <c r="K3" s="164"/>
      <c r="L3" s="164"/>
      <c r="M3" s="164"/>
      <c r="N3" s="165" t="s">
        <v>480</v>
      </c>
      <c r="O3" s="163"/>
    </row>
    <row r="4" spans="1:15" ht="14.25">
      <c r="A4" s="163" t="s">
        <v>734</v>
      </c>
      <c r="B4" s="163" t="s">
        <v>735</v>
      </c>
      <c r="C4" s="163" t="s">
        <v>484</v>
      </c>
      <c r="D4" s="163">
        <v>-1000</v>
      </c>
      <c r="E4" s="163">
        <v>1000</v>
      </c>
      <c r="F4" s="163" t="s">
        <v>736</v>
      </c>
      <c r="G4" s="164"/>
      <c r="H4" s="164"/>
      <c r="I4" s="164"/>
      <c r="J4" s="164"/>
      <c r="K4" s="164"/>
      <c r="L4" s="164"/>
      <c r="M4" s="164"/>
      <c r="N4" s="165" t="s">
        <v>480</v>
      </c>
      <c r="O4" s="163"/>
    </row>
    <row r="5" spans="1:15" ht="14.25">
      <c r="A5" s="163" t="s">
        <v>737</v>
      </c>
      <c r="B5" s="163" t="s">
        <v>738</v>
      </c>
      <c r="C5" s="163" t="s">
        <v>739</v>
      </c>
      <c r="D5" s="163">
        <v>0</v>
      </c>
      <c r="E5" s="163">
        <v>1000</v>
      </c>
      <c r="F5" s="163" t="s">
        <v>740</v>
      </c>
      <c r="G5" s="179">
        <f>1*3</f>
        <v>3</v>
      </c>
      <c r="H5" s="180"/>
      <c r="I5" s="180"/>
      <c r="J5" s="180"/>
      <c r="K5" s="180"/>
      <c r="L5" s="179">
        <f>1*3</f>
        <v>3</v>
      </c>
      <c r="M5" s="180"/>
      <c r="N5" s="165"/>
      <c r="O5" s="163" t="s">
        <v>741</v>
      </c>
    </row>
    <row r="6" spans="1:15" ht="14.25">
      <c r="A6" s="163" t="s">
        <v>498</v>
      </c>
      <c r="B6" s="163" t="s">
        <v>499</v>
      </c>
      <c r="C6" s="163"/>
      <c r="D6" s="163">
        <v>0</v>
      </c>
      <c r="E6" s="163">
        <v>1000</v>
      </c>
      <c r="F6" s="163" t="s">
        <v>500</v>
      </c>
      <c r="G6" s="164"/>
      <c r="H6" s="164"/>
      <c r="I6" s="164"/>
      <c r="J6" s="164"/>
      <c r="K6" s="164"/>
      <c r="L6" s="164"/>
      <c r="M6" s="164"/>
      <c r="N6" s="165"/>
    </row>
    <row r="7" spans="1:15" ht="14.25">
      <c r="A7" s="165" t="s">
        <v>502</v>
      </c>
      <c r="B7" s="165" t="s">
        <v>503</v>
      </c>
      <c r="C7" s="163"/>
      <c r="D7" s="163">
        <v>0</v>
      </c>
      <c r="E7" s="163">
        <v>1000</v>
      </c>
      <c r="F7" s="165" t="s">
        <v>504</v>
      </c>
      <c r="G7" s="164"/>
      <c r="H7" s="164"/>
      <c r="I7" s="164"/>
      <c r="J7" s="164"/>
      <c r="K7" s="164"/>
      <c r="L7" s="164"/>
      <c r="M7" s="164"/>
      <c r="N7" s="165"/>
    </row>
    <row r="8" spans="1:15" ht="14.25">
      <c r="A8" s="167" t="s">
        <v>505</v>
      </c>
      <c r="B8" s="167" t="s">
        <v>506</v>
      </c>
      <c r="C8" s="168" t="s">
        <v>507</v>
      </c>
      <c r="D8" s="168">
        <v>0</v>
      </c>
      <c r="E8" s="168">
        <v>1000</v>
      </c>
      <c r="F8" s="167" t="s">
        <v>508</v>
      </c>
      <c r="G8" s="164"/>
      <c r="H8" s="164"/>
      <c r="I8" s="164"/>
      <c r="J8" s="166">
        <v>-1</v>
      </c>
      <c r="K8" s="164"/>
      <c r="L8" s="164"/>
      <c r="M8" s="164"/>
      <c r="N8" s="167" t="s">
        <v>401</v>
      </c>
    </row>
    <row r="9" spans="1:15" ht="14.25">
      <c r="A9" s="167" t="s">
        <v>510</v>
      </c>
      <c r="B9" s="167" t="s">
        <v>511</v>
      </c>
      <c r="C9" s="168" t="s">
        <v>512</v>
      </c>
      <c r="D9" s="168">
        <v>0</v>
      </c>
      <c r="E9" s="168">
        <v>1000</v>
      </c>
      <c r="F9" s="167" t="s">
        <v>513</v>
      </c>
      <c r="G9" s="164"/>
      <c r="H9" s="164"/>
      <c r="I9" s="164"/>
      <c r="J9" s="164"/>
      <c r="K9" s="164"/>
      <c r="L9" s="164"/>
      <c r="M9" s="164"/>
      <c r="N9" s="167" t="s">
        <v>480</v>
      </c>
    </row>
    <row r="10" spans="1:15" ht="14.25">
      <c r="A10" s="169" t="s">
        <v>515</v>
      </c>
      <c r="B10" s="169" t="s">
        <v>516</v>
      </c>
      <c r="C10" s="170" t="s">
        <v>517</v>
      </c>
      <c r="D10" s="170">
        <v>-1000</v>
      </c>
      <c r="E10" s="170">
        <v>1000</v>
      </c>
      <c r="F10" s="169" t="s">
        <v>518</v>
      </c>
      <c r="G10" s="164"/>
      <c r="H10" s="164"/>
      <c r="I10" s="164"/>
      <c r="J10" s="164"/>
      <c r="K10" s="164"/>
      <c r="L10" s="164"/>
      <c r="M10" s="164"/>
    </row>
    <row r="11" spans="1:15" ht="14.25">
      <c r="A11" s="169" t="s">
        <v>519</v>
      </c>
      <c r="B11" s="169" t="s">
        <v>520</v>
      </c>
      <c r="C11" s="170" t="s">
        <v>517</v>
      </c>
      <c r="D11" s="170">
        <v>-1000</v>
      </c>
      <c r="E11" s="170">
        <v>1000</v>
      </c>
      <c r="F11" s="169" t="s">
        <v>521</v>
      </c>
      <c r="G11" s="166">
        <v>1</v>
      </c>
      <c r="H11" s="164"/>
      <c r="I11" s="164"/>
      <c r="J11" s="164"/>
      <c r="K11" s="164"/>
      <c r="L11" s="166">
        <v>1</v>
      </c>
      <c r="M11" s="164"/>
    </row>
    <row r="12" spans="1:15" ht="14.25">
      <c r="A12" s="169" t="s">
        <v>522</v>
      </c>
      <c r="B12" s="169" t="s">
        <v>523</v>
      </c>
      <c r="C12" s="170" t="s">
        <v>517</v>
      </c>
      <c r="D12" s="170">
        <v>-1000</v>
      </c>
      <c r="E12" s="170">
        <v>1000</v>
      </c>
      <c r="F12" s="169" t="s">
        <v>524</v>
      </c>
      <c r="G12" s="164"/>
      <c r="H12" s="164"/>
      <c r="I12" s="164"/>
      <c r="J12" s="166">
        <v>1</v>
      </c>
      <c r="K12" s="164"/>
      <c r="L12" s="164"/>
      <c r="M12" s="164"/>
    </row>
    <row r="13" spans="1:15" ht="14.25">
      <c r="A13" s="169" t="s">
        <v>525</v>
      </c>
      <c r="B13" s="169" t="s">
        <v>526</v>
      </c>
      <c r="C13" s="170" t="s">
        <v>517</v>
      </c>
      <c r="D13" s="170">
        <v>-1000</v>
      </c>
      <c r="E13" s="170">
        <v>1000</v>
      </c>
      <c r="F13" s="169" t="s">
        <v>527</v>
      </c>
      <c r="G13" s="164"/>
      <c r="H13" s="164"/>
      <c r="I13" s="164"/>
      <c r="J13" s="164"/>
      <c r="K13" s="164"/>
      <c r="L13" s="164"/>
      <c r="M13" s="164"/>
    </row>
    <row r="14" spans="1:15" ht="14.25">
      <c r="A14" s="169" t="s">
        <v>528</v>
      </c>
      <c r="B14" s="169" t="s">
        <v>529</v>
      </c>
      <c r="C14" s="170" t="s">
        <v>517</v>
      </c>
      <c r="D14" s="170">
        <v>-1000</v>
      </c>
      <c r="E14" s="170">
        <v>1000</v>
      </c>
      <c r="F14" s="169" t="s">
        <v>530</v>
      </c>
      <c r="G14" s="164"/>
      <c r="H14" s="164"/>
      <c r="I14" s="164"/>
      <c r="J14" s="164"/>
      <c r="K14" s="164"/>
      <c r="L14" s="164"/>
      <c r="M14" s="164"/>
    </row>
    <row r="15" spans="1:15" ht="14.25">
      <c r="A15" s="169" t="s">
        <v>531</v>
      </c>
      <c r="B15" s="169" t="s">
        <v>532</v>
      </c>
      <c r="C15" s="170" t="s">
        <v>517</v>
      </c>
      <c r="D15" s="170">
        <v>0</v>
      </c>
      <c r="E15" s="170">
        <v>1000</v>
      </c>
      <c r="F15" s="169" t="s">
        <v>533</v>
      </c>
      <c r="G15" s="164"/>
      <c r="H15" s="164"/>
      <c r="I15" s="164"/>
      <c r="J15" s="166">
        <v>1</v>
      </c>
      <c r="K15" s="164"/>
      <c r="L15" s="164"/>
      <c r="M15" s="164"/>
    </row>
    <row r="16" spans="1:15" ht="14.25">
      <c r="A16" s="169" t="s">
        <v>534</v>
      </c>
      <c r="B16" s="169" t="s">
        <v>535</v>
      </c>
      <c r="C16" s="170" t="s">
        <v>517</v>
      </c>
      <c r="D16" s="170">
        <v>0</v>
      </c>
      <c r="E16" s="170">
        <v>1000</v>
      </c>
      <c r="F16" s="169" t="s">
        <v>536</v>
      </c>
      <c r="G16" s="166">
        <v>1</v>
      </c>
      <c r="H16" s="164"/>
      <c r="I16" s="164"/>
      <c r="J16" s="164"/>
      <c r="K16" s="164"/>
      <c r="L16" s="164"/>
      <c r="M16" s="166">
        <v>1</v>
      </c>
    </row>
    <row r="17" spans="1:13">
      <c r="G17" s="156">
        <f>SUM(G2:G16)</f>
        <v>5</v>
      </c>
      <c r="H17" s="156">
        <f>SUM(H2:H16)</f>
        <v>0</v>
      </c>
      <c r="I17" s="156">
        <f>SUM(I2:I16)</f>
        <v>0</v>
      </c>
      <c r="J17" s="156">
        <f>SUM(J2:J16)</f>
        <v>1</v>
      </c>
      <c r="K17" s="156">
        <f>SUM(K2:K16)</f>
        <v>0</v>
      </c>
      <c r="L17" s="156">
        <f>SUM(L2:L16)</f>
        <v>4</v>
      </c>
      <c r="M17" s="156">
        <f>SUM(M2:M16)</f>
        <v>1</v>
      </c>
    </row>
    <row r="18" spans="1:13">
      <c r="G18" s="134" t="s">
        <v>366</v>
      </c>
      <c r="H18" s="134" t="s">
        <v>367</v>
      </c>
      <c r="I18" s="134" t="s">
        <v>473</v>
      </c>
      <c r="J18" s="134" t="s">
        <v>369</v>
      </c>
      <c r="K18" s="134" t="s">
        <v>396</v>
      </c>
      <c r="L18" s="134" t="s">
        <v>95</v>
      </c>
      <c r="M18" s="134" t="s">
        <v>62</v>
      </c>
    </row>
    <row r="19" spans="1:13">
      <c r="G19" t="s">
        <v>742</v>
      </c>
    </row>
    <row r="20" spans="1:13">
      <c r="G20" t="s">
        <v>743</v>
      </c>
    </row>
    <row r="29" spans="1:13" ht="15">
      <c r="A29" s="162" t="s">
        <v>539</v>
      </c>
      <c r="B29" s="162" t="s">
        <v>540</v>
      </c>
      <c r="C29" s="162" t="s">
        <v>541</v>
      </c>
      <c r="D29" s="162" t="s">
        <v>542</v>
      </c>
      <c r="E29" s="162" t="s">
        <v>543</v>
      </c>
      <c r="F29" s="162" t="s">
        <v>544</v>
      </c>
      <c r="G29" s="172" t="s">
        <v>545</v>
      </c>
      <c r="H29" s="162" t="s">
        <v>546</v>
      </c>
    </row>
    <row r="30" spans="1:13" ht="14.25">
      <c r="A30" s="163" t="s">
        <v>547</v>
      </c>
      <c r="B30" s="163" t="s">
        <v>548</v>
      </c>
      <c r="C30" s="163" t="s">
        <v>549</v>
      </c>
      <c r="D30" s="163" t="s">
        <v>550</v>
      </c>
      <c r="E30" s="163" t="s">
        <v>551</v>
      </c>
      <c r="F30" s="163">
        <v>-1</v>
      </c>
      <c r="G30" s="165" t="s">
        <v>475</v>
      </c>
      <c r="H30" s="163"/>
    </row>
    <row r="31" spans="1:13" ht="14.25">
      <c r="A31" s="163" t="s">
        <v>366</v>
      </c>
      <c r="B31" s="163" t="s">
        <v>552</v>
      </c>
      <c r="C31" s="163" t="s">
        <v>553</v>
      </c>
      <c r="D31" s="163" t="s">
        <v>554</v>
      </c>
      <c r="E31" s="163" t="s">
        <v>551</v>
      </c>
      <c r="F31" s="163">
        <v>-2</v>
      </c>
      <c r="G31" s="165" t="s">
        <v>475</v>
      </c>
      <c r="H31" s="163"/>
    </row>
    <row r="32" spans="1:13" ht="14.25">
      <c r="A32" s="163" t="s">
        <v>369</v>
      </c>
      <c r="B32" s="163" t="s">
        <v>555</v>
      </c>
      <c r="C32" s="163" t="s">
        <v>556</v>
      </c>
      <c r="D32" s="163" t="s">
        <v>557</v>
      </c>
      <c r="E32" s="163" t="s">
        <v>551</v>
      </c>
      <c r="F32" s="163">
        <v>-4</v>
      </c>
      <c r="G32" s="165" t="s">
        <v>475</v>
      </c>
      <c r="H32" s="163"/>
    </row>
    <row r="33" spans="1:8" ht="14.25">
      <c r="A33" s="163" t="s">
        <v>558</v>
      </c>
      <c r="B33" s="163" t="s">
        <v>559</v>
      </c>
      <c r="C33" s="163" t="s">
        <v>560</v>
      </c>
      <c r="D33" s="163" t="s">
        <v>561</v>
      </c>
      <c r="E33" s="163" t="s">
        <v>551</v>
      </c>
      <c r="F33" s="163">
        <v>-3</v>
      </c>
      <c r="G33" s="165" t="s">
        <v>475</v>
      </c>
      <c r="H33" s="163"/>
    </row>
    <row r="34" spans="1:8" ht="14.25">
      <c r="A34" s="163" t="s">
        <v>566</v>
      </c>
      <c r="B34" s="163" t="s">
        <v>567</v>
      </c>
      <c r="C34" s="163" t="s">
        <v>4</v>
      </c>
      <c r="D34" s="163" t="s">
        <v>658</v>
      </c>
      <c r="E34" s="163" t="s">
        <v>551</v>
      </c>
      <c r="F34" s="163">
        <v>1</v>
      </c>
      <c r="G34" s="165" t="s">
        <v>475</v>
      </c>
      <c r="H34" s="163"/>
    </row>
    <row r="35" spans="1:8" ht="14.25">
      <c r="A35" s="163" t="s">
        <v>744</v>
      </c>
      <c r="B35" s="163" t="s">
        <v>745</v>
      </c>
      <c r="C35" s="163" t="s">
        <v>746</v>
      </c>
      <c r="D35" s="163" t="s">
        <v>25</v>
      </c>
      <c r="E35" s="163" t="s">
        <v>582</v>
      </c>
      <c r="F35" s="163">
        <v>0</v>
      </c>
      <c r="G35" s="163" t="s">
        <v>480</v>
      </c>
      <c r="H35" s="163" t="s">
        <v>585</v>
      </c>
    </row>
    <row r="36" spans="1:8" ht="14.25">
      <c r="A36" s="165" t="s">
        <v>747</v>
      </c>
      <c r="B36" s="165" t="s">
        <v>748</v>
      </c>
      <c r="C36" s="165" t="s">
        <v>746</v>
      </c>
      <c r="D36" s="163" t="s">
        <v>25</v>
      </c>
      <c r="E36" s="165" t="s">
        <v>570</v>
      </c>
      <c r="F36" s="163">
        <v>0</v>
      </c>
      <c r="G36" s="163" t="s">
        <v>480</v>
      </c>
      <c r="H36" s="163" t="s">
        <v>585</v>
      </c>
    </row>
    <row r="37" spans="1:8" ht="14.25">
      <c r="A37" s="163" t="s">
        <v>749</v>
      </c>
      <c r="B37" s="163" t="s">
        <v>750</v>
      </c>
      <c r="C37" s="163" t="s">
        <v>746</v>
      </c>
      <c r="D37" s="163" t="s">
        <v>25</v>
      </c>
      <c r="E37" s="163" t="s">
        <v>551</v>
      </c>
      <c r="F37" s="163">
        <v>0</v>
      </c>
      <c r="G37" s="163" t="s">
        <v>480</v>
      </c>
      <c r="H37" s="163" t="s">
        <v>585</v>
      </c>
    </row>
    <row r="38" spans="1:8" ht="14.25">
      <c r="A38" s="163" t="s">
        <v>592</v>
      </c>
      <c r="B38" s="163" t="s">
        <v>593</v>
      </c>
      <c r="C38" s="163" t="s">
        <v>594</v>
      </c>
      <c r="D38" s="163" t="s">
        <v>592</v>
      </c>
      <c r="E38" s="163" t="s">
        <v>551</v>
      </c>
      <c r="F38" s="163">
        <v>0</v>
      </c>
      <c r="G38" s="165" t="s">
        <v>480</v>
      </c>
      <c r="H38" s="163" t="s">
        <v>585</v>
      </c>
    </row>
    <row r="39" spans="1:8" ht="14.25">
      <c r="A39" s="163" t="s">
        <v>40</v>
      </c>
      <c r="B39" s="163" t="s">
        <v>595</v>
      </c>
      <c r="C39" s="163" t="s">
        <v>34</v>
      </c>
      <c r="D39" s="163" t="s">
        <v>40</v>
      </c>
      <c r="E39" s="163" t="s">
        <v>551</v>
      </c>
      <c r="F39" s="163">
        <v>0</v>
      </c>
      <c r="G39" s="165" t="s">
        <v>475</v>
      </c>
      <c r="H39" s="163"/>
    </row>
    <row r="40" spans="1:8" ht="14.25">
      <c r="A40" s="163" t="s">
        <v>596</v>
      </c>
      <c r="B40" s="163" t="s">
        <v>597</v>
      </c>
      <c r="C40" s="163" t="s">
        <v>598</v>
      </c>
      <c r="D40" s="163" t="s">
        <v>599</v>
      </c>
      <c r="E40" s="163" t="s">
        <v>551</v>
      </c>
      <c r="F40" s="163">
        <v>0</v>
      </c>
      <c r="G40" s="165" t="s">
        <v>475</v>
      </c>
      <c r="H40" s="163"/>
    </row>
    <row r="41" spans="1:8" ht="14.25">
      <c r="A41" s="163" t="s">
        <v>600</v>
      </c>
      <c r="B41" s="163" t="s">
        <v>601</v>
      </c>
      <c r="C41" s="163" t="s">
        <v>602</v>
      </c>
      <c r="D41" s="163" t="s">
        <v>603</v>
      </c>
      <c r="E41" s="163" t="s">
        <v>551</v>
      </c>
      <c r="F41" s="163">
        <v>-2</v>
      </c>
      <c r="G41" s="165" t="s">
        <v>475</v>
      </c>
      <c r="H41" s="163"/>
    </row>
    <row r="42" spans="1:8" ht="14.25">
      <c r="A42" s="163" t="s">
        <v>604</v>
      </c>
      <c r="B42" s="163" t="s">
        <v>605</v>
      </c>
      <c r="C42" s="163" t="s">
        <v>606</v>
      </c>
      <c r="D42" s="163" t="s">
        <v>607</v>
      </c>
      <c r="E42" s="163" t="s">
        <v>551</v>
      </c>
      <c r="F42" s="163">
        <v>-3</v>
      </c>
      <c r="G42" s="176" t="s">
        <v>480</v>
      </c>
      <c r="H42" s="163"/>
    </row>
    <row r="43" spans="1:8" ht="14.25">
      <c r="A43" s="163" t="s">
        <v>80</v>
      </c>
      <c r="B43" s="163" t="s">
        <v>608</v>
      </c>
      <c r="C43" s="163" t="s">
        <v>609</v>
      </c>
      <c r="D43" s="163" t="s">
        <v>80</v>
      </c>
      <c r="E43" s="163" t="s">
        <v>551</v>
      </c>
      <c r="F43" s="163">
        <v>-1</v>
      </c>
      <c r="G43" s="176" t="s">
        <v>480</v>
      </c>
      <c r="H43" s="163"/>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8"/>
  <sheetViews>
    <sheetView zoomScale="90" zoomScaleNormal="90" workbookViewId="0">
      <selection activeCell="H19" sqref="H19"/>
    </sheetView>
  </sheetViews>
  <sheetFormatPr defaultRowHeight="12.75"/>
  <cols>
    <col min="1" max="5" width="8.7109375" customWidth="1"/>
    <col min="6" max="6" width="49" customWidth="1"/>
    <col min="7" max="7" width="18.5703125" customWidth="1"/>
    <col min="8" max="1023" width="8.7109375" customWidth="1"/>
    <col min="1024" max="1025" width="11.5703125"/>
  </cols>
  <sheetData>
    <row r="1" spans="1:15" ht="15">
      <c r="A1" s="162" t="s">
        <v>388</v>
      </c>
      <c r="B1" s="162" t="s">
        <v>389</v>
      </c>
      <c r="C1" s="162" t="s">
        <v>390</v>
      </c>
      <c r="D1" s="162" t="s">
        <v>391</v>
      </c>
      <c r="E1" s="162" t="s">
        <v>392</v>
      </c>
      <c r="F1" s="162" t="s">
        <v>393</v>
      </c>
      <c r="G1" s="162" t="s">
        <v>394</v>
      </c>
      <c r="H1" s="181" t="s">
        <v>366</v>
      </c>
      <c r="I1" s="181" t="s">
        <v>367</v>
      </c>
      <c r="J1" s="181" t="s">
        <v>473</v>
      </c>
      <c r="K1" s="181" t="s">
        <v>369</v>
      </c>
      <c r="L1" s="181" t="s">
        <v>396</v>
      </c>
      <c r="M1" s="181" t="s">
        <v>95</v>
      </c>
      <c r="N1" s="181" t="s">
        <v>62</v>
      </c>
      <c r="O1" s="162" t="s">
        <v>395</v>
      </c>
    </row>
    <row r="2" spans="1:15" ht="14.25">
      <c r="A2" s="182" t="s">
        <v>728</v>
      </c>
      <c r="B2" s="182" t="s">
        <v>729</v>
      </c>
      <c r="C2" s="182" t="s">
        <v>474</v>
      </c>
      <c r="D2" s="182">
        <v>0</v>
      </c>
      <c r="E2" s="182">
        <v>1000</v>
      </c>
      <c r="F2" s="182" t="s">
        <v>730</v>
      </c>
      <c r="G2" s="183" t="s">
        <v>480</v>
      </c>
      <c r="H2" s="180"/>
      <c r="I2" s="180"/>
      <c r="J2" s="180"/>
      <c r="K2" s="180"/>
      <c r="L2" s="180"/>
      <c r="M2" s="180"/>
      <c r="N2" s="180"/>
      <c r="O2" s="163"/>
    </row>
    <row r="3" spans="1:15" ht="14.25">
      <c r="A3" s="182" t="s">
        <v>731</v>
      </c>
      <c r="B3" s="182" t="s">
        <v>732</v>
      </c>
      <c r="C3" s="182" t="s">
        <v>478</v>
      </c>
      <c r="D3" s="182">
        <v>-1000</v>
      </c>
      <c r="E3" s="182">
        <v>1000</v>
      </c>
      <c r="F3" s="182" t="s">
        <v>733</v>
      </c>
      <c r="G3" s="183" t="s">
        <v>480</v>
      </c>
      <c r="H3" s="180"/>
      <c r="I3" s="180"/>
      <c r="J3" s="180"/>
      <c r="K3" s="180"/>
      <c r="L3" s="180"/>
      <c r="M3" s="180"/>
      <c r="N3" s="180"/>
      <c r="O3" s="163"/>
    </row>
    <row r="4" spans="1:15" ht="14.25">
      <c r="A4" s="182" t="s">
        <v>734</v>
      </c>
      <c r="B4" s="182" t="s">
        <v>735</v>
      </c>
      <c r="C4" s="182" t="s">
        <v>484</v>
      </c>
      <c r="D4" s="182">
        <v>-1000</v>
      </c>
      <c r="E4" s="182">
        <v>1000</v>
      </c>
      <c r="F4" s="182" t="s">
        <v>736</v>
      </c>
      <c r="G4" s="183" t="s">
        <v>480</v>
      </c>
      <c r="H4" s="180"/>
      <c r="I4" s="180"/>
      <c r="J4" s="180"/>
      <c r="K4" s="180"/>
      <c r="L4" s="180"/>
      <c r="M4" s="180"/>
      <c r="N4" s="180"/>
      <c r="O4" s="163"/>
    </row>
    <row r="5" spans="1:15" ht="14.25">
      <c r="A5" s="182" t="s">
        <v>737</v>
      </c>
      <c r="B5" s="182" t="s">
        <v>738</v>
      </c>
      <c r="C5" s="182" t="s">
        <v>739</v>
      </c>
      <c r="D5" s="182">
        <v>0</v>
      </c>
      <c r="E5" s="182">
        <v>1000</v>
      </c>
      <c r="F5" s="182" t="s">
        <v>740</v>
      </c>
      <c r="G5" s="183"/>
      <c r="H5" s="179">
        <v>1</v>
      </c>
      <c r="I5" s="180"/>
      <c r="J5" s="180"/>
      <c r="K5" s="180"/>
      <c r="L5" s="180"/>
      <c r="M5" s="179">
        <v>1</v>
      </c>
      <c r="N5" s="180"/>
      <c r="O5" s="163" t="s">
        <v>741</v>
      </c>
    </row>
    <row r="6" spans="1:15" ht="14.25">
      <c r="A6" s="182" t="s">
        <v>751</v>
      </c>
      <c r="B6" s="182" t="s">
        <v>752</v>
      </c>
      <c r="C6" s="182" t="s">
        <v>753</v>
      </c>
      <c r="D6" s="182">
        <v>0</v>
      </c>
      <c r="E6" s="182">
        <v>1000</v>
      </c>
      <c r="F6" s="182" t="s">
        <v>754</v>
      </c>
      <c r="G6" s="182"/>
      <c r="H6" s="179">
        <v>1</v>
      </c>
      <c r="I6" s="180"/>
      <c r="J6" s="180"/>
      <c r="K6" s="180"/>
      <c r="L6" s="180"/>
      <c r="M6" s="179">
        <v>2</v>
      </c>
      <c r="N6" s="180"/>
      <c r="O6" s="163" t="s">
        <v>755</v>
      </c>
    </row>
    <row r="7" spans="1:15" ht="14.25">
      <c r="A7" s="183" t="s">
        <v>413</v>
      </c>
      <c r="B7" s="183" t="s">
        <v>414</v>
      </c>
      <c r="C7" s="182" t="s">
        <v>612</v>
      </c>
      <c r="D7" s="182">
        <v>0</v>
      </c>
      <c r="E7" s="182">
        <v>1000</v>
      </c>
      <c r="F7" s="183" t="s">
        <v>415</v>
      </c>
      <c r="G7" s="183" t="s">
        <v>475</v>
      </c>
      <c r="H7" s="180"/>
      <c r="I7" s="180"/>
      <c r="J7" s="180"/>
      <c r="K7" s="179">
        <v>-1</v>
      </c>
      <c r="L7" s="180"/>
      <c r="M7" s="180"/>
      <c r="N7" s="180"/>
      <c r="O7" s="184"/>
    </row>
    <row r="8" spans="1:15" ht="14.25">
      <c r="A8" s="183" t="s">
        <v>416</v>
      </c>
      <c r="B8" s="183" t="s">
        <v>417</v>
      </c>
      <c r="C8" s="182" t="s">
        <v>612</v>
      </c>
      <c r="D8" s="182">
        <v>-1000</v>
      </c>
      <c r="E8" s="182">
        <v>1000</v>
      </c>
      <c r="F8" s="183" t="s">
        <v>418</v>
      </c>
      <c r="G8" s="183" t="s">
        <v>475</v>
      </c>
      <c r="H8" s="180"/>
      <c r="I8" s="180"/>
      <c r="J8" s="180"/>
      <c r="K8" s="180"/>
      <c r="L8" s="180"/>
      <c r="M8" s="179">
        <v>-1</v>
      </c>
      <c r="N8" s="180"/>
      <c r="O8" s="165" t="s">
        <v>756</v>
      </c>
    </row>
    <row r="9" spans="1:15" ht="14.25">
      <c r="A9" s="183" t="s">
        <v>420</v>
      </c>
      <c r="B9" s="183" t="s">
        <v>421</v>
      </c>
      <c r="C9" s="182" t="s">
        <v>612</v>
      </c>
      <c r="D9" s="182">
        <v>-1000</v>
      </c>
      <c r="E9" s="182">
        <v>1000</v>
      </c>
      <c r="F9" s="183" t="s">
        <v>422</v>
      </c>
      <c r="G9" s="183" t="s">
        <v>475</v>
      </c>
      <c r="H9" s="180"/>
      <c r="I9" s="179">
        <v>-1</v>
      </c>
      <c r="J9" s="180"/>
      <c r="K9" s="180"/>
      <c r="L9" s="180"/>
      <c r="M9" s="180"/>
      <c r="N9" s="180"/>
      <c r="O9" s="165" t="s">
        <v>756</v>
      </c>
    </row>
    <row r="10" spans="1:15" ht="14.25">
      <c r="A10" s="182" t="s">
        <v>613</v>
      </c>
      <c r="B10" s="182" t="s">
        <v>614</v>
      </c>
      <c r="C10" s="182" t="s">
        <v>615</v>
      </c>
      <c r="D10" s="182">
        <v>-1000</v>
      </c>
      <c r="E10" s="182">
        <v>1000</v>
      </c>
      <c r="F10" s="182" t="s">
        <v>616</v>
      </c>
      <c r="G10" s="183" t="s">
        <v>475</v>
      </c>
      <c r="H10" s="180"/>
      <c r="I10" s="180"/>
      <c r="J10" s="180"/>
      <c r="K10" s="180"/>
      <c r="L10" s="180"/>
      <c r="M10" s="180"/>
      <c r="N10" s="180"/>
      <c r="O10" s="163"/>
    </row>
    <row r="11" spans="1:15" ht="14.25">
      <c r="A11" s="183" t="s">
        <v>617</v>
      </c>
      <c r="B11" s="183" t="s">
        <v>618</v>
      </c>
      <c r="C11" s="182" t="s">
        <v>619</v>
      </c>
      <c r="D11" s="182">
        <v>-1000</v>
      </c>
      <c r="E11" s="182">
        <v>1000</v>
      </c>
      <c r="F11" s="183" t="s">
        <v>620</v>
      </c>
      <c r="G11" s="183"/>
      <c r="H11" s="180"/>
      <c r="I11" s="180"/>
      <c r="J11" s="180"/>
      <c r="K11" s="180"/>
      <c r="L11" s="180"/>
      <c r="M11" s="180"/>
      <c r="N11" s="180"/>
      <c r="O11" s="165" t="s">
        <v>621</v>
      </c>
    </row>
    <row r="12" spans="1:15" ht="14.25">
      <c r="A12" s="183" t="s">
        <v>622</v>
      </c>
      <c r="B12" s="183" t="s">
        <v>623</v>
      </c>
      <c r="C12" s="182" t="s">
        <v>512</v>
      </c>
      <c r="D12" s="182">
        <v>0</v>
      </c>
      <c r="E12" s="182">
        <v>1000</v>
      </c>
      <c r="F12" s="183" t="s">
        <v>624</v>
      </c>
      <c r="G12" s="183" t="s">
        <v>480</v>
      </c>
      <c r="H12" s="179">
        <v>-1</v>
      </c>
      <c r="I12" s="180"/>
      <c r="J12" s="180"/>
      <c r="K12" s="180"/>
      <c r="L12" s="180"/>
      <c r="M12" s="179">
        <v>-1</v>
      </c>
      <c r="N12" s="180"/>
      <c r="O12" s="165"/>
    </row>
    <row r="13" spans="1:15" ht="14.25">
      <c r="A13" s="182" t="s">
        <v>625</v>
      </c>
      <c r="B13" s="182" t="s">
        <v>626</v>
      </c>
      <c r="C13" s="182" t="s">
        <v>627</v>
      </c>
      <c r="D13" s="182">
        <v>0</v>
      </c>
      <c r="E13" s="182">
        <v>1000</v>
      </c>
      <c r="F13" s="182" t="s">
        <v>628</v>
      </c>
      <c r="G13" s="183" t="s">
        <v>480</v>
      </c>
      <c r="H13" s="180"/>
      <c r="I13" s="180"/>
      <c r="J13" s="180"/>
      <c r="K13" s="179">
        <v>-1</v>
      </c>
      <c r="L13" s="180"/>
      <c r="M13" s="179">
        <v>1</v>
      </c>
      <c r="N13" s="180"/>
      <c r="O13" s="165"/>
    </row>
    <row r="14" spans="1:15" ht="14.25">
      <c r="A14" s="182" t="s">
        <v>528</v>
      </c>
      <c r="B14" s="182" t="s">
        <v>529</v>
      </c>
      <c r="C14" s="182" t="s">
        <v>517</v>
      </c>
      <c r="D14" s="182">
        <v>-1000</v>
      </c>
      <c r="E14" s="182">
        <v>1000</v>
      </c>
      <c r="F14" s="182" t="s">
        <v>530</v>
      </c>
      <c r="G14" s="183" t="s">
        <v>475</v>
      </c>
      <c r="H14" s="180"/>
      <c r="I14" s="180"/>
      <c r="J14" s="180"/>
      <c r="K14" s="180"/>
      <c r="L14" s="180"/>
      <c r="M14" s="180"/>
      <c r="N14" s="180"/>
      <c r="O14" s="165"/>
    </row>
    <row r="15" spans="1:15" ht="14.25">
      <c r="A15" s="182" t="s">
        <v>629</v>
      </c>
      <c r="B15" s="182" t="s">
        <v>630</v>
      </c>
      <c r="C15" s="182" t="s">
        <v>631</v>
      </c>
      <c r="D15" s="182">
        <v>0</v>
      </c>
      <c r="E15" s="182">
        <v>1000</v>
      </c>
      <c r="F15" s="182" t="s">
        <v>632</v>
      </c>
      <c r="G15" s="183" t="s">
        <v>480</v>
      </c>
      <c r="H15" s="180"/>
      <c r="I15" s="180"/>
      <c r="J15" s="180"/>
      <c r="K15" s="180"/>
      <c r="L15" s="180"/>
      <c r="M15" s="179">
        <v>1</v>
      </c>
      <c r="N15" s="179">
        <v>-1</v>
      </c>
      <c r="O15" s="165" t="s">
        <v>633</v>
      </c>
    </row>
    <row r="16" spans="1:15" ht="14.25">
      <c r="A16" s="182" t="s">
        <v>634</v>
      </c>
      <c r="B16" s="182" t="s">
        <v>635</v>
      </c>
      <c r="C16" s="182" t="s">
        <v>636</v>
      </c>
      <c r="D16" s="182">
        <v>-1000</v>
      </c>
      <c r="E16" s="182">
        <v>1000</v>
      </c>
      <c r="F16" s="182" t="s">
        <v>637</v>
      </c>
      <c r="G16" s="183" t="s">
        <v>480</v>
      </c>
      <c r="H16" s="179">
        <v>-1</v>
      </c>
      <c r="I16" s="180"/>
      <c r="J16" s="180"/>
      <c r="K16" s="180"/>
      <c r="L16" s="180"/>
      <c r="M16" s="179">
        <v>-1</v>
      </c>
      <c r="N16" s="180"/>
      <c r="O16" s="165" t="s">
        <v>638</v>
      </c>
    </row>
    <row r="17" spans="1:15" ht="14.25">
      <c r="A17" s="182" t="s">
        <v>639</v>
      </c>
      <c r="B17" s="182" t="s">
        <v>640</v>
      </c>
      <c r="C17" s="182" t="s">
        <v>172</v>
      </c>
      <c r="D17" s="182">
        <v>-1000</v>
      </c>
      <c r="E17" s="182">
        <v>1000</v>
      </c>
      <c r="F17" s="182" t="s">
        <v>641</v>
      </c>
      <c r="G17" s="183"/>
      <c r="H17" s="180"/>
      <c r="I17" s="180"/>
      <c r="J17" s="180"/>
      <c r="K17" s="179">
        <v>-1</v>
      </c>
      <c r="L17" s="180"/>
      <c r="M17" s="180"/>
      <c r="N17" s="180"/>
      <c r="O17" s="165" t="s">
        <v>642</v>
      </c>
    </row>
    <row r="18" spans="1:15" ht="14.25">
      <c r="A18" s="182" t="s">
        <v>643</v>
      </c>
      <c r="B18" s="182" t="s">
        <v>644</v>
      </c>
      <c r="C18" s="182" t="s">
        <v>172</v>
      </c>
      <c r="D18" s="182">
        <v>-1000</v>
      </c>
      <c r="E18" s="182">
        <v>1000</v>
      </c>
      <c r="F18" s="182" t="s">
        <v>645</v>
      </c>
      <c r="G18" s="183"/>
      <c r="H18" s="180"/>
      <c r="I18" s="180"/>
      <c r="J18" s="180"/>
      <c r="K18" s="180"/>
      <c r="L18" s="180"/>
      <c r="M18" s="180"/>
      <c r="N18" s="180"/>
      <c r="O18" s="165" t="s">
        <v>642</v>
      </c>
    </row>
    <row r="19" spans="1:15">
      <c r="H19" s="156">
        <f>SUM(H2:H18)</f>
        <v>0</v>
      </c>
      <c r="I19" s="156">
        <f>SUM(I2:I18)</f>
        <v>-1</v>
      </c>
      <c r="J19" s="156">
        <f>SUM(J2:J18)</f>
        <v>0</v>
      </c>
      <c r="K19" s="156">
        <f>SUM(K2:K18)</f>
        <v>-3</v>
      </c>
      <c r="L19" s="156">
        <f>SUM(L2:L18)</f>
        <v>0</v>
      </c>
      <c r="M19" s="156">
        <f>SUM(M2:M18)</f>
        <v>2</v>
      </c>
      <c r="N19" s="156">
        <f>SUM(N2:N18)</f>
        <v>-1</v>
      </c>
    </row>
    <row r="20" spans="1:15">
      <c r="H20" s="134" t="s">
        <v>366</v>
      </c>
      <c r="I20" s="134" t="s">
        <v>367</v>
      </c>
      <c r="J20" s="134" t="s">
        <v>473</v>
      </c>
      <c r="K20" s="134" t="s">
        <v>369</v>
      </c>
      <c r="L20" s="134" t="s">
        <v>396</v>
      </c>
      <c r="M20" s="134" t="s">
        <v>95</v>
      </c>
      <c r="N20" s="134" t="s">
        <v>62</v>
      </c>
    </row>
    <row r="21" spans="1:15">
      <c r="H21" t="s">
        <v>757</v>
      </c>
    </row>
    <row r="22" spans="1:15">
      <c r="H22" t="s">
        <v>719</v>
      </c>
    </row>
    <row r="24" spans="1:15" ht="15">
      <c r="A24" s="162" t="s">
        <v>539</v>
      </c>
      <c r="B24" s="162" t="s">
        <v>540</v>
      </c>
      <c r="C24" s="162" t="s">
        <v>541</v>
      </c>
      <c r="D24" s="162" t="s">
        <v>542</v>
      </c>
      <c r="E24" s="162" t="s">
        <v>543</v>
      </c>
      <c r="F24" s="162" t="s">
        <v>544</v>
      </c>
      <c r="G24" s="172" t="s">
        <v>545</v>
      </c>
      <c r="H24" s="162" t="s">
        <v>546</v>
      </c>
    </row>
    <row r="25" spans="1:15" ht="14.25">
      <c r="A25" s="163" t="s">
        <v>547</v>
      </c>
      <c r="B25" s="163" t="s">
        <v>548</v>
      </c>
      <c r="C25" s="163" t="s">
        <v>549</v>
      </c>
      <c r="D25" s="163" t="s">
        <v>550</v>
      </c>
      <c r="E25" s="163" t="s">
        <v>551</v>
      </c>
      <c r="F25" s="163">
        <v>-1</v>
      </c>
      <c r="G25" s="165" t="s">
        <v>475</v>
      </c>
      <c r="H25" s="163"/>
    </row>
    <row r="26" spans="1:15" ht="14.25">
      <c r="A26" s="163" t="s">
        <v>366</v>
      </c>
      <c r="B26" s="163" t="s">
        <v>552</v>
      </c>
      <c r="C26" s="163" t="s">
        <v>553</v>
      </c>
      <c r="D26" s="163" t="s">
        <v>554</v>
      </c>
      <c r="E26" s="163" t="s">
        <v>551</v>
      </c>
      <c r="F26" s="163">
        <v>-2</v>
      </c>
      <c r="G26" s="165" t="s">
        <v>475</v>
      </c>
      <c r="H26" s="163"/>
    </row>
    <row r="27" spans="1:15" ht="14.25">
      <c r="A27" s="165" t="s">
        <v>720</v>
      </c>
      <c r="B27" s="165" t="s">
        <v>648</v>
      </c>
      <c r="C27" s="165" t="s">
        <v>649</v>
      </c>
      <c r="D27" s="165" t="s">
        <v>650</v>
      </c>
      <c r="E27" s="165" t="s">
        <v>551</v>
      </c>
      <c r="F27" s="163">
        <v>-3</v>
      </c>
      <c r="G27" s="165" t="s">
        <v>475</v>
      </c>
      <c r="H27" s="163"/>
    </row>
    <row r="28" spans="1:15" ht="14.25">
      <c r="A28" s="165" t="s">
        <v>367</v>
      </c>
      <c r="B28" s="165" t="s">
        <v>651</v>
      </c>
      <c r="C28" s="165" t="s">
        <v>652</v>
      </c>
      <c r="D28" s="165" t="s">
        <v>653</v>
      </c>
      <c r="E28" s="165" t="s">
        <v>551</v>
      </c>
      <c r="F28" s="163">
        <v>-4</v>
      </c>
      <c r="G28" s="165" t="s">
        <v>475</v>
      </c>
      <c r="H28" s="163"/>
    </row>
    <row r="29" spans="1:15" ht="14.25">
      <c r="A29" s="163" t="s">
        <v>369</v>
      </c>
      <c r="B29" s="163" t="s">
        <v>555</v>
      </c>
      <c r="C29" s="163" t="s">
        <v>556</v>
      </c>
      <c r="D29" s="163" t="s">
        <v>557</v>
      </c>
      <c r="E29" s="163" t="s">
        <v>551</v>
      </c>
      <c r="F29" s="163">
        <v>-4</v>
      </c>
      <c r="G29" s="165" t="s">
        <v>475</v>
      </c>
      <c r="H29" s="163"/>
    </row>
    <row r="30" spans="1:15" ht="14.25">
      <c r="A30" s="163" t="s">
        <v>558</v>
      </c>
      <c r="B30" s="163" t="s">
        <v>559</v>
      </c>
      <c r="C30" s="163" t="s">
        <v>560</v>
      </c>
      <c r="D30" s="163" t="s">
        <v>561</v>
      </c>
      <c r="E30" s="163" t="s">
        <v>551</v>
      </c>
      <c r="F30" s="163">
        <v>-3</v>
      </c>
      <c r="G30" s="165" t="s">
        <v>475</v>
      </c>
      <c r="H30" s="163"/>
    </row>
    <row r="31" spans="1:15" ht="14.25">
      <c r="A31" s="163" t="s">
        <v>562</v>
      </c>
      <c r="B31" s="165" t="s">
        <v>563</v>
      </c>
      <c r="C31" s="165" t="s">
        <v>564</v>
      </c>
      <c r="D31" s="165" t="s">
        <v>565</v>
      </c>
      <c r="E31" s="165" t="s">
        <v>551</v>
      </c>
      <c r="F31" s="163">
        <v>-2</v>
      </c>
      <c r="G31" s="165" t="s">
        <v>475</v>
      </c>
      <c r="H31" s="163"/>
    </row>
    <row r="32" spans="1:15" ht="14.25">
      <c r="A32" s="163" t="s">
        <v>94</v>
      </c>
      <c r="B32" s="163" t="s">
        <v>654</v>
      </c>
      <c r="C32" s="163" t="s">
        <v>94</v>
      </c>
      <c r="D32" s="163" t="s">
        <v>655</v>
      </c>
      <c r="E32" s="163" t="s">
        <v>551</v>
      </c>
      <c r="F32" s="163">
        <v>0</v>
      </c>
      <c r="G32" s="165" t="s">
        <v>475</v>
      </c>
      <c r="H32" s="163"/>
    </row>
    <row r="33" spans="1:8" ht="14.25">
      <c r="A33" s="163" t="s">
        <v>62</v>
      </c>
      <c r="B33" s="163" t="s">
        <v>656</v>
      </c>
      <c r="C33" s="163" t="s">
        <v>62</v>
      </c>
      <c r="D33" s="163" t="s">
        <v>657</v>
      </c>
      <c r="E33" s="163" t="s">
        <v>551</v>
      </c>
      <c r="F33" s="163">
        <v>0</v>
      </c>
      <c r="G33" s="165" t="s">
        <v>475</v>
      </c>
      <c r="H33" s="163"/>
    </row>
    <row r="34" spans="1:8" ht="14.25">
      <c r="A34" s="163" t="s">
        <v>566</v>
      </c>
      <c r="B34" s="163" t="s">
        <v>567</v>
      </c>
      <c r="C34" s="163" t="s">
        <v>4</v>
      </c>
      <c r="D34" s="163" t="s">
        <v>658</v>
      </c>
      <c r="E34" s="163" t="s">
        <v>551</v>
      </c>
      <c r="F34" s="163">
        <v>1</v>
      </c>
      <c r="G34" s="165" t="s">
        <v>475</v>
      </c>
      <c r="H34" s="163"/>
    </row>
    <row r="35" spans="1:8" ht="14.25">
      <c r="A35" s="163" t="s">
        <v>721</v>
      </c>
      <c r="B35" s="163" t="s">
        <v>659</v>
      </c>
      <c r="C35" s="163" t="s">
        <v>660</v>
      </c>
      <c r="D35" s="163" t="s">
        <v>661</v>
      </c>
      <c r="E35" s="163" t="s">
        <v>551</v>
      </c>
      <c r="F35" s="163">
        <v>-2</v>
      </c>
      <c r="G35" s="165" t="s">
        <v>475</v>
      </c>
      <c r="H35" s="163"/>
    </row>
    <row r="36" spans="1:8" ht="14.25">
      <c r="A36" s="163" t="s">
        <v>571</v>
      </c>
      <c r="B36" s="163" t="s">
        <v>572</v>
      </c>
      <c r="C36" s="163" t="s">
        <v>573</v>
      </c>
      <c r="D36" s="163" t="s">
        <v>574</v>
      </c>
      <c r="E36" s="163" t="s">
        <v>551</v>
      </c>
      <c r="F36" s="163">
        <v>-3</v>
      </c>
      <c r="G36" s="165" t="s">
        <v>475</v>
      </c>
      <c r="H36" s="163"/>
    </row>
    <row r="37" spans="1:8" ht="14.25">
      <c r="A37" s="163" t="s">
        <v>722</v>
      </c>
      <c r="B37" s="163" t="s">
        <v>662</v>
      </c>
      <c r="C37" s="163" t="s">
        <v>663</v>
      </c>
      <c r="D37" s="163" t="s">
        <v>664</v>
      </c>
      <c r="E37" s="163" t="s">
        <v>551</v>
      </c>
      <c r="F37" s="163">
        <v>1</v>
      </c>
      <c r="G37" s="165" t="s">
        <v>475</v>
      </c>
      <c r="H37" s="163"/>
    </row>
    <row r="38" spans="1:8" ht="14.25">
      <c r="A38" s="174" t="s">
        <v>575</v>
      </c>
      <c r="B38" s="174" t="s">
        <v>576</v>
      </c>
      <c r="C38" s="174" t="s">
        <v>577</v>
      </c>
      <c r="D38" s="175" t="s">
        <v>578</v>
      </c>
      <c r="E38" s="175" t="s">
        <v>551</v>
      </c>
      <c r="F38" s="163">
        <v>-4</v>
      </c>
      <c r="G38" s="163" t="s">
        <v>480</v>
      </c>
      <c r="H38" s="163"/>
    </row>
    <row r="39" spans="1:8" ht="14.25">
      <c r="A39" s="185" t="s">
        <v>744</v>
      </c>
      <c r="B39" s="185" t="s">
        <v>745</v>
      </c>
      <c r="C39" s="185" t="s">
        <v>746</v>
      </c>
      <c r="D39" s="185" t="s">
        <v>25</v>
      </c>
      <c r="E39" s="185" t="s">
        <v>582</v>
      </c>
      <c r="F39" s="185">
        <v>0</v>
      </c>
      <c r="G39" s="185" t="s">
        <v>480</v>
      </c>
      <c r="H39" s="185" t="s">
        <v>585</v>
      </c>
    </row>
    <row r="40" spans="1:8" ht="14.25">
      <c r="A40" s="165" t="s">
        <v>747</v>
      </c>
      <c r="B40" s="165" t="s">
        <v>748</v>
      </c>
      <c r="C40" s="165" t="s">
        <v>746</v>
      </c>
      <c r="D40" s="163" t="s">
        <v>25</v>
      </c>
      <c r="E40" s="165" t="s">
        <v>570</v>
      </c>
      <c r="F40" s="163">
        <v>0</v>
      </c>
      <c r="G40" s="163" t="s">
        <v>480</v>
      </c>
      <c r="H40" s="163" t="s">
        <v>585</v>
      </c>
    </row>
    <row r="41" spans="1:8" ht="14.25">
      <c r="A41" s="163" t="s">
        <v>749</v>
      </c>
      <c r="B41" s="163" t="s">
        <v>750</v>
      </c>
      <c r="C41" s="163" t="s">
        <v>746</v>
      </c>
      <c r="D41" s="163" t="s">
        <v>25</v>
      </c>
      <c r="E41" s="163" t="s">
        <v>551</v>
      </c>
      <c r="F41" s="163">
        <v>0</v>
      </c>
      <c r="G41" s="163" t="s">
        <v>480</v>
      </c>
      <c r="H41" s="163" t="s">
        <v>585</v>
      </c>
    </row>
    <row r="42" spans="1:8" ht="14.25">
      <c r="A42" s="185" t="s">
        <v>592</v>
      </c>
      <c r="B42" s="185" t="s">
        <v>593</v>
      </c>
      <c r="C42" s="185" t="s">
        <v>594</v>
      </c>
      <c r="D42" s="185" t="s">
        <v>592</v>
      </c>
      <c r="E42" s="185" t="s">
        <v>551</v>
      </c>
      <c r="F42" s="185">
        <v>0</v>
      </c>
      <c r="G42" s="184" t="s">
        <v>480</v>
      </c>
      <c r="H42" s="185" t="s">
        <v>585</v>
      </c>
    </row>
    <row r="43" spans="1:8" ht="14.25">
      <c r="A43" s="163" t="s">
        <v>586</v>
      </c>
      <c r="B43" s="163" t="s">
        <v>587</v>
      </c>
      <c r="C43" s="163" t="s">
        <v>581</v>
      </c>
      <c r="D43" s="163" t="s">
        <v>19</v>
      </c>
      <c r="E43" s="163" t="s">
        <v>551</v>
      </c>
      <c r="F43" s="163">
        <v>-1</v>
      </c>
      <c r="G43" s="176" t="s">
        <v>480</v>
      </c>
      <c r="H43" s="163"/>
    </row>
    <row r="44" spans="1:8" ht="14.25">
      <c r="A44" s="163" t="s">
        <v>723</v>
      </c>
      <c r="B44" s="163" t="s">
        <v>665</v>
      </c>
      <c r="C44" s="163" t="s">
        <v>666</v>
      </c>
      <c r="D44" s="163" t="s">
        <v>667</v>
      </c>
      <c r="E44" s="163" t="s">
        <v>551</v>
      </c>
      <c r="F44" s="163">
        <v>-2</v>
      </c>
      <c r="G44" s="165" t="s">
        <v>475</v>
      </c>
      <c r="H44" s="163"/>
    </row>
    <row r="45" spans="1:8" ht="14.25">
      <c r="A45" s="163" t="s">
        <v>724</v>
      </c>
      <c r="B45" s="163" t="s">
        <v>668</v>
      </c>
      <c r="C45" s="163" t="s">
        <v>669</v>
      </c>
      <c r="D45" s="163" t="s">
        <v>670</v>
      </c>
      <c r="E45" s="163" t="s">
        <v>551</v>
      </c>
      <c r="F45" s="163">
        <v>-2</v>
      </c>
      <c r="G45" s="165" t="s">
        <v>475</v>
      </c>
      <c r="H45" s="163"/>
    </row>
    <row r="46" spans="1:8" ht="14.25">
      <c r="A46" s="163" t="s">
        <v>725</v>
      </c>
      <c r="B46" s="163" t="s">
        <v>671</v>
      </c>
      <c r="C46" s="163" t="s">
        <v>672</v>
      </c>
      <c r="D46" s="163" t="s">
        <v>673</v>
      </c>
      <c r="E46" s="163" t="s">
        <v>551</v>
      </c>
      <c r="F46" s="163">
        <v>-1</v>
      </c>
      <c r="G46" s="165" t="s">
        <v>475</v>
      </c>
      <c r="H46" s="163"/>
    </row>
    <row r="47" spans="1:8" ht="14.25">
      <c r="A47" s="163" t="s">
        <v>726</v>
      </c>
      <c r="B47" s="163" t="s">
        <v>674</v>
      </c>
      <c r="C47" s="163" t="s">
        <v>675</v>
      </c>
      <c r="D47" s="163" t="s">
        <v>676</v>
      </c>
      <c r="E47" s="163" t="s">
        <v>551</v>
      </c>
      <c r="F47" s="163">
        <v>-2</v>
      </c>
      <c r="G47" s="165" t="s">
        <v>475</v>
      </c>
      <c r="H47" s="163"/>
    </row>
    <row r="48" spans="1:8" ht="14.25">
      <c r="A48" s="163" t="s">
        <v>679</v>
      </c>
      <c r="B48" s="163" t="s">
        <v>677</v>
      </c>
      <c r="C48" s="163" t="s">
        <v>678</v>
      </c>
      <c r="D48" s="163" t="s">
        <v>679</v>
      </c>
      <c r="E48" s="163" t="s">
        <v>551</v>
      </c>
      <c r="F48" s="163">
        <v>-1</v>
      </c>
      <c r="G48" s="163" t="s">
        <v>480</v>
      </c>
      <c r="H48" s="163"/>
    </row>
    <row r="49" spans="1:8" ht="14.25">
      <c r="A49" s="165" t="s">
        <v>727</v>
      </c>
      <c r="B49" s="163" t="s">
        <v>680</v>
      </c>
      <c r="C49" s="163" t="s">
        <v>681</v>
      </c>
      <c r="D49" s="163" t="s">
        <v>682</v>
      </c>
      <c r="E49" s="163" t="s">
        <v>551</v>
      </c>
      <c r="F49" s="163">
        <v>0</v>
      </c>
      <c r="G49" s="176" t="s">
        <v>480</v>
      </c>
      <c r="H49" s="163"/>
    </row>
    <row r="50" spans="1:8" ht="14.25">
      <c r="A50" s="163" t="s">
        <v>685</v>
      </c>
      <c r="B50" s="163" t="s">
        <v>683</v>
      </c>
      <c r="C50" s="163" t="s">
        <v>684</v>
      </c>
      <c r="D50" s="163" t="s">
        <v>685</v>
      </c>
      <c r="E50" s="163" t="s">
        <v>551</v>
      </c>
      <c r="F50" s="163">
        <v>0</v>
      </c>
      <c r="G50" s="176" t="s">
        <v>480</v>
      </c>
      <c r="H50" s="163"/>
    </row>
    <row r="51" spans="1:8" ht="14.25">
      <c r="A51" s="163" t="s">
        <v>688</v>
      </c>
      <c r="B51" s="163" t="s">
        <v>686</v>
      </c>
      <c r="C51" s="163" t="s">
        <v>687</v>
      </c>
      <c r="D51" s="163" t="s">
        <v>688</v>
      </c>
      <c r="E51" s="163" t="s">
        <v>551</v>
      </c>
      <c r="F51" s="163">
        <v>-1</v>
      </c>
      <c r="G51" s="176" t="s">
        <v>480</v>
      </c>
      <c r="H51" s="163" t="s">
        <v>689</v>
      </c>
    </row>
    <row r="52" spans="1:8" ht="14.25">
      <c r="A52" s="163" t="s">
        <v>758</v>
      </c>
      <c r="B52" s="163" t="s">
        <v>690</v>
      </c>
      <c r="C52" s="163" t="s">
        <v>691</v>
      </c>
      <c r="D52" s="163" t="s">
        <v>692</v>
      </c>
      <c r="E52" s="163" t="s">
        <v>551</v>
      </c>
      <c r="F52" s="163">
        <v>-1</v>
      </c>
      <c r="G52" s="163" t="s">
        <v>480</v>
      </c>
      <c r="H52" s="163"/>
    </row>
    <row r="53" spans="1:8" ht="14.25">
      <c r="A53" s="165" t="s">
        <v>759</v>
      </c>
      <c r="B53" s="165" t="s">
        <v>693</v>
      </c>
      <c r="C53" s="165" t="s">
        <v>694</v>
      </c>
      <c r="D53" s="165" t="s">
        <v>695</v>
      </c>
      <c r="E53" s="165" t="s">
        <v>551</v>
      </c>
      <c r="F53" s="163">
        <v>-3</v>
      </c>
      <c r="G53" s="163" t="s">
        <v>480</v>
      </c>
      <c r="H53" s="163"/>
    </row>
    <row r="54" spans="1:8" ht="14.25">
      <c r="A54" s="163" t="s">
        <v>604</v>
      </c>
      <c r="B54" s="163" t="s">
        <v>605</v>
      </c>
      <c r="C54" s="163" t="s">
        <v>606</v>
      </c>
      <c r="D54" s="163" t="s">
        <v>607</v>
      </c>
      <c r="E54" s="163" t="s">
        <v>551</v>
      </c>
      <c r="F54" s="163">
        <v>-3</v>
      </c>
      <c r="G54" s="176" t="s">
        <v>480</v>
      </c>
      <c r="H54" s="163"/>
    </row>
    <row r="55" spans="1:8" ht="14.25">
      <c r="A55" s="165" t="s">
        <v>698</v>
      </c>
      <c r="B55" s="165" t="s">
        <v>696</v>
      </c>
      <c r="C55" s="165" t="s">
        <v>697</v>
      </c>
      <c r="D55" s="165" t="s">
        <v>698</v>
      </c>
      <c r="E55" s="165" t="s">
        <v>551</v>
      </c>
      <c r="F55" s="163">
        <v>-2</v>
      </c>
      <c r="G55" s="176" t="s">
        <v>480</v>
      </c>
      <c r="H55" s="163"/>
    </row>
    <row r="56" spans="1:8" ht="14.25">
      <c r="A56" s="165" t="s">
        <v>760</v>
      </c>
      <c r="B56" s="165" t="s">
        <v>699</v>
      </c>
      <c r="C56" s="165" t="s">
        <v>700</v>
      </c>
      <c r="D56" s="165" t="s">
        <v>701</v>
      </c>
      <c r="E56" s="163" t="s">
        <v>551</v>
      </c>
      <c r="F56" s="163">
        <v>-2</v>
      </c>
      <c r="G56" s="176" t="s">
        <v>480</v>
      </c>
      <c r="H56" s="163"/>
    </row>
    <row r="57" spans="1:8" ht="14.25">
      <c r="A57" s="165" t="s">
        <v>761</v>
      </c>
      <c r="B57" s="165" t="s">
        <v>702</v>
      </c>
      <c r="C57" s="167" t="s">
        <v>703</v>
      </c>
      <c r="D57" s="165" t="s">
        <v>704</v>
      </c>
      <c r="E57" s="163" t="s">
        <v>551</v>
      </c>
      <c r="F57" s="177">
        <v>-5</v>
      </c>
      <c r="G57" s="176" t="s">
        <v>480</v>
      </c>
      <c r="H57" s="163" t="s">
        <v>705</v>
      </c>
    </row>
    <row r="58" spans="1:8" ht="14.25">
      <c r="A58" s="174" t="s">
        <v>762</v>
      </c>
      <c r="B58" s="174" t="s">
        <v>706</v>
      </c>
      <c r="C58" s="174" t="s">
        <v>707</v>
      </c>
      <c r="D58" s="174" t="s">
        <v>84</v>
      </c>
      <c r="E58" s="174" t="s">
        <v>551</v>
      </c>
      <c r="F58" s="174">
        <v>-4</v>
      </c>
      <c r="G58" s="163" t="s">
        <v>480</v>
      </c>
      <c r="H58" s="163"/>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37"/>
  <sheetViews>
    <sheetView zoomScale="90" zoomScaleNormal="90" workbookViewId="0">
      <selection activeCell="R23" sqref="R23"/>
    </sheetView>
  </sheetViews>
  <sheetFormatPr defaultRowHeight="12.75"/>
  <cols>
    <col min="1" max="5" width="8.7109375" customWidth="1"/>
    <col min="6" max="6" width="51.42578125" customWidth="1"/>
    <col min="7" max="1025" width="8.7109375" customWidth="1"/>
  </cols>
  <sheetData>
    <row r="1" spans="1:15" ht="15">
      <c r="A1" s="162" t="s">
        <v>388</v>
      </c>
      <c r="B1" s="162" t="s">
        <v>389</v>
      </c>
      <c r="C1" s="162" t="s">
        <v>390</v>
      </c>
      <c r="D1" s="162" t="s">
        <v>391</v>
      </c>
      <c r="E1" s="162" t="s">
        <v>392</v>
      </c>
      <c r="F1" s="162" t="s">
        <v>393</v>
      </c>
      <c r="G1" s="134" t="s">
        <v>366</v>
      </c>
      <c r="H1" s="134" t="s">
        <v>367</v>
      </c>
      <c r="I1" s="134" t="s">
        <v>473</v>
      </c>
      <c r="J1" s="134" t="s">
        <v>369</v>
      </c>
      <c r="K1" s="134" t="s">
        <v>396</v>
      </c>
      <c r="L1" s="134" t="s">
        <v>95</v>
      </c>
      <c r="M1" s="134" t="s">
        <v>62</v>
      </c>
      <c r="N1" s="162" t="s">
        <v>394</v>
      </c>
      <c r="O1" s="162" t="s">
        <v>395</v>
      </c>
    </row>
    <row r="2" spans="1:15" ht="14.25">
      <c r="A2" s="163" t="s">
        <v>728</v>
      </c>
      <c r="B2" s="163" t="s">
        <v>729</v>
      </c>
      <c r="C2" s="163" t="s">
        <v>474</v>
      </c>
      <c r="D2" s="163">
        <v>0</v>
      </c>
      <c r="E2" s="163">
        <v>1000</v>
      </c>
      <c r="F2" s="163" t="s">
        <v>730</v>
      </c>
      <c r="G2" s="164"/>
      <c r="H2" s="164"/>
      <c r="I2" s="164"/>
      <c r="J2" s="164"/>
      <c r="K2" s="164"/>
      <c r="L2" s="164"/>
      <c r="M2" s="164"/>
      <c r="N2" s="165" t="s">
        <v>480</v>
      </c>
      <c r="O2" s="163"/>
    </row>
    <row r="3" spans="1:15" ht="14.25">
      <c r="A3" s="163" t="s">
        <v>731</v>
      </c>
      <c r="B3" s="163" t="s">
        <v>732</v>
      </c>
      <c r="C3" s="163" t="s">
        <v>478</v>
      </c>
      <c r="D3" s="163">
        <v>-1000</v>
      </c>
      <c r="E3" s="163">
        <v>1000</v>
      </c>
      <c r="F3" s="163" t="s">
        <v>733</v>
      </c>
      <c r="G3" s="164"/>
      <c r="H3" s="164"/>
      <c r="I3" s="164"/>
      <c r="J3" s="164"/>
      <c r="K3" s="164"/>
      <c r="L3" s="164"/>
      <c r="M3" s="164"/>
      <c r="N3" s="165" t="s">
        <v>480</v>
      </c>
      <c r="O3" s="163"/>
    </row>
    <row r="4" spans="1:15" ht="14.25">
      <c r="A4" s="163" t="s">
        <v>734</v>
      </c>
      <c r="B4" s="163" t="s">
        <v>735</v>
      </c>
      <c r="C4" s="163" t="s">
        <v>484</v>
      </c>
      <c r="D4" s="163">
        <v>-1000</v>
      </c>
      <c r="E4" s="163">
        <v>1000</v>
      </c>
      <c r="F4" s="163" t="s">
        <v>736</v>
      </c>
      <c r="G4" s="164"/>
      <c r="H4" s="164"/>
      <c r="I4" s="164"/>
      <c r="J4" s="164"/>
      <c r="K4" s="164"/>
      <c r="L4" s="164"/>
      <c r="M4" s="164"/>
      <c r="N4" s="165" t="s">
        <v>480</v>
      </c>
      <c r="O4" s="163"/>
    </row>
    <row r="5" spans="1:15" ht="14.25">
      <c r="A5" s="163" t="s">
        <v>737</v>
      </c>
      <c r="B5" s="163" t="s">
        <v>738</v>
      </c>
      <c r="C5" s="163" t="s">
        <v>739</v>
      </c>
      <c r="D5" s="163">
        <v>0</v>
      </c>
      <c r="E5" s="163">
        <v>1000</v>
      </c>
      <c r="F5" s="163" t="s">
        <v>740</v>
      </c>
      <c r="G5" s="166">
        <f>1*3</f>
        <v>3</v>
      </c>
      <c r="H5" s="164"/>
      <c r="I5" s="164"/>
      <c r="J5" s="164"/>
      <c r="K5" s="164"/>
      <c r="L5" s="166">
        <f>1*3</f>
        <v>3</v>
      </c>
      <c r="M5" s="164"/>
      <c r="N5" s="165"/>
      <c r="O5" s="163" t="s">
        <v>741</v>
      </c>
    </row>
    <row r="6" spans="1:15" ht="14.25">
      <c r="A6" s="185" t="s">
        <v>763</v>
      </c>
      <c r="B6" s="185" t="s">
        <v>764</v>
      </c>
      <c r="C6" s="185" t="s">
        <v>351</v>
      </c>
      <c r="D6" s="185">
        <v>0</v>
      </c>
      <c r="E6" s="185">
        <v>1000</v>
      </c>
      <c r="F6" s="185" t="s">
        <v>765</v>
      </c>
      <c r="G6" s="164"/>
      <c r="H6" s="164"/>
      <c r="I6" s="164"/>
      <c r="J6" s="164"/>
      <c r="K6" s="164"/>
      <c r="L6" s="164"/>
      <c r="M6" s="164"/>
      <c r="N6" s="184"/>
      <c r="O6" s="185" t="s">
        <v>766</v>
      </c>
    </row>
    <row r="7" spans="1:15" ht="14.25">
      <c r="A7" s="165" t="s">
        <v>767</v>
      </c>
      <c r="B7" s="165" t="s">
        <v>768</v>
      </c>
      <c r="C7" s="163" t="s">
        <v>351</v>
      </c>
      <c r="D7" s="163">
        <v>0</v>
      </c>
      <c r="E7" s="163">
        <v>1000</v>
      </c>
      <c r="F7" s="165" t="s">
        <v>769</v>
      </c>
      <c r="G7" s="164"/>
      <c r="H7" s="164"/>
      <c r="I7" s="164"/>
      <c r="J7" s="164"/>
      <c r="K7" s="164"/>
      <c r="L7" s="164"/>
      <c r="M7" s="164"/>
      <c r="N7" s="165"/>
      <c r="O7" s="185" t="s">
        <v>770</v>
      </c>
    </row>
    <row r="8" spans="1:15" ht="14.25">
      <c r="A8" s="186" t="s">
        <v>771</v>
      </c>
      <c r="B8" s="186" t="s">
        <v>772</v>
      </c>
      <c r="C8" s="170" t="s">
        <v>517</v>
      </c>
      <c r="D8" s="170">
        <v>0</v>
      </c>
      <c r="E8" s="170">
        <v>1000</v>
      </c>
      <c r="F8" s="186" t="s">
        <v>773</v>
      </c>
      <c r="G8" s="164"/>
      <c r="H8" s="164"/>
      <c r="I8" s="164"/>
      <c r="J8" s="166">
        <v>-1</v>
      </c>
      <c r="K8" s="164"/>
      <c r="L8" s="166">
        <v>1</v>
      </c>
      <c r="M8" s="164"/>
    </row>
    <row r="9" spans="1:15" ht="14.25">
      <c r="A9" s="186" t="s">
        <v>774</v>
      </c>
      <c r="B9" s="186" t="s">
        <v>775</v>
      </c>
      <c r="C9" s="170" t="s">
        <v>517</v>
      </c>
      <c r="D9" s="170">
        <v>-1000</v>
      </c>
      <c r="E9" s="170">
        <v>1000</v>
      </c>
      <c r="F9" s="186" t="s">
        <v>776</v>
      </c>
      <c r="G9" s="164"/>
      <c r="H9" s="164"/>
      <c r="I9" s="164"/>
      <c r="J9" s="164"/>
      <c r="K9" s="164"/>
      <c r="L9" s="164"/>
      <c r="M9" s="164"/>
    </row>
    <row r="10" spans="1:15" ht="14.25">
      <c r="A10" s="169" t="s">
        <v>515</v>
      </c>
      <c r="B10" s="169" t="s">
        <v>516</v>
      </c>
      <c r="C10" s="170" t="s">
        <v>517</v>
      </c>
      <c r="D10" s="170">
        <v>-1000</v>
      </c>
      <c r="E10" s="170">
        <v>1000</v>
      </c>
      <c r="F10" s="169" t="s">
        <v>518</v>
      </c>
      <c r="G10" s="164"/>
      <c r="H10" s="164"/>
      <c r="I10" s="164"/>
      <c r="J10" s="164"/>
      <c r="K10" s="164"/>
      <c r="L10" s="164"/>
      <c r="M10" s="164"/>
    </row>
    <row r="11" spans="1:15" ht="14.25">
      <c r="A11" s="169" t="s">
        <v>519</v>
      </c>
      <c r="B11" s="169" t="s">
        <v>520</v>
      </c>
      <c r="C11" s="170" t="s">
        <v>517</v>
      </c>
      <c r="D11" s="170">
        <v>-1000</v>
      </c>
      <c r="E11" s="170">
        <v>1000</v>
      </c>
      <c r="F11" s="169" t="s">
        <v>521</v>
      </c>
      <c r="G11" s="166">
        <f>1</f>
        <v>1</v>
      </c>
      <c r="H11" s="164"/>
      <c r="I11" s="164"/>
      <c r="J11" s="164"/>
      <c r="K11" s="164"/>
      <c r="L11" s="166">
        <f>1</f>
        <v>1</v>
      </c>
      <c r="M11" s="164"/>
    </row>
    <row r="12" spans="1:15" ht="14.25">
      <c r="A12" s="169" t="s">
        <v>522</v>
      </c>
      <c r="B12" s="169" t="s">
        <v>523</v>
      </c>
      <c r="C12" s="170" t="s">
        <v>517</v>
      </c>
      <c r="D12" s="170">
        <v>-1000</v>
      </c>
      <c r="E12" s="170">
        <v>1000</v>
      </c>
      <c r="F12" s="169" t="s">
        <v>524</v>
      </c>
      <c r="G12" s="164"/>
      <c r="H12" s="164"/>
      <c r="I12" s="164"/>
      <c r="J12" s="166">
        <f>1</f>
        <v>1</v>
      </c>
      <c r="K12" s="164"/>
      <c r="L12" s="164"/>
      <c r="M12" s="164"/>
      <c r="O12" t="s">
        <v>777</v>
      </c>
    </row>
    <row r="13" spans="1:15" ht="14.25">
      <c r="A13" s="169" t="s">
        <v>525</v>
      </c>
      <c r="B13" s="169" t="s">
        <v>526</v>
      </c>
      <c r="C13" s="170" t="s">
        <v>517</v>
      </c>
      <c r="D13" s="170">
        <v>-1000</v>
      </c>
      <c r="E13" s="170">
        <v>1000</v>
      </c>
      <c r="F13" s="169" t="s">
        <v>527</v>
      </c>
      <c r="G13" s="164"/>
      <c r="H13" s="164"/>
      <c r="I13" s="164"/>
      <c r="J13" s="164"/>
      <c r="K13" s="164"/>
      <c r="L13" s="164"/>
      <c r="M13" s="164"/>
    </row>
    <row r="14" spans="1:15" ht="14.25">
      <c r="A14" s="169" t="s">
        <v>528</v>
      </c>
      <c r="B14" s="169" t="s">
        <v>529</v>
      </c>
      <c r="C14" s="170" t="s">
        <v>517</v>
      </c>
      <c r="D14" s="170">
        <v>-1000</v>
      </c>
      <c r="E14" s="170">
        <v>1000</v>
      </c>
      <c r="F14" s="169" t="s">
        <v>530</v>
      </c>
      <c r="G14" s="164"/>
      <c r="H14" s="164"/>
      <c r="I14" s="164"/>
      <c r="J14" s="164"/>
      <c r="K14" s="164"/>
      <c r="L14" s="164"/>
      <c r="M14" s="164"/>
    </row>
    <row r="15" spans="1:15" ht="14.25">
      <c r="A15" s="169" t="s">
        <v>531</v>
      </c>
      <c r="B15" s="169" t="s">
        <v>532</v>
      </c>
      <c r="C15" s="170" t="s">
        <v>517</v>
      </c>
      <c r="D15" s="170">
        <v>0</v>
      </c>
      <c r="E15" s="170">
        <v>1000</v>
      </c>
      <c r="F15" s="169" t="s">
        <v>533</v>
      </c>
      <c r="G15" s="164"/>
      <c r="H15" s="164"/>
      <c r="I15" s="164"/>
      <c r="J15" s="166">
        <f>1</f>
        <v>1</v>
      </c>
      <c r="K15" s="164"/>
      <c r="L15" s="164"/>
      <c r="M15" s="164"/>
    </row>
    <row r="16" spans="1:15" ht="14.25">
      <c r="A16" s="169" t="s">
        <v>534</v>
      </c>
      <c r="B16" s="169" t="s">
        <v>535</v>
      </c>
      <c r="C16" s="170" t="s">
        <v>517</v>
      </c>
      <c r="D16" s="170">
        <v>0</v>
      </c>
      <c r="E16" s="170">
        <v>1000</v>
      </c>
      <c r="F16" s="169" t="s">
        <v>536</v>
      </c>
      <c r="G16" s="166">
        <f>1</f>
        <v>1</v>
      </c>
      <c r="H16" s="164"/>
      <c r="I16" s="164"/>
      <c r="J16" s="164"/>
      <c r="K16" s="164"/>
      <c r="L16" s="164"/>
      <c r="M16" s="166">
        <f>1</f>
        <v>1</v>
      </c>
    </row>
    <row r="17" spans="1:13">
      <c r="G17" s="156">
        <f>SUM(G2:G16)</f>
        <v>5</v>
      </c>
      <c r="H17" s="156">
        <f>SUM(H2:H16)</f>
        <v>0</v>
      </c>
      <c r="I17" s="156">
        <f>SUM(I2:I16)</f>
        <v>0</v>
      </c>
      <c r="J17" s="156">
        <f>SUM(J2:J16)</f>
        <v>1</v>
      </c>
      <c r="K17" s="156">
        <f>SUM(K2:K16)</f>
        <v>0</v>
      </c>
      <c r="L17" s="156">
        <f>SUM(L2:L16)</f>
        <v>5</v>
      </c>
      <c r="M17" s="156">
        <f>SUM(M2:M16)</f>
        <v>1</v>
      </c>
    </row>
    <row r="18" spans="1:13">
      <c r="G18" s="134" t="s">
        <v>366</v>
      </c>
      <c r="H18" s="134" t="s">
        <v>367</v>
      </c>
      <c r="I18" s="134" t="s">
        <v>473</v>
      </c>
      <c r="J18" s="134" t="s">
        <v>369</v>
      </c>
      <c r="K18" s="134" t="s">
        <v>396</v>
      </c>
      <c r="L18" s="134" t="s">
        <v>95</v>
      </c>
      <c r="M18" s="134" t="s">
        <v>62</v>
      </c>
    </row>
    <row r="19" spans="1:13">
      <c r="G19" t="s">
        <v>742</v>
      </c>
    </row>
    <row r="20" spans="1:13">
      <c r="G20" t="s">
        <v>743</v>
      </c>
    </row>
    <row r="27" spans="1:13" ht="15">
      <c r="A27" s="162" t="s">
        <v>539</v>
      </c>
      <c r="B27" s="162" t="s">
        <v>540</v>
      </c>
      <c r="C27" s="162" t="s">
        <v>541</v>
      </c>
      <c r="D27" s="162" t="s">
        <v>542</v>
      </c>
      <c r="E27" s="162" t="s">
        <v>543</v>
      </c>
      <c r="F27" s="162" t="s">
        <v>544</v>
      </c>
      <c r="G27" s="172" t="s">
        <v>545</v>
      </c>
      <c r="H27" s="162" t="s">
        <v>546</v>
      </c>
    </row>
    <row r="28" spans="1:13" ht="14.25">
      <c r="A28" s="163" t="s">
        <v>547</v>
      </c>
      <c r="B28" s="163" t="s">
        <v>548</v>
      </c>
      <c r="C28" s="163" t="s">
        <v>549</v>
      </c>
      <c r="D28" s="163" t="s">
        <v>550</v>
      </c>
      <c r="E28" s="163" t="s">
        <v>551</v>
      </c>
      <c r="F28" s="163">
        <v>-1</v>
      </c>
      <c r="G28" s="165" t="s">
        <v>475</v>
      </c>
      <c r="H28" s="163"/>
    </row>
    <row r="29" spans="1:13" ht="14.25">
      <c r="A29" s="163" t="s">
        <v>366</v>
      </c>
      <c r="B29" s="163" t="s">
        <v>552</v>
      </c>
      <c r="C29" s="163" t="s">
        <v>553</v>
      </c>
      <c r="D29" s="163" t="s">
        <v>554</v>
      </c>
      <c r="E29" s="163" t="s">
        <v>551</v>
      </c>
      <c r="F29" s="163">
        <v>-2</v>
      </c>
      <c r="G29" s="165" t="s">
        <v>475</v>
      </c>
      <c r="H29" s="163"/>
    </row>
    <row r="30" spans="1:13" ht="14.25">
      <c r="A30" s="163" t="s">
        <v>566</v>
      </c>
      <c r="B30" s="163" t="s">
        <v>567</v>
      </c>
      <c r="C30" s="163" t="s">
        <v>4</v>
      </c>
      <c r="D30" s="163" t="s">
        <v>658</v>
      </c>
      <c r="E30" s="163" t="s">
        <v>551</v>
      </c>
      <c r="F30" s="163">
        <v>1</v>
      </c>
      <c r="G30" s="165" t="s">
        <v>475</v>
      </c>
      <c r="H30" s="163"/>
    </row>
    <row r="31" spans="1:13" ht="14.25">
      <c r="A31" s="163" t="s">
        <v>744</v>
      </c>
      <c r="B31" s="163" t="s">
        <v>745</v>
      </c>
      <c r="C31" s="163" t="s">
        <v>746</v>
      </c>
      <c r="D31" s="163" t="s">
        <v>25</v>
      </c>
      <c r="E31" s="163" t="s">
        <v>582</v>
      </c>
      <c r="F31" s="163">
        <v>0</v>
      </c>
      <c r="G31" s="163" t="s">
        <v>480</v>
      </c>
      <c r="H31" s="163" t="s">
        <v>585</v>
      </c>
    </row>
    <row r="32" spans="1:13" ht="14.25">
      <c r="A32" s="165" t="s">
        <v>747</v>
      </c>
      <c r="B32" s="165" t="s">
        <v>748</v>
      </c>
      <c r="C32" s="165" t="s">
        <v>746</v>
      </c>
      <c r="D32" s="163" t="s">
        <v>25</v>
      </c>
      <c r="E32" s="165" t="s">
        <v>570</v>
      </c>
      <c r="F32" s="163">
        <v>0</v>
      </c>
      <c r="G32" s="163" t="s">
        <v>480</v>
      </c>
      <c r="H32" s="163" t="s">
        <v>585</v>
      </c>
    </row>
    <row r="33" spans="1:8" ht="14.25">
      <c r="A33" s="163" t="s">
        <v>749</v>
      </c>
      <c r="B33" s="163" t="s">
        <v>750</v>
      </c>
      <c r="C33" s="163" t="s">
        <v>746</v>
      </c>
      <c r="D33" s="163" t="s">
        <v>25</v>
      </c>
      <c r="E33" s="163" t="s">
        <v>551</v>
      </c>
      <c r="F33" s="163">
        <v>0</v>
      </c>
      <c r="G33" s="163" t="s">
        <v>480</v>
      </c>
      <c r="H33" s="163" t="s">
        <v>585</v>
      </c>
    </row>
    <row r="34" spans="1:8" ht="14.25">
      <c r="A34" s="163" t="s">
        <v>592</v>
      </c>
      <c r="B34" s="163" t="s">
        <v>593</v>
      </c>
      <c r="C34" s="163" t="s">
        <v>594</v>
      </c>
      <c r="D34" s="163" t="s">
        <v>592</v>
      </c>
      <c r="E34" s="163" t="s">
        <v>551</v>
      </c>
      <c r="F34" s="163">
        <v>0</v>
      </c>
      <c r="G34" s="165" t="s">
        <v>480</v>
      </c>
      <c r="H34" s="163" t="s">
        <v>585</v>
      </c>
    </row>
    <row r="35" spans="1:8" ht="14.25">
      <c r="A35" s="163" t="s">
        <v>778</v>
      </c>
      <c r="B35" s="163" t="s">
        <v>779</v>
      </c>
      <c r="C35" s="163" t="s">
        <v>780</v>
      </c>
      <c r="D35" s="163" t="s">
        <v>781</v>
      </c>
      <c r="E35" s="163" t="s">
        <v>551</v>
      </c>
      <c r="F35" s="163">
        <v>-2</v>
      </c>
      <c r="G35" s="165" t="s">
        <v>480</v>
      </c>
      <c r="H35" s="163"/>
    </row>
    <row r="36" spans="1:8" ht="14.25">
      <c r="A36" s="163" t="s">
        <v>782</v>
      </c>
      <c r="B36" s="163" t="s">
        <v>783</v>
      </c>
      <c r="C36" s="163" t="s">
        <v>784</v>
      </c>
      <c r="D36" s="163" t="s">
        <v>785</v>
      </c>
      <c r="E36" s="163" t="s">
        <v>551</v>
      </c>
      <c r="F36" s="168">
        <v>-2</v>
      </c>
      <c r="G36" s="165"/>
      <c r="H36" s="163" t="s">
        <v>786</v>
      </c>
    </row>
    <row r="37" spans="1:8" ht="14.25">
      <c r="A37" s="163" t="s">
        <v>83</v>
      </c>
      <c r="B37" s="163" t="s">
        <v>787</v>
      </c>
      <c r="C37" s="163" t="s">
        <v>784</v>
      </c>
      <c r="D37" s="163" t="s">
        <v>788</v>
      </c>
      <c r="E37" s="163" t="s">
        <v>551</v>
      </c>
      <c r="F37" s="163">
        <v>-2</v>
      </c>
      <c r="G37" s="163" t="s">
        <v>475</v>
      </c>
      <c r="H37" s="163"/>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2"/>
  <sheetViews>
    <sheetView zoomScale="90" zoomScaleNormal="90" workbookViewId="0">
      <selection activeCell="J15" sqref="J15"/>
    </sheetView>
  </sheetViews>
  <sheetFormatPr defaultRowHeight="12.75"/>
  <cols>
    <col min="1" max="1025" width="8.7109375" customWidth="1"/>
  </cols>
  <sheetData>
    <row r="1" spans="1:8" ht="15">
      <c r="A1" s="162" t="s">
        <v>388</v>
      </c>
      <c r="B1" s="162" t="s">
        <v>389</v>
      </c>
      <c r="C1" s="162" t="s">
        <v>390</v>
      </c>
      <c r="D1" s="162" t="s">
        <v>391</v>
      </c>
      <c r="E1" s="162" t="s">
        <v>392</v>
      </c>
      <c r="F1" s="162" t="s">
        <v>393</v>
      </c>
      <c r="G1" s="162" t="s">
        <v>394</v>
      </c>
      <c r="H1" s="162" t="s">
        <v>395</v>
      </c>
    </row>
    <row r="2" spans="1:8" ht="14.25">
      <c r="A2" s="163" t="s">
        <v>789</v>
      </c>
      <c r="B2" s="163" t="s">
        <v>790</v>
      </c>
      <c r="C2" s="163" t="s">
        <v>627</v>
      </c>
      <c r="D2" s="163">
        <v>-1000</v>
      </c>
      <c r="E2" s="163">
        <v>1000</v>
      </c>
      <c r="F2" s="163" t="s">
        <v>791</v>
      </c>
      <c r="G2" s="163" t="s">
        <v>351</v>
      </c>
      <c r="H2" s="163"/>
    </row>
    <row r="3" spans="1:8" ht="14.25">
      <c r="A3" s="163" t="s">
        <v>792</v>
      </c>
      <c r="B3" s="163" t="s">
        <v>793</v>
      </c>
      <c r="C3" s="163" t="s">
        <v>627</v>
      </c>
      <c r="D3" s="163">
        <v>-1000</v>
      </c>
      <c r="E3" s="163">
        <v>1000</v>
      </c>
      <c r="F3" s="163" t="s">
        <v>794</v>
      </c>
      <c r="G3" s="163" t="s">
        <v>351</v>
      </c>
      <c r="H3" s="163"/>
    </row>
    <row r="4" spans="1:8" ht="14.25">
      <c r="A4" s="163" t="s">
        <v>795</v>
      </c>
      <c r="B4" s="163" t="s">
        <v>796</v>
      </c>
      <c r="C4" s="163" t="s">
        <v>627</v>
      </c>
      <c r="D4" s="163">
        <v>-1000</v>
      </c>
      <c r="E4" s="163">
        <v>1000</v>
      </c>
      <c r="F4" s="163" t="s">
        <v>797</v>
      </c>
      <c r="G4" s="163" t="s">
        <v>351</v>
      </c>
      <c r="H4" s="163"/>
    </row>
    <row r="5" spans="1:8" ht="14.25">
      <c r="A5" s="163" t="s">
        <v>798</v>
      </c>
      <c r="B5" s="163" t="s">
        <v>799</v>
      </c>
      <c r="C5" s="163" t="s">
        <v>800</v>
      </c>
      <c r="D5" s="163">
        <v>-1000</v>
      </c>
      <c r="E5" s="163">
        <v>1000</v>
      </c>
      <c r="F5" s="163" t="s">
        <v>801</v>
      </c>
      <c r="G5" s="163"/>
      <c r="H5" s="163"/>
    </row>
    <row r="6" spans="1:8" ht="14.25">
      <c r="A6" s="185" t="s">
        <v>802</v>
      </c>
      <c r="B6" s="185" t="s">
        <v>803</v>
      </c>
      <c r="C6" s="185" t="s">
        <v>627</v>
      </c>
      <c r="D6" s="185">
        <v>-1000</v>
      </c>
      <c r="E6" s="185">
        <v>1000</v>
      </c>
      <c r="F6" s="185" t="s">
        <v>804</v>
      </c>
      <c r="G6" s="185" t="s">
        <v>351</v>
      </c>
      <c r="H6" s="185"/>
    </row>
    <row r="7" spans="1:8" ht="14.25">
      <c r="A7" s="163" t="s">
        <v>805</v>
      </c>
      <c r="B7" s="163" t="s">
        <v>806</v>
      </c>
      <c r="C7" s="163" t="s">
        <v>627</v>
      </c>
      <c r="D7" s="163">
        <v>-1000</v>
      </c>
      <c r="E7" s="163">
        <v>1000</v>
      </c>
      <c r="F7" s="163" t="s">
        <v>807</v>
      </c>
      <c r="G7" s="163" t="s">
        <v>480</v>
      </c>
      <c r="H7" s="163" t="s">
        <v>808</v>
      </c>
    </row>
    <row r="11" spans="1:8" ht="15">
      <c r="A11" s="162" t="s">
        <v>539</v>
      </c>
      <c r="B11" s="162" t="s">
        <v>540</v>
      </c>
      <c r="C11" s="162" t="s">
        <v>541</v>
      </c>
      <c r="D11" s="162" t="s">
        <v>542</v>
      </c>
      <c r="E11" s="162" t="s">
        <v>543</v>
      </c>
      <c r="F11" s="162" t="s">
        <v>544</v>
      </c>
      <c r="G11" s="162" t="s">
        <v>545</v>
      </c>
      <c r="H11" s="162" t="s">
        <v>546</v>
      </c>
    </row>
    <row r="12" spans="1:8" ht="14.25">
      <c r="A12" s="163" t="s">
        <v>547</v>
      </c>
      <c r="B12" s="163" t="s">
        <v>548</v>
      </c>
      <c r="C12" s="163" t="s">
        <v>549</v>
      </c>
      <c r="D12" s="163" t="s">
        <v>550</v>
      </c>
      <c r="E12" s="163" t="s">
        <v>551</v>
      </c>
      <c r="F12" s="163">
        <v>-1</v>
      </c>
      <c r="G12" s="163" t="s">
        <v>480</v>
      </c>
      <c r="H12" s="163"/>
    </row>
    <row r="13" spans="1:8" ht="14.25">
      <c r="A13" s="163" t="s">
        <v>366</v>
      </c>
      <c r="B13" s="163" t="s">
        <v>552</v>
      </c>
      <c r="C13" s="163" t="s">
        <v>553</v>
      </c>
      <c r="D13" s="163" t="s">
        <v>554</v>
      </c>
      <c r="E13" s="163" t="s">
        <v>551</v>
      </c>
      <c r="F13" s="163">
        <v>-2</v>
      </c>
      <c r="G13" s="163" t="s">
        <v>480</v>
      </c>
      <c r="H13" s="163"/>
    </row>
    <row r="14" spans="1:8" ht="14.25">
      <c r="A14" s="163" t="s">
        <v>94</v>
      </c>
      <c r="B14" s="163" t="s">
        <v>654</v>
      </c>
      <c r="C14" s="163" t="s">
        <v>94</v>
      </c>
      <c r="D14" s="163" t="s">
        <v>655</v>
      </c>
      <c r="E14" s="163" t="s">
        <v>551</v>
      </c>
      <c r="F14" s="163">
        <v>0</v>
      </c>
      <c r="G14" s="163" t="s">
        <v>480</v>
      </c>
      <c r="H14" s="163"/>
    </row>
    <row r="15" spans="1:8" ht="14.25">
      <c r="A15" s="163" t="s">
        <v>566</v>
      </c>
      <c r="B15" s="163" t="s">
        <v>567</v>
      </c>
      <c r="C15" s="163" t="s">
        <v>4</v>
      </c>
      <c r="D15" s="163" t="s">
        <v>658</v>
      </c>
      <c r="E15" s="163" t="s">
        <v>551</v>
      </c>
      <c r="F15" s="163">
        <v>1</v>
      </c>
      <c r="G15" s="163" t="s">
        <v>480</v>
      </c>
      <c r="H15" s="163"/>
    </row>
    <row r="16" spans="1:8" ht="14.25">
      <c r="A16" s="163" t="s">
        <v>721</v>
      </c>
      <c r="B16" s="163" t="s">
        <v>659</v>
      </c>
      <c r="C16" s="163" t="s">
        <v>660</v>
      </c>
      <c r="D16" s="163" t="s">
        <v>661</v>
      </c>
      <c r="E16" s="163" t="s">
        <v>551</v>
      </c>
      <c r="F16" s="163">
        <v>-2</v>
      </c>
      <c r="G16" s="163" t="s">
        <v>480</v>
      </c>
      <c r="H16" s="163"/>
    </row>
    <row r="17" spans="1:8" ht="14.25">
      <c r="A17" s="185" t="s">
        <v>809</v>
      </c>
      <c r="B17" s="185" t="s">
        <v>810</v>
      </c>
      <c r="C17" s="185" t="s">
        <v>38</v>
      </c>
      <c r="D17" s="185" t="s">
        <v>37</v>
      </c>
      <c r="E17" s="185" t="s">
        <v>582</v>
      </c>
      <c r="F17" s="185">
        <v>0</v>
      </c>
      <c r="G17" s="185" t="s">
        <v>351</v>
      </c>
      <c r="H17" s="185"/>
    </row>
    <row r="18" spans="1:8" ht="14.25">
      <c r="A18" s="163" t="s">
        <v>811</v>
      </c>
      <c r="B18" s="163" t="s">
        <v>812</v>
      </c>
      <c r="C18" s="163" t="s">
        <v>38</v>
      </c>
      <c r="D18" s="163" t="s">
        <v>37</v>
      </c>
      <c r="E18" s="163" t="s">
        <v>551</v>
      </c>
      <c r="F18" s="163">
        <v>0</v>
      </c>
      <c r="G18" s="163" t="s">
        <v>351</v>
      </c>
      <c r="H18" s="165"/>
    </row>
    <row r="19" spans="1:8" ht="14.25">
      <c r="A19" s="163" t="s">
        <v>813</v>
      </c>
      <c r="B19" s="163" t="s">
        <v>595</v>
      </c>
      <c r="C19" s="163" t="s">
        <v>34</v>
      </c>
      <c r="D19" s="163" t="s">
        <v>40</v>
      </c>
      <c r="E19" s="163" t="s">
        <v>551</v>
      </c>
      <c r="F19" s="163">
        <v>0</v>
      </c>
      <c r="G19" s="163" t="s">
        <v>480</v>
      </c>
      <c r="H19" s="165"/>
    </row>
    <row r="20" spans="1:8" ht="14.25">
      <c r="A20" s="185" t="s">
        <v>814</v>
      </c>
      <c r="B20" s="185" t="s">
        <v>815</v>
      </c>
      <c r="C20" s="185" t="s">
        <v>816</v>
      </c>
      <c r="D20" s="185" t="s">
        <v>817</v>
      </c>
      <c r="E20" s="185" t="s">
        <v>551</v>
      </c>
      <c r="F20" s="185">
        <v>-2</v>
      </c>
      <c r="G20" s="185" t="s">
        <v>480</v>
      </c>
      <c r="H20" s="185"/>
    </row>
    <row r="21" spans="1:8" ht="14.25">
      <c r="A21" s="174" t="s">
        <v>575</v>
      </c>
      <c r="B21" s="174" t="s">
        <v>576</v>
      </c>
      <c r="C21" s="174" t="s">
        <v>577</v>
      </c>
      <c r="D21" s="175" t="s">
        <v>578</v>
      </c>
      <c r="E21" s="175" t="s">
        <v>551</v>
      </c>
      <c r="F21" s="174">
        <v>-4</v>
      </c>
      <c r="G21" s="163" t="s">
        <v>480</v>
      </c>
      <c r="H21" s="174"/>
    </row>
    <row r="22" spans="1:8" ht="14.25">
      <c r="A22" s="174" t="s">
        <v>762</v>
      </c>
      <c r="B22" s="174" t="s">
        <v>706</v>
      </c>
      <c r="C22" s="174" t="s">
        <v>707</v>
      </c>
      <c r="D22" s="174" t="s">
        <v>84</v>
      </c>
      <c r="E22" s="174" t="s">
        <v>551</v>
      </c>
      <c r="F22" s="174">
        <v>-4</v>
      </c>
      <c r="G22" s="163" t="s">
        <v>480</v>
      </c>
      <c r="H22" s="174"/>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37"/>
  <sheetViews>
    <sheetView zoomScale="90" zoomScaleNormal="90" workbookViewId="0">
      <selection activeCell="J25" sqref="J25"/>
    </sheetView>
  </sheetViews>
  <sheetFormatPr defaultRowHeight="12.75"/>
  <cols>
    <col min="1" max="1025" width="8.7109375" customWidth="1"/>
  </cols>
  <sheetData>
    <row r="1" spans="1:8" ht="15">
      <c r="A1" s="162" t="s">
        <v>388</v>
      </c>
      <c r="B1" s="162" t="s">
        <v>389</v>
      </c>
      <c r="C1" s="162" t="s">
        <v>390</v>
      </c>
      <c r="D1" s="162" t="s">
        <v>391</v>
      </c>
      <c r="E1" s="162" t="s">
        <v>392</v>
      </c>
      <c r="F1" s="162" t="s">
        <v>393</v>
      </c>
      <c r="G1" s="162" t="s">
        <v>394</v>
      </c>
      <c r="H1" s="162" t="s">
        <v>395</v>
      </c>
    </row>
    <row r="2" spans="1:8" ht="14.25">
      <c r="A2" s="163" t="s">
        <v>789</v>
      </c>
      <c r="B2" s="163" t="s">
        <v>790</v>
      </c>
      <c r="C2" s="163" t="s">
        <v>474</v>
      </c>
      <c r="D2" s="163">
        <v>-1000</v>
      </c>
      <c r="E2" s="163">
        <v>1000</v>
      </c>
      <c r="F2" s="163" t="s">
        <v>791</v>
      </c>
      <c r="G2" s="163" t="s">
        <v>351</v>
      </c>
      <c r="H2" s="163"/>
    </row>
    <row r="3" spans="1:8" ht="14.25">
      <c r="A3" s="163" t="s">
        <v>792</v>
      </c>
      <c r="B3" s="163" t="s">
        <v>793</v>
      </c>
      <c r="C3" s="163" t="s">
        <v>800</v>
      </c>
      <c r="D3" s="163">
        <v>-1000</v>
      </c>
      <c r="E3" s="163">
        <v>1000</v>
      </c>
      <c r="F3" s="163" t="s">
        <v>794</v>
      </c>
      <c r="G3" s="163" t="s">
        <v>351</v>
      </c>
      <c r="H3" s="163"/>
    </row>
    <row r="4" spans="1:8" ht="14.25">
      <c r="A4" s="163" t="s">
        <v>795</v>
      </c>
      <c r="B4" s="163" t="s">
        <v>796</v>
      </c>
      <c r="C4" s="163" t="s">
        <v>627</v>
      </c>
      <c r="D4" s="163">
        <v>-1000</v>
      </c>
      <c r="E4" s="163">
        <v>1000</v>
      </c>
      <c r="F4" s="163" t="s">
        <v>797</v>
      </c>
      <c r="G4" s="163" t="s">
        <v>351</v>
      </c>
      <c r="H4" s="163"/>
    </row>
    <row r="5" spans="1:8" ht="14.25">
      <c r="A5" s="163" t="s">
        <v>798</v>
      </c>
      <c r="B5" s="163" t="s">
        <v>799</v>
      </c>
      <c r="C5" s="163" t="s">
        <v>800</v>
      </c>
      <c r="D5" s="163">
        <v>-1000</v>
      </c>
      <c r="E5" s="163">
        <v>1000</v>
      </c>
      <c r="F5" s="163" t="s">
        <v>801</v>
      </c>
      <c r="G5" s="163"/>
      <c r="H5" s="163"/>
    </row>
    <row r="6" spans="1:8" ht="14.25">
      <c r="A6" s="185" t="s">
        <v>818</v>
      </c>
      <c r="B6" s="185" t="s">
        <v>819</v>
      </c>
      <c r="C6" s="185" t="s">
        <v>627</v>
      </c>
      <c r="D6" s="185">
        <v>-1000</v>
      </c>
      <c r="E6" s="185">
        <v>1000</v>
      </c>
      <c r="F6" s="185" t="s">
        <v>820</v>
      </c>
      <c r="G6" s="184" t="s">
        <v>480</v>
      </c>
      <c r="H6" s="185" t="s">
        <v>808</v>
      </c>
    </row>
    <row r="7" spans="1:8" ht="14.25">
      <c r="A7" s="163" t="s">
        <v>821</v>
      </c>
      <c r="B7" s="163" t="s">
        <v>822</v>
      </c>
      <c r="C7" s="163" t="s">
        <v>627</v>
      </c>
      <c r="D7" s="163">
        <v>0</v>
      </c>
      <c r="E7" s="163">
        <v>1000</v>
      </c>
      <c r="F7" s="163" t="s">
        <v>823</v>
      </c>
      <c r="G7" s="165" t="s">
        <v>480</v>
      </c>
      <c r="H7" s="163"/>
    </row>
    <row r="8" spans="1:8" ht="14.25">
      <c r="A8" s="163" t="s">
        <v>824</v>
      </c>
      <c r="B8" s="163" t="s">
        <v>822</v>
      </c>
      <c r="C8" s="163" t="s">
        <v>627</v>
      </c>
      <c r="D8" s="163">
        <v>0</v>
      </c>
      <c r="E8" s="163">
        <v>1000</v>
      </c>
      <c r="F8" s="163" t="s">
        <v>825</v>
      </c>
      <c r="G8" s="165" t="s">
        <v>480</v>
      </c>
      <c r="H8" s="163"/>
    </row>
    <row r="9" spans="1:8" ht="14.25">
      <c r="A9" s="163" t="s">
        <v>826</v>
      </c>
      <c r="B9" s="163" t="s">
        <v>822</v>
      </c>
      <c r="C9" s="163" t="s">
        <v>627</v>
      </c>
      <c r="D9" s="163">
        <v>0</v>
      </c>
      <c r="E9" s="163">
        <v>1000</v>
      </c>
      <c r="F9" s="163" t="s">
        <v>827</v>
      </c>
      <c r="G9" s="165" t="s">
        <v>480</v>
      </c>
      <c r="H9" s="163"/>
    </row>
    <row r="10" spans="1:8" ht="14.25">
      <c r="A10" s="163" t="s">
        <v>828</v>
      </c>
      <c r="B10" s="163" t="s">
        <v>829</v>
      </c>
      <c r="C10" s="163" t="s">
        <v>627</v>
      </c>
      <c r="D10" s="163">
        <v>0</v>
      </c>
      <c r="E10" s="163">
        <v>1000</v>
      </c>
      <c r="F10" s="163" t="s">
        <v>830</v>
      </c>
      <c r="G10" s="165" t="s">
        <v>480</v>
      </c>
      <c r="H10" s="163"/>
    </row>
    <row r="11" spans="1:8" ht="14.25">
      <c r="A11" s="163" t="s">
        <v>831</v>
      </c>
      <c r="B11" s="163" t="s">
        <v>832</v>
      </c>
      <c r="C11" s="163" t="s">
        <v>627</v>
      </c>
      <c r="D11" s="163">
        <v>-1000</v>
      </c>
      <c r="E11" s="163">
        <v>1000</v>
      </c>
      <c r="F11" s="163" t="s">
        <v>833</v>
      </c>
      <c r="G11" s="165" t="s">
        <v>480</v>
      </c>
      <c r="H11" s="163"/>
    </row>
    <row r="12" spans="1:8" ht="14.25">
      <c r="A12" s="163" t="s">
        <v>625</v>
      </c>
      <c r="B12" s="163" t="s">
        <v>626</v>
      </c>
      <c r="C12" s="163" t="s">
        <v>627</v>
      </c>
      <c r="D12" s="163">
        <v>0</v>
      </c>
      <c r="E12" s="163">
        <v>1000</v>
      </c>
      <c r="F12" s="163" t="s">
        <v>628</v>
      </c>
      <c r="G12" s="165" t="s">
        <v>480</v>
      </c>
      <c r="H12" s="163"/>
    </row>
    <row r="15" spans="1:8" ht="15">
      <c r="A15" s="162" t="s">
        <v>539</v>
      </c>
      <c r="B15" s="162" t="s">
        <v>540</v>
      </c>
      <c r="C15" s="162" t="s">
        <v>541</v>
      </c>
      <c r="D15" s="162" t="s">
        <v>542</v>
      </c>
      <c r="E15" s="162" t="s">
        <v>543</v>
      </c>
      <c r="F15" s="162" t="s">
        <v>544</v>
      </c>
      <c r="G15" s="162" t="s">
        <v>545</v>
      </c>
      <c r="H15" s="162" t="s">
        <v>546</v>
      </c>
    </row>
    <row r="16" spans="1:8" ht="14.25">
      <c r="A16" s="163" t="s">
        <v>547</v>
      </c>
      <c r="B16" s="163" t="s">
        <v>548</v>
      </c>
      <c r="C16" s="163" t="s">
        <v>549</v>
      </c>
      <c r="D16" s="163" t="s">
        <v>550</v>
      </c>
      <c r="E16" s="163" t="s">
        <v>551</v>
      </c>
      <c r="F16" s="163">
        <v>-1</v>
      </c>
      <c r="G16" s="163" t="s">
        <v>480</v>
      </c>
      <c r="H16" s="163"/>
    </row>
    <row r="17" spans="1:8" ht="14.25">
      <c r="A17" s="163" t="s">
        <v>366</v>
      </c>
      <c r="B17" s="163" t="s">
        <v>552</v>
      </c>
      <c r="C17" s="163" t="s">
        <v>553</v>
      </c>
      <c r="D17" s="163" t="s">
        <v>554</v>
      </c>
      <c r="E17" s="163" t="s">
        <v>551</v>
      </c>
      <c r="F17" s="163">
        <v>-2</v>
      </c>
      <c r="G17" s="163" t="s">
        <v>480</v>
      </c>
      <c r="H17" s="163"/>
    </row>
    <row r="18" spans="1:8" ht="14.25">
      <c r="A18" s="163" t="s">
        <v>369</v>
      </c>
      <c r="B18" s="163" t="s">
        <v>555</v>
      </c>
      <c r="C18" s="163" t="s">
        <v>556</v>
      </c>
      <c r="D18" s="163" t="s">
        <v>557</v>
      </c>
      <c r="E18" s="163" t="s">
        <v>551</v>
      </c>
      <c r="F18" s="163">
        <v>-4</v>
      </c>
      <c r="G18" s="163" t="s">
        <v>480</v>
      </c>
      <c r="H18" s="163"/>
    </row>
    <row r="19" spans="1:8" ht="14.25">
      <c r="A19" s="163" t="s">
        <v>558</v>
      </c>
      <c r="B19" s="163" t="s">
        <v>559</v>
      </c>
      <c r="C19" s="163" t="s">
        <v>560</v>
      </c>
      <c r="D19" s="163" t="s">
        <v>561</v>
      </c>
      <c r="E19" s="163" t="s">
        <v>551</v>
      </c>
      <c r="F19" s="163">
        <v>-3</v>
      </c>
      <c r="G19" s="163" t="s">
        <v>480</v>
      </c>
      <c r="H19" s="163"/>
    </row>
    <row r="20" spans="1:8" ht="14.25">
      <c r="A20" s="163" t="s">
        <v>834</v>
      </c>
      <c r="B20" s="163" t="s">
        <v>835</v>
      </c>
      <c r="C20" s="163" t="s">
        <v>836</v>
      </c>
      <c r="D20" s="163" t="s">
        <v>837</v>
      </c>
      <c r="E20" s="163" t="s">
        <v>551</v>
      </c>
      <c r="F20" s="163">
        <v>0</v>
      </c>
      <c r="G20" s="163" t="s">
        <v>480</v>
      </c>
      <c r="H20" s="163"/>
    </row>
    <row r="21" spans="1:8" ht="14.25">
      <c r="A21" s="163" t="s">
        <v>838</v>
      </c>
      <c r="B21" s="163" t="s">
        <v>839</v>
      </c>
      <c r="C21" s="163" t="s">
        <v>840</v>
      </c>
      <c r="D21" s="163" t="s">
        <v>841</v>
      </c>
      <c r="E21" s="163" t="s">
        <v>551</v>
      </c>
      <c r="F21" s="163">
        <v>0</v>
      </c>
      <c r="G21" s="163" t="s">
        <v>480</v>
      </c>
      <c r="H21" s="163"/>
    </row>
    <row r="22" spans="1:8" ht="14.25">
      <c r="A22" s="163" t="s">
        <v>842</v>
      </c>
      <c r="B22" s="163" t="s">
        <v>843</v>
      </c>
      <c r="C22" s="163" t="s">
        <v>844</v>
      </c>
      <c r="D22" s="163" t="s">
        <v>845</v>
      </c>
      <c r="E22" s="163" t="s">
        <v>551</v>
      </c>
      <c r="F22" s="163">
        <v>0</v>
      </c>
      <c r="G22" s="163" t="s">
        <v>480</v>
      </c>
      <c r="H22" s="163"/>
    </row>
    <row r="23" spans="1:8" ht="14.25">
      <c r="A23" s="163" t="s">
        <v>846</v>
      </c>
      <c r="B23" s="163" t="s">
        <v>847</v>
      </c>
      <c r="C23" s="163" t="s">
        <v>848</v>
      </c>
      <c r="D23" s="163" t="s">
        <v>849</v>
      </c>
      <c r="E23" s="163" t="s">
        <v>551</v>
      </c>
      <c r="F23" s="163">
        <v>0</v>
      </c>
      <c r="G23" s="163" t="s">
        <v>480</v>
      </c>
      <c r="H23" s="163"/>
    </row>
    <row r="24" spans="1:8" ht="14.25">
      <c r="A24" s="163" t="s">
        <v>850</v>
      </c>
      <c r="B24" s="163" t="s">
        <v>851</v>
      </c>
      <c r="C24" s="163" t="s">
        <v>852</v>
      </c>
      <c r="D24" s="163" t="s">
        <v>853</v>
      </c>
      <c r="E24" s="163" t="s">
        <v>551</v>
      </c>
      <c r="F24" s="163">
        <v>0</v>
      </c>
      <c r="G24" s="163" t="s">
        <v>480</v>
      </c>
      <c r="H24" s="163"/>
    </row>
    <row r="25" spans="1:8" ht="14.25">
      <c r="A25" s="163" t="s">
        <v>854</v>
      </c>
      <c r="B25" s="163" t="s">
        <v>855</v>
      </c>
      <c r="C25" s="163" t="s">
        <v>856</v>
      </c>
      <c r="D25" s="163" t="s">
        <v>857</v>
      </c>
      <c r="E25" s="163" t="s">
        <v>551</v>
      </c>
      <c r="F25" s="163">
        <v>0</v>
      </c>
      <c r="G25" s="163" t="s">
        <v>480</v>
      </c>
      <c r="H25" s="163"/>
    </row>
    <row r="26" spans="1:8" ht="14.25">
      <c r="A26" s="163" t="s">
        <v>94</v>
      </c>
      <c r="B26" s="163" t="s">
        <v>654</v>
      </c>
      <c r="C26" s="163" t="s">
        <v>94</v>
      </c>
      <c r="D26" s="163" t="s">
        <v>655</v>
      </c>
      <c r="E26" s="163" t="s">
        <v>551</v>
      </c>
      <c r="F26" s="163">
        <v>0</v>
      </c>
      <c r="G26" s="163" t="s">
        <v>480</v>
      </c>
      <c r="H26" s="163"/>
    </row>
    <row r="27" spans="1:8" ht="14.25">
      <c r="A27" s="163" t="s">
        <v>62</v>
      </c>
      <c r="B27" s="163" t="s">
        <v>656</v>
      </c>
      <c r="C27" s="163" t="s">
        <v>62</v>
      </c>
      <c r="D27" s="163" t="s">
        <v>657</v>
      </c>
      <c r="E27" s="163" t="s">
        <v>551</v>
      </c>
      <c r="F27" s="163">
        <v>0</v>
      </c>
      <c r="G27" s="163" t="s">
        <v>480</v>
      </c>
      <c r="H27" s="163"/>
    </row>
    <row r="28" spans="1:8" ht="14.25">
      <c r="A28" s="163" t="s">
        <v>566</v>
      </c>
      <c r="B28" s="163" t="s">
        <v>567</v>
      </c>
      <c r="C28" s="163" t="s">
        <v>4</v>
      </c>
      <c r="D28" s="163" t="s">
        <v>658</v>
      </c>
      <c r="E28" s="163" t="s">
        <v>551</v>
      </c>
      <c r="F28" s="163">
        <v>1</v>
      </c>
      <c r="G28" s="163" t="s">
        <v>480</v>
      </c>
      <c r="H28" s="163"/>
    </row>
    <row r="29" spans="1:8" ht="14.25">
      <c r="A29" s="163" t="s">
        <v>721</v>
      </c>
      <c r="B29" s="163" t="s">
        <v>659</v>
      </c>
      <c r="C29" s="163" t="s">
        <v>660</v>
      </c>
      <c r="D29" s="163" t="s">
        <v>661</v>
      </c>
      <c r="E29" s="163" t="s">
        <v>551</v>
      </c>
      <c r="F29" s="163">
        <v>-2</v>
      </c>
      <c r="G29" s="163" t="s">
        <v>480</v>
      </c>
      <c r="H29" s="163"/>
    </row>
    <row r="30" spans="1:8" ht="14.25">
      <c r="A30" s="185" t="s">
        <v>809</v>
      </c>
      <c r="B30" s="185" t="s">
        <v>810</v>
      </c>
      <c r="C30" s="185" t="s">
        <v>38</v>
      </c>
      <c r="D30" s="185" t="s">
        <v>37</v>
      </c>
      <c r="E30" s="185" t="s">
        <v>582</v>
      </c>
      <c r="F30" s="185">
        <v>0</v>
      </c>
      <c r="G30" s="185" t="s">
        <v>351</v>
      </c>
      <c r="H30" s="185"/>
    </row>
    <row r="31" spans="1:8" ht="14.25">
      <c r="A31" s="163" t="s">
        <v>811</v>
      </c>
      <c r="B31" s="163" t="s">
        <v>812</v>
      </c>
      <c r="C31" s="163" t="s">
        <v>38</v>
      </c>
      <c r="D31" s="163" t="s">
        <v>37</v>
      </c>
      <c r="E31" s="163" t="s">
        <v>551</v>
      </c>
      <c r="F31" s="163">
        <v>0</v>
      </c>
      <c r="G31" s="163" t="s">
        <v>351</v>
      </c>
      <c r="H31" s="163"/>
    </row>
    <row r="32" spans="1:8" ht="14.25">
      <c r="A32" s="163" t="s">
        <v>813</v>
      </c>
      <c r="B32" s="163" t="s">
        <v>595</v>
      </c>
      <c r="C32" s="163" t="s">
        <v>34</v>
      </c>
      <c r="D32" s="163" t="s">
        <v>40</v>
      </c>
      <c r="E32" s="163" t="s">
        <v>551</v>
      </c>
      <c r="F32" s="163">
        <v>0</v>
      </c>
      <c r="G32" s="163" t="s">
        <v>480</v>
      </c>
      <c r="H32" s="163"/>
    </row>
    <row r="33" spans="1:8" ht="14.25">
      <c r="A33" s="185" t="s">
        <v>88</v>
      </c>
      <c r="B33" s="185" t="s">
        <v>858</v>
      </c>
      <c r="C33" s="185" t="s">
        <v>859</v>
      </c>
      <c r="D33" s="185" t="s">
        <v>860</v>
      </c>
      <c r="E33" s="185" t="s">
        <v>551</v>
      </c>
      <c r="F33" s="185">
        <v>-1</v>
      </c>
      <c r="G33" s="185" t="s">
        <v>480</v>
      </c>
      <c r="H33" s="185"/>
    </row>
    <row r="34" spans="1:8" ht="14.25">
      <c r="A34" s="163" t="s">
        <v>679</v>
      </c>
      <c r="B34" s="163" t="s">
        <v>677</v>
      </c>
      <c r="C34" s="163" t="s">
        <v>678</v>
      </c>
      <c r="D34" s="163" t="s">
        <v>679</v>
      </c>
      <c r="E34" s="163" t="s">
        <v>551</v>
      </c>
      <c r="F34" s="163">
        <v>-1</v>
      </c>
      <c r="G34" s="163" t="s">
        <v>480</v>
      </c>
      <c r="H34" s="163"/>
    </row>
    <row r="35" spans="1:8" ht="14.25">
      <c r="A35" s="163" t="s">
        <v>861</v>
      </c>
      <c r="B35" s="163" t="s">
        <v>862</v>
      </c>
      <c r="C35" s="163" t="s">
        <v>687</v>
      </c>
      <c r="D35" s="163" t="s">
        <v>863</v>
      </c>
      <c r="E35" s="163" t="s">
        <v>551</v>
      </c>
      <c r="F35" s="163">
        <v>-1</v>
      </c>
      <c r="G35" s="163" t="s">
        <v>480</v>
      </c>
      <c r="H35" s="163"/>
    </row>
    <row r="36" spans="1:8" ht="14.25">
      <c r="A36" s="163" t="s">
        <v>758</v>
      </c>
      <c r="B36" s="163" t="s">
        <v>690</v>
      </c>
      <c r="C36" s="163" t="s">
        <v>691</v>
      </c>
      <c r="D36" s="163" t="s">
        <v>692</v>
      </c>
      <c r="E36" s="163" t="s">
        <v>551</v>
      </c>
      <c r="F36" s="163">
        <v>-1</v>
      </c>
      <c r="G36" s="163" t="s">
        <v>480</v>
      </c>
      <c r="H36" s="163"/>
    </row>
    <row r="37" spans="1:8" ht="14.25">
      <c r="A37" s="165" t="s">
        <v>759</v>
      </c>
      <c r="B37" s="165" t="s">
        <v>693</v>
      </c>
      <c r="C37" s="165" t="s">
        <v>694</v>
      </c>
      <c r="D37" s="165" t="s">
        <v>695</v>
      </c>
      <c r="E37" s="165" t="s">
        <v>551</v>
      </c>
      <c r="F37" s="163">
        <v>-3</v>
      </c>
      <c r="G37" s="163" t="s">
        <v>480</v>
      </c>
      <c r="H37" s="163"/>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9"/>
  <sheetViews>
    <sheetView zoomScale="90" zoomScaleNormal="90" workbookViewId="0">
      <selection activeCell="L19" sqref="L19"/>
    </sheetView>
  </sheetViews>
  <sheetFormatPr defaultRowHeight="12.75"/>
  <cols>
    <col min="1" max="1025" width="8.7109375" customWidth="1"/>
  </cols>
  <sheetData>
    <row r="1" spans="1:8" ht="15">
      <c r="A1" s="162" t="s">
        <v>388</v>
      </c>
      <c r="B1" s="162" t="s">
        <v>389</v>
      </c>
      <c r="C1" s="162" t="s">
        <v>390</v>
      </c>
      <c r="D1" s="162" t="s">
        <v>391</v>
      </c>
      <c r="E1" s="162" t="s">
        <v>392</v>
      </c>
      <c r="F1" s="162" t="s">
        <v>393</v>
      </c>
      <c r="G1" s="162" t="s">
        <v>394</v>
      </c>
      <c r="H1" s="162" t="s">
        <v>395</v>
      </c>
    </row>
    <row r="2" spans="1:8" ht="14.25">
      <c r="A2" s="185" t="s">
        <v>864</v>
      </c>
      <c r="B2" s="185" t="s">
        <v>865</v>
      </c>
      <c r="C2" s="185" t="s">
        <v>474</v>
      </c>
      <c r="D2" s="185">
        <v>-1000</v>
      </c>
      <c r="E2" s="185">
        <v>1000</v>
      </c>
      <c r="F2" s="185" t="s">
        <v>866</v>
      </c>
      <c r="G2" s="185"/>
      <c r="H2" s="185" t="s">
        <v>867</v>
      </c>
    </row>
    <row r="3" spans="1:8" ht="14.25">
      <c r="A3" s="163" t="s">
        <v>798</v>
      </c>
      <c r="B3" s="163" t="s">
        <v>799</v>
      </c>
      <c r="C3" s="163" t="s">
        <v>800</v>
      </c>
      <c r="D3" s="163">
        <v>-1000</v>
      </c>
      <c r="E3" s="163">
        <v>1000</v>
      </c>
      <c r="F3" s="163" t="s">
        <v>801</v>
      </c>
      <c r="G3" s="163"/>
      <c r="H3" s="163"/>
    </row>
    <row r="4" spans="1:8" ht="14.25">
      <c r="A4" s="185" t="s">
        <v>802</v>
      </c>
      <c r="B4" s="185" t="s">
        <v>803</v>
      </c>
      <c r="C4" s="185" t="s">
        <v>627</v>
      </c>
      <c r="D4" s="185">
        <v>-1000</v>
      </c>
      <c r="E4" s="185">
        <v>1000</v>
      </c>
      <c r="F4" s="185" t="s">
        <v>804</v>
      </c>
      <c r="G4" s="185" t="s">
        <v>351</v>
      </c>
      <c r="H4" s="185"/>
    </row>
    <row r="5" spans="1:8" ht="14.25">
      <c r="A5" s="163" t="s">
        <v>805</v>
      </c>
      <c r="B5" s="163" t="s">
        <v>806</v>
      </c>
      <c r="C5" s="163" t="s">
        <v>627</v>
      </c>
      <c r="D5" s="163">
        <v>-1000</v>
      </c>
      <c r="E5" s="163">
        <v>1000</v>
      </c>
      <c r="F5" s="163" t="s">
        <v>807</v>
      </c>
      <c r="G5" s="163" t="s">
        <v>480</v>
      </c>
      <c r="H5" s="163" t="s">
        <v>808</v>
      </c>
    </row>
    <row r="9" spans="1:8" ht="15">
      <c r="A9" s="162" t="s">
        <v>539</v>
      </c>
      <c r="B9" s="162" t="s">
        <v>540</v>
      </c>
      <c r="C9" s="162" t="s">
        <v>541</v>
      </c>
      <c r="D9" s="162" t="s">
        <v>542</v>
      </c>
      <c r="E9" s="162" t="s">
        <v>543</v>
      </c>
      <c r="F9" s="162" t="s">
        <v>544</v>
      </c>
      <c r="G9" s="162" t="s">
        <v>545</v>
      </c>
      <c r="H9" s="162" t="s">
        <v>546</v>
      </c>
    </row>
    <row r="10" spans="1:8" ht="14.25">
      <c r="A10" s="163" t="s">
        <v>547</v>
      </c>
      <c r="B10" s="163" t="s">
        <v>548</v>
      </c>
      <c r="C10" s="163" t="s">
        <v>549</v>
      </c>
      <c r="D10" s="163" t="s">
        <v>550</v>
      </c>
      <c r="E10" s="163" t="s">
        <v>551</v>
      </c>
      <c r="F10" s="163">
        <v>-1</v>
      </c>
      <c r="G10" s="163" t="s">
        <v>480</v>
      </c>
      <c r="H10" s="163"/>
    </row>
    <row r="11" spans="1:8" ht="14.25">
      <c r="A11" s="163" t="s">
        <v>366</v>
      </c>
      <c r="B11" s="163" t="s">
        <v>552</v>
      </c>
      <c r="C11" s="163" t="s">
        <v>553</v>
      </c>
      <c r="D11" s="163" t="s">
        <v>554</v>
      </c>
      <c r="E11" s="163" t="s">
        <v>551</v>
      </c>
      <c r="F11" s="163">
        <v>-2</v>
      </c>
      <c r="G11" s="163" t="s">
        <v>480</v>
      </c>
      <c r="H11" s="163"/>
    </row>
    <row r="12" spans="1:8" ht="14.25">
      <c r="A12" s="163" t="s">
        <v>94</v>
      </c>
      <c r="B12" s="163" t="s">
        <v>654</v>
      </c>
      <c r="C12" s="163" t="s">
        <v>94</v>
      </c>
      <c r="D12" s="163" t="s">
        <v>655</v>
      </c>
      <c r="E12" s="163" t="s">
        <v>551</v>
      </c>
      <c r="F12" s="163">
        <v>0</v>
      </c>
      <c r="G12" s="163" t="s">
        <v>480</v>
      </c>
      <c r="H12" s="163"/>
    </row>
    <row r="13" spans="1:8" ht="14.25">
      <c r="A13" s="163" t="s">
        <v>566</v>
      </c>
      <c r="B13" s="163" t="s">
        <v>567</v>
      </c>
      <c r="C13" s="163" t="s">
        <v>4</v>
      </c>
      <c r="D13" s="163" t="s">
        <v>658</v>
      </c>
      <c r="E13" s="163" t="s">
        <v>551</v>
      </c>
      <c r="F13" s="163">
        <v>1</v>
      </c>
      <c r="G13" s="163" t="s">
        <v>480</v>
      </c>
      <c r="H13" s="163"/>
    </row>
    <row r="14" spans="1:8" ht="14.25">
      <c r="A14" s="163" t="s">
        <v>721</v>
      </c>
      <c r="B14" s="163" t="s">
        <v>659</v>
      </c>
      <c r="C14" s="163" t="s">
        <v>660</v>
      </c>
      <c r="D14" s="163" t="s">
        <v>661</v>
      </c>
      <c r="E14" s="163" t="s">
        <v>551</v>
      </c>
      <c r="F14" s="163">
        <v>-2</v>
      </c>
      <c r="G14" s="163" t="s">
        <v>480</v>
      </c>
      <c r="H14" s="163"/>
    </row>
    <row r="15" spans="1:8" ht="14.25">
      <c r="A15" s="185" t="s">
        <v>868</v>
      </c>
      <c r="B15" s="185" t="s">
        <v>869</v>
      </c>
      <c r="C15" s="185" t="s">
        <v>34</v>
      </c>
      <c r="D15" s="185" t="s">
        <v>40</v>
      </c>
      <c r="E15" s="185" t="s">
        <v>582</v>
      </c>
      <c r="F15" s="185">
        <v>0</v>
      </c>
      <c r="G15" s="185"/>
      <c r="H15" s="184"/>
    </row>
    <row r="16" spans="1:8" ht="14.25">
      <c r="A16" s="163" t="s">
        <v>813</v>
      </c>
      <c r="B16" s="163" t="s">
        <v>595</v>
      </c>
      <c r="C16" s="163" t="s">
        <v>34</v>
      </c>
      <c r="D16" s="163" t="s">
        <v>40</v>
      </c>
      <c r="E16" s="163" t="s">
        <v>551</v>
      </c>
      <c r="F16" s="163">
        <v>0</v>
      </c>
      <c r="G16" s="163" t="s">
        <v>480</v>
      </c>
      <c r="H16" s="165"/>
    </row>
    <row r="17" spans="1:8" ht="14.25">
      <c r="A17" s="185" t="s">
        <v>814</v>
      </c>
      <c r="B17" s="185" t="s">
        <v>815</v>
      </c>
      <c r="C17" s="185" t="s">
        <v>816</v>
      </c>
      <c r="D17" s="185" t="s">
        <v>817</v>
      </c>
      <c r="E17" s="185" t="s">
        <v>551</v>
      </c>
      <c r="F17" s="185">
        <v>-2</v>
      </c>
      <c r="G17" s="185" t="s">
        <v>480</v>
      </c>
      <c r="H17" s="185"/>
    </row>
    <row r="18" spans="1:8" ht="14.25">
      <c r="A18" s="174" t="s">
        <v>575</v>
      </c>
      <c r="B18" s="174" t="s">
        <v>576</v>
      </c>
      <c r="C18" s="174" t="s">
        <v>577</v>
      </c>
      <c r="D18" s="175" t="s">
        <v>578</v>
      </c>
      <c r="E18" s="175" t="s">
        <v>551</v>
      </c>
      <c r="F18" s="174">
        <v>-4</v>
      </c>
      <c r="G18" s="163" t="s">
        <v>480</v>
      </c>
      <c r="H18" s="174"/>
    </row>
    <row r="19" spans="1:8" ht="14.25">
      <c r="A19" s="174" t="s">
        <v>762</v>
      </c>
      <c r="B19" s="174" t="s">
        <v>706</v>
      </c>
      <c r="C19" s="174" t="s">
        <v>707</v>
      </c>
      <c r="D19" s="174" t="s">
        <v>84</v>
      </c>
      <c r="E19" s="174" t="s">
        <v>551</v>
      </c>
      <c r="F19" s="174">
        <v>-4</v>
      </c>
      <c r="G19" s="163" t="s">
        <v>480</v>
      </c>
      <c r="H19" s="174"/>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4"/>
  <sheetViews>
    <sheetView zoomScale="90" zoomScaleNormal="90" workbookViewId="0">
      <selection activeCell="J23" sqref="J23"/>
    </sheetView>
  </sheetViews>
  <sheetFormatPr defaultRowHeight="12.75"/>
  <cols>
    <col min="1" max="1025" width="8.7109375" customWidth="1"/>
  </cols>
  <sheetData>
    <row r="1" spans="1:8" ht="15">
      <c r="A1" s="162" t="s">
        <v>388</v>
      </c>
      <c r="B1" s="162" t="s">
        <v>389</v>
      </c>
      <c r="C1" s="162" t="s">
        <v>390</v>
      </c>
      <c r="D1" s="162" t="s">
        <v>391</v>
      </c>
      <c r="E1" s="162" t="s">
        <v>392</v>
      </c>
      <c r="F1" s="162" t="s">
        <v>393</v>
      </c>
      <c r="G1" s="162" t="s">
        <v>394</v>
      </c>
      <c r="H1" s="162" t="s">
        <v>395</v>
      </c>
    </row>
    <row r="2" spans="1:8" ht="14.25">
      <c r="A2" s="185" t="s">
        <v>864</v>
      </c>
      <c r="B2" s="185" t="s">
        <v>865</v>
      </c>
      <c r="C2" s="185" t="s">
        <v>474</v>
      </c>
      <c r="D2" s="185">
        <v>-1000</v>
      </c>
      <c r="E2" s="185">
        <v>1000</v>
      </c>
      <c r="F2" s="185" t="s">
        <v>866</v>
      </c>
      <c r="G2" s="185"/>
      <c r="H2" s="185" t="s">
        <v>867</v>
      </c>
    </row>
    <row r="3" spans="1:8" ht="14.25">
      <c r="A3" s="163" t="s">
        <v>798</v>
      </c>
      <c r="B3" s="163" t="s">
        <v>799</v>
      </c>
      <c r="C3" s="163" t="s">
        <v>800</v>
      </c>
      <c r="D3" s="163">
        <v>-1000</v>
      </c>
      <c r="E3" s="163">
        <v>1000</v>
      </c>
      <c r="F3" s="163" t="s">
        <v>801</v>
      </c>
      <c r="G3" s="163"/>
      <c r="H3" s="163"/>
    </row>
    <row r="4" spans="1:8" ht="14.25">
      <c r="A4" s="185" t="s">
        <v>818</v>
      </c>
      <c r="B4" s="185" t="s">
        <v>819</v>
      </c>
      <c r="C4" s="185" t="s">
        <v>627</v>
      </c>
      <c r="D4" s="185">
        <v>-1000</v>
      </c>
      <c r="E4" s="185">
        <v>1000</v>
      </c>
      <c r="F4" s="185" t="s">
        <v>820</v>
      </c>
      <c r="G4" s="184" t="s">
        <v>480</v>
      </c>
      <c r="H4" s="185" t="s">
        <v>808</v>
      </c>
    </row>
    <row r="5" spans="1:8" ht="14.25">
      <c r="A5" s="163" t="s">
        <v>821</v>
      </c>
      <c r="B5" s="163" t="s">
        <v>822</v>
      </c>
      <c r="C5" s="163" t="s">
        <v>627</v>
      </c>
      <c r="D5" s="163">
        <v>0</v>
      </c>
      <c r="E5" s="163">
        <v>1000</v>
      </c>
      <c r="F5" s="163" t="s">
        <v>823</v>
      </c>
      <c r="G5" s="165" t="s">
        <v>480</v>
      </c>
      <c r="H5" s="163"/>
    </row>
    <row r="6" spans="1:8" ht="14.25">
      <c r="A6" s="163" t="s">
        <v>824</v>
      </c>
      <c r="B6" s="163" t="s">
        <v>822</v>
      </c>
      <c r="C6" s="163" t="s">
        <v>627</v>
      </c>
      <c r="D6" s="163">
        <v>0</v>
      </c>
      <c r="E6" s="163">
        <v>1000</v>
      </c>
      <c r="F6" s="163" t="s">
        <v>825</v>
      </c>
      <c r="G6" s="165" t="s">
        <v>480</v>
      </c>
      <c r="H6" s="163"/>
    </row>
    <row r="7" spans="1:8" ht="14.25">
      <c r="A7" s="163" t="s">
        <v>826</v>
      </c>
      <c r="B7" s="163" t="s">
        <v>822</v>
      </c>
      <c r="C7" s="163" t="s">
        <v>627</v>
      </c>
      <c r="D7" s="163">
        <v>0</v>
      </c>
      <c r="E7" s="163">
        <v>1000</v>
      </c>
      <c r="F7" s="163" t="s">
        <v>827</v>
      </c>
      <c r="G7" s="165" t="s">
        <v>480</v>
      </c>
      <c r="H7" s="163"/>
    </row>
    <row r="8" spans="1:8" ht="14.25">
      <c r="A8" s="163" t="s">
        <v>828</v>
      </c>
      <c r="B8" s="163" t="s">
        <v>829</v>
      </c>
      <c r="C8" s="163" t="s">
        <v>627</v>
      </c>
      <c r="D8" s="163">
        <v>0</v>
      </c>
      <c r="E8" s="163">
        <v>1000</v>
      </c>
      <c r="F8" s="163" t="s">
        <v>830</v>
      </c>
      <c r="G8" s="165" t="s">
        <v>480</v>
      </c>
      <c r="H8" s="163"/>
    </row>
    <row r="9" spans="1:8" ht="14.25">
      <c r="A9" s="163" t="s">
        <v>831</v>
      </c>
      <c r="B9" s="163" t="s">
        <v>832</v>
      </c>
      <c r="C9" s="163" t="s">
        <v>627</v>
      </c>
      <c r="D9" s="163">
        <v>-1000</v>
      </c>
      <c r="E9" s="163">
        <v>1000</v>
      </c>
      <c r="F9" s="163" t="s">
        <v>833</v>
      </c>
      <c r="G9" s="165" t="s">
        <v>480</v>
      </c>
      <c r="H9" s="163"/>
    </row>
    <row r="10" spans="1:8" ht="14.25">
      <c r="A10" s="163" t="s">
        <v>625</v>
      </c>
      <c r="B10" s="163" t="s">
        <v>626</v>
      </c>
      <c r="C10" s="163" t="s">
        <v>627</v>
      </c>
      <c r="D10" s="163">
        <v>0</v>
      </c>
      <c r="E10" s="163">
        <v>1000</v>
      </c>
      <c r="F10" s="163" t="s">
        <v>628</v>
      </c>
      <c r="G10" s="165" t="s">
        <v>480</v>
      </c>
      <c r="H10" s="163"/>
    </row>
    <row r="13" spans="1:8" ht="15">
      <c r="A13" s="162" t="s">
        <v>539</v>
      </c>
      <c r="B13" s="162" t="s">
        <v>540</v>
      </c>
      <c r="C13" s="162" t="s">
        <v>541</v>
      </c>
      <c r="D13" s="162" t="s">
        <v>542</v>
      </c>
      <c r="E13" s="162" t="s">
        <v>543</v>
      </c>
      <c r="F13" s="162" t="s">
        <v>544</v>
      </c>
      <c r="G13" s="162" t="s">
        <v>545</v>
      </c>
      <c r="H13" s="162" t="s">
        <v>546</v>
      </c>
    </row>
    <row r="14" spans="1:8" ht="14.25">
      <c r="A14" s="163" t="s">
        <v>547</v>
      </c>
      <c r="B14" s="163" t="s">
        <v>548</v>
      </c>
      <c r="C14" s="163" t="s">
        <v>549</v>
      </c>
      <c r="D14" s="163" t="s">
        <v>550</v>
      </c>
      <c r="E14" s="163" t="s">
        <v>551</v>
      </c>
      <c r="F14" s="163">
        <v>-1</v>
      </c>
      <c r="G14" s="163" t="s">
        <v>480</v>
      </c>
      <c r="H14" s="163"/>
    </row>
    <row r="15" spans="1:8" ht="14.25">
      <c r="A15" s="163" t="s">
        <v>366</v>
      </c>
      <c r="B15" s="163" t="s">
        <v>552</v>
      </c>
      <c r="C15" s="163" t="s">
        <v>553</v>
      </c>
      <c r="D15" s="163" t="s">
        <v>554</v>
      </c>
      <c r="E15" s="163" t="s">
        <v>551</v>
      </c>
      <c r="F15" s="163">
        <v>-2</v>
      </c>
      <c r="G15" s="163" t="s">
        <v>480</v>
      </c>
      <c r="H15" s="163"/>
    </row>
    <row r="16" spans="1:8" ht="14.25">
      <c r="A16" s="163" t="s">
        <v>369</v>
      </c>
      <c r="B16" s="163" t="s">
        <v>555</v>
      </c>
      <c r="C16" s="163" t="s">
        <v>556</v>
      </c>
      <c r="D16" s="163" t="s">
        <v>557</v>
      </c>
      <c r="E16" s="163" t="s">
        <v>551</v>
      </c>
      <c r="F16" s="163">
        <v>-4</v>
      </c>
      <c r="G16" s="163" t="s">
        <v>480</v>
      </c>
      <c r="H16" s="163"/>
    </row>
    <row r="17" spans="1:8" ht="14.25">
      <c r="A17" s="163" t="s">
        <v>558</v>
      </c>
      <c r="B17" s="163" t="s">
        <v>559</v>
      </c>
      <c r="C17" s="163" t="s">
        <v>560</v>
      </c>
      <c r="D17" s="163" t="s">
        <v>561</v>
      </c>
      <c r="E17" s="163" t="s">
        <v>551</v>
      </c>
      <c r="F17" s="163">
        <v>-3</v>
      </c>
      <c r="G17" s="163" t="s">
        <v>480</v>
      </c>
      <c r="H17" s="163"/>
    </row>
    <row r="18" spans="1:8" ht="14.25">
      <c r="A18" s="163" t="s">
        <v>834</v>
      </c>
      <c r="B18" s="163" t="s">
        <v>835</v>
      </c>
      <c r="C18" s="163" t="s">
        <v>836</v>
      </c>
      <c r="D18" s="163" t="s">
        <v>837</v>
      </c>
      <c r="E18" s="163" t="s">
        <v>551</v>
      </c>
      <c r="F18" s="163">
        <v>0</v>
      </c>
      <c r="G18" s="163" t="s">
        <v>480</v>
      </c>
      <c r="H18" s="163"/>
    </row>
    <row r="19" spans="1:8" ht="14.25">
      <c r="A19" s="163" t="s">
        <v>838</v>
      </c>
      <c r="B19" s="163" t="s">
        <v>839</v>
      </c>
      <c r="C19" s="163" t="s">
        <v>840</v>
      </c>
      <c r="D19" s="163" t="s">
        <v>841</v>
      </c>
      <c r="E19" s="163" t="s">
        <v>551</v>
      </c>
      <c r="F19" s="163">
        <v>0</v>
      </c>
      <c r="G19" s="163" t="s">
        <v>480</v>
      </c>
      <c r="H19" s="163"/>
    </row>
    <row r="20" spans="1:8" ht="14.25">
      <c r="A20" s="163" t="s">
        <v>842</v>
      </c>
      <c r="B20" s="163" t="s">
        <v>843</v>
      </c>
      <c r="C20" s="163" t="s">
        <v>844</v>
      </c>
      <c r="D20" s="163" t="s">
        <v>845</v>
      </c>
      <c r="E20" s="163" t="s">
        <v>551</v>
      </c>
      <c r="F20" s="163">
        <v>0</v>
      </c>
      <c r="G20" s="163" t="s">
        <v>480</v>
      </c>
      <c r="H20" s="163"/>
    </row>
    <row r="21" spans="1:8" ht="14.25">
      <c r="A21" s="163" t="s">
        <v>846</v>
      </c>
      <c r="B21" s="163" t="s">
        <v>847</v>
      </c>
      <c r="C21" s="163" t="s">
        <v>848</v>
      </c>
      <c r="D21" s="163" t="s">
        <v>849</v>
      </c>
      <c r="E21" s="163" t="s">
        <v>551</v>
      </c>
      <c r="F21" s="163">
        <v>0</v>
      </c>
      <c r="G21" s="163" t="s">
        <v>480</v>
      </c>
      <c r="H21" s="163"/>
    </row>
    <row r="22" spans="1:8" ht="14.25">
      <c r="A22" s="163" t="s">
        <v>850</v>
      </c>
      <c r="B22" s="163" t="s">
        <v>851</v>
      </c>
      <c r="C22" s="163" t="s">
        <v>852</v>
      </c>
      <c r="D22" s="163" t="s">
        <v>853</v>
      </c>
      <c r="E22" s="163" t="s">
        <v>551</v>
      </c>
      <c r="F22" s="163">
        <v>0</v>
      </c>
      <c r="G22" s="163" t="s">
        <v>480</v>
      </c>
      <c r="H22" s="163"/>
    </row>
    <row r="23" spans="1:8" ht="14.25">
      <c r="A23" s="163" t="s">
        <v>854</v>
      </c>
      <c r="B23" s="163" t="s">
        <v>855</v>
      </c>
      <c r="C23" s="163" t="s">
        <v>856</v>
      </c>
      <c r="D23" s="163" t="s">
        <v>857</v>
      </c>
      <c r="E23" s="163" t="s">
        <v>551</v>
      </c>
      <c r="F23" s="163">
        <v>0</v>
      </c>
      <c r="G23" s="163" t="s">
        <v>480</v>
      </c>
      <c r="H23" s="163"/>
    </row>
    <row r="24" spans="1:8" ht="14.25">
      <c r="A24" s="163" t="s">
        <v>94</v>
      </c>
      <c r="B24" s="163" t="s">
        <v>654</v>
      </c>
      <c r="C24" s="163" t="s">
        <v>94</v>
      </c>
      <c r="D24" s="163" t="s">
        <v>655</v>
      </c>
      <c r="E24" s="163" t="s">
        <v>551</v>
      </c>
      <c r="F24" s="163">
        <v>0</v>
      </c>
      <c r="G24" s="163" t="s">
        <v>480</v>
      </c>
      <c r="H24" s="163"/>
    </row>
    <row r="25" spans="1:8" ht="14.25">
      <c r="A25" s="163" t="s">
        <v>62</v>
      </c>
      <c r="B25" s="163" t="s">
        <v>656</v>
      </c>
      <c r="C25" s="163" t="s">
        <v>62</v>
      </c>
      <c r="D25" s="163" t="s">
        <v>657</v>
      </c>
      <c r="E25" s="163" t="s">
        <v>551</v>
      </c>
      <c r="F25" s="163">
        <v>0</v>
      </c>
      <c r="G25" s="163" t="s">
        <v>480</v>
      </c>
      <c r="H25" s="163"/>
    </row>
    <row r="26" spans="1:8" ht="14.25">
      <c r="A26" s="163" t="s">
        <v>566</v>
      </c>
      <c r="B26" s="163" t="s">
        <v>567</v>
      </c>
      <c r="C26" s="163" t="s">
        <v>4</v>
      </c>
      <c r="D26" s="163" t="s">
        <v>658</v>
      </c>
      <c r="E26" s="163" t="s">
        <v>551</v>
      </c>
      <c r="F26" s="163">
        <v>1</v>
      </c>
      <c r="G26" s="163" t="s">
        <v>480</v>
      </c>
      <c r="H26" s="163"/>
    </row>
    <row r="27" spans="1:8" ht="14.25">
      <c r="A27" s="163" t="s">
        <v>721</v>
      </c>
      <c r="B27" s="163" t="s">
        <v>659</v>
      </c>
      <c r="C27" s="163" t="s">
        <v>660</v>
      </c>
      <c r="D27" s="163" t="s">
        <v>661</v>
      </c>
      <c r="E27" s="163" t="s">
        <v>551</v>
      </c>
      <c r="F27" s="163">
        <v>-2</v>
      </c>
      <c r="G27" s="163" t="s">
        <v>480</v>
      </c>
      <c r="H27" s="163"/>
    </row>
    <row r="28" spans="1:8" ht="14.25">
      <c r="A28" s="185" t="s">
        <v>868</v>
      </c>
      <c r="B28" s="185" t="s">
        <v>869</v>
      </c>
      <c r="C28" s="185" t="s">
        <v>34</v>
      </c>
      <c r="D28" s="185" t="s">
        <v>40</v>
      </c>
      <c r="E28" s="185" t="s">
        <v>582</v>
      </c>
      <c r="F28" s="185">
        <v>0</v>
      </c>
      <c r="G28" s="185"/>
      <c r="H28" s="185" t="s">
        <v>870</v>
      </c>
    </row>
    <row r="29" spans="1:8" ht="14.25">
      <c r="A29" s="163" t="s">
        <v>813</v>
      </c>
      <c r="B29" s="163" t="s">
        <v>595</v>
      </c>
      <c r="C29" s="163" t="s">
        <v>34</v>
      </c>
      <c r="D29" s="163" t="s">
        <v>40</v>
      </c>
      <c r="E29" s="163" t="s">
        <v>551</v>
      </c>
      <c r="F29" s="163">
        <v>0</v>
      </c>
      <c r="G29" s="163" t="s">
        <v>480</v>
      </c>
      <c r="H29" s="163"/>
    </row>
    <row r="30" spans="1:8" ht="14.25">
      <c r="A30" s="185" t="s">
        <v>88</v>
      </c>
      <c r="B30" s="185" t="s">
        <v>858</v>
      </c>
      <c r="C30" s="185" t="s">
        <v>859</v>
      </c>
      <c r="D30" s="185" t="s">
        <v>860</v>
      </c>
      <c r="E30" s="185" t="s">
        <v>551</v>
      </c>
      <c r="F30" s="185">
        <v>-1</v>
      </c>
      <c r="G30" s="185" t="s">
        <v>480</v>
      </c>
      <c r="H30" s="185"/>
    </row>
    <row r="31" spans="1:8" ht="14.25">
      <c r="A31" s="163" t="s">
        <v>679</v>
      </c>
      <c r="B31" s="163" t="s">
        <v>677</v>
      </c>
      <c r="C31" s="163" t="s">
        <v>678</v>
      </c>
      <c r="D31" s="163" t="s">
        <v>679</v>
      </c>
      <c r="E31" s="163" t="s">
        <v>551</v>
      </c>
      <c r="F31" s="163">
        <v>-1</v>
      </c>
      <c r="G31" s="163" t="s">
        <v>480</v>
      </c>
      <c r="H31" s="163"/>
    </row>
    <row r="32" spans="1:8" ht="14.25">
      <c r="A32" s="163" t="s">
        <v>861</v>
      </c>
      <c r="B32" s="163" t="s">
        <v>862</v>
      </c>
      <c r="C32" s="163" t="s">
        <v>687</v>
      </c>
      <c r="D32" s="163" t="s">
        <v>863</v>
      </c>
      <c r="E32" s="163" t="s">
        <v>551</v>
      </c>
      <c r="F32" s="163">
        <v>-1</v>
      </c>
      <c r="G32" s="163" t="s">
        <v>480</v>
      </c>
      <c r="H32" s="163"/>
    </row>
    <row r="33" spans="1:8" ht="14.25">
      <c r="A33" s="163" t="s">
        <v>758</v>
      </c>
      <c r="B33" s="163" t="s">
        <v>690</v>
      </c>
      <c r="C33" s="163" t="s">
        <v>691</v>
      </c>
      <c r="D33" s="163" t="s">
        <v>692</v>
      </c>
      <c r="E33" s="163" t="s">
        <v>551</v>
      </c>
      <c r="F33" s="163">
        <v>-1</v>
      </c>
      <c r="G33" s="163" t="s">
        <v>480</v>
      </c>
      <c r="H33" s="163"/>
    </row>
    <row r="34" spans="1:8" ht="14.25">
      <c r="A34" s="165" t="s">
        <v>759</v>
      </c>
      <c r="B34" s="165" t="s">
        <v>693</v>
      </c>
      <c r="C34" s="165" t="s">
        <v>694</v>
      </c>
      <c r="D34" s="165" t="s">
        <v>695</v>
      </c>
      <c r="E34" s="165" t="s">
        <v>551</v>
      </c>
      <c r="F34" s="163">
        <v>-3</v>
      </c>
      <c r="G34" s="163" t="s">
        <v>480</v>
      </c>
      <c r="H34" s="163"/>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5:C9"/>
  <sheetViews>
    <sheetView zoomScale="90" zoomScaleNormal="90" workbookViewId="0">
      <selection activeCell="K10" sqref="K10"/>
    </sheetView>
  </sheetViews>
  <sheetFormatPr defaultRowHeight="12.75"/>
  <cols>
    <col min="1" max="1025" width="8.7109375" customWidth="1"/>
  </cols>
  <sheetData>
    <row r="5" spans="1:3">
      <c r="B5" t="s">
        <v>871</v>
      </c>
    </row>
    <row r="6" spans="1:3">
      <c r="A6" s="187" t="s">
        <v>872</v>
      </c>
      <c r="B6" t="s">
        <v>873</v>
      </c>
    </row>
    <row r="7" spans="1:3">
      <c r="A7" s="187" t="s">
        <v>872</v>
      </c>
      <c r="B7" t="s">
        <v>874</v>
      </c>
    </row>
    <row r="8" spans="1:3">
      <c r="A8" s="187" t="s">
        <v>399</v>
      </c>
      <c r="B8" t="s">
        <v>875</v>
      </c>
    </row>
    <row r="9" spans="1:3">
      <c r="B9" t="s">
        <v>876</v>
      </c>
      <c r="C9" t="s">
        <v>877</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Emma Harrison</cp:lastModifiedBy>
  <cp:revision>375</cp:revision>
  <dcterms:created xsi:type="dcterms:W3CDTF">2021-03-28T09:12:54Z</dcterms:created>
  <dcterms:modified xsi:type="dcterms:W3CDTF">2022-11-11T19:11:34Z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