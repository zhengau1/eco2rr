
<file path=[Content_Types].xml><?xml version="1.0" encoding="utf-8"?>
<Types xmlns="http://schemas.openxmlformats.org/package/2006/content-types">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1.xml" ContentType="application/vnd.openxmlformats-officedocument.spreadsheetml.comment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thways" sheetId="1" state="visible" r:id="rId2"/>
    <sheet name="Info" sheetId="2"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B1" authorId="0">
      <text>
        <r>
          <rPr>
            <sz val="11"/>
            <color rgb="FF000000"/>
            <rFont val="arial"/>
            <family val="2"/>
            <charset val="1"/>
          </rPr>
          <t xml:space="preserve">Molecular weight in this case is based on mol of CO (g mix/mol CO)
Rather than per mol of syngas mixture, it’s per mol of CO in the syngas mixture such that the mass yield calculations (which are performed based on the mol of CO consumed) are correct.
(g mix/mol CO) = (g mix/mol mix)*(mol mix/mol CO)</t>
        </r>
      </text>
    </comment>
    <comment ref="D1" authorId="0">
      <text>
        <r>
          <rPr>
            <sz val="11"/>
            <color rgb="FF000000"/>
            <rFont val="arial"/>
            <family val="2"/>
            <charset val="1"/>
          </rPr>
          <t xml:space="preserve">In this case, middle number represents molar ratio of H2 to 1 CO.
ie. 0.5 --&gt; CO:H2 of 1:0.5
Second number represents reaction setting when pathway is off (1 = forward reaction on only)</t>
        </r>
      </text>
    </comment>
    <comment ref="H1" authorId="0">
      <text>
        <r>
          <rPr>
            <b val="true"/>
            <sz val="9"/>
            <color rgb="FF000000"/>
            <rFont val="Tahoma"/>
            <family val="2"/>
            <charset val="1"/>
          </rPr>
          <t xml:space="preserve">Emma:
</t>
        </r>
        <r>
          <rPr>
            <sz val="9"/>
            <color rgb="FF000000"/>
            <rFont val="Tahoma"/>
            <family val="2"/>
            <charset val="1"/>
          </rPr>
          <t xml:space="preserve">Central Carbon Metabolite where carbon source enters.</t>
        </r>
      </text>
    </comment>
  </commentList>
</comments>
</file>

<file path=xl/sharedStrings.xml><?xml version="1.0" encoding="utf-8"?>
<sst xmlns="http://schemas.openxmlformats.org/spreadsheetml/2006/main" count="48" uniqueCount="36">
  <si>
    <t xml:space="preserve">Compound</t>
  </si>
  <si>
    <t xml:space="preserve">MW_S</t>
  </si>
  <si>
    <t xml:space="preserve">Exchange</t>
  </si>
  <si>
    <t xml:space="preserve">Reaction</t>
  </si>
  <si>
    <t xml:space="preserve">ReactionF</t>
  </si>
  <si>
    <t xml:space="preserve">CCM</t>
  </si>
  <si>
    <t xml:space="preserve">Status</t>
  </si>
  <si>
    <t xml:space="preserve">Notes</t>
  </si>
  <si>
    <t xml:space="preserve">CO_1:H2_0</t>
  </si>
  <si>
    <t xml:space="preserve">EX_co_e,-1,1</t>
  </si>
  <si>
    <t xml:space="preserve">EX_h2_e,0,1</t>
  </si>
  <si>
    <t xml:space="preserve">Molar ratio of CO:H2 is 1:0</t>
  </si>
  <si>
    <t xml:space="preserve">CO_1:H2_0.5</t>
  </si>
  <si>
    <t xml:space="preserve">EX_h2_e,0.5,1</t>
  </si>
  <si>
    <t xml:space="preserve">Molar ratio of CO:H2 is 1:0.5</t>
  </si>
  <si>
    <t xml:space="preserve">CO_1:H2_1</t>
  </si>
  <si>
    <t xml:space="preserve">EX_h2_e,1,1</t>
  </si>
  <si>
    <t xml:space="preserve">Molar ratio of CO:H2 is 1:1</t>
  </si>
  <si>
    <t xml:space="preserve">CO_1:H2_2</t>
  </si>
  <si>
    <t xml:space="preserve">EX_h2_e,2,1</t>
  </si>
  <si>
    <t xml:space="preserve">Molar ratio of CO:H2 is 1:2</t>
  </si>
  <si>
    <t xml:space="preserve">FOR_1:H2_0</t>
  </si>
  <si>
    <t xml:space="preserve">EX_for_e,-1,1</t>
  </si>
  <si>
    <t xml:space="preserve">Molar ratio of Formate:H2 is 1:0</t>
  </si>
  <si>
    <t xml:space="preserve">FOR_1:H2_0.5</t>
  </si>
  <si>
    <r>
      <rPr>
        <sz val="11"/>
        <color rgb="FF000000"/>
        <rFont val="arial"/>
        <family val="2"/>
        <charset val="1"/>
      </rPr>
      <t xml:space="preserve">Molar ratio of </t>
    </r>
    <r>
      <rPr>
        <sz val="11"/>
        <color rgb="FF000000"/>
        <rFont val="arial"/>
        <family val="2"/>
      </rPr>
      <t xml:space="preserve">Formate</t>
    </r>
    <r>
      <rPr>
        <sz val="11"/>
        <color rgb="FF000000"/>
        <rFont val="arial"/>
        <family val="2"/>
        <charset val="1"/>
      </rPr>
      <t xml:space="preserve">:H2 is 1:0.5</t>
    </r>
  </si>
  <si>
    <t xml:space="preserve">FOR_1:H2_1</t>
  </si>
  <si>
    <r>
      <rPr>
        <sz val="11"/>
        <color rgb="FF000000"/>
        <rFont val="arial"/>
        <family val="2"/>
        <charset val="1"/>
      </rPr>
      <t xml:space="preserve">Molar ratio of </t>
    </r>
    <r>
      <rPr>
        <sz val="11"/>
        <color rgb="FF000000"/>
        <rFont val="arial"/>
        <family val="2"/>
      </rPr>
      <t xml:space="preserve">Formate</t>
    </r>
    <r>
      <rPr>
        <sz val="11"/>
        <color rgb="FF000000"/>
        <rFont val="arial"/>
        <family val="2"/>
        <charset val="1"/>
      </rPr>
      <t xml:space="preserve">:H2 is 1:1</t>
    </r>
  </si>
  <si>
    <t xml:space="preserve">FOR_1:H2_2</t>
  </si>
  <si>
    <t xml:space="preserve">Molar ratio of Formate:H2 is 1:2</t>
  </si>
  <si>
    <t xml:space="preserve">[RxnID, pwON, pwOFF]</t>
  </si>
  <si>
    <t xml:space="preserve">PWon or Pwoff values</t>
  </si>
  <si>
    <t xml:space="preserve">reverse</t>
  </si>
  <si>
    <t xml:space="preserve">knocked out</t>
  </si>
  <si>
    <t xml:space="preserve">forward</t>
  </si>
  <si>
    <t xml:space="preserve">reversible</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</si>
</sst>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color rgb="FF000000"/>
      <name val="arial"/>
      <family val="2"/>
    </font>
    <font>
      <b val="true"/>
      <sz val="9"/>
      <color rgb="FF000000"/>
      <name val="Tahoma"/>
      <family val="2"/>
      <charset val="1"/>
    </font>
    <font>
      <sz val="9"/>
      <color rgb="FF000000"/>
      <name val="Tahoma"/>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J9"/>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B9" activeCellId="0" sqref="B9"/>
    </sheetView>
  </sheetViews>
  <sheetFormatPr defaultRowHeight="13.8" zeroHeight="false" outlineLevelRow="0" outlineLevelCol="0"/>
  <cols>
    <col collapsed="false" customWidth="true" hidden="false" outlineLevel="0" max="1" min="1" style="1" width="22.43"/>
    <col collapsed="false" customWidth="true" hidden="false" outlineLevel="0" max="2" min="2" style="1" width="8.53"/>
    <col collapsed="false" customWidth="true" hidden="false" outlineLevel="0" max="4" min="3" style="1" width="22.85"/>
    <col collapsed="false" customWidth="true" hidden="false" outlineLevel="0" max="5" min="5" style="1" width="13.71"/>
    <col collapsed="false" customWidth="true" hidden="false" outlineLevel="0" max="8" min="6" style="1" width="12.85"/>
    <col collapsed="false" customWidth="true" hidden="false" outlineLevel="0" max="1019" min="9" style="1" width="8.53"/>
    <col collapsed="false" customWidth="true" hidden="false" outlineLevel="0" max="1025" min="1020" style="0" width="9.14"/>
  </cols>
  <sheetData>
    <row r="1" customFormat="false" ht="13.8" hidden="false" customHeight="false" outlineLevel="0" collapsed="false">
      <c r="A1" s="2" t="s">
        <v>0</v>
      </c>
      <c r="B1" s="2" t="s">
        <v>1</v>
      </c>
      <c r="C1" s="2" t="s">
        <v>2</v>
      </c>
      <c r="D1" s="2" t="s">
        <v>3</v>
      </c>
      <c r="E1" s="2" t="s">
        <v>3</v>
      </c>
      <c r="F1" s="2" t="s">
        <v>3</v>
      </c>
      <c r="G1" s="2" t="s">
        <v>4</v>
      </c>
      <c r="H1" s="2" t="s">
        <v>5</v>
      </c>
      <c r="I1" s="2" t="s">
        <v>6</v>
      </c>
      <c r="J1" s="2" t="s">
        <v>7</v>
      </c>
    </row>
    <row r="2" customFormat="false" ht="13.8" hidden="false" customHeight="false" outlineLevel="0" collapsed="false">
      <c r="A2" s="1" t="s">
        <v>8</v>
      </c>
      <c r="B2" s="1" t="n">
        <f aca="false">((28.01)*1/1+(2.02)*0/1)*(1/1)</f>
        <v>28.01</v>
      </c>
      <c r="C2" s="1" t="s">
        <v>9</v>
      </c>
      <c r="D2" s="1" t="s">
        <v>10</v>
      </c>
      <c r="J2" s="1" t="s">
        <v>11</v>
      </c>
    </row>
    <row r="3" customFormat="false" ht="13.8" hidden="false" customHeight="false" outlineLevel="0" collapsed="false">
      <c r="A3" s="1" t="s">
        <v>12</v>
      </c>
      <c r="B3" s="1" t="n">
        <f aca="false">((28.01)*1/1.5+(2.02)*0.5/1.5)*(1.5/1)</f>
        <v>29.02</v>
      </c>
      <c r="C3" s="1" t="s">
        <v>9</v>
      </c>
      <c r="D3" s="1" t="s">
        <v>13</v>
      </c>
      <c r="J3" s="1" t="s">
        <v>14</v>
      </c>
    </row>
    <row r="4" customFormat="false" ht="13.8" hidden="false" customHeight="false" outlineLevel="0" collapsed="false">
      <c r="A4" s="1" t="s">
        <v>15</v>
      </c>
      <c r="B4" s="1" t="n">
        <f aca="false">((28.01)*1/2+(2.02)*1/2)*(2/1)</f>
        <v>30.03</v>
      </c>
      <c r="C4" s="1" t="s">
        <v>9</v>
      </c>
      <c r="D4" s="1" t="s">
        <v>16</v>
      </c>
      <c r="J4" s="1" t="s">
        <v>17</v>
      </c>
    </row>
    <row r="5" customFormat="false" ht="13.8" hidden="false" customHeight="false" outlineLevel="0" collapsed="false">
      <c r="A5" s="1" t="s">
        <v>18</v>
      </c>
      <c r="B5" s="1" t="n">
        <f aca="false">((28.01)*1/3+(2.02)*2/3)*(3/1)</f>
        <v>32.05</v>
      </c>
      <c r="C5" s="1" t="s">
        <v>9</v>
      </c>
      <c r="D5" s="1" t="s">
        <v>19</v>
      </c>
      <c r="J5" s="3" t="s">
        <v>20</v>
      </c>
    </row>
    <row r="6" customFormat="false" ht="13.8" hidden="false" customHeight="false" outlineLevel="0" collapsed="false">
      <c r="A6" s="1" t="s">
        <v>21</v>
      </c>
      <c r="B6" s="1" t="n">
        <f aca="false">((46.0296)*1/1+(2.02)*0/1)*(1/1)</f>
        <v>46.0296</v>
      </c>
      <c r="C6" s="1" t="s">
        <v>22</v>
      </c>
      <c r="D6" s="1" t="s">
        <v>10</v>
      </c>
      <c r="J6" s="1" t="s">
        <v>23</v>
      </c>
    </row>
    <row r="7" customFormat="false" ht="13.8" hidden="false" customHeight="false" outlineLevel="0" collapsed="false">
      <c r="A7" s="1" t="s">
        <v>24</v>
      </c>
      <c r="B7" s="1" t="n">
        <f aca="false">((46.0296)*1/1.5+(2.02)*0.5/1.5)*(1.5/1)</f>
        <v>47.0396</v>
      </c>
      <c r="C7" s="1" t="s">
        <v>22</v>
      </c>
      <c r="D7" s="1" t="s">
        <v>13</v>
      </c>
      <c r="J7" s="1" t="s">
        <v>25</v>
      </c>
    </row>
    <row r="8" customFormat="false" ht="13.8" hidden="false" customHeight="false" outlineLevel="0" collapsed="false">
      <c r="A8" s="1" t="s">
        <v>26</v>
      </c>
      <c r="B8" s="1" t="n">
        <f aca="false">((46.0296)*1/2+(2.02)*1/2)*(2/1)</f>
        <v>48.0496</v>
      </c>
      <c r="C8" s="1" t="s">
        <v>22</v>
      </c>
      <c r="D8" s="1" t="s">
        <v>16</v>
      </c>
      <c r="J8" s="1" t="s">
        <v>27</v>
      </c>
    </row>
    <row r="9" customFormat="false" ht="13.8" hidden="false" customHeight="false" outlineLevel="0" collapsed="false">
      <c r="A9" s="1" t="s">
        <v>28</v>
      </c>
      <c r="B9" s="1" t="n">
        <f aca="false">((46.0296)*1/3+(2.02)*2/3)*(3/1)</f>
        <v>50.0696</v>
      </c>
      <c r="C9" s="1" t="s">
        <v>22</v>
      </c>
      <c r="D9" s="1" t="s">
        <v>19</v>
      </c>
      <c r="J9" s="3" t="s">
        <v>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sheetPr filterMode="false">
    <pageSetUpPr fitToPage="false"/>
  </sheetPr>
  <dimension ref="B2:C8"/>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G26" activeCellId="0" sqref="G26"/>
    </sheetView>
  </sheetViews>
  <sheetFormatPr defaultRowHeight="15" zeroHeight="false" outlineLevelRow="0" outlineLevelCol="0"/>
  <cols>
    <col collapsed="false" customWidth="true" hidden="false" outlineLevel="0" max="1025" min="1" style="0" width="8.53"/>
  </cols>
  <sheetData>
    <row r="2" customFormat="false" ht="15" hidden="false" customHeight="false" outlineLevel="0" collapsed="false">
      <c r="B2" s="0" t="s">
        <v>30</v>
      </c>
    </row>
    <row r="4" customFormat="false" ht="15" hidden="false" customHeight="false" outlineLevel="0" collapsed="false">
      <c r="B4" s="0" t="s">
        <v>31</v>
      </c>
    </row>
    <row r="5" customFormat="false" ht="15" hidden="false" customHeight="false" outlineLevel="0" collapsed="false">
      <c r="B5" s="0" t="n">
        <v>-1</v>
      </c>
      <c r="C5" s="0" t="s">
        <v>32</v>
      </c>
    </row>
    <row r="6" customFormat="false" ht="15" hidden="false" customHeight="false" outlineLevel="0" collapsed="false">
      <c r="B6" s="0" t="n">
        <v>0</v>
      </c>
      <c r="C6" s="0" t="s">
        <v>33</v>
      </c>
    </row>
    <row r="7" customFormat="false" ht="15" hidden="false" customHeight="false" outlineLevel="0" collapsed="false">
      <c r="B7" s="0" t="n">
        <v>1</v>
      </c>
      <c r="C7" s="0" t="s">
        <v>34</v>
      </c>
    </row>
    <row r="8" customFormat="false" ht="15" hidden="false" customHeight="false" outlineLevel="0" collapsed="false">
      <c r="B8" s="0" t="n">
        <v>2</v>
      </c>
      <c r="C8" s="0" t="s">
        <v>35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310</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2021-03-02T11:00:29Z</dcterms:created>
  <dc:creator>Emma</dc:creator>
  <dc:description/>
  <dc:language>en-CA</dc:language>
  <cp:lastModifiedBy/>
  <dcterms:modified xsi:type="dcterms:W3CDTF">2021-05-26T08:47:53Z</dcterms:modified>
  <cp:revision>50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