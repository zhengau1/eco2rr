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Modeling\eCO2R TEA Code\1 - FBA Model Building Docs\JuPy Code Files\RunModels\Input\"/>
    </mc:Choice>
  </mc:AlternateContent>
  <xr:revisionPtr revIDLastSave="0" documentId="13_ncr:1_{EA84E53F-AA19-4944-964E-9FFA8FD79F8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ioproducts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60" i="1" l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<sst xmlns="http://schemas.openxmlformats.org/spreadsheetml/2006/main" count="198" uniqueCount="174">
  <si>
    <t>ProductName</t>
  </si>
  <si>
    <t>Formula</t>
  </si>
  <si>
    <t>C</t>
  </si>
  <si>
    <t>H</t>
  </si>
  <si>
    <t>O</t>
  </si>
  <si>
    <t>N</t>
  </si>
  <si>
    <t>ExchangeRxn</t>
  </si>
  <si>
    <t>MW_BP</t>
  </si>
  <si>
    <t>ProductNotes</t>
  </si>
  <si>
    <t>1-3-Butanediol-PW1</t>
  </si>
  <si>
    <t>C4H10O2</t>
  </si>
  <si>
    <t>EX_r13bdo_e</t>
  </si>
  <si>
    <t>1-3-Butanediol-PW2</t>
  </si>
  <si>
    <t>1-3-Diaminopropane</t>
  </si>
  <si>
    <t>C3H12N2</t>
  </si>
  <si>
    <t>EX_13dampp_e</t>
  </si>
  <si>
    <t>H-associated on both amino groups, giving H12 and 2+ charge</t>
  </si>
  <si>
    <t>1-3-Propanediol</t>
  </si>
  <si>
    <t>C3H8O2</t>
  </si>
  <si>
    <t>EX_13ppd_e</t>
  </si>
  <si>
    <t>1-4-Butanediol</t>
  </si>
  <si>
    <t>EX_14bdo_e</t>
  </si>
  <si>
    <t>1-Propanol-PW1</t>
  </si>
  <si>
    <t>C3H8O</t>
  </si>
  <si>
    <t>EX_ppoh_e</t>
  </si>
  <si>
    <t>1-Propanol-PW2</t>
  </si>
  <si>
    <t>2-3-Butanediol</t>
  </si>
  <si>
    <t>EX_btd_RR_e</t>
  </si>
  <si>
    <t>C5H12O</t>
  </si>
  <si>
    <t>EX_2mbtoh_e</t>
  </si>
  <si>
    <t>2-Pyrone-4-6-Dicarboxylate</t>
  </si>
  <si>
    <t>C7H2O6</t>
  </si>
  <si>
    <t>EX_2p46dc_e</t>
  </si>
  <si>
    <t>C6H14O</t>
  </si>
  <si>
    <t>EX_3mptoh_e</t>
  </si>
  <si>
    <t>4-Hydroxystyrene</t>
  </si>
  <si>
    <t>C8H8O</t>
  </si>
  <si>
    <t>EX_hxst_e</t>
  </si>
  <si>
    <t>5-Aminopentanoate</t>
  </si>
  <si>
    <t>C5H11NO2</t>
  </si>
  <si>
    <t>EX_5aptn_e</t>
  </si>
  <si>
    <t>Both the acid and conjugate base have the same formula and charge 0 ( the base has a +1 charge on amino group and -1 charge on the carboxylate group, giving charge of 0 overall, and same number of hydrogens in both cases). The conjugate base should exist at pH ~7.</t>
  </si>
  <si>
    <t>Acetone</t>
  </si>
  <si>
    <t>C3H6O</t>
  </si>
  <si>
    <t>EX_acetone_e</t>
  </si>
  <si>
    <t>Acrylate-PW1</t>
  </si>
  <si>
    <t>C3H3O2</t>
  </si>
  <si>
    <t>EX_acryl_e</t>
  </si>
  <si>
    <t>Acrylate-PW2</t>
  </si>
  <si>
    <t>Adipate</t>
  </si>
  <si>
    <t>C6H8O4</t>
  </si>
  <si>
    <t>EX_adpac_e</t>
  </si>
  <si>
    <t>Benzoate-PW1</t>
  </si>
  <si>
    <t>C7H5O2</t>
  </si>
  <si>
    <t>EX_bz_e</t>
  </si>
  <si>
    <t>Benzoate-PW2</t>
  </si>
  <si>
    <t>BenzylAlcohol</t>
  </si>
  <si>
    <t>C7H8O</t>
  </si>
  <si>
    <t>EX_bzalc_e</t>
  </si>
  <si>
    <t>BetaCarotene</t>
  </si>
  <si>
    <t>C40H56</t>
  </si>
  <si>
    <t>EX_caro_e</t>
  </si>
  <si>
    <t>Butane</t>
  </si>
  <si>
    <t>C4H10</t>
  </si>
  <si>
    <t>EX_butane_e</t>
  </si>
  <si>
    <t>Butanol-PW1</t>
  </si>
  <si>
    <t>C4H10O</t>
  </si>
  <si>
    <t>EX_btoh_e</t>
  </si>
  <si>
    <t>Butanol-PW2</t>
  </si>
  <si>
    <t>Butyrate</t>
  </si>
  <si>
    <t>C4H7O2</t>
  </si>
  <si>
    <t>EX_but_e</t>
  </si>
  <si>
    <t>Catechol</t>
  </si>
  <si>
    <t>C6H6O2</t>
  </si>
  <si>
    <t>EX_catechol_e</t>
  </si>
  <si>
    <t>ciscisMuconate</t>
  </si>
  <si>
    <t>C6H4O4</t>
  </si>
  <si>
    <t>EX_ccmuac_e</t>
  </si>
  <si>
    <t>CoumaricAcid</t>
  </si>
  <si>
    <t>C9H7O3</t>
  </si>
  <si>
    <t>EX_T4hcinnm_e</t>
  </si>
  <si>
    <t>Deprotonated form of p-coumaric acid, but not the same as p-coumarate (which has hydroxy group deprotonated) vs hydroxycinnimate has carboxylic acid group deprotonated.</t>
  </si>
  <si>
    <t>EthylAcetate</t>
  </si>
  <si>
    <t>C4H8O2</t>
  </si>
  <si>
    <t>EX_aces_e</t>
  </si>
  <si>
    <t>Farnesene</t>
  </si>
  <si>
    <t>C15H24</t>
  </si>
  <si>
    <t>EX_frene_e</t>
  </si>
  <si>
    <t>Pathway for making alpha or beta farnesene is the same, except last step requires different enzyme (but carries out same reaction).</t>
  </si>
  <si>
    <t>GammaButyrolactone</t>
  </si>
  <si>
    <t>C4H6O2</t>
  </si>
  <si>
    <t>EX_gblt_e</t>
  </si>
  <si>
    <t>Glutarate</t>
  </si>
  <si>
    <t>C5H6O4</t>
  </si>
  <si>
    <t>EX_glutar_e</t>
  </si>
  <si>
    <t>Heptane</t>
  </si>
  <si>
    <t>C7H16</t>
  </si>
  <si>
    <t>EX_heptane_e</t>
  </si>
  <si>
    <t>Hexane</t>
  </si>
  <si>
    <t>C6H14</t>
  </si>
  <si>
    <t>EX_hexane_e</t>
  </si>
  <si>
    <t>Isobutanol</t>
  </si>
  <si>
    <t>C5H10O</t>
  </si>
  <si>
    <t>EX_ibutoh_e</t>
  </si>
  <si>
    <t>Isobutyrate</t>
  </si>
  <si>
    <t>EX_ibt_e</t>
  </si>
  <si>
    <t>Isoprene</t>
  </si>
  <si>
    <t>C5H8</t>
  </si>
  <si>
    <t>EX_iprene_e</t>
  </si>
  <si>
    <t>Isopropanol</t>
  </si>
  <si>
    <t>EX_2ppoh_e</t>
  </si>
  <si>
    <t>Itaconate</t>
  </si>
  <si>
    <t>C5H4O4</t>
  </si>
  <si>
    <t>EX_itacon_e</t>
  </si>
  <si>
    <t>Malonate</t>
  </si>
  <si>
    <t>C3H2O4</t>
  </si>
  <si>
    <t>EX_malon_e</t>
  </si>
  <si>
    <t>Nonane</t>
  </si>
  <si>
    <t>C9H20</t>
  </si>
  <si>
    <t>EX_nonane_e</t>
  </si>
  <si>
    <t>Octane</t>
  </si>
  <si>
    <t>C8H18</t>
  </si>
  <si>
    <t>EX_octane_e</t>
  </si>
  <si>
    <t>Pentane</t>
  </si>
  <si>
    <t>C5H12</t>
  </si>
  <si>
    <t>EX_pentane_e</t>
  </si>
  <si>
    <t>Pentanol-PW1</t>
  </si>
  <si>
    <t>EX_pentoh_e</t>
  </si>
  <si>
    <t>Pentanol-PW2</t>
  </si>
  <si>
    <t>Phenol</t>
  </si>
  <si>
    <t>C6H6O</t>
  </si>
  <si>
    <t>EX_phenol_e</t>
  </si>
  <si>
    <t>Propane-PW1</t>
  </si>
  <si>
    <t>C3H8</t>
  </si>
  <si>
    <t>EX_propane_e</t>
  </si>
  <si>
    <t>Propane-PW2</t>
  </si>
  <si>
    <t>Shikimate</t>
  </si>
  <si>
    <t>C7H9O5</t>
  </si>
  <si>
    <t>EX_skm_e</t>
  </si>
  <si>
    <t>Styrene</t>
  </si>
  <si>
    <t>C8H8</t>
  </si>
  <si>
    <t>EX_styr_e</t>
  </si>
  <si>
    <t>Limonene</t>
  </si>
  <si>
    <t>C10H16</t>
  </si>
  <si>
    <t>EX_limnen_e</t>
  </si>
  <si>
    <t>Malate_L</t>
  </si>
  <si>
    <t>C4H4O5</t>
  </si>
  <si>
    <t>EX_mal__L_e</t>
  </si>
  <si>
    <t>Uses native pathways in iJO1366 model</t>
  </si>
  <si>
    <t>Succinate</t>
  </si>
  <si>
    <t>C4H4O4</t>
  </si>
  <si>
    <t>EX_succ_e</t>
  </si>
  <si>
    <t>Glycolate</t>
  </si>
  <si>
    <t>C2H3O3</t>
  </si>
  <si>
    <t>EX_glyclt_e</t>
  </si>
  <si>
    <t>Glutamate_L</t>
  </si>
  <si>
    <t>C5H8NO4</t>
  </si>
  <si>
    <t>EX_glu__L_e</t>
  </si>
  <si>
    <t>Citrate</t>
  </si>
  <si>
    <t>C6H5O7</t>
  </si>
  <si>
    <t>EX_cit_e</t>
  </si>
  <si>
    <t>Lysine_L</t>
  </si>
  <si>
    <t>C6H15N2O2</t>
  </si>
  <si>
    <t>EX_lys__L_e</t>
  </si>
  <si>
    <t>Acetyl</t>
  </si>
  <si>
    <t>C2H3O</t>
  </si>
  <si>
    <t>EX_acetyl_e</t>
  </si>
  <si>
    <t>Represents acetyl group from acetyl-coa (for modeling tests)</t>
  </si>
  <si>
    <t>2-Methyl-1-butanol</t>
  </si>
  <si>
    <t>3-Methyl-1-pentanol</t>
  </si>
  <si>
    <t>Ethanol</t>
  </si>
  <si>
    <t>C2H6O</t>
  </si>
  <si>
    <t>EX_etoh_e</t>
  </si>
  <si>
    <t>Added for verification against Lanza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</si>
</sst>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A31" zoomScaleNormal="100" workbookViewId="0">
      <selection activeCell="I66" sqref="I66"/>
    </sheetView>
  </sheetViews>
  <sheetFormatPr defaultRowHeight="12.75" x14ac:dyDescent="0.2"/>
  <cols>
    <col min="1" max="1" width="26.7109375" customWidth="1"/>
    <col min="2" max="2" width="12.140625" customWidth="1"/>
    <col min="3" max="3" width="5.85546875" customWidth="1"/>
    <col min="4" max="4" width="7.42578125" customWidth="1"/>
    <col min="5" max="5" width="6.7109375" customWidth="1"/>
    <col min="6" max="6" width="6" customWidth="1"/>
    <col min="7" max="7" width="16.5703125" customWidth="1"/>
    <col min="8" max="8" width="11.5703125"/>
    <col min="9" max="9" width="16.5703125" customWidth="1"/>
    <col min="10" max="1025" width="11.5703125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 x14ac:dyDescent="0.2">
      <c r="A2" s="4" t="s">
        <v>9</v>
      </c>
      <c r="B2" s="5" t="s">
        <v>10</v>
      </c>
      <c r="C2" s="5">
        <v>4</v>
      </c>
      <c r="D2" s="5">
        <v>10</v>
      </c>
      <c r="E2" s="5">
        <v>2</v>
      </c>
      <c r="F2" s="5">
        <v>0</v>
      </c>
      <c r="G2" s="6" t="s">
        <v>11</v>
      </c>
      <c r="H2" s="5">
        <f t="shared" ref="H2:H33" si="0">C2*12.0107+D2*1.00784+E2*15.999+F2*14.0067</f>
        <v>90.119200000000006</v>
      </c>
      <c r="I2" s="4"/>
    </row>
    <row r="3" spans="1:9" x14ac:dyDescent="0.2">
      <c r="A3" s="4" t="s">
        <v>12</v>
      </c>
      <c r="B3" s="5" t="s">
        <v>10</v>
      </c>
      <c r="C3" s="5">
        <v>4</v>
      </c>
      <c r="D3" s="5">
        <v>10</v>
      </c>
      <c r="E3" s="5">
        <v>2</v>
      </c>
      <c r="F3" s="5">
        <v>0</v>
      </c>
      <c r="G3" s="6" t="s">
        <v>11</v>
      </c>
      <c r="H3" s="5">
        <f t="shared" si="0"/>
        <v>90.119200000000006</v>
      </c>
      <c r="I3" s="4"/>
    </row>
    <row r="4" spans="1:9" x14ac:dyDescent="0.2">
      <c r="A4" s="7" t="s">
        <v>13</v>
      </c>
      <c r="B4" s="6" t="s">
        <v>14</v>
      </c>
      <c r="C4" s="6">
        <v>3</v>
      </c>
      <c r="D4" s="6">
        <v>12</v>
      </c>
      <c r="E4" s="6">
        <v>0</v>
      </c>
      <c r="F4" s="6">
        <v>2</v>
      </c>
      <c r="G4" s="6" t="s">
        <v>15</v>
      </c>
      <c r="H4" s="5">
        <f t="shared" si="0"/>
        <v>76.139580000000009</v>
      </c>
      <c r="I4" s="8" t="s">
        <v>16</v>
      </c>
    </row>
    <row r="5" spans="1:9" x14ac:dyDescent="0.2">
      <c r="A5" s="8" t="s">
        <v>17</v>
      </c>
      <c r="B5" s="6" t="s">
        <v>18</v>
      </c>
      <c r="C5" s="6">
        <v>3</v>
      </c>
      <c r="D5" s="6">
        <v>8</v>
      </c>
      <c r="E5" s="6">
        <v>2</v>
      </c>
      <c r="F5" s="6">
        <v>0</v>
      </c>
      <c r="G5" s="6" t="s">
        <v>19</v>
      </c>
      <c r="H5" s="5">
        <f t="shared" si="0"/>
        <v>76.092820000000003</v>
      </c>
      <c r="I5" s="4"/>
    </row>
    <row r="6" spans="1:9" x14ac:dyDescent="0.2">
      <c r="A6" s="4" t="s">
        <v>20</v>
      </c>
      <c r="B6" s="5" t="s">
        <v>10</v>
      </c>
      <c r="C6" s="5">
        <v>4</v>
      </c>
      <c r="D6" s="5">
        <v>10</v>
      </c>
      <c r="E6" s="5">
        <v>2</v>
      </c>
      <c r="F6" s="5">
        <v>0</v>
      </c>
      <c r="G6" s="6" t="s">
        <v>21</v>
      </c>
      <c r="H6" s="5">
        <f t="shared" si="0"/>
        <v>90.119200000000006</v>
      </c>
      <c r="I6" s="4"/>
    </row>
    <row r="7" spans="1:9" x14ac:dyDescent="0.2">
      <c r="A7" s="4" t="s">
        <v>22</v>
      </c>
      <c r="B7" s="5" t="s">
        <v>23</v>
      </c>
      <c r="C7" s="5">
        <v>3</v>
      </c>
      <c r="D7" s="5">
        <v>8</v>
      </c>
      <c r="E7" s="5">
        <v>1</v>
      </c>
      <c r="F7" s="5">
        <v>0</v>
      </c>
      <c r="G7" s="6" t="s">
        <v>24</v>
      </c>
      <c r="H7" s="5">
        <f t="shared" si="0"/>
        <v>60.093820000000001</v>
      </c>
      <c r="I7" s="4"/>
    </row>
    <row r="8" spans="1:9" x14ac:dyDescent="0.2">
      <c r="A8" s="4" t="s">
        <v>25</v>
      </c>
      <c r="B8" s="5" t="s">
        <v>23</v>
      </c>
      <c r="C8" s="5">
        <v>3</v>
      </c>
      <c r="D8" s="5">
        <v>8</v>
      </c>
      <c r="E8" s="5">
        <v>1</v>
      </c>
      <c r="F8" s="5">
        <v>0</v>
      </c>
      <c r="G8" s="6" t="s">
        <v>24</v>
      </c>
      <c r="H8" s="5">
        <f t="shared" si="0"/>
        <v>60.093820000000001</v>
      </c>
      <c r="I8" s="4"/>
    </row>
    <row r="9" spans="1:9" x14ac:dyDescent="0.2">
      <c r="A9" s="4" t="s">
        <v>26</v>
      </c>
      <c r="B9" s="5" t="s">
        <v>10</v>
      </c>
      <c r="C9" s="5">
        <v>4</v>
      </c>
      <c r="D9" s="5">
        <v>10</v>
      </c>
      <c r="E9" s="5">
        <v>2</v>
      </c>
      <c r="F9" s="5">
        <v>0</v>
      </c>
      <c r="G9" s="6" t="s">
        <v>27</v>
      </c>
      <c r="H9" s="5">
        <f t="shared" si="0"/>
        <v>90.119200000000006</v>
      </c>
      <c r="I9" s="4"/>
    </row>
    <row r="10" spans="1:9" x14ac:dyDescent="0.2">
      <c r="A10" s="8" t="s">
        <v>168</v>
      </c>
      <c r="B10" s="6" t="s">
        <v>28</v>
      </c>
      <c r="C10" s="6">
        <v>5</v>
      </c>
      <c r="D10" s="6">
        <v>12</v>
      </c>
      <c r="E10" s="6">
        <v>1</v>
      </c>
      <c r="F10" s="6">
        <v>0</v>
      </c>
      <c r="G10" s="6" t="s">
        <v>29</v>
      </c>
      <c r="H10" s="5">
        <f t="shared" si="0"/>
        <v>88.14658</v>
      </c>
      <c r="I10" s="9"/>
    </row>
    <row r="11" spans="1:9" x14ac:dyDescent="0.2">
      <c r="A11" s="8" t="s">
        <v>30</v>
      </c>
      <c r="B11" s="6" t="s">
        <v>31</v>
      </c>
      <c r="C11" s="6">
        <v>7</v>
      </c>
      <c r="D11" s="6">
        <v>2</v>
      </c>
      <c r="E11" s="6">
        <v>6</v>
      </c>
      <c r="F11" s="6">
        <v>0</v>
      </c>
      <c r="G11" s="6" t="s">
        <v>32</v>
      </c>
      <c r="H11" s="5">
        <f t="shared" si="0"/>
        <v>182.08458000000002</v>
      </c>
      <c r="I11" s="4"/>
    </row>
    <row r="12" spans="1:9" x14ac:dyDescent="0.2">
      <c r="A12" s="8" t="s">
        <v>169</v>
      </c>
      <c r="B12" s="6" t="s">
        <v>33</v>
      </c>
      <c r="C12" s="6">
        <v>6</v>
      </c>
      <c r="D12" s="6">
        <v>14</v>
      </c>
      <c r="E12" s="6">
        <v>1</v>
      </c>
      <c r="F12" s="6">
        <v>0</v>
      </c>
      <c r="G12" s="6" t="s">
        <v>34</v>
      </c>
      <c r="H12" s="5">
        <f t="shared" si="0"/>
        <v>102.17295999999999</v>
      </c>
      <c r="I12" s="4"/>
    </row>
    <row r="13" spans="1:9" x14ac:dyDescent="0.2">
      <c r="A13" s="4" t="s">
        <v>35</v>
      </c>
      <c r="B13" s="5" t="s">
        <v>36</v>
      </c>
      <c r="C13" s="5">
        <v>8</v>
      </c>
      <c r="D13" s="5">
        <v>8</v>
      </c>
      <c r="E13" s="5">
        <v>1</v>
      </c>
      <c r="F13" s="5">
        <v>0</v>
      </c>
      <c r="G13" s="6" t="s">
        <v>37</v>
      </c>
      <c r="H13" s="5">
        <f t="shared" si="0"/>
        <v>120.14731999999999</v>
      </c>
      <c r="I13" s="4"/>
    </row>
    <row r="14" spans="1:9" x14ac:dyDescent="0.2">
      <c r="A14" s="8" t="s">
        <v>38</v>
      </c>
      <c r="B14" s="6" t="s">
        <v>39</v>
      </c>
      <c r="C14" s="6">
        <v>5</v>
      </c>
      <c r="D14" s="6">
        <v>11</v>
      </c>
      <c r="E14" s="6">
        <v>2</v>
      </c>
      <c r="F14" s="6">
        <v>1</v>
      </c>
      <c r="G14" s="6" t="s">
        <v>40</v>
      </c>
      <c r="H14" s="5">
        <f t="shared" si="0"/>
        <v>117.14444</v>
      </c>
      <c r="I14" s="4" t="s">
        <v>41</v>
      </c>
    </row>
    <row r="15" spans="1:9" x14ac:dyDescent="0.2">
      <c r="A15" s="8" t="s">
        <v>42</v>
      </c>
      <c r="B15" s="6" t="s">
        <v>43</v>
      </c>
      <c r="C15" s="6">
        <v>3</v>
      </c>
      <c r="D15" s="6">
        <v>6</v>
      </c>
      <c r="E15" s="6">
        <v>1</v>
      </c>
      <c r="F15" s="6">
        <v>0</v>
      </c>
      <c r="G15" s="6" t="s">
        <v>44</v>
      </c>
      <c r="H15" s="5">
        <f t="shared" si="0"/>
        <v>58.078140000000005</v>
      </c>
      <c r="I15" s="4"/>
    </row>
    <row r="16" spans="1:9" x14ac:dyDescent="0.2">
      <c r="A16" s="8" t="s">
        <v>45</v>
      </c>
      <c r="B16" s="6" t="s">
        <v>46</v>
      </c>
      <c r="C16" s="6">
        <v>3</v>
      </c>
      <c r="D16" s="6">
        <v>3</v>
      </c>
      <c r="E16" s="6">
        <v>2</v>
      </c>
      <c r="F16" s="6">
        <v>0</v>
      </c>
      <c r="G16" s="6" t="s">
        <v>47</v>
      </c>
      <c r="H16" s="5">
        <f t="shared" si="0"/>
        <v>71.053619999999995</v>
      </c>
      <c r="I16" s="4"/>
    </row>
    <row r="17" spans="1:9" x14ac:dyDescent="0.2">
      <c r="A17" s="8" t="s">
        <v>48</v>
      </c>
      <c r="B17" s="6" t="s">
        <v>46</v>
      </c>
      <c r="C17" s="6">
        <v>3</v>
      </c>
      <c r="D17" s="6">
        <v>3</v>
      </c>
      <c r="E17" s="6">
        <v>2</v>
      </c>
      <c r="F17" s="6">
        <v>0</v>
      </c>
      <c r="G17" s="6" t="s">
        <v>47</v>
      </c>
      <c r="H17" s="5">
        <f t="shared" si="0"/>
        <v>71.053619999999995</v>
      </c>
      <c r="I17" s="4"/>
    </row>
    <row r="18" spans="1:9" x14ac:dyDescent="0.2">
      <c r="A18" s="4" t="s">
        <v>49</v>
      </c>
      <c r="B18" s="5" t="s">
        <v>50</v>
      </c>
      <c r="C18" s="5">
        <v>6</v>
      </c>
      <c r="D18" s="5">
        <v>8</v>
      </c>
      <c r="E18" s="5">
        <v>4</v>
      </c>
      <c r="F18" s="5">
        <v>0</v>
      </c>
      <c r="G18" s="6" t="s">
        <v>51</v>
      </c>
      <c r="H18" s="5">
        <f t="shared" si="0"/>
        <v>144.12291999999999</v>
      </c>
      <c r="I18" s="4"/>
    </row>
    <row r="19" spans="1:9" x14ac:dyDescent="0.2">
      <c r="A19" s="8" t="s">
        <v>52</v>
      </c>
      <c r="B19" s="6" t="s">
        <v>53</v>
      </c>
      <c r="C19" s="6">
        <v>7</v>
      </c>
      <c r="D19" s="6">
        <v>5</v>
      </c>
      <c r="E19" s="6">
        <v>2</v>
      </c>
      <c r="F19" s="6">
        <v>0</v>
      </c>
      <c r="G19" s="6" t="s">
        <v>54</v>
      </c>
      <c r="H19" s="5">
        <f t="shared" si="0"/>
        <v>121.1121</v>
      </c>
      <c r="I19" s="4"/>
    </row>
    <row r="20" spans="1:9" x14ac:dyDescent="0.2">
      <c r="A20" s="8" t="s">
        <v>55</v>
      </c>
      <c r="B20" s="6" t="s">
        <v>53</v>
      </c>
      <c r="C20" s="6">
        <v>7</v>
      </c>
      <c r="D20" s="6">
        <v>5</v>
      </c>
      <c r="E20" s="6">
        <v>2</v>
      </c>
      <c r="F20" s="6">
        <v>0</v>
      </c>
      <c r="G20" s="6" t="s">
        <v>54</v>
      </c>
      <c r="H20" s="5">
        <f t="shared" si="0"/>
        <v>121.1121</v>
      </c>
      <c r="I20" s="4"/>
    </row>
    <row r="21" spans="1:9" x14ac:dyDescent="0.2">
      <c r="A21" s="4" t="s">
        <v>56</v>
      </c>
      <c r="B21" s="5" t="s">
        <v>57</v>
      </c>
      <c r="C21" s="5">
        <v>7</v>
      </c>
      <c r="D21" s="5">
        <v>8</v>
      </c>
      <c r="E21" s="5">
        <v>1</v>
      </c>
      <c r="F21" s="5">
        <v>0</v>
      </c>
      <c r="G21" s="6" t="s">
        <v>58</v>
      </c>
      <c r="H21" s="5">
        <f t="shared" si="0"/>
        <v>108.13661999999999</v>
      </c>
      <c r="I21" s="4"/>
    </row>
    <row r="22" spans="1:9" x14ac:dyDescent="0.2">
      <c r="A22" s="8" t="s">
        <v>59</v>
      </c>
      <c r="B22" s="6" t="s">
        <v>60</v>
      </c>
      <c r="C22" s="6">
        <v>40</v>
      </c>
      <c r="D22" s="6">
        <v>56</v>
      </c>
      <c r="E22" s="6">
        <v>0</v>
      </c>
      <c r="F22" s="6">
        <v>0</v>
      </c>
      <c r="G22" s="6" t="s">
        <v>61</v>
      </c>
      <c r="H22" s="5">
        <f t="shared" si="0"/>
        <v>536.86703999999997</v>
      </c>
      <c r="I22" s="4"/>
    </row>
    <row r="23" spans="1:9" x14ac:dyDescent="0.2">
      <c r="A23" s="8" t="s">
        <v>62</v>
      </c>
      <c r="B23" s="6" t="s">
        <v>63</v>
      </c>
      <c r="C23" s="6">
        <v>4</v>
      </c>
      <c r="D23" s="6">
        <v>10</v>
      </c>
      <c r="E23" s="6">
        <v>0</v>
      </c>
      <c r="F23" s="6">
        <v>0</v>
      </c>
      <c r="G23" s="6" t="s">
        <v>64</v>
      </c>
      <c r="H23" s="5">
        <f t="shared" si="0"/>
        <v>58.121200000000002</v>
      </c>
      <c r="I23" s="4"/>
    </row>
    <row r="24" spans="1:9" x14ac:dyDescent="0.2">
      <c r="A24" s="4" t="s">
        <v>65</v>
      </c>
      <c r="B24" s="5" t="s">
        <v>66</v>
      </c>
      <c r="C24" s="5">
        <v>4</v>
      </c>
      <c r="D24" s="5">
        <v>10</v>
      </c>
      <c r="E24" s="5">
        <v>1</v>
      </c>
      <c r="F24" s="5">
        <v>0</v>
      </c>
      <c r="G24" s="6" t="s">
        <v>67</v>
      </c>
      <c r="H24" s="5">
        <f t="shared" si="0"/>
        <v>74.120199999999997</v>
      </c>
      <c r="I24" s="4"/>
    </row>
    <row r="25" spans="1:9" x14ac:dyDescent="0.2">
      <c r="A25" s="4" t="s">
        <v>68</v>
      </c>
      <c r="B25" s="5" t="s">
        <v>66</v>
      </c>
      <c r="C25" s="5">
        <v>4</v>
      </c>
      <c r="D25" s="5">
        <v>10</v>
      </c>
      <c r="E25" s="5">
        <v>1</v>
      </c>
      <c r="F25" s="5">
        <v>0</v>
      </c>
      <c r="G25" s="6" t="s">
        <v>67</v>
      </c>
      <c r="H25" s="5">
        <f t="shared" si="0"/>
        <v>74.120199999999997</v>
      </c>
      <c r="I25" s="4"/>
    </row>
    <row r="26" spans="1:9" x14ac:dyDescent="0.2">
      <c r="A26" s="8" t="s">
        <v>69</v>
      </c>
      <c r="B26" s="6" t="s">
        <v>70</v>
      </c>
      <c r="C26" s="6">
        <v>4</v>
      </c>
      <c r="D26" s="6">
        <v>7</v>
      </c>
      <c r="E26" s="6">
        <v>2</v>
      </c>
      <c r="F26" s="6">
        <v>0</v>
      </c>
      <c r="G26" s="6" t="s">
        <v>71</v>
      </c>
      <c r="H26" s="5">
        <f t="shared" si="0"/>
        <v>87.095680000000002</v>
      </c>
      <c r="I26" s="4"/>
    </row>
    <row r="27" spans="1:9" x14ac:dyDescent="0.2">
      <c r="A27" s="4" t="s">
        <v>72</v>
      </c>
      <c r="B27" s="4" t="s">
        <v>73</v>
      </c>
      <c r="C27" s="5">
        <v>6</v>
      </c>
      <c r="D27" s="5">
        <v>6</v>
      </c>
      <c r="E27" s="5">
        <v>2</v>
      </c>
      <c r="F27" s="5">
        <v>0</v>
      </c>
      <c r="G27" s="6" t="s">
        <v>74</v>
      </c>
      <c r="H27" s="5">
        <f t="shared" si="0"/>
        <v>110.10924</v>
      </c>
      <c r="I27" s="7"/>
    </row>
    <row r="28" spans="1:9" x14ac:dyDescent="0.2">
      <c r="A28" s="8" t="s">
        <v>75</v>
      </c>
      <c r="B28" s="6" t="s">
        <v>76</v>
      </c>
      <c r="C28" s="6">
        <v>6</v>
      </c>
      <c r="D28" s="6">
        <v>4</v>
      </c>
      <c r="E28" s="6">
        <v>4</v>
      </c>
      <c r="F28" s="6">
        <v>0</v>
      </c>
      <c r="G28" s="6" t="s">
        <v>77</v>
      </c>
      <c r="H28" s="5">
        <f t="shared" si="0"/>
        <v>140.09156000000002</v>
      </c>
      <c r="I28" s="4"/>
    </row>
    <row r="29" spans="1:9" x14ac:dyDescent="0.2">
      <c r="A29" s="4" t="s">
        <v>78</v>
      </c>
      <c r="B29" s="5" t="s">
        <v>79</v>
      </c>
      <c r="C29" s="5">
        <v>9</v>
      </c>
      <c r="D29" s="5">
        <v>7</v>
      </c>
      <c r="E29" s="5">
        <v>3</v>
      </c>
      <c r="F29" s="5">
        <v>0</v>
      </c>
      <c r="G29" s="6" t="s">
        <v>80</v>
      </c>
      <c r="H29" s="5">
        <f t="shared" si="0"/>
        <v>163.14818</v>
      </c>
      <c r="I29" s="4" t="s">
        <v>81</v>
      </c>
    </row>
    <row r="30" spans="1:9" x14ac:dyDescent="0.2">
      <c r="A30" s="4" t="s">
        <v>82</v>
      </c>
      <c r="B30" s="5" t="s">
        <v>83</v>
      </c>
      <c r="C30" s="5">
        <v>4</v>
      </c>
      <c r="D30" s="5">
        <v>8</v>
      </c>
      <c r="E30" s="5">
        <v>2</v>
      </c>
      <c r="F30" s="5">
        <v>0</v>
      </c>
      <c r="G30" s="6" t="s">
        <v>84</v>
      </c>
      <c r="H30" s="5">
        <f t="shared" si="0"/>
        <v>88.103520000000003</v>
      </c>
      <c r="I30" s="4"/>
    </row>
    <row r="31" spans="1:9" x14ac:dyDescent="0.2">
      <c r="A31" s="8" t="s">
        <v>85</v>
      </c>
      <c r="B31" s="6" t="s">
        <v>86</v>
      </c>
      <c r="C31" s="6">
        <v>15</v>
      </c>
      <c r="D31" s="6">
        <v>24</v>
      </c>
      <c r="E31" s="6">
        <v>0</v>
      </c>
      <c r="F31" s="6">
        <v>0</v>
      </c>
      <c r="G31" s="6" t="s">
        <v>87</v>
      </c>
      <c r="H31" s="5">
        <f t="shared" si="0"/>
        <v>204.34866000000002</v>
      </c>
      <c r="I31" s="4" t="s">
        <v>88</v>
      </c>
    </row>
    <row r="32" spans="1:9" x14ac:dyDescent="0.2">
      <c r="A32" s="8" t="s">
        <v>89</v>
      </c>
      <c r="B32" s="6" t="s">
        <v>90</v>
      </c>
      <c r="C32" s="6">
        <v>4</v>
      </c>
      <c r="D32" s="6">
        <v>6</v>
      </c>
      <c r="E32" s="6">
        <v>2</v>
      </c>
      <c r="F32" s="6">
        <v>0</v>
      </c>
      <c r="G32" s="6" t="s">
        <v>91</v>
      </c>
      <c r="H32" s="5">
        <f t="shared" si="0"/>
        <v>86.08784</v>
      </c>
      <c r="I32" s="4"/>
    </row>
    <row r="33" spans="1:9" x14ac:dyDescent="0.2">
      <c r="A33" s="8" t="s">
        <v>92</v>
      </c>
      <c r="B33" s="6" t="s">
        <v>93</v>
      </c>
      <c r="C33" s="6">
        <v>5</v>
      </c>
      <c r="D33" s="6">
        <v>6</v>
      </c>
      <c r="E33" s="6">
        <v>4</v>
      </c>
      <c r="F33" s="6">
        <v>0</v>
      </c>
      <c r="G33" s="6" t="s">
        <v>94</v>
      </c>
      <c r="H33" s="5">
        <f t="shared" si="0"/>
        <v>130.09654</v>
      </c>
      <c r="I33" s="4"/>
    </row>
    <row r="34" spans="1:9" x14ac:dyDescent="0.2">
      <c r="A34" s="4" t="s">
        <v>95</v>
      </c>
      <c r="B34" s="5" t="s">
        <v>96</v>
      </c>
      <c r="C34" s="5">
        <v>7</v>
      </c>
      <c r="D34" s="5">
        <v>16</v>
      </c>
      <c r="E34" s="5">
        <v>0</v>
      </c>
      <c r="F34" s="5">
        <v>0</v>
      </c>
      <c r="G34" s="6" t="s">
        <v>97</v>
      </c>
      <c r="H34" s="5">
        <f t="shared" ref="H34:H59" si="1">C34*12.0107+D34*1.00784+E34*15.999+F34*14.0067</f>
        <v>100.20034</v>
      </c>
      <c r="I34" s="4"/>
    </row>
    <row r="35" spans="1:9" x14ac:dyDescent="0.2">
      <c r="A35" s="8" t="s">
        <v>98</v>
      </c>
      <c r="B35" s="5" t="s">
        <v>99</v>
      </c>
      <c r="C35" s="6">
        <v>6</v>
      </c>
      <c r="D35" s="6">
        <v>14</v>
      </c>
      <c r="E35" s="6">
        <v>0</v>
      </c>
      <c r="F35" s="6">
        <v>0</v>
      </c>
      <c r="G35" s="6" t="s">
        <v>100</v>
      </c>
      <c r="H35" s="5">
        <f t="shared" si="1"/>
        <v>86.173959999999994</v>
      </c>
      <c r="I35" s="4"/>
    </row>
    <row r="36" spans="1:9" x14ac:dyDescent="0.2">
      <c r="A36" s="4" t="s">
        <v>101</v>
      </c>
      <c r="B36" s="5" t="s">
        <v>102</v>
      </c>
      <c r="C36" s="5">
        <v>5</v>
      </c>
      <c r="D36" s="5">
        <v>10</v>
      </c>
      <c r="E36" s="5">
        <v>1</v>
      </c>
      <c r="F36" s="5">
        <v>0</v>
      </c>
      <c r="G36" s="6" t="s">
        <v>103</v>
      </c>
      <c r="H36" s="5">
        <f t="shared" si="1"/>
        <v>86.130899999999997</v>
      </c>
      <c r="I36" s="4"/>
    </row>
    <row r="37" spans="1:9" x14ac:dyDescent="0.2">
      <c r="A37" s="8" t="s">
        <v>104</v>
      </c>
      <c r="B37" s="6" t="s">
        <v>70</v>
      </c>
      <c r="C37" s="6">
        <v>4</v>
      </c>
      <c r="D37" s="6">
        <v>7</v>
      </c>
      <c r="E37" s="6">
        <v>2</v>
      </c>
      <c r="F37" s="6">
        <v>0</v>
      </c>
      <c r="G37" s="6" t="s">
        <v>105</v>
      </c>
      <c r="H37" s="5">
        <f t="shared" si="1"/>
        <v>87.095680000000002</v>
      </c>
      <c r="I37" s="4"/>
    </row>
    <row r="38" spans="1:9" x14ac:dyDescent="0.2">
      <c r="A38" s="4" t="s">
        <v>106</v>
      </c>
      <c r="B38" s="5" t="s">
        <v>107</v>
      </c>
      <c r="C38" s="5">
        <v>5</v>
      </c>
      <c r="D38" s="5">
        <v>8</v>
      </c>
      <c r="E38" s="5">
        <v>0</v>
      </c>
      <c r="F38" s="5">
        <v>0</v>
      </c>
      <c r="G38" s="6" t="s">
        <v>108</v>
      </c>
      <c r="H38" s="5">
        <f t="shared" si="1"/>
        <v>68.116219999999998</v>
      </c>
      <c r="I38" s="4"/>
    </row>
    <row r="39" spans="1:9" x14ac:dyDescent="0.2">
      <c r="A39" s="8" t="s">
        <v>109</v>
      </c>
      <c r="B39" s="6" t="s">
        <v>23</v>
      </c>
      <c r="C39" s="6">
        <v>3</v>
      </c>
      <c r="D39" s="6">
        <v>8</v>
      </c>
      <c r="E39" s="6">
        <v>1</v>
      </c>
      <c r="F39" s="6">
        <v>0</v>
      </c>
      <c r="G39" s="6" t="s">
        <v>110</v>
      </c>
      <c r="H39" s="5">
        <f t="shared" si="1"/>
        <v>60.093820000000001</v>
      </c>
      <c r="I39" s="4"/>
    </row>
    <row r="40" spans="1:9" x14ac:dyDescent="0.2">
      <c r="A40" s="4" t="s">
        <v>111</v>
      </c>
      <c r="B40" s="5" t="s">
        <v>112</v>
      </c>
      <c r="C40" s="5">
        <v>5</v>
      </c>
      <c r="D40" s="5">
        <v>4</v>
      </c>
      <c r="E40" s="5">
        <v>4</v>
      </c>
      <c r="F40" s="5">
        <v>0</v>
      </c>
      <c r="G40" s="6" t="s">
        <v>113</v>
      </c>
      <c r="H40" s="5">
        <f t="shared" si="1"/>
        <v>128.08086</v>
      </c>
      <c r="I40" s="4"/>
    </row>
    <row r="41" spans="1:9" x14ac:dyDescent="0.2">
      <c r="A41" s="8" t="s">
        <v>114</v>
      </c>
      <c r="B41" s="6" t="s">
        <v>115</v>
      </c>
      <c r="C41" s="6">
        <v>3</v>
      </c>
      <c r="D41" s="6">
        <v>2</v>
      </c>
      <c r="E41" s="6">
        <v>4</v>
      </c>
      <c r="F41" s="6">
        <v>0</v>
      </c>
      <c r="G41" s="6" t="s">
        <v>116</v>
      </c>
      <c r="H41" s="5">
        <f t="shared" si="1"/>
        <v>102.04378</v>
      </c>
      <c r="I41" s="4"/>
    </row>
    <row r="42" spans="1:9" x14ac:dyDescent="0.2">
      <c r="A42" s="4" t="s">
        <v>117</v>
      </c>
      <c r="B42" s="5" t="s">
        <v>118</v>
      </c>
      <c r="C42" s="5">
        <v>9</v>
      </c>
      <c r="D42" s="5">
        <v>20</v>
      </c>
      <c r="E42" s="5">
        <v>0</v>
      </c>
      <c r="F42" s="5">
        <v>0</v>
      </c>
      <c r="G42" s="9" t="s">
        <v>119</v>
      </c>
      <c r="H42" s="5">
        <f t="shared" si="1"/>
        <v>128.25309999999999</v>
      </c>
      <c r="I42" s="4"/>
    </row>
    <row r="43" spans="1:9" x14ac:dyDescent="0.2">
      <c r="A43" s="8" t="s">
        <v>120</v>
      </c>
      <c r="B43" s="6" t="s">
        <v>121</v>
      </c>
      <c r="C43" s="6">
        <v>8</v>
      </c>
      <c r="D43" s="6">
        <v>18</v>
      </c>
      <c r="E43" s="6">
        <v>0</v>
      </c>
      <c r="F43" s="6">
        <v>0</v>
      </c>
      <c r="G43" s="6" t="s">
        <v>122</v>
      </c>
      <c r="H43" s="5">
        <f t="shared" si="1"/>
        <v>114.22672</v>
      </c>
      <c r="I43" s="4"/>
    </row>
    <row r="44" spans="1:9" x14ac:dyDescent="0.2">
      <c r="A44" s="8" t="s">
        <v>123</v>
      </c>
      <c r="B44" s="6" t="s">
        <v>124</v>
      </c>
      <c r="C44" s="6">
        <v>5</v>
      </c>
      <c r="D44" s="6">
        <v>12</v>
      </c>
      <c r="E44" s="6">
        <v>0</v>
      </c>
      <c r="F44" s="6">
        <v>0</v>
      </c>
      <c r="G44" s="6" t="s">
        <v>125</v>
      </c>
      <c r="H44" s="5">
        <f t="shared" si="1"/>
        <v>72.147580000000005</v>
      </c>
      <c r="I44" s="4"/>
    </row>
    <row r="45" spans="1:9" x14ac:dyDescent="0.2">
      <c r="A45" s="4" t="s">
        <v>126</v>
      </c>
      <c r="B45" s="5" t="s">
        <v>28</v>
      </c>
      <c r="C45" s="5">
        <v>5</v>
      </c>
      <c r="D45" s="5">
        <v>12</v>
      </c>
      <c r="E45" s="5">
        <v>1</v>
      </c>
      <c r="F45" s="5">
        <v>0</v>
      </c>
      <c r="G45" s="6" t="s">
        <v>127</v>
      </c>
      <c r="H45" s="5">
        <f t="shared" si="1"/>
        <v>88.14658</v>
      </c>
      <c r="I45" s="4"/>
    </row>
    <row r="46" spans="1:9" x14ac:dyDescent="0.2">
      <c r="A46" s="4" t="s">
        <v>128</v>
      </c>
      <c r="B46" s="5" t="s">
        <v>28</v>
      </c>
      <c r="C46" s="5">
        <v>5</v>
      </c>
      <c r="D46" s="5">
        <v>12</v>
      </c>
      <c r="E46" s="5">
        <v>1</v>
      </c>
      <c r="F46" s="5">
        <v>0</v>
      </c>
      <c r="G46" s="6" t="s">
        <v>127</v>
      </c>
      <c r="H46" s="5">
        <f t="shared" si="1"/>
        <v>88.14658</v>
      </c>
      <c r="I46" s="4"/>
    </row>
    <row r="47" spans="1:9" x14ac:dyDescent="0.2">
      <c r="A47" s="4" t="s">
        <v>129</v>
      </c>
      <c r="B47" s="5" t="s">
        <v>130</v>
      </c>
      <c r="C47" s="5">
        <v>6</v>
      </c>
      <c r="D47" s="5">
        <v>6</v>
      </c>
      <c r="E47" s="5">
        <v>1</v>
      </c>
      <c r="F47" s="5">
        <v>0</v>
      </c>
      <c r="G47" s="6" t="s">
        <v>131</v>
      </c>
      <c r="H47" s="5">
        <f t="shared" si="1"/>
        <v>94.11023999999999</v>
      </c>
      <c r="I47" s="4"/>
    </row>
    <row r="48" spans="1:9" x14ac:dyDescent="0.2">
      <c r="A48" s="4" t="s">
        <v>132</v>
      </c>
      <c r="B48" s="5" t="s">
        <v>133</v>
      </c>
      <c r="C48" s="5">
        <v>3</v>
      </c>
      <c r="D48" s="5">
        <v>8</v>
      </c>
      <c r="E48" s="5">
        <v>0</v>
      </c>
      <c r="F48" s="5">
        <v>0</v>
      </c>
      <c r="G48" s="6" t="s">
        <v>134</v>
      </c>
      <c r="H48" s="5">
        <f t="shared" si="1"/>
        <v>44.094819999999999</v>
      </c>
      <c r="I48" s="4"/>
    </row>
    <row r="49" spans="1:9" x14ac:dyDescent="0.2">
      <c r="A49" s="4" t="s">
        <v>135</v>
      </c>
      <c r="B49" s="5" t="s">
        <v>133</v>
      </c>
      <c r="C49" s="5">
        <v>3</v>
      </c>
      <c r="D49" s="5">
        <v>8</v>
      </c>
      <c r="E49" s="5">
        <v>0</v>
      </c>
      <c r="F49" s="5">
        <v>0</v>
      </c>
      <c r="G49" s="6" t="s">
        <v>134</v>
      </c>
      <c r="H49" s="5">
        <f t="shared" si="1"/>
        <v>44.094819999999999</v>
      </c>
      <c r="I49" s="4"/>
    </row>
    <row r="50" spans="1:9" x14ac:dyDescent="0.2">
      <c r="A50" s="9" t="s">
        <v>136</v>
      </c>
      <c r="B50" s="6" t="s">
        <v>137</v>
      </c>
      <c r="C50" s="5">
        <v>7</v>
      </c>
      <c r="D50" s="5">
        <v>9</v>
      </c>
      <c r="E50" s="5">
        <v>5</v>
      </c>
      <c r="F50" s="5">
        <v>0</v>
      </c>
      <c r="G50" s="6" t="s">
        <v>138</v>
      </c>
      <c r="H50" s="5">
        <f t="shared" si="1"/>
        <v>173.14046000000002</v>
      </c>
      <c r="I50" s="4"/>
    </row>
    <row r="51" spans="1:9" x14ac:dyDescent="0.2">
      <c r="A51" s="4" t="s">
        <v>139</v>
      </c>
      <c r="B51" s="5" t="s">
        <v>140</v>
      </c>
      <c r="C51" s="5">
        <v>8</v>
      </c>
      <c r="D51" s="5">
        <v>8</v>
      </c>
      <c r="E51" s="5">
        <v>0</v>
      </c>
      <c r="F51" s="5">
        <v>0</v>
      </c>
      <c r="G51" s="6" t="s">
        <v>141</v>
      </c>
      <c r="H51" s="5">
        <f t="shared" si="1"/>
        <v>104.14832</v>
      </c>
      <c r="I51" s="4"/>
    </row>
    <row r="52" spans="1:9" x14ac:dyDescent="0.2">
      <c r="A52" s="9" t="s">
        <v>142</v>
      </c>
      <c r="B52" s="5" t="s">
        <v>143</v>
      </c>
      <c r="C52" s="5">
        <v>10</v>
      </c>
      <c r="D52" s="5">
        <v>16</v>
      </c>
      <c r="E52" s="5">
        <v>0</v>
      </c>
      <c r="F52" s="5">
        <v>0</v>
      </c>
      <c r="G52" s="4" t="s">
        <v>144</v>
      </c>
      <c r="H52" s="5">
        <f t="shared" si="1"/>
        <v>136.23244</v>
      </c>
    </row>
    <row r="53" spans="1:9" x14ac:dyDescent="0.2">
      <c r="A53" s="4" t="s">
        <v>145</v>
      </c>
      <c r="B53" s="5" t="s">
        <v>146</v>
      </c>
      <c r="C53" s="5">
        <v>4</v>
      </c>
      <c r="D53" s="5">
        <v>4</v>
      </c>
      <c r="E53" s="5">
        <v>5</v>
      </c>
      <c r="F53" s="5">
        <v>0</v>
      </c>
      <c r="G53" s="6" t="s">
        <v>147</v>
      </c>
      <c r="H53" s="5">
        <f t="shared" si="1"/>
        <v>132.06916000000001</v>
      </c>
      <c r="I53" t="s">
        <v>148</v>
      </c>
    </row>
    <row r="54" spans="1:9" x14ac:dyDescent="0.2">
      <c r="A54" s="4" t="s">
        <v>149</v>
      </c>
      <c r="B54" s="5" t="s">
        <v>150</v>
      </c>
      <c r="C54" s="5">
        <v>4</v>
      </c>
      <c r="D54" s="5">
        <v>4</v>
      </c>
      <c r="E54" s="5">
        <v>4</v>
      </c>
      <c r="F54" s="5">
        <v>0</v>
      </c>
      <c r="G54" s="6" t="s">
        <v>151</v>
      </c>
      <c r="H54" s="5">
        <f t="shared" si="1"/>
        <v>116.07016</v>
      </c>
      <c r="I54" t="s">
        <v>148</v>
      </c>
    </row>
    <row r="55" spans="1:9" x14ac:dyDescent="0.2">
      <c r="A55" s="4" t="s">
        <v>152</v>
      </c>
      <c r="B55" s="5" t="s">
        <v>153</v>
      </c>
      <c r="C55" s="5">
        <v>2</v>
      </c>
      <c r="D55" s="5">
        <v>3</v>
      </c>
      <c r="E55" s="5">
        <v>3</v>
      </c>
      <c r="F55" s="5">
        <v>0</v>
      </c>
      <c r="G55" s="6" t="s">
        <v>154</v>
      </c>
      <c r="H55" s="5">
        <f t="shared" si="1"/>
        <v>75.041920000000005</v>
      </c>
      <c r="I55" t="s">
        <v>148</v>
      </c>
    </row>
    <row r="56" spans="1:9" x14ac:dyDescent="0.2">
      <c r="A56" s="4" t="s">
        <v>155</v>
      </c>
      <c r="B56" s="5" t="s">
        <v>156</v>
      </c>
      <c r="C56" s="5">
        <v>5</v>
      </c>
      <c r="D56" s="5">
        <v>8</v>
      </c>
      <c r="E56" s="5">
        <v>4</v>
      </c>
      <c r="F56" s="5">
        <v>1</v>
      </c>
      <c r="G56" s="6" t="s">
        <v>157</v>
      </c>
      <c r="H56" s="5">
        <f t="shared" si="1"/>
        <v>146.11892</v>
      </c>
      <c r="I56" t="s">
        <v>148</v>
      </c>
    </row>
    <row r="57" spans="1:9" x14ac:dyDescent="0.2">
      <c r="A57" s="4" t="s">
        <v>158</v>
      </c>
      <c r="B57" s="5" t="s">
        <v>159</v>
      </c>
      <c r="C57" s="5">
        <v>6</v>
      </c>
      <c r="D57" s="5">
        <v>5</v>
      </c>
      <c r="E57" s="5">
        <v>7</v>
      </c>
      <c r="F57" s="5">
        <v>0</v>
      </c>
      <c r="G57" s="6" t="s">
        <v>160</v>
      </c>
      <c r="H57" s="5">
        <f t="shared" si="1"/>
        <v>189.09640000000002</v>
      </c>
      <c r="I57" t="s">
        <v>148</v>
      </c>
    </row>
    <row r="58" spans="1:9" x14ac:dyDescent="0.2">
      <c r="A58" s="4" t="s">
        <v>161</v>
      </c>
      <c r="B58" s="5" t="s">
        <v>162</v>
      </c>
      <c r="C58" s="5">
        <v>6</v>
      </c>
      <c r="D58" s="5">
        <v>15</v>
      </c>
      <c r="E58" s="5">
        <v>2</v>
      </c>
      <c r="F58" s="5">
        <v>2</v>
      </c>
      <c r="G58" s="6" t="s">
        <v>163</v>
      </c>
      <c r="H58" s="5">
        <f t="shared" si="1"/>
        <v>147.19319999999999</v>
      </c>
      <c r="I58" t="s">
        <v>148</v>
      </c>
    </row>
    <row r="59" spans="1:9" x14ac:dyDescent="0.2">
      <c r="A59" t="s">
        <v>164</v>
      </c>
      <c r="B59" s="10" t="s">
        <v>165</v>
      </c>
      <c r="C59" s="10">
        <v>2</v>
      </c>
      <c r="D59" s="10">
        <v>3</v>
      </c>
      <c r="E59" s="10">
        <v>1</v>
      </c>
      <c r="F59" s="10">
        <v>0</v>
      </c>
      <c r="G59" s="10" t="s">
        <v>166</v>
      </c>
      <c r="H59" s="5">
        <f>C59*12.0107+D59*1.00784+E59*15.999+F59*14.0067</f>
        <v>43.04392</v>
      </c>
      <c r="I59" t="s">
        <v>167</v>
      </c>
    </row>
    <row r="60" spans="1:9" x14ac:dyDescent="0.2">
      <c r="A60" s="4" t="s">
        <v>170</v>
      </c>
      <c r="B60" s="5" t="s">
        <v>171</v>
      </c>
      <c r="C60" s="5">
        <v>2</v>
      </c>
      <c r="D60" s="5">
        <v>6</v>
      </c>
      <c r="E60" s="5">
        <v>1</v>
      </c>
      <c r="F60" s="5">
        <v>0</v>
      </c>
      <c r="G60" s="10" t="s">
        <v>172</v>
      </c>
      <c r="H60" s="5">
        <f>C60*12.0107+D60*1.00784+E60*15.999+F60*14.0067</f>
        <v>46.067440000000005</v>
      </c>
      <c r="I60" t="s">
        <v>173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Bioproducts_Info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Austin Zheng</cp:lastModifiedBy>
  <cp:revision>53</cp:revision>
  <dcterms:modified xsi:type="dcterms:W3CDTF">2024-02-21T20:09:59Z</dcterms:modified>
  <dc:language>en-CA</dc:language>
</cp:coreProperties>
</file>