
<file path=[Content_Types].xml><?xml version="1.0" encoding="utf-8"?>
<Types xmlns="http://schemas.openxmlformats.org/package/2006/content-types">
  <Override PartName="/xl/_rels/workbook.xml.rels" ContentType="application/vnd.openxmlformats-package.relationships+xml"/>
  <Override PartName="/xl/styles.xml" ContentType="application/vnd.openxmlformats-officedocument.spreadsheetml.styles+xml"/>
  <Override PartName="/xl/workbook.xml" ContentType="application/vnd.openxmlformats-officedocument.spreadsheetml.sheet.main+xml"/>
  <Override PartName="/xl/worksheets/sheet10.xml" ContentType="application/vnd.openxmlformats-officedocument.spreadsheetml.worksheet+xml"/>
  <Override PartName="/xl/worksheets/sheet9.xml" ContentType="application/vnd.openxmlformats-officedocument.spreadsheetml.worksheet+xml"/>
  <Override PartName="/xl/worksheets/sheet8.xml" ContentType="application/vnd.openxmlformats-officedocument.spreadsheetml.worksheet+xml"/>
  <Override PartName="/xl/worksheets/_rels/sheet9.xml.rels" ContentType="application/vnd.openxmlformats-package.relationships+xml"/>
  <Override PartName="/xl/worksheets/_rels/sheet8.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1.xml.rels" ContentType="application/vnd.openxmlformats-package.relationships+xml"/>
  <Override PartName="/xl/worksheets/_rels/sheet3.xml.rels" ContentType="application/vnd.openxmlformats-package.relationships+xml"/>
  <Override PartName="/xl/worksheets/sheet7.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comments3.xml" ContentType="application/vnd.openxmlformats-officedocument.spreadsheetml.comments+xml"/>
  <Override PartName="/xl/drawings/vmlDrawing1.vml" ContentType="application/vnd.openxmlformats-officedocument.vmlDrawing"/>
  <Override PartName="/xl/drawings/drawing1.xml" ContentType="application/vnd.openxmlformats-officedocument.drawing+xml"/>
  <Override PartName="/_rels/.rels" ContentType="application/vnd.openxmlformats-package.relationships+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athways" sheetId="1" state="visible" r:id="rId2"/>
    <sheet name="Metabolites" sheetId="2" state="visible" r:id="rId3"/>
    <sheet name="Products" sheetId="3" state="visible" r:id="rId4"/>
    <sheet name="Products_2" sheetId="4" state="visible" r:id="rId5"/>
    <sheet name="All Pathways" sheetId="5" state="visible" r:id="rId6"/>
    <sheet name="yields" sheetId="6" state="visible" r:id="rId7"/>
    <sheet name="Alternative Yields" sheetId="7" state="visible" r:id="rId8"/>
    <sheet name="Alternative Pathways" sheetId="8" state="visible" r:id="rId9"/>
    <sheet name="Sources" sheetId="9" state="visible" r:id="rId10"/>
    <sheet name="Sheet8" sheetId="10" state="visible" r:id="rId11"/>
  </sheets>
  <definedNames>
    <definedName function="false" hidden="true" localSheetId="2" name="_xlnm._FilterDatabase" vbProcedure="false">Products!$A$1:$Q$75</definedName>
    <definedName function="false" hidden="false" name="Product" vbProcedure="false">yields!$A:$A</definedName>
    <definedName function="false" hidden="false" localSheetId="2" name="_xlnm._FilterDatabase_0" vbProcedure="false">Products!$A$1:$Q$74</definedName>
    <definedName function="false" hidden="false" localSheetId="2" name="_xlnm._FilterDatabase_0_0" vbProcedure="false">Products!$A$1:$Q$68</definedName>
    <definedName function="false" hidden="false" localSheetId="5" name="Product" vbProcedure="false">yields!$A:$A</definedName>
    <definedName function="false" hidden="false" localSheetId="5" name="Products" vbProcedure="false">yields!$A:$A</definedName>
  </definedName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 </author>
  </authors>
  <commentList>
    <comment ref="A73" authorId="0">
      <text>
        <r>
          <rPr>
            <sz val="11"/>
            <color rgb="FF000000"/>
            <rFont val="Calibri"/>
            <family val="2"/>
            <charset val="1"/>
          </rPr>
          <t xml:space="preserve">HMF and levulinate only really makes sense from sugar feedstock (ie. glucose/xylose). See Marone (2015):
https://www.sciencedirect.com/science/article/pii/S1364032115006048</t>
        </r>
      </text>
    </comment>
    <comment ref="A74" authorId="0">
      <text>
        <r>
          <rPr>
            <sz val="11"/>
            <color rgb="FF000000"/>
            <rFont val="Calibri"/>
            <family val="2"/>
            <charset val="1"/>
          </rPr>
          <t xml:space="preserve">HMF and levulinate only really makes sense from sugar feedstock (ie. glucose/xylose). See Marone (2015):
https://www.sciencedirect.com/science/article/pii/S1364032115006048</t>
        </r>
      </text>
    </comment>
    <comment ref="I1" authorId="0">
      <text>
        <r>
          <rPr>
            <sz val="11"/>
            <color rgb="FF000000"/>
            <rFont val="Calibri"/>
            <family val="2"/>
            <charset val="1"/>
          </rPr>
          <t xml:space="preserve">Degree of reduction (see notes below for calculation details)</t>
        </r>
      </text>
    </comment>
    <comment ref="K1" authorId="0">
      <text>
        <r>
          <rPr>
            <sz val="11"/>
            <color rgb="FF000000"/>
            <rFont val="Calibri"/>
            <family val="2"/>
            <charset val="1"/>
          </rPr>
          <t xml:space="preserve">Normal boiling point (degC)</t>
        </r>
      </text>
    </comment>
    <comment ref="K53" authorId="0">
      <text>
        <r>
          <rPr>
            <sz val="11"/>
            <color rgb="FF000000"/>
            <rFont val="Calibri"/>
            <family val="2"/>
            <charset val="1"/>
          </rPr>
          <t xml:space="preserve">Decomposes</t>
        </r>
      </text>
    </comment>
    <comment ref="K56" authorId="0">
      <text>
        <r>
          <rPr>
            <sz val="11"/>
            <color rgb="FF000000"/>
            <rFont val="Calibri"/>
            <family val="2"/>
            <charset val="1"/>
          </rPr>
          <t xml:space="preserve">Decomposes</t>
        </r>
      </text>
    </comment>
    <comment ref="K57" authorId="0">
      <text>
        <r>
          <rPr>
            <sz val="11"/>
            <color rgb="FF000000"/>
            <rFont val="Calibri"/>
            <family val="2"/>
            <charset val="1"/>
          </rPr>
          <t xml:space="preserve">Decomposes</t>
        </r>
      </text>
    </comment>
    <comment ref="O1" authorId="0">
      <text>
        <r>
          <rPr>
            <sz val="11"/>
            <color rgb="FF000000"/>
            <rFont val="Calibri"/>
            <family val="2"/>
            <charset val="1"/>
          </rPr>
          <t xml:space="preserve">White cell = exists in BiGG database already.
Black cell = newly created (doesn’t exist in BiGG database).</t>
        </r>
      </text>
    </comment>
    <comment ref="P1" authorId="0">
      <text>
        <r>
          <rPr>
            <sz val="11"/>
            <color rgb="FF000000"/>
            <rFont val="Calibri"/>
            <family val="2"/>
            <charset val="1"/>
          </rPr>
          <t xml:space="preserve">White cell = exists in BiGG database already.
Black cell = newly created (doesn’t exist in BiGG database).</t>
        </r>
      </text>
    </comment>
  </commentList>
</comments>
</file>

<file path=xl/sharedStrings.xml><?xml version="1.0" encoding="utf-8"?>
<sst xmlns="http://schemas.openxmlformats.org/spreadsheetml/2006/main" count="7481" uniqueCount="2943">
  <si>
    <t xml:space="preserve">Reactants Charge</t>
  </si>
  <si>
    <t xml:space="preserve">Products Charge</t>
  </si>
  <si>
    <t xml:space="preserve">Charge Balanced?</t>
  </si>
  <si>
    <t xml:space="preserve">rxnID</t>
  </si>
  <si>
    <t xml:space="preserve">rxnName [gene]</t>
  </si>
  <si>
    <t xml:space="preserve">rxnLB</t>
  </si>
  <si>
    <t xml:space="preserve">rxnUB</t>
  </si>
  <si>
    <t xml:space="preserve">rxnModels</t>
  </si>
  <si>
    <t xml:space="preserve">rxnNotes</t>
  </si>
  <si>
    <t xml:space="preserve">1,3-Butanediol PW1</t>
  </si>
  <si>
    <t xml:space="preserve">DONE</t>
  </si>
  <si>
    <r>
      <rPr>
        <sz val="11"/>
        <color rgb="FF000000"/>
        <rFont val="arial"/>
        <family val="2"/>
        <charset val="1"/>
      </rPr>
      <t xml:space="preserve">It seems that to make (R)-1,3-butanediol, acetoacetyl-CoA must be converted to (R)-3-hydroxybutanoyl-CoA, which requires the NADP-dependent (R)-3-hydroxybutyryl-CoA dehydrogenase reaction. The (S) pathway uses an NAD-dependent (S)-3-hydroxybutyryl-CoA dehydrogenase instead. If using the NAD-dependent (S)-3-hydroxybutyryl-CoA dehydrogenase is desirable, anothe</t>
    </r>
    <r>
      <rPr>
        <sz val="11"/>
        <rFont val="arial"/>
        <family val="2"/>
        <charset val="1"/>
      </rPr>
      <t xml:space="preserve">r pathway option could be to use this reaction and then convert (S)-3-Hydroxybutanoyl-CoA to (R)-3-Hydroxybutanoyl-CoA using an isomerase/epimerase (such as the one that exists in the P.putida iJN1463 model under rxnID HBCE). I don’t believe this was employed in any of the literature paper references, but it could be an option. Note that if adding an exogenous (R)-3-hydroxybutyryl-CoA dehydrogenase to E.coli, the endogenous (S)-3-hydroxybutyryl-CoA dehydrogenase (rxnID HACD1 in iJO1366 model) might need to be knocked-out/down.</t>
    </r>
  </si>
  <si>
    <r>
      <rPr>
        <sz val="11"/>
        <color rgb="FF0E08F7"/>
        <rFont val="arial"/>
        <family val="2"/>
        <charset val="1"/>
      </rPr>
      <t xml:space="preserve">2Acetyl-CoA ---&gt; </t>
    </r>
    <r>
      <rPr>
        <sz val="11"/>
        <color rgb="FF0618F6"/>
        <rFont val="arial"/>
        <family val="2"/>
        <charset val="1"/>
      </rPr>
      <t xml:space="preserve">Acetoacetyl-CoA</t>
    </r>
    <r>
      <rPr>
        <sz val="11"/>
        <color rgb="FF0E08F7"/>
        <rFont val="arial"/>
        <family val="2"/>
        <charset val="1"/>
      </rPr>
      <t xml:space="preserve"> + CoA</t>
    </r>
  </si>
  <si>
    <t xml:space="preserve">ACACT1r</t>
  </si>
  <si>
    <r>
      <rPr>
        <sz val="11"/>
        <color rgb="FF0E08F7"/>
        <rFont val="arial"/>
        <family val="2"/>
        <charset val="1"/>
      </rPr>
      <t xml:space="preserve">Acetyl-CoA C-acetyltransferase (</t>
    </r>
    <r>
      <rPr>
        <sz val="11"/>
        <color rgb="FF0618F6"/>
        <rFont val="arial"/>
        <family val="2"/>
        <charset val="1"/>
      </rPr>
      <t xml:space="preserve">Acetoacetyl-CoA</t>
    </r>
    <r>
      <rPr>
        <sz val="11"/>
        <color rgb="FF0E08F7"/>
        <rFont val="arial"/>
        <family val="2"/>
        <charset val="1"/>
      </rPr>
      <t xml:space="preserve">)</t>
    </r>
  </si>
  <si>
    <t xml:space="preserve">iJO1366</t>
  </si>
  <si>
    <t xml:space="preserve">Gene: phaA from R. Eutropha OR AtoB from E. coli</t>
  </si>
  <si>
    <t xml:space="preserve">Acetoacetyl-CoA + NADPH + H+ ---&gt; (R)-3-Hydroxybutanoyl-CoA + NADP+</t>
  </si>
  <si>
    <t xml:space="preserve">3HBCOADH</t>
  </si>
  <si>
    <t xml:space="preserve">(R)-3-hydroxybutyryl-CoA dehydrogenase [phaB, Hbd]</t>
  </si>
  <si>
    <t xml:space="preserve">Gene: phaB from R. Eutropha OR Hbd from C. Saccharoperbutylacetonicum</t>
  </si>
  <si>
    <t xml:space="preserve">(R)-3-Hydroxybutanoyl-CoA + NADH + H+ ---&gt; (R)-3-Hydroxybutanal + CoA + NAD+ </t>
  </si>
  <si>
    <t xml:space="preserve">3HBCOAR</t>
  </si>
  <si>
    <t xml:space="preserve">(R)-3-Hydroxybutyryl-CoA reductase (NADH)</t>
  </si>
  <si>
    <t xml:space="preserve">Not in BiGG database. Gene: bldD from C. Saccharoperbutylacetonicum</t>
  </si>
  <si>
    <t xml:space="preserve">(R)-3-Hydroxybutanal + NADH + H+ --&gt; (R)-1,3-Butanediol + NAD+</t>
  </si>
  <si>
    <t xml:space="preserve">3HBDH</t>
  </si>
  <si>
    <t xml:space="preserve">Alcohol dehydrogenase ((R)-1,3-butanediol forming)</t>
  </si>
  <si>
    <t xml:space="preserve">Not in BiGG database. Gene: Adh from E. coli. OR can use NADPH-dependent aldo/keto reductase (PA1127) from P. Aeruginosa (Nemr, 2018). Used NADH-dependent reaction in model.</t>
  </si>
  <si>
    <t xml:space="preserve">1,3-Butanediol_p + H+_p &lt;=&gt; 1,3-Butanediol_c + H+_c</t>
  </si>
  <si>
    <t xml:space="preserve">R13BDOt2rpp</t>
  </si>
  <si>
    <t xml:space="preserve">1,3-Butanediol transport via proton symport (periplasm)</t>
  </si>
  <si>
    <t xml:space="preserve">Not in BiGG database.</t>
  </si>
  <si>
    <t xml:space="preserve">1,3-Butanediol_e &lt;=&gt; 1,3-Butanediol_p</t>
  </si>
  <si>
    <t xml:space="preserve">R13BDOtex</t>
  </si>
  <si>
    <t xml:space="preserve">1,3-Butanediol transport via diffusion (extracellular to periplasm)</t>
  </si>
  <si>
    <t xml:space="preserve">1,3-Butanediol_e &lt;=&gt; </t>
  </si>
  <si>
    <t xml:space="preserve">EX_r13bdo_e</t>
  </si>
  <si>
    <t xml:space="preserve">1,3-Butanediol exchange</t>
  </si>
  <si>
    <t xml:space="preserve">Exists in the BiGG Homo Sapiens Recon3D model.</t>
  </si>
  <si>
    <t xml:space="preserve">Based on boiling point &gt;37degC, assuming proton symporter used for C &lt;=&gt; P, and diffusion for P &lt;=&gt; E. No instances of 1,3-Butanediol transport exist in BiGG database.</t>
  </si>
  <si>
    <r>
      <rPr>
        <sz val="11"/>
        <color rgb="FF0618F6"/>
        <rFont val="arial"/>
        <family val="2"/>
        <charset val="1"/>
      </rPr>
      <t xml:space="preserve">Acetoacetyl-CoA</t>
    </r>
    <r>
      <rPr>
        <sz val="11"/>
        <color rgb="FF0E08F7"/>
        <rFont val="arial"/>
        <family val="2"/>
        <charset val="1"/>
      </rPr>
      <t xml:space="preserve"> + NADH + H+ ---&gt; (S)-3-Hydroxybutanoyl-CoA + NAD+</t>
    </r>
  </si>
  <si>
    <t xml:space="preserve">HACD1</t>
  </si>
  <si>
    <t xml:space="preserve">3-hydroxyacyl-CoA dehydrogenase (acetoacetyl-CoA)</t>
  </si>
  <si>
    <t xml:space="preserve">*Reaction included for reference only (not in pathway), see pathway notes.</t>
  </si>
  <si>
    <t xml:space="preserve">(R)-3-Hydroxybutanoyl-CoA &lt;=&gt; (R)-3-Hydroxybutanoyl-CoA</t>
  </si>
  <si>
    <t xml:space="preserve">HBCE</t>
  </si>
  <si>
    <t xml:space="preserve">3-Hydroxybutanoyl-CoA Isomerase</t>
  </si>
  <si>
    <t xml:space="preserve">*Reaction included for reference only (not in pathway), see pathway notes. Not in iJO1366 model but exists in P. Putida iJN1463 model.</t>
  </si>
  <si>
    <t xml:space="preserve">Nemr (2018): https://pubmed.ncbi.nlm.nih.gov/29753069/</t>
  </si>
  <si>
    <t xml:space="preserve">Kataoka (2014): https://www.tandfonline.com/doi/pdf/10.1080/09168451.2014.891933?needAccess=true&amp;</t>
  </si>
  <si>
    <t xml:space="preserve">Kataoka (2013): https://www.sciencedirect.com/science/article/pii/S1389172312004768?via%3Dihub</t>
  </si>
  <si>
    <t xml:space="preserve">MetaCyc (3-hydroxybutyryl-CoA dehydrogenase): https://metacyc.org/gene?orgid=META&amp;id=MONOMER-13586</t>
  </si>
  <si>
    <t xml:space="preserve">MetaCyc (R vs S pathway options): https://metacyc.org/META/NEW-IMAGE?type=PATHWAY&amp;object=PWY-7216</t>
  </si>
  <si>
    <t xml:space="preserve">1,3-Butanediol PW2</t>
  </si>
  <si>
    <t xml:space="preserve">Pyruvate + H+ --&gt; Acetaldehyde + CO2</t>
  </si>
  <si>
    <t xml:space="preserve">PYRDC</t>
  </si>
  <si>
    <t xml:space="preserve">Pyruvate decarboxylase</t>
  </si>
  <si>
    <r>
      <rPr>
        <sz val="11"/>
        <color rgb="FF000000"/>
        <rFont val="arial"/>
        <family val="2"/>
        <charset val="1"/>
      </rPr>
      <t xml:space="preserve">Not in iJO1366 model but exists in other BiGG models, including other E. coli models. Nemr et al (2018) used PDC from </t>
    </r>
    <r>
      <rPr>
        <i val="true"/>
        <sz val="11"/>
        <color rgb="FF000000"/>
        <rFont val="arial"/>
        <family val="2"/>
        <charset val="1"/>
      </rPr>
      <t xml:space="preserve">Z. Mobilis</t>
    </r>
    <r>
      <rPr>
        <sz val="11"/>
        <color rgb="FF000000"/>
        <rFont val="arial"/>
        <family val="2"/>
        <charset val="1"/>
      </rPr>
      <t xml:space="preserve">.</t>
    </r>
  </si>
  <si>
    <t xml:space="preserve">2 Acetaldehyde  ---&gt; (R)-3-Hydroxybutanal</t>
  </si>
  <si>
    <t xml:space="preserve">DERA</t>
  </si>
  <si>
    <t xml:space="preserve">Deoxyribose-5-phosphate aldolase</t>
  </si>
  <si>
    <r>
      <rPr>
        <sz val="11"/>
        <color rgb="FF000000"/>
        <rFont val="arial"/>
        <family val="2"/>
        <charset val="1"/>
      </rPr>
      <t xml:space="preserve">Not in BiGG database. Nemr et al (2018) used DERA f</t>
    </r>
    <r>
      <rPr>
        <sz val="11"/>
        <rFont val="arial"/>
        <family val="2"/>
        <charset val="1"/>
      </rPr>
      <t xml:space="preserve">rom </t>
    </r>
    <r>
      <rPr>
        <i val="true"/>
        <sz val="11"/>
        <rFont val="arial"/>
        <family val="2"/>
        <charset val="1"/>
      </rPr>
      <t xml:space="preserve">B. Halodurans</t>
    </r>
    <r>
      <rPr>
        <sz val="11"/>
        <rFont val="arial"/>
        <family val="2"/>
        <charset val="1"/>
      </rPr>
      <t xml:space="preserve"> (Nemr, 2018).</t>
    </r>
  </si>
  <si>
    <r>
      <rPr>
        <sz val="11"/>
        <rFont val="arial"/>
        <family val="2"/>
        <charset val="1"/>
      </rPr>
      <t xml:space="preserve">Not in BiGG database. Gene: Adh from E. coli. OR can use NADPH-dependent aldo/keto reductase
(PA1127) from </t>
    </r>
    <r>
      <rPr>
        <i val="true"/>
        <sz val="11"/>
        <rFont val="arial"/>
        <family val="2"/>
        <charset val="1"/>
      </rPr>
      <t xml:space="preserve">P. Aeruginosa </t>
    </r>
    <r>
      <rPr>
        <sz val="11"/>
        <rFont val="arial"/>
        <family val="2"/>
        <charset val="1"/>
      </rPr>
      <t xml:space="preserve">(Nemr, 2018). Used NADH-dependent reaction in model.</t>
    </r>
  </si>
  <si>
    <t xml:space="preserve">1,3-Diaminopropane</t>
  </si>
  <si>
    <t xml:space="preserve">Oxaloacetate --&gt; L-Aspartate --&gt; L-aspartate 4-semi aldehyde // alpha-ketoglutarate --&gt; Glutamate</t>
  </si>
  <si>
    <t xml:space="preserve">Native steps, for reference.</t>
  </si>
  <si>
    <t xml:space="preserve">L-Aspartate-4-semialdehyde + L-Glutamate &lt;=&gt; L-2,4-diaminobutanoate + 2-Oxoglutarate + H+</t>
  </si>
  <si>
    <t xml:space="preserve">Y</t>
  </si>
  <si>
    <t xml:space="preserve">DABAAT2</t>
  </si>
  <si>
    <t xml:space="preserve">DABA aminotransferase</t>
  </si>
  <si>
    <t xml:space="preserve">Not in iJO1366 model, but exists in other BiGG models under rxn ID DABAAT2 or DABAAT. DABAAT is not charge/mass balanced but DABAAT2 is (hence used here). Reverse reaction is direction needed for this pathway (as shown here).</t>
  </si>
  <si>
    <t xml:space="preserve">L-2,4-diaminobutanoate + 2H+ --&gt; 1,3-Diaminopropane + CO2</t>
  </si>
  <si>
    <t xml:space="preserve">DABDC</t>
  </si>
  <si>
    <t xml:space="preserve">Diaminobutyrate decarboxylase</t>
  </si>
  <si>
    <t xml:space="preserve">Doesn’t appear to exist in any BiGG models. Based on reaction in BioCyc (EC: 4.1.1.86), only one H+ is required on reactant side, but to be charge/mass balanced based on charges assumed for metabolites, 2H+ are required.</t>
  </si>
  <si>
    <t xml:space="preserve">1,3-Diaminopropane_p + H+_p &lt;=&gt; 1,3-Diaminopropane_c + H+_c</t>
  </si>
  <si>
    <t xml:space="preserve">13DAMPPtpp</t>
  </si>
  <si>
    <t xml:space="preserve">1,3-Diaminopropane transport via proton symport (periplasm)</t>
  </si>
  <si>
    <t xml:space="preserve">Doesn’t exist in any BiGG models.</t>
  </si>
  <si>
    <t xml:space="preserve">1,3-Diaminopropane_e &lt;=&gt; 1,3-Diaminopropane_p</t>
  </si>
  <si>
    <t xml:space="preserve">13DAMPPtex</t>
  </si>
  <si>
    <t xml:space="preserve">1,3-Diaminopropane transporter via diffusion (extracellular to periplasm)</t>
  </si>
  <si>
    <t xml:space="preserve">Not in iJO1366 model but exists in the iJN1463 model for P. Putida.</t>
  </si>
  <si>
    <t xml:space="preserve">1,3-Diaminopropane_e &lt;=&gt;</t>
  </si>
  <si>
    <t xml:space="preserve">EX_13dampp_e</t>
  </si>
  <si>
    <t xml:space="preserve">1,3-Diaminopropane exchange</t>
  </si>
  <si>
    <t xml:space="preserve">Chae (2015) hypothesized that E.coli’s natural putrescine and cadaverine transporters might act as nonspecific transporters for 1,3-diaminopropane because of structural similarities. Overexpression of potE and cadB genes increased 1,3-DAP production in flasks, supporting this hypothesis. In iJO1366 model, putrescine transport (rxnID PTRCt2pp) occurs via a proton symport (periplams to cytoplasm), this same transporter would work in reverse for 1,3-diaminopropane export. Transport exsts in P. Putida model iJN1463 but uses ABC transporter for C &lt;=&gt; P. Based on boiling point &gt;37degC, assuming proton symporter used for C &lt;=&gt; P, and diffusion for P &lt;=&gt; E.</t>
  </si>
  <si>
    <t xml:space="preserve">Chae (2015): https://www.nature.com/articles/srep13040</t>
  </si>
  <si>
    <r>
      <rPr>
        <sz val="11"/>
        <rFont val="arial"/>
        <family val="2"/>
        <charset val="1"/>
      </rPr>
      <t xml:space="preserve">Diaminobutyrate decarboxylase:</t>
    </r>
    <r>
      <rPr>
        <u val="single"/>
        <sz val="11"/>
        <color rgb="FF0563C1"/>
        <rFont val="arial"/>
        <family val="2"/>
        <charset val="1"/>
      </rPr>
      <t xml:space="preserve"> https://metacyc.org/META/NEW-IMAGE?type=REACTION&amp;object=4.1.1.86-RXN</t>
    </r>
  </si>
  <si>
    <t xml:space="preserve">1,3-Propanediol</t>
  </si>
  <si>
    <t xml:space="preserve">13PPDH2 (NADPH-dependent) exists naturally in E.coli (although isn’t in iJO1366 model), but there are exogenous NADH-depdendent dehydrogenases that could be engineered into E.coli instead. Added both to the model; whichever one is preferred will be used.</t>
  </si>
  <si>
    <t xml:space="preserve">DHAP &lt;=&gt; Glyceraldehyde 3-P</t>
  </si>
  <si>
    <t xml:space="preserve">TPI</t>
  </si>
  <si>
    <t xml:space="preserve">Triose-phosphate isomerase</t>
  </si>
  <si>
    <t xml:space="preserve">Already in model, just included for pathway reference</t>
  </si>
  <si>
    <t xml:space="preserve">(1a) Glycerol 3-P + NADP &lt;=&gt; DHAP + NADPH + H+ (rev rxn required)</t>
  </si>
  <si>
    <t xml:space="preserve">G3PD2</t>
  </si>
  <si>
    <t xml:space="preserve">Glycerol-3-phosphate dehydrogenase (NADP)</t>
  </si>
  <si>
    <t xml:space="preserve">Already in model, just included for pathway reference. Option 1 for DHAP to glycerol.</t>
  </si>
  <si>
    <t xml:space="preserve">(1b) Glycerol 3-P + H2O --&gt; Glycerol + Pi</t>
  </si>
  <si>
    <t xml:space="preserve">G3PT</t>
  </si>
  <si>
    <t xml:space="preserve">Glycerol-3-phosphatase</t>
  </si>
  <si>
    <t xml:space="preserve">(2a) DHA + PEP &lt;=&gt; DHAP + Pyruvate (rev rxn required)</t>
  </si>
  <si>
    <t xml:space="preserve">DHAPT</t>
  </si>
  <si>
    <t xml:space="preserve">Dihydroxyacetone phosphotransferase</t>
  </si>
  <si>
    <t xml:space="preserve">Already in model, just included for pathway reference. Option 2 for DHAP to glycerol.</t>
  </si>
  <si>
    <t xml:space="preserve">(2b) DHA + NADH + H+ &lt;=&gt; Glycerol + NAD+</t>
  </si>
  <si>
    <t xml:space="preserve">GLYCDx</t>
  </si>
  <si>
    <t xml:space="preserve">Glycerol dehydrogenase</t>
  </si>
  <si>
    <t xml:space="preserve">In model, BUT as forward reaction only. On MetaCyc it specifies that reaction is reversible. Lower bound changed in model to reflect this. Option 2 for DHAP to glycerol.</t>
  </si>
  <si>
    <t xml:space="preserve">Glycerol --&gt; 3-hydroxypropanal + H2O</t>
  </si>
  <si>
    <t xml:space="preserve">GLYCDH</t>
  </si>
  <si>
    <t xml:space="preserve">Glycerol dehydratase</t>
  </si>
  <si>
    <t xml:space="preserve">Not in iJO1366 model, but exists in other BiGG models, including other E.coli models.</t>
  </si>
  <si>
    <t xml:space="preserve">(2) 3-hydroxypropanal + NADPH + H+ &lt;=&gt; 1,3-propanediol + NADP</t>
  </si>
  <si>
    <t xml:space="preserve">13PPDH2</t>
  </si>
  <si>
    <t xml:space="preserve">1,3-propanediol dehydrogenase (NADPH-dependent)</t>
  </si>
  <si>
    <t xml:space="preserve">Not in iJO1366 model, but exists in E.coli model  iML1515. MetaCyc also reports that in E.coli this reaction is NADPH-dependent.</t>
  </si>
  <si>
    <t xml:space="preserve">(1) 3-hydroxypropanal + NADH + H+ &lt;=&gt; 1,3-propanediol + NAD</t>
  </si>
  <si>
    <t xml:space="preserve">13PPDH</t>
  </si>
  <si>
    <t xml:space="preserve">1,3-propanediol dehydrogenase (NADH-dependent)</t>
  </si>
  <si>
    <t xml:space="preserve">Not in iJO1366 model, but exists in other BiGG models. MetaCyc also reports that NADH-dependent version of this enzyme exist.</t>
  </si>
  <si>
    <t xml:space="preserve">1,3-Propanediol_p + H+_p &lt;=&gt; 1,3-Propanediol_c + H+_c</t>
  </si>
  <si>
    <t xml:space="preserve">13PPDtpp2</t>
  </si>
  <si>
    <t xml:space="preserve">1,3-propanediol transport via proton symport (periplasm)</t>
  </si>
  <si>
    <t xml:space="preserve">Not in BiGG Database. C&lt;=&gt;P transport exists by free diffusion in iYL1228 model for Klebsiella pneumoniae (under rxnID 13PPDtpp). In Yang (2018), they don’t mention anything about transport for 1,3-propanediol but it’s extracellular product.</t>
  </si>
  <si>
    <t xml:space="preserve">1,3-Propanediol_e &lt;=&gt; 1,3-Propanediol_p</t>
  </si>
  <si>
    <t xml:space="preserve">13PPDtex</t>
  </si>
  <si>
    <t xml:space="preserve">1,3-propanediol transporter via diffusion (extracellular to periplasm)</t>
  </si>
  <si>
    <t xml:space="preserve">Not in iJO1366 model but exists in the iYL1228 model for Klebsiella pneumoniae. In Yang (2018), they don’t mention anything about transport for 1,3-propanediol but it’s extracellular product.</t>
  </si>
  <si>
    <t xml:space="preserve">1,3-Propanediol_e &lt;=&gt; </t>
  </si>
  <si>
    <t xml:space="preserve">EX_13ppd_e</t>
  </si>
  <si>
    <t xml:space="preserve">1,3-Propanediol exchange</t>
  </si>
  <si>
    <t xml:space="preserve">Not in iJO1366 model but exists in other BiGG models including other E.coli models.</t>
  </si>
  <si>
    <t xml:space="preserve">Based on boiling point &gt;37degC, assuming proton symporter used for C &lt;=&gt; P, and diffusion for P &lt;=&gt; E.</t>
  </si>
  <si>
    <t xml:space="preserve">Lee (2019): https://www.nature.com/articles/s41929-018-0212-4 </t>
  </si>
  <si>
    <t xml:space="preserve">Yang (2018): https://pubmed.ncbi.nlm.nih.gov/30056370/</t>
  </si>
  <si>
    <r>
      <rPr>
        <sz val="11"/>
        <rFont val="arial"/>
        <family val="2"/>
        <charset val="1"/>
      </rPr>
      <t xml:space="preserve">MetaCyc (Glycerol dehydrogenase): </t>
    </r>
    <r>
      <rPr>
        <u val="single"/>
        <sz val="11"/>
        <color rgb="FF0563C1"/>
        <rFont val="arial"/>
        <family val="2"/>
        <charset val="1"/>
      </rPr>
      <t xml:space="preserve">https://metacyc.org/gene?orgid=META&amp;id=GLYCDEH-MONOMER#tab=RXNS</t>
    </r>
  </si>
  <si>
    <r>
      <rPr>
        <sz val="11"/>
        <rFont val="arial"/>
        <family val="2"/>
        <charset val="1"/>
      </rPr>
      <t xml:space="preserve">MetaCyc (Propanediol dehydrogenase (NADPH-dependent)): </t>
    </r>
    <r>
      <rPr>
        <u val="single"/>
        <sz val="11"/>
        <color rgb="FF0563C1"/>
        <rFont val="arial"/>
        <family val="2"/>
        <charset val="1"/>
      </rPr>
      <t xml:space="preserve">https://metacyc.org/META/NEW-IMAGE?type=REACTION&amp;object=RXN0-6487</t>
    </r>
  </si>
  <si>
    <t xml:space="preserve">1,4-Butanediol</t>
  </si>
  <si>
    <t xml:space="preserve">1,4-Butanediol has no stereochemistry because the hydroxyl groups are at the two ends of the 4-carbon chain (unlike 1,3-butanediol and 2,3-butanediol). There are two options for converting Gamma-hydroxybutyrate (aka 4-hydroxybutyrate) to 4-hydroxybutanoyl-CoA. The first option (4-Hydroxybutyryl-CoA transferase) (A4HBCT) is used in the cited literature for 1,4-BDO production (Pooth 2019, Andreozzi 2016 and Yim 2011) and is employed in the model. The second option (4-Hydroxybutyrate-CoA ligase) was not reported in the cited literature for 1,4-BDO production, but was used in the Gamma-butyrate production pathway which overlaps with 1,4-butanediol production. Thus either reactions could probably be used in this pathway. This second pathway option has been included for reference. It’s also included in the model but commented out (can be employed if desired). Note that if acetate is converted back to acetyl-CoA via Acetyl-CoA synthetase (rxnID: ACS), it is essentially the same overall result as using the second pathway option.</t>
  </si>
  <si>
    <t xml:space="preserve">Alpha-ketoglutarate --&gt; succinic semialdehyde</t>
  </si>
  <si>
    <t xml:space="preserve">Succinyl-CoA + NADH + H+ ---&gt; Succinyl semialdehyde + NAD+ + CoA</t>
  </si>
  <si>
    <t xml:space="preserve">SUCSALD</t>
  </si>
  <si>
    <t xml:space="preserve">Succinic semialdehyde dehydrogenase </t>
  </si>
  <si>
    <t xml:space="preserve">Doesn’t appear to exist in any BiGG models. Not the same as Succinate-semialdehyde dehydrogenase.</t>
  </si>
  <si>
    <t xml:space="preserve">Succinic semialdehyde + NADH + H+ &lt;=&gt; Gamma-hydroxybutyrate + NAD+</t>
  </si>
  <si>
    <t xml:space="preserve">GHBDHx</t>
  </si>
  <si>
    <t xml:space="preserve">Gamma-hydroxybutyrate dehydrogenase (NADH)</t>
  </si>
  <si>
    <t xml:space="preserve">*Only included this reaction for reference, it’s already in the model. Gamma-hydroxybutyrate = 4-hydroxybutyrate.</t>
  </si>
  <si>
    <t xml:space="preserve">(1) 4-Hydroxybutyrate + Acetyl-CoA --&gt; 4-Hydroxybutanoyl-CoA + Acetate</t>
  </si>
  <si>
    <t xml:space="preserve">A4HBCT</t>
  </si>
  <si>
    <t xml:space="preserve">4-Hydroxybutyryl-CoA transferase</t>
  </si>
  <si>
    <t xml:space="preserve">Not in iJO1366 model but does exist in the Clostridioides difficile model iCN900. Reaction isn’t named in that model, so assigned appropriate name here. This is reaction used by Andreozzi (2016), Pooth (2019) and Yim (2011).</t>
  </si>
  <si>
    <t xml:space="preserve">(2) Gamma-Hydroxybutyrate + ATP + CoA --&gt; 4-Hydroxybutanoyl-CoA + ADP + Phosphate</t>
  </si>
  <si>
    <t xml:space="preserve">4HBCOAL</t>
  </si>
  <si>
    <t xml:space="preserve">4-Hydroxybutyrate-CoA ligase</t>
  </si>
  <si>
    <t xml:space="preserve">Doesn’t appear to exist in any BiGG models. But a similar reaction exists for 4-hydroxypentanoate in the P. Putida model iJN1463, rxn ID  4HPTNCOAL. Reaction as reported on MetaCyc. This second pathway option is not employed in the model (it’s commented out); reaction above is employed.</t>
  </si>
  <si>
    <t xml:space="preserve">4-Hydroxybutanoyl-CoA + NADH + H+ --&gt; 4-Hydroxybutanal + NAD+ + CoA</t>
  </si>
  <si>
    <t xml:space="preserve">4HBCOAR</t>
  </si>
  <si>
    <t xml:space="preserve">4-Hydroxybutyryl-CoA reductase (NADH)</t>
  </si>
  <si>
    <t xml:space="preserve">4-Hydroxybutanal+ NADH + H+ --&gt; 1,4-Butanediol + NAD+</t>
  </si>
  <si>
    <t xml:space="preserve">4HBDH</t>
  </si>
  <si>
    <t xml:space="preserve">Alcohol dehydrogenase (1,4-butanediol forming)</t>
  </si>
  <si>
    <t xml:space="preserve">1,4-Butanediol_p + H+_p &lt;=&gt; 1,4-Butanediol_c + H+_c</t>
  </si>
  <si>
    <t xml:space="preserve">14BDOt2rpp</t>
  </si>
  <si>
    <t xml:space="preserve">1,4-Butanediol transport via proton symport (periplasm)</t>
  </si>
  <si>
    <t xml:space="preserve">1,4-Butanediol_e &lt;=&gt; 1,4-Butanediol_p</t>
  </si>
  <si>
    <t xml:space="preserve">14BDOtex</t>
  </si>
  <si>
    <t xml:space="preserve">1,4-Butanediol transport via diffusion (extracellular to periplasm)</t>
  </si>
  <si>
    <t xml:space="preserve">1,4-Butanediol_e &lt;=&gt;</t>
  </si>
  <si>
    <t xml:space="preserve">EX_14bdo_e</t>
  </si>
  <si>
    <t xml:space="preserve">1,4-Butanediol exchange</t>
  </si>
  <si>
    <t xml:space="preserve">Pooth (2019): https://aiche.onlinelibrary.wiley.com/doi/full/10.1002/btpr.2917</t>
  </si>
  <si>
    <t xml:space="preserve">Andreozzi (2016): https://www.sciencedirect.com/science/article/pii/S1096717616000215?via%3Dihub</t>
  </si>
  <si>
    <t xml:space="preserve">Yim (2011): https://www.nature.com/articles/nchembio.580#Sch1</t>
  </si>
  <si>
    <t xml:space="preserve">1-Propanol PW1</t>
  </si>
  <si>
    <t xml:space="preserve">In the modelled pathway, DHAP is first converted to 1,2-propanediol via D-lactaldehyde (DHAP --&gt; D-lactaldehyde --&gt; 1,2-propanediol). Matsubara (2016) also report that an alternative path is via hydroxyacetone instead (DHAP --&gt; hydroxyacetone --&gt; 1,2-propanediol). Since the reactions to go via lactaldehyde are already in the iJO1366 model (LALDO2x and LCARR), this option was selected for modeling purposes. BUT the other pathway option could also be used and may be of interest in future. Also, the pathway could go two different stereoisomer paths depending on whether D-lactaldehyde or L-lactaldehyde is formed. Both may be possible, but assumed D-lactaldehyde and R-propane-1,2,-diol based on the Matsubara (2016) paper which specified D-lactaldehyde was used.</t>
  </si>
  <si>
    <t xml:space="preserve">DHAP --&gt; Methylglyoxal + Pi</t>
  </si>
  <si>
    <t xml:space="preserve">MGSA</t>
  </si>
  <si>
    <t xml:space="preserve">Methylglyoxal synthase</t>
  </si>
  <si>
    <t xml:space="preserve">Methylglyoxal + NADH + H+ --&gt; D-Lactaldehyde + NAD</t>
  </si>
  <si>
    <t xml:space="preserve">LALDO2x</t>
  </si>
  <si>
    <t xml:space="preserve">D-Lactaldehyde:NAD+ 1-oxidoreductase</t>
  </si>
  <si>
    <t xml:space="preserve">D-Lactaldehyde + NADH + H+ &lt;=&gt; R-Propane-1,2-diol + NAD</t>
  </si>
  <si>
    <t xml:space="preserve">LCARR</t>
  </si>
  <si>
    <t xml:space="preserve">Lactaldehyde reductase (R-propane-1,2-diol forming)</t>
  </si>
  <si>
    <t xml:space="preserve">R-Propane-1,2-diol --&gt; Propanal + H2O</t>
  </si>
  <si>
    <t xml:space="preserve">PPDD</t>
  </si>
  <si>
    <t xml:space="preserve">Propanediol dehydratase</t>
  </si>
  <si>
    <t xml:space="preserve">Not in iJO366 but exists in other BiGG models, including other E. coli models.</t>
  </si>
  <si>
    <t xml:space="preserve">Propanal + NADH + H+ --&gt; 1-Propanol + NAD+</t>
  </si>
  <si>
    <t xml:space="preserve">ALCD3ir</t>
  </si>
  <si>
    <t xml:space="preserve">Alcohol dehydrogenase Propanal</t>
  </si>
  <si>
    <t xml:space="preserve">1-Propanol_p + H+_p &lt;=&gt; 1-Propanol_c + H+_c</t>
  </si>
  <si>
    <t xml:space="preserve">PPOHt2pp</t>
  </si>
  <si>
    <t xml:space="preserve">Propanol transport via proton symport (periplasm)</t>
  </si>
  <si>
    <t xml:space="preserve">Not in iJO1366 model but does exist in the Geobacter metallireducens iAF987 model.</t>
  </si>
  <si>
    <t xml:space="preserve">1-Propanol_e &lt;=&gt; 1-Propanol_p</t>
  </si>
  <si>
    <t xml:space="preserve">PPOHtex</t>
  </si>
  <si>
    <t xml:space="preserve">Propanol transport via diffusion (extracellular to periplasm)</t>
  </si>
  <si>
    <t xml:space="preserve">1-Propanol_e &lt;=&gt;</t>
  </si>
  <si>
    <t xml:space="preserve">EX_ppoh_e</t>
  </si>
  <si>
    <t xml:space="preserve">Propanol exchange</t>
  </si>
  <si>
    <t xml:space="preserve">Based on boiling point &gt;37degC, assuming proton symporter used for C &lt;=&gt; P, and diffusion for P &lt;=&gt; E. Agrees with instance of 1-propanol transport that exists in the BiGG Geobacter metallireducens iAF987 model.</t>
  </si>
  <si>
    <t xml:space="preserve">Matsubara (2016): https://pubmed.ncbi.nlm.nih.gov/27072298/</t>
  </si>
  <si>
    <t xml:space="preserve">KEGG (Lactaldehyde reductase R or S forming): https://www.genome.jp/dbget-bin/www_bget?ec:1.1.1.77</t>
  </si>
  <si>
    <t xml:space="preserve">BioCyc ((S)-Propanediol dehydratase): https://biocyc.org/META/NEW-IMAGE?type=REACTION-IN-PATHWAY&amp;object=PROPANEDIOL-DEHYDRATASE-RXN</t>
  </si>
  <si>
    <t xml:space="preserve">BioCyc (propanol dehydrogenase): https://biocyc.org/gene?orgid=META&amp;id=STM2052</t>
  </si>
  <si>
    <t xml:space="preserve">1-Propanol PW2 (ketoacids)</t>
  </si>
  <si>
    <t xml:space="preserve">Shen (2008) use natural amino acid metabolism in E.coli for 2-oxobutanoate production (via Threonine), then use two exogenous genes to convert 2-oxobutanoate the propanal (rxnID: 2OBDC) and then to 1-propanol (rxnID: ALCD3ir). 2-oxobutanoate (aka 2-ketoburytate) is "a common keto-acid intermediate for isoleucine biosynthesis."</t>
  </si>
  <si>
    <t xml:space="preserve">TCA=&gt;Oxaloacetate (+ L-glutamate) --&gt; L-Aspartate (+2-oxoglutarate) --&gt; L-Aspartyl 4-P  --&gt; L-aspartate 4-semialdehyde --&gt; L-homoserine --&gt; O-phospho-L-homoserine --&gt; L-threonine</t>
  </si>
  <si>
    <t xml:space="preserve">Native steps, for reference. See rxnIDs: ASPTA, ASPK, ASAD, HSDy, HSK, and THRS. </t>
  </si>
  <si>
    <t xml:space="preserve">thr__L_c → 2obut_c + nh4_c</t>
  </si>
  <si>
    <t xml:space="preserve">THRD_L</t>
  </si>
  <si>
    <t xml:space="preserve">L-threonine deaminase</t>
  </si>
  <si>
    <t xml:space="preserve">Reaction included for reference to show connection to natural E.coli metabolism.</t>
  </si>
  <si>
    <t xml:space="preserve">2-oxobutanoate + H+ --&gt; Propanal + CO2</t>
  </si>
  <si>
    <t xml:space="preserve">2OBDC</t>
  </si>
  <si>
    <t xml:space="preserve">2-oxobutanoate decarboxylase</t>
  </si>
  <si>
    <t xml:space="preserve">Not in BiGG database. Reaction is catalyzed by promiscuous 2-ketoacid decarboxylase (KivD), who’s natural activity does exist in the BiGG database in the S. cerevisiae model iMM904 under the rxn ID:  3MOBDC. </t>
  </si>
  <si>
    <t xml:space="preserve">Not in iJO366 but exists in other BiGG models, including other E. coli models. In Shen (2008) they use ADH2 from S. cerevisiae.</t>
  </si>
  <si>
    <t xml:space="preserve">BioCyc (kivD): https://metacyc.org/gene?orgid=META&amp;id=G-10082</t>
  </si>
  <si>
    <t xml:space="preserve">BioCyc (ADH2): https://metacyc.org/gene?orgid=META&amp;id=YMR303C</t>
  </si>
  <si>
    <t xml:space="preserve">Shen (2008): https://www.sciencedirect.com/science/article/pii/S1096717608000487#fig1</t>
  </si>
  <si>
    <t xml:space="preserve">Liang (2020): https://www.frontiersin.org/articles/10.3389/fbioe.2020.00710/full</t>
  </si>
  <si>
    <t xml:space="preserve">2,3-Butanediol</t>
  </si>
  <si>
    <t xml:space="preserve">Pathway makes (R R)-2,3-butanediol.</t>
  </si>
  <si>
    <t xml:space="preserve">2Pyruvate + H+ --&gt; (S)-2-Acetolactate  + CO2</t>
  </si>
  <si>
    <t xml:space="preserve">ACLS</t>
  </si>
  <si>
    <t xml:space="preserve">Acetolactate synthase [alsS]</t>
  </si>
  <si>
    <t xml:space="preserve">(S)-2-Acetolactate + H+ --&gt; Acetoin + CO2</t>
  </si>
  <si>
    <t xml:space="preserve">ACLDC</t>
  </si>
  <si>
    <t xml:space="preserve">Acetolactate decarboxylase [alsD]</t>
  </si>
  <si>
    <t xml:space="preserve">Not in iJO1366 but does exist in other BiGG models, including the Clostridium ljungdahlii iHN637 model.</t>
  </si>
  <si>
    <t xml:space="preserve"> 2,3-Butanediol + NAD+ &lt;=&gt; Acetoin + NADH + H+</t>
  </si>
  <si>
    <t xml:space="preserve">BTD_RR</t>
  </si>
  <si>
    <t xml:space="preserve">2,3-Butanediol dehydrogenase/Acetoin reductase</t>
  </si>
  <si>
    <t xml:space="preserve">Not in iJO1366 but does exist in other BiGG models, including the Clostridium ljungdahlii iHN637 model. Reaction shown in same direction as in BiGG database, but reverse reaction is needed for this pathway.</t>
  </si>
  <si>
    <t xml:space="preserve">2,3-Butanediol_p + H+_p &lt;=&gt; 2,3-Butanediol_c + H+_c</t>
  </si>
  <si>
    <t xml:space="preserve">BTDRRt2rpp</t>
  </si>
  <si>
    <t xml:space="preserve">2,3-Butanediol transport via proton symport (periplasm)</t>
  </si>
  <si>
    <t xml:space="preserve">2,3-Butanediol_e &lt;=&gt; 2,3-Butanediol_p</t>
  </si>
  <si>
    <t xml:space="preserve">BTDRRtex</t>
  </si>
  <si>
    <t xml:space="preserve">2,3-Butanediol transport via diffusion (extracellular to periplasm)</t>
  </si>
  <si>
    <t xml:space="preserve">2,3-Butanediol_e &lt;=&gt;</t>
  </si>
  <si>
    <t xml:space="preserve">EX_btd_RR_e</t>
  </si>
  <si>
    <t xml:space="preserve">2,3-Butanediol exchange</t>
  </si>
  <si>
    <t xml:space="preserve">Not in iJO1366 model but does exist in other BiGG models.</t>
  </si>
  <si>
    <t xml:space="preserve">Based on boiling point &gt;37degC, assuming proton symporter used for C &lt;=&gt; P, and diffusion for P &lt;=&gt; E.  2,3-Butanediol transport exists in BiGG database as either diffusion from C &lt;=&gt; E or proton symporter form C &lt;=&gt; E. Creating new reactions/IDs here.</t>
  </si>
  <si>
    <t xml:space="preserve">Park (2020): https://link.springer.com/content/pdf/10.1007/s12257-019-0306-0.pdf</t>
  </si>
  <si>
    <t xml:space="preserve">Boecker (2021): https://microbialcellfactories.biomedcentral.com/articles/10.1186/s12934-021-01554-x</t>
  </si>
  <si>
    <t xml:space="preserve">2-Methyl-1-butanol</t>
  </si>
  <si>
    <t xml:space="preserve">Based on S. cerevisiae iMM904 model it seems that the aldehyde dehydrogenase can be NADH or NADPH-dependent. Added both to model so either can be used, depending on which is more beneficial.</t>
  </si>
  <si>
    <t xml:space="preserve">(1) PEP --&gt; pyruvate
(2) PEP --&gt; OAA -----------&gt; Threonine --&gt; 2-oxobutanoate  + pyruvate --&gt; 2-aceto-2hydroxybutyrate --&gt; 2,3-dihydroxy-3-methylpentanoate --&gt; 3-methyl-2-oxopentanoate</t>
  </si>
  <si>
    <t xml:space="preserve">Native steps, for reference. See rxnIDs THRD_L, ACHBS, KARA2, DHAD2</t>
  </si>
  <si>
    <t xml:space="preserve">3-Methyl-2-oxopentanoate + H+ --&gt; 2-Methylbutyraldehyde + CO2</t>
  </si>
  <si>
    <t xml:space="preserve">3MOPDC</t>
  </si>
  <si>
    <t xml:space="preserve">3-Methyl 2-oxopentanoate decarboxylase</t>
  </si>
  <si>
    <t xml:space="preserve">Not in iJO1355 model but exists in S. Cerevisiae model iMM904.</t>
  </si>
  <si>
    <t xml:space="preserve">2-Methylbutyraldehyde + NADH + H+ --&gt; 2-Methyl-1-butanol + NAD</t>
  </si>
  <si>
    <t xml:space="preserve">ALCD22xi</t>
  </si>
  <si>
    <t xml:space="preserve">Aldehyde dehydrogenase 2-methylbutanol NAD</t>
  </si>
  <si>
    <t xml:space="preserve">2-Methylbutyraldehyde + NADPH + H+ --&gt; 2-Methyl-1-butanol + NADP</t>
  </si>
  <si>
    <t xml:space="preserve">ALCD22yi</t>
  </si>
  <si>
    <t xml:space="preserve">Aldehyde dehydrogenase 2-methylbutanol NADP</t>
  </si>
  <si>
    <t xml:space="preserve">2-methyl-1-butanol_p + H+_p &lt;=&gt; 2-methyl-1-butanol_c + H+_c</t>
  </si>
  <si>
    <t xml:space="preserve">2MBTOHtpp</t>
  </si>
  <si>
    <t xml:space="preserve">2-methyl-1-butanol transport via proton symport (periplasm)</t>
  </si>
  <si>
    <t xml:space="preserve">Not in BiGG database, but 2-methyl-1-butanol transport exists in the S. cerevisiae iMM904 model as free diffusion between the extra-cellular space and the cytoplasm (rxnID 2MBTOHp). Cann (2008) doesn’t mention anything about transport for 2-methyl-1-butanol, but it seems to be an extra-cellular product. Based on boiling point &gt;37degC, assuming proton symporter used.</t>
  </si>
  <si>
    <t xml:space="preserve">2-methyl-1-butanol_e &lt;=&gt; 2-methyl-1-butanol_p</t>
  </si>
  <si>
    <t xml:space="preserve">2MBTOHtex</t>
  </si>
  <si>
    <t xml:space="preserve">2-methyl-1-butanol transporter via diffusion (extracellular to periplasm)</t>
  </si>
  <si>
    <t xml:space="preserve">Not in BiGG database, but 2-methyl-1-butanol transport exists in the S. cerevisiae iMM904 model as free diffusion between the extra-cellular space and the cytoplasm (rxnID 2MBTOHp).   Cann (2008) doesn’t mention anything about transport for 2-methyl-1-butanol, but it seems to be an extra-cellular product. Based on boiling point &gt;37degC, assuming proton symporter used for C &lt;=&gt; P, and diffusion for P &lt;=&gt; E.</t>
  </si>
  <si>
    <t xml:space="preserve">2-methyl-1-butanol_e &lt;=&gt; </t>
  </si>
  <si>
    <t xml:space="preserve">EX_2mbtoh_e</t>
  </si>
  <si>
    <t xml:space="preserve">2-methyl-1-butanol exchange</t>
  </si>
  <si>
    <t xml:space="preserve">Not in iJO1366, but exists in the S. cerevisiease iMM904 model.</t>
  </si>
  <si>
    <t xml:space="preserve">2-methyl-1-butanol transport exists in the S. cerevisiae iMM904 model as free diffusion between the extra-cellular space and the cytoplasm (rxnID 2MBTOHp). Cann (2008) doesn’t mention anything about transport for 2-methyl-1-butanol, but it seems to be an extra-cellular product. Based on boiling point &gt;37degC, assuming proton symporter used for C &lt;=&gt; P, and diffusion for P &lt;=&gt; E.</t>
  </si>
  <si>
    <t xml:space="preserve">Cann (2008): https://pubmed.ncbi.nlm.nih.gov/18758769/</t>
  </si>
  <si>
    <t xml:space="preserve">2-Pyrone-4-6-Dicarboxylate</t>
  </si>
  <si>
    <t xml:space="preserve">PEP + E4P (both from glyceraldehyde 3-P) --&gt; 3-deoxy- D -arabinoheptulosonate 7-phosphate --&gt; 3-dehydroquinate --&gt; 3-dehydroshikimate</t>
  </si>
  <si>
    <t xml:space="preserve">3-Dehydroshikimate &lt;=&gt; 3,4-Dihydroxybenzoate + H2O</t>
  </si>
  <si>
    <t xml:space="preserve">DHSKDH</t>
  </si>
  <si>
    <t xml:space="preserve">Dehydroshikimate dehydratase</t>
  </si>
  <si>
    <t xml:space="preserve">Not in iJO1366 model but exists in a couple P. Putida models.</t>
  </si>
  <si>
    <t xml:space="preserve"> 3,4-Dihydroxybenzoate + O2 &lt;=&gt; 4-carboxy-2-hydroxy-muconate-6-semialdehyde + H+</t>
  </si>
  <si>
    <t xml:space="preserve">PC45DC</t>
  </si>
  <si>
    <t xml:space="preserve">Protocatechuate 4,5-dioxygenase </t>
  </si>
  <si>
    <t xml:space="preserve">Doesn’t appear to exist in any BiGG models. But is similar to reaction PCADYOX for protocatechuate 3,4-dioxygenase. Enzyme also called Protocatechuate decarboxylase. Reaction as reported on MetaCy.</t>
  </si>
  <si>
    <t xml:space="preserve">4-carboxy-2-hydroxymuconate-6-semialdehyde + NADP &lt;=&gt; 2-Pyrone-4,6-dicarboxylate + NADPH + H+</t>
  </si>
  <si>
    <t xml:space="preserve">CHMSDH2</t>
  </si>
  <si>
    <t xml:space="preserve">CHMS dehydrogenase</t>
  </si>
  <si>
    <t xml:space="preserve">Doesn’t appear to exist in any BiGG models. In the Lou (2018) paper, it’s referred to as CHMS dehydrogenase. Reaction is as reported on MetaCyc for HCMS dehydrogenase in Pseudomonas straminea, reportedly part of the protocatechuate degradation pathway. HCMS and CHMS refer to the same thing... just indicate reversal of naming convention. Note that CHMS dehydrogenase exists in the BiGG database under the rxnID CHMSDH, but is for a different reaction. Hence different rxnID was needed here.</t>
  </si>
  <si>
    <t xml:space="preserve">2-pyrone-4-6-dicarboxylate_p + H+_p &lt;=&gt; 2-pyrone-4-6-dicarboxylate_c + H+_c</t>
  </si>
  <si>
    <t xml:space="preserve">2P46DCtpp</t>
  </si>
  <si>
    <t xml:space="preserve">2-pyrone-4-6-dicarboxylate transport via proton symport (periplasm)</t>
  </si>
  <si>
    <t xml:space="preserve">2-pyrone-4-6-dicarboxylate_e &lt;=&gt; 2-pyrone-4-6-dicarboxylate_p</t>
  </si>
  <si>
    <t xml:space="preserve">2P46DCtex</t>
  </si>
  <si>
    <t xml:space="preserve">2-pyrone-4-6-dicarboxylate transporter via diffusion (extracellular to periplasm)</t>
  </si>
  <si>
    <t xml:space="preserve">2-pyrone-4-6-dicarboxylate_e &lt;=&gt; </t>
  </si>
  <si>
    <t xml:space="preserve">EX_2p46dc_e</t>
  </si>
  <si>
    <t xml:space="preserve">2-pyrone-4-6-dicarboxylate exchange</t>
  </si>
  <si>
    <t xml:space="preserve">Luo (2018) measured PDC production by pelletizing cells, and then analyzing the supernatant, suggesting that PDC is extracellular product. Based on boiling point &gt;37degC, assuming proton symporter used for C &lt;=&gt; P, and diffusion for P &lt;=&gt; E.</t>
  </si>
  <si>
    <t xml:space="preserve">Luo (2018): https://pubs.acs.org/doi/10.1021/acssynbio.8b00281</t>
  </si>
  <si>
    <t xml:space="preserve">MetaCyc (HCMS dehydrogenase): https://metacyc.org/gene?orgid=META&amp;id=MONOMER-8501</t>
  </si>
  <si>
    <t xml:space="preserve">3-Methyl-1-pentanol</t>
  </si>
  <si>
    <t xml:space="preserve">Synthetic pathway developed using enzymes from the leucine synthesis pathway in E. coli: Zhang (2008) engineered enzymes from leucine synthesis pathway in E.coli, which typically catalyze reactions for compounds with one less carbon (ie. start with 3-methyl-2-oxobutanoate instead of 3-methyl-2-oxopentanoate). Thus for each of the leucine pathway steps the substrate has +CH2 compared to its conventional substrate. For informational purposes, the names of the natural metabolites are included next to the metabolite names in this pathway, in the Metabolites sheet. The Leucine pathway overlap stops at 4-methyl-2-hexanoate (4-methyl-2-oxopentanoate in the natural pathway). From here, a decarboxylation step and a dehydrogenase step are used to obtain the final alcohol: 3-methyl-1-pentanol. It should be noted that while they engineered this pathway in E.coli to preferentially produce 3-methyl-1-pentanol, they still obtained a mixture of alcohol products. It is unlikely that pure 3-methyl-1-pentanol could be obtained. However, given the desired application (ie. jet fuel), a mixture is likely okay anyways.</t>
  </si>
  <si>
    <t xml:space="preserve">Oxaloacetate -------&gt; L-threonine --&gt; 2-oxobutanoate (2-ketobutyrate) --------&gt; (S)-3-Methyl-2-oxopentanoate</t>
  </si>
  <si>
    <t xml:space="preserve">(S)-3-Methyl-2-oxopentanoate + Acetyl-CoA + H2O --&gt; 2-hydroxy-2-(1-methylpropyl)butyrate + CoA + H+</t>
  </si>
  <si>
    <t xml:space="preserve">IPPS_C8</t>
  </si>
  <si>
    <t xml:space="preserve">2-Isopropylmalate synthase</t>
  </si>
  <si>
    <t xml:space="preserve">Not in BiGG database, but modelled after IPPS reaction in iJO1366 model.</t>
  </si>
  <si>
    <r>
      <rPr>
        <sz val="11"/>
        <color rgb="FF000000"/>
        <rFont val="arial"/>
        <family val="2"/>
        <charset val="1"/>
      </rPr>
      <t xml:space="preserve">2-hydroxy-2-(1-methylpropyl)butyrate</t>
    </r>
    <r>
      <rPr>
        <b val="true"/>
        <sz val="10"/>
        <color rgb="FF000000"/>
        <rFont val="arial"/>
        <family val="2"/>
        <charset val="1"/>
      </rPr>
      <t xml:space="preserve"> &lt;=&gt; </t>
    </r>
    <r>
      <rPr>
        <sz val="11"/>
        <color rgb="FF000000"/>
        <rFont val="arial"/>
        <family val="2"/>
        <charset val="1"/>
      </rPr>
      <t xml:space="preserve">2-butan-2-yl but-2-enedioate</t>
    </r>
    <r>
      <rPr>
        <sz val="10"/>
        <color rgb="FF000000"/>
        <rFont val="arial"/>
        <family val="2"/>
        <charset val="1"/>
      </rPr>
      <t xml:space="preserve"> + H2O</t>
    </r>
  </si>
  <si>
    <t xml:space="preserve">IPPMIb_C8</t>
  </si>
  <si>
    <t xml:space="preserve">2-Isopropylmalate dehydratase</t>
  </si>
  <si>
    <t xml:space="preserve">Not in BiGG database, but modelled after IPPMIb reaction in iJO1366 model, which is actually in reverse direction from what is shown here.</t>
  </si>
  <si>
    <r>
      <rPr>
        <sz val="11"/>
        <color rgb="FF000000"/>
        <rFont val="arial"/>
        <family val="2"/>
        <charset val="1"/>
      </rPr>
      <t xml:space="preserve">2-butan-2-yl but-2-enedioate</t>
    </r>
    <r>
      <rPr>
        <sz val="10"/>
        <color rgb="FF000000"/>
        <rFont val="arial"/>
        <family val="2"/>
        <charset val="1"/>
      </rPr>
      <t xml:space="preserve"> + H2O &lt;=&gt;</t>
    </r>
    <r>
      <rPr>
        <sz val="11"/>
        <color rgb="FF000000"/>
        <rFont val="arial"/>
        <family val="2"/>
        <charset val="1"/>
      </rPr>
      <t xml:space="preserve">2-butan-2-yl-3-hydroxybutyrate</t>
    </r>
  </si>
  <si>
    <t xml:space="preserve">IPPMIa_C8</t>
  </si>
  <si>
    <t xml:space="preserve">2-Isopropylmaleate hydratase</t>
  </si>
  <si>
    <t xml:space="preserve">Not in BiGG database, but modelled after IPPMIa reaction in iJO1366 model, which is actually in reverse direction from what is shown here.</t>
  </si>
  <si>
    <t xml:space="preserve">2-butan-2-yl-3-hydroxybutyrate + NAD --&gt; 2-butan-2-yl-3-oxobutyrate + NADH + H+</t>
  </si>
  <si>
    <t xml:space="preserve">IPMD_C8</t>
  </si>
  <si>
    <t xml:space="preserve">3-Isopropylmalate dehydrogenase</t>
  </si>
  <si>
    <t xml:space="preserve">Not in BiGG database, but modelled after IPMD reaction in iJO1366 model.</t>
  </si>
  <si>
    <t xml:space="preserve">2-butan-2-yl-3-oxobutyrate + H+ --&gt; 4-Methyl-2-oxohexanoate+ CO2</t>
  </si>
  <si>
    <t xml:space="preserve">OMCDC_C8</t>
  </si>
  <si>
    <t xml:space="preserve">2-butan-2-yl-3-oxobutyrate decarboxylation (spontaneous)</t>
  </si>
  <si>
    <t xml:space="preserve">Not in BiGG database, but modelled after OMCDC in the iJO1366 model (&amp; IPMD2 in the Staphyloccous aureus model iYS854). It’s the same decarboxylate reaction but forming oxohexanoate instead of oxopentanoate. The reaction is spontaneous.</t>
  </si>
  <si>
    <r>
      <rPr>
        <sz val="11"/>
        <color rgb="FF000000"/>
        <rFont val="arial"/>
        <family val="2"/>
        <charset val="1"/>
      </rPr>
      <t xml:space="preserve">4-Methyl-2-oxohexanoate </t>
    </r>
    <r>
      <rPr>
        <sz val="10"/>
        <color rgb="FF000000"/>
        <rFont val="arial"/>
        <family val="2"/>
        <charset val="1"/>
      </rPr>
      <t xml:space="preserve">+ H+ --&gt;</t>
    </r>
    <r>
      <rPr>
        <sz val="11"/>
        <color rgb="FF000000"/>
        <rFont val="arial"/>
        <family val="2"/>
        <charset val="1"/>
      </rPr>
      <t xml:space="preserve">3-Methylpentanal</t>
    </r>
    <r>
      <rPr>
        <sz val="10"/>
        <color rgb="FF000000"/>
        <rFont val="arial"/>
        <family val="2"/>
        <charset val="1"/>
      </rPr>
      <t xml:space="preserve"> + CO2</t>
    </r>
  </si>
  <si>
    <t xml:space="preserve">4MOHDC</t>
  </si>
  <si>
    <t xml:space="preserve">4-Methyl-2-oxohexanoate decarboxylase</t>
  </si>
  <si>
    <t xml:space="preserve">Not in BiGG database, but modelled after 4MOPDC in the S. cerevisiae iMM904 model. In the Zhang (2008) paper they used 2-keotisovalerate decarboxylase (KIVD) from Lactoccocus lactis.</t>
  </si>
  <si>
    <r>
      <rPr>
        <sz val="11"/>
        <color rgb="FF000000"/>
        <rFont val="arial"/>
        <family val="2"/>
        <charset val="1"/>
      </rPr>
      <t xml:space="preserve">3-Methylpentanal</t>
    </r>
    <r>
      <rPr>
        <sz val="10"/>
        <color rgb="FF000000"/>
        <rFont val="arial"/>
        <family val="2"/>
        <charset val="1"/>
      </rPr>
      <t xml:space="preserve">+ NADPH + H+ --&gt; </t>
    </r>
    <r>
      <rPr>
        <sz val="11"/>
        <color rgb="FF000000"/>
        <rFont val="arial"/>
        <family val="2"/>
        <charset val="1"/>
      </rPr>
      <t xml:space="preserve">3-Methyl-1-pentanol</t>
    </r>
    <r>
      <rPr>
        <sz val="10"/>
        <color rgb="FF000000"/>
        <rFont val="arial"/>
        <family val="2"/>
        <charset val="1"/>
      </rPr>
      <t xml:space="preserve">  + NADP</t>
    </r>
  </si>
  <si>
    <t xml:space="preserve">ALDH3M1P</t>
  </si>
  <si>
    <t xml:space="preserve">Aldehyde dehydrogenase 3-methyl-1-pentanol (NADP) </t>
  </si>
  <si>
    <t xml:space="preserve">Not in BiGG database, but modelled after ALCD24yi in the S. cerevisiae iMM904 model. In the Zhang (2008) paper they used alcohol dehydrogenase VI (ADH6) from S. cerevisiae.</t>
  </si>
  <si>
    <t xml:space="preserve">3-methyl-1-pentanol_p + H+_p &lt;=&gt; 3-methyl-1-pentanol_c + H+_c</t>
  </si>
  <si>
    <t xml:space="preserve">3MPTOHtpp</t>
  </si>
  <si>
    <t xml:space="preserve">3-methyl-1-pentanol transport via proton symport (periplasm)</t>
  </si>
  <si>
    <t xml:space="preserve">3-methyl-1-pentanol_e &lt;=&gt; 3-methyl-1-pentanol_p</t>
  </si>
  <si>
    <t xml:space="preserve">3MPTOHtex</t>
  </si>
  <si>
    <t xml:space="preserve">3-methyl-1-pentanol transport via diffusion (extracellular to periplasm)</t>
  </si>
  <si>
    <t xml:space="preserve">3-methyl-1-pentanol_e &lt;=&gt; </t>
  </si>
  <si>
    <t xml:space="preserve">EX_3mptoh_e</t>
  </si>
  <si>
    <t xml:space="preserve">3-methyl-1-pentanol exchange</t>
  </si>
  <si>
    <t xml:space="preserve">Zhang (2008) doesn’t mention anything about product transport, sample analysis suggestes it’s an extra-cellular product. 1-methyl-butanol transport in the S. cerevisiae model is via diffusion, but there’s no instance of 3-methyl-1-pentanol transport in BiGG database. Based on boiling point &gt;37degC, assuming proton symporter used for C &lt;=&gt; P, and diffusion for P &lt;=&gt; E.</t>
  </si>
  <si>
    <t xml:space="preserve">Zhang (2008): https://www.ncbi.nlm.nih.gov/pmc/articles/PMC2634914/?tool=pmcentrez&amp;report=abstract</t>
  </si>
  <si>
    <r>
      <rPr>
        <sz val="11"/>
        <rFont val="arial"/>
        <family val="2"/>
        <charset val="1"/>
      </rPr>
      <t xml:space="preserve">MetaCyc (L-leucine biosynthesis): </t>
    </r>
    <r>
      <rPr>
        <u val="single"/>
        <sz val="11"/>
        <color rgb="FF0563C1"/>
        <rFont val="arial"/>
        <family val="2"/>
        <charset val="1"/>
      </rPr>
      <t xml:space="preserve">https://biocyc.org/ECOLI/NEW-IMAGE?type=PATHWAY&amp;object=LEUSYN-PWY#</t>
    </r>
  </si>
  <si>
    <t xml:space="preserve">4-Hydroxystyrene</t>
  </si>
  <si>
    <t xml:space="preserve">Pathway uses native shikimate pathway (see Shikimate production pathway), then shikimate is converted to L-Tyrosine via chorismate (native pathways). Tyrosine converted to hydroxystyrene in two steps, catalyzed by Tyrosine ammonia-lyase (TYRAL) and hydroxycinnamate dehydrogenase (HCDH).</t>
  </si>
  <si>
    <t xml:space="preserve">PEP + E4P (both from glyceraldehyde 3-P) --&gt; 3-deoxy- D -arabinoheptulosonate 7-phosphate --&gt; 3-dehydroquinate --&gt; 3-dehydroshikimate --&gt; shikimate</t>
  </si>
  <si>
    <r>
      <rPr>
        <sz val="11"/>
        <color rgb="FF0618F6"/>
        <rFont val="arial"/>
        <family val="2"/>
        <charset val="1"/>
      </rPr>
      <t xml:space="preserve">Shikimate + ATP</t>
    </r>
    <r>
      <rPr>
        <sz val="11"/>
        <color rgb="FF0618F6"/>
        <rFont val="Calibri"/>
        <family val="2"/>
        <charset val="1"/>
      </rPr>
      <t xml:space="preserve"> --&gt; </t>
    </r>
    <r>
      <rPr>
        <sz val="11"/>
        <color rgb="FF0618F6"/>
        <rFont val="arial"/>
        <family val="2"/>
        <charset val="1"/>
      </rPr>
      <t xml:space="preserve">Shikimate 5-phosphate + ADP + H+</t>
    </r>
  </si>
  <si>
    <t xml:space="preserve">SHKK</t>
  </si>
  <si>
    <t xml:space="preserve">Shikimate kinase</t>
  </si>
  <si>
    <t xml:space="preserve">*In literature this reaction is reported to produce shikimate 3-phosphate, but in iJO1366 model it’s shikimate 5-phosphate (modeling results should be the same either way...).</t>
  </si>
  <si>
    <r>
      <rPr>
        <sz val="11"/>
        <color rgb="FF0618F6"/>
        <rFont val="arial"/>
        <family val="2"/>
        <charset val="1"/>
      </rPr>
      <t xml:space="preserve">Shikimate 5-phosphate + Phosphoenolpyruvate</t>
    </r>
    <r>
      <rPr>
        <sz val="11"/>
        <color rgb="FF0618F6"/>
        <rFont val="Calibri"/>
        <family val="2"/>
        <charset val="1"/>
      </rPr>
      <t xml:space="preserve"> &lt;=&gt; </t>
    </r>
    <r>
      <rPr>
        <sz val="11"/>
        <color rgb="FF0618F6"/>
        <rFont val="arial"/>
        <family val="2"/>
        <charset val="1"/>
      </rPr>
      <t xml:space="preserve">5-O-(1-Carboxyvinyl)-3-phosphoshikimate + Pi</t>
    </r>
  </si>
  <si>
    <t xml:space="preserve">PSCVT</t>
  </si>
  <si>
    <t xml:space="preserve">3-phosphoshikimate 1-carboxyvinyltransferase</t>
  </si>
  <si>
    <t xml:space="preserve">*In literature this reaction is reported to consume shikimate 3-phosphate, but in iJO1366 model it’s shikimate 5-phosphate (modeling results should be the same either way...).</t>
  </si>
  <si>
    <r>
      <rPr>
        <sz val="11"/>
        <color rgb="FF0B2AF3"/>
        <rFont val="arial"/>
        <family val="2"/>
        <charset val="1"/>
      </rPr>
      <t xml:space="preserve">5-O-(1-Carboxyvinyl)-3-phosphoshikimate</t>
    </r>
    <r>
      <rPr>
        <sz val="11"/>
        <color rgb="FF0618F6"/>
        <rFont val="arial"/>
        <family val="2"/>
        <charset val="1"/>
      </rPr>
      <t xml:space="preserve"> --&gt; Chorismate + Pi</t>
    </r>
  </si>
  <si>
    <t xml:space="preserve">CHORS</t>
  </si>
  <si>
    <t xml:space="preserve">Chorismate synthase</t>
  </si>
  <si>
    <t xml:space="preserve">Chorismate --&gt; Prephenate</t>
  </si>
  <si>
    <t xml:space="preserve">CHORM</t>
  </si>
  <si>
    <t xml:space="preserve">Chorismate mutase</t>
  </si>
  <si>
    <r>
      <rPr>
        <sz val="11"/>
        <color rgb="FF0618F6"/>
        <rFont val="arial"/>
        <family val="2"/>
        <charset val="1"/>
      </rPr>
      <t xml:space="preserve">Prephenate + NAD --&gt; </t>
    </r>
    <r>
      <rPr>
        <sz val="11"/>
        <color rgb="FF0511FB"/>
        <rFont val="arial"/>
        <family val="2"/>
        <charset val="1"/>
      </rPr>
      <t xml:space="preserve">3-(4-Hydroxyphenyl)pyruvate+ </t>
    </r>
    <r>
      <rPr>
        <sz val="11"/>
        <color rgb="FF0618F6"/>
        <rFont val="arial"/>
        <family val="2"/>
        <charset val="1"/>
      </rPr>
      <t xml:space="preserve">CO2 + NADH</t>
    </r>
  </si>
  <si>
    <t xml:space="preserve">PPNDH</t>
  </si>
  <si>
    <t xml:space="preserve">Prephenate dehydrogenase</t>
  </si>
  <si>
    <t xml:space="preserve">L-Tyrosine + Alpha-ketoglutarate &lt;=&gt; 3-(4-Hydroxyphenyl)pyruvate + L-Glutamate</t>
  </si>
  <si>
    <t xml:space="preserve">TYRTA</t>
  </si>
  <si>
    <t xml:space="preserve">Tyrosine transaminase</t>
  </si>
  <si>
    <t xml:space="preserve">L-Tyrosine  --&gt;  Trans 4-Hydroxycinnamate(coumaric acid) + Ammonium</t>
  </si>
  <si>
    <t xml:space="preserve">TYRAL</t>
  </si>
  <si>
    <t xml:space="preserve">Tyrosine ammonia-lyase</t>
  </si>
  <si>
    <t xml:space="preserve">Doesn’t exist in any BiGG models. Thompson (2015) report that PAL enzyme can be engineered to be active on tyrosine rather than phenylalanine by a single enzyme substitution.</t>
  </si>
  <si>
    <t xml:space="preserve">Trans 4-Hydroxycinnamate(coumaric acid) + H+ --&gt; Hydroxystyrene + CO2</t>
  </si>
  <si>
    <t xml:space="preserve">HCDH</t>
  </si>
  <si>
    <t xml:space="preserve">Hydroxycinnamate dehydrogenase</t>
  </si>
  <si>
    <t xml:space="preserve">Doesn’t exist in any BiGG models.  Gene: padC or FDC1 (reported in Thompson (2015)).</t>
  </si>
  <si>
    <t xml:space="preserve">Hydroxystyrene_p + H+_p &lt;=&gt; Hydroxystyrene_c + H+_c</t>
  </si>
  <si>
    <t xml:space="preserve">HXSTt2rpp</t>
  </si>
  <si>
    <t xml:space="preserve">Hydroxystyrene transport via proton symport (periplasm)</t>
  </si>
  <si>
    <t xml:space="preserve">Hydroxystyrene_e &lt;=&gt; Hydroxystyrene_p</t>
  </si>
  <si>
    <t xml:space="preserve">HXSTtex</t>
  </si>
  <si>
    <t xml:space="preserve">Hydroxystyrene transport via diffusion (extracellular to periplasm)</t>
  </si>
  <si>
    <t xml:space="preserve">Hydroxystyrene_e &lt;=&gt;</t>
  </si>
  <si>
    <t xml:space="preserve">EX_hxst_e</t>
  </si>
  <si>
    <t xml:space="preserve">Hydroxystyrene exchange</t>
  </si>
  <si>
    <t xml:space="preserve">Based on boiling point &gt;37degC, assuming proton symporter used for C &lt;=&gt; P, and diffusion for P &lt;=&gt; E. No instances of hydroxystyrene transport exist in BiGG database.</t>
  </si>
  <si>
    <t xml:space="preserve">Thompson (2015): https://www.sciencedirect.com/science/article/pii/S0958166915000981#fig0015</t>
  </si>
  <si>
    <t xml:space="preserve">BioCyc (Chorismate biosynthesis): https://biocyc.org/ECOLI/NEW-IMAGE?type=PATHWAY&amp;object=ARO-PWY</t>
  </si>
  <si>
    <t xml:space="preserve">MetaCyc (hydroxycinnamate dehydrogenase): https://metacyc.org/META/NEW-IMAGE?type=REACTION&amp;object=RXN-802</t>
  </si>
  <si>
    <t xml:space="preserve">5-Aminopentanoate (5-Aminovalerate)</t>
  </si>
  <si>
    <t xml:space="preserve">Oxaloacetate --&gt; Aspartate --&gt; Aspartate -semialdehyde ---&gt; L-Lysine</t>
  </si>
  <si>
    <t xml:space="preserve">L-Lysine + O2 &lt;=&gt; 5-Aminopentanamide + CO2 + H2O + H+</t>
  </si>
  <si>
    <t xml:space="preserve">LYSMO</t>
  </si>
  <si>
    <t xml:space="preserve">Lysine Oxygenase</t>
  </si>
  <si>
    <t xml:space="preserve">Not in iJO1366, but exists in two P. Putida models (iJN1463 and iJN746).</t>
  </si>
  <si>
    <t xml:space="preserve">5-Aminopentanamide + H2O + H+ &lt;=&gt; 5-Aminopentanoate + Ammonium</t>
  </si>
  <si>
    <t xml:space="preserve">APENTAMAH2</t>
  </si>
  <si>
    <t xml:space="preserve">5 aminopentanamide amidohydrolase</t>
  </si>
  <si>
    <t xml:space="preserve">Not in iJO1366, but exists in two P. Putida models under two different rxnIDs (slightly different rxns:  APENTAMAH2 and  APENTAMAH), using APENTAMAH2 reaction from iJN1463.</t>
  </si>
  <si>
    <t xml:space="preserve">5-Aminopentanoate_p + H+_p &lt;=&gt; 5-Aminopentanoate_c + H+_c</t>
  </si>
  <si>
    <t xml:space="preserve">5APTNtpp</t>
  </si>
  <si>
    <t xml:space="preserve">5-aminopentanoate transport via proton symport (periplasm)</t>
  </si>
  <si>
    <t xml:space="preserve">Not in iJO1366, nor any other BiGG model.</t>
  </si>
  <si>
    <t xml:space="preserve">5-Aminopentanoate_e &lt;=&gt; 5-Aminopentanoate_p</t>
  </si>
  <si>
    <t xml:space="preserve">5APTNtex</t>
  </si>
  <si>
    <t xml:space="preserve">5-aminopentanoate transport via diffusion (extracellular to periplasm)</t>
  </si>
  <si>
    <t xml:space="preserve">Not in iJO1366, but exists in other BiGG model iJN1463 for P. Putida under this rxnID.</t>
  </si>
  <si>
    <t xml:space="preserve">5-Aminopentanoate_e &lt;=&gt;</t>
  </si>
  <si>
    <t xml:space="preserve">EX_5aptn_e</t>
  </si>
  <si>
    <t xml:space="preserve">5-aminopentanoate exchange</t>
  </si>
  <si>
    <t xml:space="preserve">Extracellular based on Wang (2016) and Park (2013). In P.putida model iJN1463, amino-valerate is transported IN via ABC system, but model does not say how it’s transported out. However, in the same P. Putida model, glutarate is transported out using a proton symporter. Glutarate has a similar structure to 5-aminovalerate (carbonyl in place of the amino group), so 5-aminovalerate may be transported the same way (although amino group is +ve vs carbonyl group is -ve, so not sure if this makes sense). Based on boiling point &gt;37degC, assuming proton symporter used for C &lt;=&gt; P, and diffusion for P &lt;=&gt; E.</t>
  </si>
  <si>
    <t xml:space="preserve">Park (2013): https://pubmed.ncbi.nlm.nih.gov/23246520/</t>
  </si>
  <si>
    <t xml:space="preserve">Wang (2016): https://www.sciencedirect.com/science/article/pii/S1381117716302016</t>
  </si>
  <si>
    <t xml:space="preserve">Acetone</t>
  </si>
  <si>
    <t xml:space="preserve">2Acetyl-CoA &lt;=&gt; Acetoacetyl-coA + CoA</t>
  </si>
  <si>
    <t xml:space="preserve">Acetyl-CoA C-acetyltransferase</t>
  </si>
  <si>
    <t xml:space="preserve">Acetoacetate + Acetyl-coA &lt;=&gt; Acetoacetyl-CoA + Acetate</t>
  </si>
  <si>
    <t xml:space="preserve">ACACCT</t>
  </si>
  <si>
    <t xml:space="preserve">Acetyl-CoA:acetoacetyl-CoA transferase</t>
  </si>
  <si>
    <t xml:space="preserve">In model, BUT as forward reaction only.</t>
  </si>
  <si>
    <t xml:space="preserve">Acetoacetate + H+ --&gt; Acetone + CO2</t>
  </si>
  <si>
    <t xml:space="preserve">ACACDC</t>
  </si>
  <si>
    <t xml:space="preserve">Acetoacetate decarboxylase</t>
  </si>
  <si>
    <t xml:space="preserve">Doesn’t appear to exist in any BiGG models. But is reported by Yang (2019) and on MetaCyc.</t>
  </si>
  <si>
    <t xml:space="preserve">Acetone_p + H+_p &lt;=&gt; Acetone_c + H+_c</t>
  </si>
  <si>
    <t xml:space="preserve">ACETONEtpp</t>
  </si>
  <si>
    <r>
      <rPr>
        <sz val="11"/>
        <color rgb="FF5C2D91"/>
        <rFont val="Arial"/>
        <family val="2"/>
        <charset val="1"/>
      </rPr>
      <t xml:space="preserve">Acetone </t>
    </r>
    <r>
      <rPr>
        <sz val="11"/>
        <color rgb="FF5C2D91"/>
        <rFont val="arial"/>
        <family val="2"/>
        <charset val="1"/>
      </rPr>
      <t xml:space="preserve">transport via proton symport (periplasm)</t>
    </r>
  </si>
  <si>
    <t xml:space="preserve">Not in BiGG database, but similar to reaction ACETONEt2 in some mammal models (but that reaction covers transport for C &lt;=&gt; E).</t>
  </si>
  <si>
    <t xml:space="preserve">Acetone_e &lt;=&gt; Acetone_p</t>
  </si>
  <si>
    <t xml:space="preserve">ACETONEtex</t>
  </si>
  <si>
    <t xml:space="preserve">Acetone transport via diffusion (extracellular to periplasm)</t>
  </si>
  <si>
    <t xml:space="preserve">Acetone_e &lt;=&gt;</t>
  </si>
  <si>
    <t xml:space="preserve">EX_acetone_e</t>
  </si>
  <si>
    <t xml:space="preserve">Acetone exchange</t>
  </si>
  <si>
    <t xml:space="preserve">Not in iJO1366 but exists in some mammal models on BiGG.</t>
  </si>
  <si>
    <t xml:space="preserve">Extracellular based on Yang (2019); they don’t mention if acetone is transported but they analyze acetone concentration in the supernatant of centrifuged/filtered samples, suggesting product is in the media not in the cells. Acetone transport only exists in three BiGG models, all of which are for mammals. In these models though, Acetone transport occurs via a proton symport (see ACETONEt2). Based on boiling point &gt;37degC, assuming proton symporter used for C &lt;=&gt; P, and diffusion for P &lt;=&gt; E.</t>
  </si>
  <si>
    <t xml:space="preserve">Yang (2019): https://microbialcellfactories.biomedcentral.com/articles/10.1186/s12934-019-1054-8</t>
  </si>
  <si>
    <r>
      <rPr>
        <sz val="11"/>
        <rFont val="arial"/>
        <family val="2"/>
        <charset val="1"/>
      </rPr>
      <t xml:space="preserve">MetaCyc: </t>
    </r>
    <r>
      <rPr>
        <u val="single"/>
        <sz val="11"/>
        <color rgb="FF0563C1"/>
        <rFont val="arial"/>
        <family val="2"/>
        <charset val="1"/>
      </rPr>
      <t xml:space="preserve">https://metacyc.org/META/NEW-IMAGE?type=REACTION&amp;object=ACETOACETATE-DECARBOXYLASE-RXN</t>
    </r>
  </si>
  <si>
    <t xml:space="preserve">Acrylate PW1</t>
  </si>
  <si>
    <t xml:space="preserve">Glyceraldehyde 3-P --&gt; DHAP  ----- (via glycerone or Glycerol 3-P)---&gt; Glycerol</t>
  </si>
  <si>
    <t xml:space="preserve">Not in iJO1366 model, but exists in other BiGG models including some other E.coli models.</t>
  </si>
  <si>
    <t xml:space="preserve">3-hydroxypropanal + NAD + H2O --&gt; 3-Hydroxypropanoate + NADH + 2H+</t>
  </si>
  <si>
    <t xml:space="preserve">3HPADHi</t>
  </si>
  <si>
    <t xml:space="preserve">3-Hydroxypropanal Dehydrogenase</t>
  </si>
  <si>
    <t xml:space="preserve">Not in iJO1366, but exists in other BiGG models including the E.coli iML1515 model. Used same reaction settings as in model iML1515.</t>
  </si>
  <si>
    <t xml:space="preserve">3-Hydroxypropanoate + Acetyl-CoA &lt;=&gt; 3-Hydroxypropanoyl-CoA + Acetate</t>
  </si>
  <si>
    <t xml:space="preserve">3HPACOAT</t>
  </si>
  <si>
    <t xml:space="preserve">Acyl-CoA transferase (3HP specific)</t>
  </si>
  <si>
    <r>
      <rPr>
        <sz val="11"/>
        <color rgb="FF000000"/>
        <rFont val="arial"/>
        <family val="2"/>
        <charset val="1"/>
      </rPr>
      <t xml:space="preserve">Doesn’t appear to exist in any BiGG models. Chu (2015) report that reaction can be carried out by Ydif from </t>
    </r>
    <r>
      <rPr>
        <i val="true"/>
        <sz val="11"/>
        <color rgb="FF000000"/>
        <rFont val="arial"/>
        <family val="2"/>
        <charset val="1"/>
      </rPr>
      <t xml:space="preserve">C. Necator</t>
    </r>
    <r>
      <rPr>
        <sz val="11"/>
        <color rgb="FF000000"/>
        <rFont val="arial"/>
        <family val="2"/>
        <charset val="1"/>
      </rPr>
      <t xml:space="preserve">, which is an acyl-CoA transferase with a broad substrate specificity (which means some engineering may be required to make it more specific to 3-hydroxypropanoyl-coa). Ydif is reported to have reversible activity on MetaCyc.</t>
    </r>
  </si>
  <si>
    <t xml:space="preserve">3-Hydroxypropanoyl-CoA --&gt; Acrylyl-CoA + H2O</t>
  </si>
  <si>
    <t xml:space="preserve">3HPCOADH</t>
  </si>
  <si>
    <t xml:space="preserve">CoA-dehydratase (3HP specific)</t>
  </si>
  <si>
    <t xml:space="preserve">Doesn’t appear to exist in any BiGG models. Chu (2015) report that reaction can be carried out by CoA dehydratase Aflv_0566 from
Anoxybacillus flavithermus.</t>
  </si>
  <si>
    <t xml:space="preserve">Acrylyl-CoA + H2O --&gt; Acrylate + CoA + H+</t>
  </si>
  <si>
    <t xml:space="preserve">AclCOAH</t>
  </si>
  <si>
    <t xml:space="preserve">Acrylyl-CoA-hydrolase</t>
  </si>
  <si>
    <r>
      <rPr>
        <sz val="11"/>
        <color rgb="FF000000"/>
        <rFont val="arial"/>
        <family val="2"/>
        <charset val="1"/>
      </rPr>
      <t xml:space="preserve">Doesn’t appear to exist in any BiGG models. In literature this reaction is reported to be catalyzed by a CoA hydrolase. Chu (2015)  looked at using CoA hydrolase yciA from </t>
    </r>
    <r>
      <rPr>
        <i val="true"/>
        <sz val="11"/>
        <color rgb="FF000000"/>
        <rFont val="arial"/>
        <family val="2"/>
        <charset val="1"/>
      </rPr>
      <t xml:space="preserve">E. coli</t>
    </r>
    <r>
      <rPr>
        <sz val="11"/>
        <color rgb="FF000000"/>
        <rFont val="arial"/>
        <family val="2"/>
        <charset val="1"/>
      </rPr>
      <t xml:space="preserve"> to catalyze this reacion. Reaction equation based on that reported on MetaCyc for yciA.</t>
    </r>
  </si>
  <si>
    <t xml:space="preserve">Acrylate_p + H+_p &lt;=&gt; Acrylate_c + H+_c</t>
  </si>
  <si>
    <t xml:space="preserve">ACRYLtpp</t>
  </si>
  <si>
    <r>
      <rPr>
        <sz val="11"/>
        <color rgb="FF5C2D91"/>
        <rFont val="Arial"/>
        <family val="2"/>
        <charset val="1"/>
      </rPr>
      <t xml:space="preserve">Acrylate </t>
    </r>
    <r>
      <rPr>
        <sz val="11"/>
        <color rgb="FF5C2D91"/>
        <rFont val="arial"/>
        <family val="2"/>
        <charset val="1"/>
      </rPr>
      <t xml:space="preserve">transport via proton symport (periplasm)</t>
    </r>
  </si>
  <si>
    <t xml:space="preserve">Acrylate_e &lt;=&gt; Acrylate_p</t>
  </si>
  <si>
    <t xml:space="preserve">ACRYLtex</t>
  </si>
  <si>
    <t xml:space="preserve">Acrylate transport via diffusion (extracellular to periplasm)</t>
  </si>
  <si>
    <t xml:space="preserve">Acrylate_e &lt;=&gt;</t>
  </si>
  <si>
    <t xml:space="preserve">EX_acryl_e</t>
  </si>
  <si>
    <t xml:space="preserve">Acrylate exchange</t>
  </si>
  <si>
    <t xml:space="preserve">Extracellular based on Chu (2015); concentration of acrylate was measured in culture broth not lysed cells. But no mention of transport. Transport for acrylate doesn’t exist in BiGG database. Straathof (2005) hypothesize that it could be transported via ABC transporter family, but that the energetics of this don’t make much sense (very ATP intensive). They suggest finding transporters that could work under anaerobic conditions. Acrylate/acrylic acid transport doesn’t appear to exist in BiGG database. Based on boiling point &gt;37degC, assuming proton symporter used for C &lt;=&gt; P, and diffusion for P &lt;=&gt; E.</t>
  </si>
  <si>
    <t xml:space="preserve">Chu (2015): https://www.sciencedirect.com/science/article/pii/S1096717615001020</t>
  </si>
  <si>
    <t xml:space="preserve">Straathof (2005): https://pubmed.ncbi.nlm.nih.gov/15735954/</t>
  </si>
  <si>
    <t xml:space="preserve">MetaCyc (Propanoyl-CoA transferase): https://metacyc.org/gene?orgid=META&amp;id=G-34517</t>
  </si>
  <si>
    <t xml:space="preserve">Acrylate PW2</t>
  </si>
  <si>
    <t xml:space="preserve">Pathway appears to go via D-lactate (R-lactate) based on literature sources and MetaCyc, also LDH reaction with NAD as electron carrier only exists in iJO1366 model for D-lactate.</t>
  </si>
  <si>
    <t xml:space="preserve">(D)-Lactate + NAD+ &lt;=&gt; Pyruvate + NADH + H+</t>
  </si>
  <si>
    <t xml:space="preserve">LDH_D</t>
  </si>
  <si>
    <t xml:space="preserve">D-lactate dehydrogenase</t>
  </si>
  <si>
    <t xml:space="preserve">Reaction only exists in iJO1366 for D-lactate (L-lactate reaction exists in other models but not iJO1366). Reaction is reported as using D-lactate in literature and on MetaCyc as well.</t>
  </si>
  <si>
    <t xml:space="preserve">(D)-Lactate + Propanoyl-CoA --&gt; lactoyl-CoA + Propionate</t>
  </si>
  <si>
    <t xml:space="preserve">PPCLCT_L</t>
  </si>
  <si>
    <t xml:space="preserve">Propanoyl-CoA: lactate CoA-transferase</t>
  </si>
  <si>
    <t xml:space="preserve">Reaction doesn’t appear to exist in BiGG database. Modelled reaction info based on PPCSCT which is similar reaction that uses succinate/succinyl-coa instead of lacate/lactoyl-coa, and exists in the iJO1366 model.</t>
  </si>
  <si>
    <t xml:space="preserve">Propionate + CoA + ATP --&gt; Propanoyl-CoA + ADP + Pi</t>
  </si>
  <si>
    <t xml:space="preserve">ACCOAL</t>
  </si>
  <si>
    <t xml:space="preserve">Acetate-CoA ligase (ADP-forming)</t>
  </si>
  <si>
    <t xml:space="preserve">This pathway requires that propionyl-CoA be regenerated somehow. I assume that this reaction (or another similar reaction) will be used to do this, as propionate is also produced in the pathway.</t>
  </si>
  <si>
    <t xml:space="preserve">Lactoyl-CoA --&gt; Acrylyl-CoA + H2O</t>
  </si>
  <si>
    <t xml:space="preserve">LCD</t>
  </si>
  <si>
    <t xml:space="preserve">Lactoyl-CoA dehydratase</t>
  </si>
  <si>
    <t xml:space="preserve">Not in iJO1366 but exists in another BiGG model, used same reaction info.</t>
  </si>
  <si>
    <t xml:space="preserve">Prabhu (2012): https://pubmed.ncbi.nlm.nih.gov/23023753/ </t>
  </si>
  <si>
    <t xml:space="preserve">Kandasamy (2012): https://link.springer.com/article/10.1007%2Fs00253-012-4274-y</t>
  </si>
  <si>
    <t xml:space="preserve">Adipate</t>
  </si>
  <si>
    <t xml:space="preserve"> DHSKDH</t>
  </si>
  <si>
    <t xml:space="preserve">Not in iJO1366 but exists in other BiGG models.</t>
  </si>
  <si>
    <t xml:space="preserve">3,4-Dihydroxybenzoate + H+ &lt;=&gt; Catechol + CO2</t>
  </si>
  <si>
    <t xml:space="preserve">PCDC</t>
  </si>
  <si>
    <t xml:space="preserve">Protocatechuate decarboxylase</t>
  </si>
  <si>
    <t xml:space="preserve">Catechol + O2 &lt;=&gt; Cis-cis muconate + 2H+</t>
  </si>
  <si>
    <t xml:space="preserve">CATDOX</t>
  </si>
  <si>
    <t xml:space="preserve">Catechol 1,2-dioxygenase</t>
  </si>
  <si>
    <t xml:space="preserve">Not in iJO1366 but exists in other BiGG models. Austin had used other rxnID, changed it to match BiGG database. Also changed reaction to include 2H+.</t>
  </si>
  <si>
    <t xml:space="preserve">Cis-cis muconate + 2H+ + 2NADH --&gt; Adipate + 2NAD+</t>
  </si>
  <si>
    <t xml:space="preserve">ERCCMA</t>
  </si>
  <si>
    <t xml:space="preserve">Enoate reductase (cis cis muconate)</t>
  </si>
  <si>
    <t xml:space="preserve">Not in BiGG database. Raj (2018) demonstrated activity of enoate reductase from Bacillus coagulans for reduction of cis cis muconate.</t>
  </si>
  <si>
    <t xml:space="preserve">Adipate_p + H+_p &lt;=&gt; Adipate_c + H+_c</t>
  </si>
  <si>
    <t xml:space="preserve">ADPACtpp</t>
  </si>
  <si>
    <t xml:space="preserve">Adipate transport via proton symport (periplasm)</t>
  </si>
  <si>
    <t xml:space="preserve">Not in iJO1366 model or any other BiGG model.</t>
  </si>
  <si>
    <t xml:space="preserve">Adipate_e &lt;=&gt; Adipate_p</t>
  </si>
  <si>
    <t xml:space="preserve">ADPACtex</t>
  </si>
  <si>
    <t xml:space="preserve">Adipate transport via diffusion (extracellular to periplasm)</t>
  </si>
  <si>
    <t xml:space="preserve">Adipate_e &lt;=&gt;</t>
  </si>
  <si>
    <t xml:space="preserve">EX_adpac_e</t>
  </si>
  <si>
    <t xml:space="preserve">Adipate exchange</t>
  </si>
  <si>
    <t xml:space="preserve">Based on boiling point &gt;37degC, assuming proton symporter used for C &lt;=&gt; P, and diffusion for P &lt;=&gt; E. One instance of transport exists in Homo sapiens BiGG model as diffusion (rxnID ADPACtd), but given charge and size, will likely need to be transported actively.</t>
  </si>
  <si>
    <t xml:space="preserve">Raj (2018): https://www.sciencedirect.com/science/article/pii/S2214030117300275</t>
  </si>
  <si>
    <t xml:space="preserve">Zhang (2015): https://microbialcellfactories.biomedcentral.com/articles/10.1186/s12934-015-0319-0</t>
  </si>
  <si>
    <t xml:space="preserve">Choi (2020): https://www.mdpi.com/2218-273X/10/9/1238/htm</t>
  </si>
  <si>
    <t xml:space="preserve">BioCyc (Protocatechuate decarboxylase): https://biocyc.org/META/NEW-IMAGE?type=REACTION&amp;object=PROTOCATECHUATE-DECARBOXYLASE-RXN</t>
  </si>
  <si>
    <t xml:space="preserve">Benzoate PW1 (CoA-indepedent non-B-oxidative PW)</t>
  </si>
  <si>
    <t xml:space="preserve">Phenylpyruvate is synthesized from chorismate, and chorismate synthesis is linked to the pentose phosphate pathway. All reactions for these steps exist in the iJO1366 model already. Note that  phenylalanine production also requires glutamate production (pathways already in the iJO1366 model as well). Luo (2020) report that there are five different pathway options for benzoic acid production: 3 natural pathways, 1 synthetic pathway, and one pathway option that’s a variant of one of the natural pathways. The three natural pathways are classified as (i) CoA-dependent Beta-oxidative, (ii) CoA-dependent non-beta-oxidative and (iii) CoA-independent non-beta-oxidative. All of these pathways have been identified in plants (Luo (2020)), and pathway (i) is reportedly found in the bacterium Streptomyces maritimus (Noda (2012)) as well. The pathway variant exists for pathway (i), which is the other BA production pathway modelled (see BA PW2). Modeling work done by Luo (2020) which looked at all five pathway options for BA production from glucose and predicted that the CoA-independent non-Beta-oxidative pathway (iii) would perform best (though not by much). This is the pathway modelled here (BA PW1). However, note that Luo (2020) reported that construction of this pathway in vivo is difficult because the complete sequences for the pathway enzymes/genes involved are not yet available.</t>
  </si>
  <si>
    <t xml:space="preserve">E4P -----------&gt; Chorismate ---------&gt; Phenylpyruvate (3-phenyl-2-oxopropanoate) // alpha-ketoglutarate --&gt; Glutamate</t>
  </si>
  <si>
    <t xml:space="preserve">Phenylpyruvate + L-glutamate &lt;=&gt; alpha-ketoglutarate + phenylalanine</t>
  </si>
  <si>
    <t xml:space="preserve">PHETA1</t>
  </si>
  <si>
    <t xml:space="preserve">Phenylalanine transaminase</t>
  </si>
  <si>
    <t xml:space="preserve">*Only included this reaction for informational purposes, it’s already in the model.</t>
  </si>
  <si>
    <t xml:space="preserve">L-Phenylalanine --&gt; Trans-cinnamate + Ammonium</t>
  </si>
  <si>
    <t xml:space="preserve">PAL</t>
  </si>
  <si>
    <t xml:space="preserve">Phenylalanine ammonia-lyase</t>
  </si>
  <si>
    <t xml:space="preserve">Not in iJO1366 and doesn’t appear to exist in any other BiGG model.</t>
  </si>
  <si>
    <t xml:space="preserve">Trans-Cinnamate + H2O --&gt; 3-Hydroxy-3-phenylpropanoate</t>
  </si>
  <si>
    <t xml:space="preserve">BZALS1</t>
  </si>
  <si>
    <t xml:space="preserve">Benzaldehyde synthase 1</t>
  </si>
  <si>
    <t xml:space="preserve">3-Hydroxy-3-phenylpropanoate --&gt; Benzaldehyde + Acetate</t>
  </si>
  <si>
    <t xml:space="preserve">BZALS2</t>
  </si>
  <si>
    <t xml:space="preserve">Benzaldehyde synthase 2</t>
  </si>
  <si>
    <t xml:space="preserve">Benzaldehyde + NAD + H2O --&gt; Benzoate + NADH + 2H+</t>
  </si>
  <si>
    <t xml:space="preserve">BZDH</t>
  </si>
  <si>
    <t xml:space="preserve">Benzaldehyde dehydrogenase</t>
  </si>
  <si>
    <t xml:space="preserve">Not in iJO1366, but exists in other BiGG model(s) under this rxnID.</t>
  </si>
  <si>
    <t xml:space="preserve">Benzoate_p + H+_p &lt;=&gt; Benzoate_c + H+_c</t>
  </si>
  <si>
    <t xml:space="preserve">BZt1pp</t>
  </si>
  <si>
    <t xml:space="preserve">Benzoate transport via proton symport (periplasm)</t>
  </si>
  <si>
    <t xml:space="preserve">Not in iJO1366, but exists in P. Putida models iJN1463 and iJN746 as reversible reaction.</t>
  </si>
  <si>
    <t xml:space="preserve">Benzoate_e &lt;=&gt; Benzoate_p</t>
  </si>
  <si>
    <t xml:space="preserve">BZtex</t>
  </si>
  <si>
    <t xml:space="preserve">Benzoate transport via diffusion (extracellular to periplasm)</t>
  </si>
  <si>
    <t xml:space="preserve">Benzoate_e &lt;=&gt;</t>
  </si>
  <si>
    <t xml:space="preserve">EX_bz_e</t>
  </si>
  <si>
    <t xml:space="preserve">Benzoate exchange</t>
  </si>
  <si>
    <t xml:space="preserve">Extracellular based on Luo (2020); samples centrifuged and filtered before supernant was analyzed by HPLC. In BiGG database, Benzoate transport exists in the P. Putida models (iJN1463 and iJN746) and the Geobacter metallireducens (iAF987) as proton symporter from C&lt;=&gt;P, and free diffusion between P&lt;=&gt;E. Based on boiling point &gt;37degC, assuming proton symporter used for C &lt;=&gt; P, and diffusion for P &lt;=&gt; E.</t>
  </si>
  <si>
    <t xml:space="preserve">BioCyc (Chorismate --&gt; L-phenylalanine): https://biocyc.org/ECOLI/NEW-IMAGE?type=PATHWAY&amp;object=PHESYN</t>
  </si>
  <si>
    <t xml:space="preserve">Luo (2020): https://www.sciencedirect.com/science/article/pii/S1096717620301579?via%3Dihub#fig1</t>
  </si>
  <si>
    <t xml:space="preserve">Teotia (2019): https://onlinelibrary.wiley.com/doi/abs/10.1111/tpj.14506</t>
  </si>
  <si>
    <t xml:space="preserve">Noda (2012): https://microbialcellfactories.biomedcentral.com/articles/10.1186/1475-2859-11-49</t>
  </si>
  <si>
    <t xml:space="preserve">MetaCyc (Benzoate biosynthesis II): https://biocyc.org/META/NEW-IMAGE?type=PATHWAY&amp;object=PWY-6444</t>
  </si>
  <si>
    <t xml:space="preserve">Benzoate PW2 ( CoA-dependent B-oxidative PW)</t>
  </si>
  <si>
    <t xml:space="preserve">Phenylpyruvate is synthesized from chorismate, and chorismate synthesis is linked to the pentose phosphate pathway. All reactions for these steps exist in the iJO1366 model already. Note that  phenylalanine production also requires glutamate production (pathways already in the iJO1366 model as well). Luo (2020) report that there are five different pathway options for benzoic acid production: 3 natural pathways, 1 synthetic pathway, and one pathway option that’s a variant of one of the natural pathways. The three natural pathways are classified as (i) CoA-dependent Beta-oxidative, (ii) CoA-dependent non-beta-oxidative and (iii) CoA-independent non-beta-oxidative. All of these pathways have been identified in plants (Luo (2020)), and pathway (i) is reportedly found in the bacterium Streptomyces maritimus (Noda (2012)) as well. The pathway variant exists for pathway (i), which is the pathway modelled here (BA PW2). Luo (2020) report it is also the only BA production pathway that is fully described/known to-date (see Qualley (2012)). The variant option for this pathway replaces the last two steps of the pathway (thiolase and thioesterase) with a single ketohydrase enzyme. Overall, the combined stoichiometry of the two individual reactions is the same as the single reaction variant, therefore the modeling results (BA yield) for these two variants is expected to be the same. Thus for modeling purposes the natural two-enzyme pathway was used, however in vivo it would be possible to use a single enzyme instead.</t>
  </si>
  <si>
    <t xml:space="preserve">Phenylpyruvate + L-glutatmate &lt;=&gt; alpha-ketoglutarate + phenylalanine</t>
  </si>
  <si>
    <t xml:space="preserve">Trans-cinnamate + CoA + ATP --&gt; Cinnamoyl-CoA+ AMP + PPi</t>
  </si>
  <si>
    <t xml:space="preserve">CNCOAL</t>
  </si>
  <si>
    <t xml:space="preserve">Cinnamate-CoA ligase</t>
  </si>
  <si>
    <t xml:space="preserve">Not in iJO1366 nor rest of BiGG database.</t>
  </si>
  <si>
    <t xml:space="preserve">Cinnamoyl-CoA + H2O --&gt; 3-Hydroxy-3-phenylpropionyl-CoA</t>
  </si>
  <si>
    <t xml:space="preserve">PhCHD1</t>
  </si>
  <si>
    <t xml:space="preserve">Cinnamoyl-CoA hydratase-dehydrogenase</t>
  </si>
  <si>
    <t xml:space="preserve"> 3-Hydroxy-3-phenylpropionyl-CoA + NAD+ --&gt; 3-Oxo-3-phenylpropionyl-CoA + NADH + H+</t>
  </si>
  <si>
    <t xml:space="preserve">PhCHD2</t>
  </si>
  <si>
    <t xml:space="preserve">(1a) 3-Oxo-3-phenylpropionyl-CoA + CoA --&gt; Benzoyl-coA + Acetyl-CoA</t>
  </si>
  <si>
    <t xml:space="preserve">KATBZ</t>
  </si>
  <si>
    <t xml:space="preserve">3-ketoacyl-CoA thiolase</t>
  </si>
  <si>
    <t xml:space="preserve">Other 3-ketoacyl-CoA thiolase reactions exist in the BiGG database, but none catalyzing this reaction specifically.</t>
  </si>
  <si>
    <t xml:space="preserve">(1b) Benzoyl-CoA + H2O --&gt; Benzoate + CoA + H+</t>
  </si>
  <si>
    <t xml:space="preserve">BZCOATE</t>
  </si>
  <si>
    <t xml:space="preserve">Benzoyl-CoA thioesterase</t>
  </si>
  <si>
    <r>
      <rPr>
        <sz val="11"/>
        <rFont val="arial"/>
        <family val="2"/>
        <charset val="1"/>
      </rPr>
      <t xml:space="preserve">(2) VARIANT: </t>
    </r>
    <r>
      <rPr>
        <sz val="11"/>
        <color rgb="FF000000"/>
        <rFont val="arial"/>
        <family val="2"/>
        <charset val="1"/>
      </rPr>
      <t xml:space="preserve">3-Oxo-3-phenylpropionyl-CoA  + H2O --&gt; Benzoate + Acetyl-CoA + H+</t>
    </r>
  </si>
  <si>
    <t xml:space="preserve">OPPKHL</t>
  </si>
  <si>
    <t xml:space="preserve">OPP-Ketohydrolase</t>
  </si>
  <si>
    <t xml:space="preserve">Not in iJO1366 nor rest of BiGG database. This variant option can replace the last two steps of this pathway (ie. 1a and 1b). Is not included in the model, but overall stoichiometry is the same whether using 1a+1b or 2, so modeling results won’t change. Included here for reference.</t>
  </si>
  <si>
    <t xml:space="preserve">Benzoate transport in via proton symport (periplasm)</t>
  </si>
  <si>
    <r>
      <rPr>
        <sz val="11"/>
        <color rgb="FF000000"/>
        <rFont val="arial"/>
        <family val="2"/>
        <charset val="1"/>
      </rPr>
      <t xml:space="preserve">BioCyc (Chorismate --&gt; L-phenylalanine): </t>
    </r>
    <r>
      <rPr>
        <sz val="11"/>
        <color rgb="FF4A4A4A"/>
        <rFont val="Noto Sans"/>
        <family val="2"/>
        <charset val="1"/>
      </rPr>
      <t xml:space="preserve">https://biocyc.org/ECOLI/NEW-IMAGE?type=PATHWAY&amp;object=ARO-PWY</t>
    </r>
  </si>
  <si>
    <t xml:space="preserve">Qualley (2012): https://www.pnas.org/content/109/40/16383</t>
  </si>
  <si>
    <t xml:space="preserve">MetaCyc (Benzoate biosynthesis III): https://biocyc.org/META/NEW-IMAGE?type=PATHWAY&amp;object=PWY-6446</t>
  </si>
  <si>
    <t xml:space="preserve">MetaCye (Benzoate biosynthesis I): https://biocyc.org/META/NEW-IMAGE?type=PATHWAY&amp;object=PWY-6443</t>
  </si>
  <si>
    <t xml:space="preserve">Benzyl Alcohol</t>
  </si>
  <si>
    <t xml:space="preserve">Phenylpyruvate is synthesized from chorismate, and chorismate synthesis is linked to the pentose phosphate pathway. All reactions for these steps exist in the iJO1366 model already.</t>
  </si>
  <si>
    <t xml:space="preserve">E4P -----------&gt; Chorismate ---------&gt; Phenylpyruvate (3-phenyl-2-oxopropanoate)</t>
  </si>
  <si>
    <r>
      <rPr>
        <sz val="11"/>
        <color rgb="FF0618F6"/>
        <rFont val="arial"/>
        <family val="2"/>
        <charset val="1"/>
      </rPr>
      <t xml:space="preserve">*Only included this reaction for informational purposes, may need to be knocked out </t>
    </r>
    <r>
      <rPr>
        <i val="true"/>
        <sz val="11"/>
        <color rgb="FF0618F6"/>
        <rFont val="arial"/>
        <family val="2"/>
        <charset val="1"/>
      </rPr>
      <t xml:space="preserve">in vivo</t>
    </r>
    <r>
      <rPr>
        <sz val="11"/>
        <color rgb="FF0618F6"/>
        <rFont val="arial"/>
        <family val="2"/>
        <charset val="1"/>
      </rPr>
      <t xml:space="preserve"> to prevent phenylpyruvate use via native pathways.</t>
    </r>
  </si>
  <si>
    <t xml:space="preserve">Phenylpyruvate + O2 --&gt; (S)-Mandelate + CO2</t>
  </si>
  <si>
    <t xml:space="preserve">HMAS</t>
  </si>
  <si>
    <t xml:space="preserve">Hydroxymandelate synthase</t>
  </si>
  <si>
    <t xml:space="preserve">Pugh (2015) used Hydroxymandelate synthase (gene: hmaS) from Amycolatopsis</t>
  </si>
  <si>
    <t xml:space="preserve">(S)-Mandelate + NAD --&gt; Phenylglyoxylate  + NADH + H+</t>
  </si>
  <si>
    <t xml:space="preserve">MDLDH</t>
  </si>
  <si>
    <t xml:space="preserve">(S)-Mandelate dehydrogenase</t>
  </si>
  <si>
    <r>
      <rPr>
        <sz val="11"/>
        <color rgb="FF000000"/>
        <rFont val="arial"/>
        <family val="2"/>
        <charset val="1"/>
      </rPr>
      <t xml:space="preserve">Pugh (2015) used co-expression of two genes from the mandelate degradation pathway in Pseudomonas putida to convert mandelate to benzaldehyde: </t>
    </r>
    <r>
      <rPr>
        <i val="true"/>
        <sz val="11"/>
        <color rgb="FF000000"/>
        <rFont val="arial"/>
        <family val="2"/>
        <charset val="1"/>
      </rPr>
      <t xml:space="preserve">mdlB</t>
    </r>
    <r>
      <rPr>
        <sz val="11"/>
        <color rgb="FF000000"/>
        <rFont val="arial"/>
        <family val="2"/>
        <charset val="1"/>
      </rPr>
      <t xml:space="preserve"> and </t>
    </r>
    <r>
      <rPr>
        <i val="true"/>
        <sz val="11"/>
        <color rgb="FF000000"/>
        <rFont val="arial"/>
        <family val="2"/>
        <charset val="1"/>
      </rPr>
      <t xml:space="preserve">mdlC</t>
    </r>
    <r>
      <rPr>
        <sz val="11"/>
        <color rgb="FF000000"/>
        <rFont val="arial"/>
        <family val="2"/>
        <charset val="1"/>
      </rPr>
      <t xml:space="preserve">.</t>
    </r>
  </si>
  <si>
    <t xml:space="preserve">Phenylglyoxylate + H+ --&gt; Benzaldehyde + CO2</t>
  </si>
  <si>
    <t xml:space="preserve">PHGDC</t>
  </si>
  <si>
    <t xml:space="preserve">Phenylglyoxylate decarboxylase</t>
  </si>
  <si>
    <t xml:space="preserve">Benzyl alcohol + NAD &lt;=&gt; Benzaldehyde + NADH + H+ -</t>
  </si>
  <si>
    <t xml:space="preserve">BZALDH</t>
  </si>
  <si>
    <t xml:space="preserve">Benzyl alcohol dehydrogenase</t>
  </si>
  <si>
    <t xml:space="preserve">Pugh (2015) report that this activity is native in E.coli due to promiscious activity of multiple endogenous alcohol dehydrogenases and/or aldo-keto reductases. Reaction exists in Geobacter metallireducens iAF987 model as reversible reaction, but reported in direction shown here. Keeping same direction for consistency (though it’s in reverse from what’s needed for the pathway).</t>
  </si>
  <si>
    <t xml:space="preserve">Benzyl Alcohol_p + H+_p &lt;=&gt; Benzyl Alcohol_c + H+_c</t>
  </si>
  <si>
    <t xml:space="preserve">BZALCt2pp</t>
  </si>
  <si>
    <t xml:space="preserve">Benzyl alcohol transport via proton symport (periplasm)</t>
  </si>
  <si>
    <t xml:space="preserve">Not in iJO1366, but exists in the Geobacter metallireducens iAF1987 model. *Only exists in this model as forward (inward transport) reaction; needs to be made reversible to outward transport.</t>
  </si>
  <si>
    <t xml:space="preserve">Benzyl Alcohol_e &lt;=&gt; Benzyl Alcohol_p</t>
  </si>
  <si>
    <t xml:space="preserve">BZALCtex</t>
  </si>
  <si>
    <t xml:space="preserve">Benzyl alcohol transport via diffusion (extracellular to periplasm)</t>
  </si>
  <si>
    <t xml:space="preserve">Not in iJO1366, but exists in the Geobacter metallireducens iAF1987 model.</t>
  </si>
  <si>
    <t xml:space="preserve">Benzyl Alcohol_e &lt;=&gt;</t>
  </si>
  <si>
    <t xml:space="preserve">EX_bzalc_e</t>
  </si>
  <si>
    <t xml:space="preserve">Benzyl alcohol exchange</t>
  </si>
  <si>
    <t xml:space="preserve">Based on boiling point &gt;37degC, assuming proton symporter used for C &lt;=&gt; P, and diffusion for P &lt;=&gt; E. Benzyl alcohol transport exists in Geobacter metallireducens iAF987 model as proton symport for P &lt;=&gt; C and  diffusion for E &lt;=&gt; P.</t>
  </si>
  <si>
    <t xml:space="preserve">Pugh (2015) - https://www.sciencedirect.com/science/article/pii/S2214030115300018</t>
  </si>
  <si>
    <t xml:space="preserve">Thompson (2015) - https://www.sciencedirect.com/science/article/abs/pii/S0958166915000981#fig0020</t>
  </si>
  <si>
    <r>
      <rPr>
        <b val="true"/>
        <sz val="11"/>
        <color rgb="FF000000"/>
        <rFont val="arial"/>
        <family val="2"/>
        <charset val="1"/>
      </rPr>
      <t xml:space="preserve">Beta-Carotene</t>
    </r>
    <r>
      <rPr>
        <sz val="11"/>
        <color rgb="FF000000"/>
        <rFont val="arial"/>
        <family val="2"/>
        <charset val="1"/>
      </rPr>
      <t xml:space="preserve"> (mevalonate pathway; for isoprenoid synthesis)</t>
    </r>
  </si>
  <si>
    <t xml:space="preserve">Pathway similar to other isoprenoids synthesized via mevalonate pathway (ie. limonene, farnesene and isoprene)</t>
  </si>
  <si>
    <t xml:space="preserve">2Acetyl-CoA &lt;=&gt; Acetoacetyl-coA</t>
  </si>
  <si>
    <t xml:space="preserve">Just included for reference</t>
  </si>
  <si>
    <t xml:space="preserve">Acetoacetyl-CoA + Acetyl-CoA + H2O &lt;=&gt; 3-Hydroxy-3-methylglutaryl-CoA + CoA + H+</t>
  </si>
  <si>
    <t xml:space="preserve">HMGCOAS</t>
  </si>
  <si>
    <t xml:space="preserve">HMG-CoA Synthase</t>
  </si>
  <si>
    <t xml:space="preserve">Not in iJO1366, but exists in other BiGG models under same rxnID.</t>
  </si>
  <si>
    <t xml:space="preserve">3-Hydroxy-3-methylglutaryl-CoA + 2NADPH + 2H+ &lt;=&gt; Mevalonate + CoA + 2NADP</t>
  </si>
  <si>
    <t xml:space="preserve">HMGCOAR</t>
  </si>
  <si>
    <t xml:space="preserve">HMG-CoA reductase</t>
  </si>
  <si>
    <t xml:space="preserve">Not in iJO1366, but exists in other BiGG models under same rxnID. Austin originally had reaction using NAD/NADH, but I changed it to NADP/NADPH to reflect what’s reported in the BiGG database and on BioCyc.</t>
  </si>
  <si>
    <t xml:space="preserve">Mevalonate + ATP &lt;=&gt; 5-Phosphomevalonate + ADP + H+</t>
  </si>
  <si>
    <t xml:space="preserve">MEVK1</t>
  </si>
  <si>
    <t xml:space="preserve">Mevalonate kinase atp</t>
  </si>
  <si>
    <t xml:space="preserve">Not in Ijo1366, but exists in other BiGG models under rxnID indicated. Austin originally used MEVK instead of MEVK1, changed along with name.</t>
  </si>
  <si>
    <t xml:space="preserve">5-Phosphomevalonate + ATP --&gt; Mevalonate diphosphate + ADP</t>
  </si>
  <si>
    <t xml:space="preserve">PMEVK</t>
  </si>
  <si>
    <t xml:space="preserve">Phosphomevalonate kinase</t>
  </si>
  <si>
    <t xml:space="preserve">Mevalonate diphosphate + ATP --&gt; Isopentenyl diphosphate + CO2 + ADP + Phosphate</t>
  </si>
  <si>
    <t xml:space="preserve">DPMVD</t>
  </si>
  <si>
    <t xml:space="preserve">Diphosphomevalonate decarboxylase</t>
  </si>
  <si>
    <t xml:space="preserve">Isopentenyl diphosphate  &lt;=&gt; dimethylallyl diphosphate</t>
  </si>
  <si>
    <t xml:space="preserve">IPDDI</t>
  </si>
  <si>
    <t xml:space="preserve">Isopentenyl-diphosphate D-isomerase</t>
  </si>
  <si>
    <t xml:space="preserve">isopentenyl diphosphate  + dimethylallyl diphosphate --&gt; Geranyl diphosphate + diphosphate</t>
  </si>
  <si>
    <t xml:space="preserve">DMATT</t>
  </si>
  <si>
    <t xml:space="preserve">Dimethylallyltranstransferase</t>
  </si>
  <si>
    <t xml:space="preserve">Isopentenyl diphosphate + Geranyl diphosphate --&gt; Farnesyl diphosphate + Diphosphate</t>
  </si>
  <si>
    <t xml:space="preserve">GRTT</t>
  </si>
  <si>
    <t xml:space="preserve">Geranyltranstransferase</t>
  </si>
  <si>
    <t xml:space="preserve">Farnesyl diphosphate + Isopentyl diphosphate &lt;=&gt; Geranylgeranyl diphosphate + Diphosphate</t>
  </si>
  <si>
    <t xml:space="preserve">FRTT</t>
  </si>
  <si>
    <t xml:space="preserve">Farnesyltranstransferase</t>
  </si>
  <si>
    <t xml:space="preserve">Not in iJO1366, but exists in other BiGG models under different rxnIDs (also present in iHN637 model). The most common one is FRTT as used here, but other instances include GGPS_h and GGPS_1. The latter two are under the enzyme name Geranylgeranyl diphosphate synthase.</t>
  </si>
  <si>
    <t xml:space="preserve">2 Geranylgeranyl diphosphate --&gt; 15-cis-phytoene + 2 Diphosphates</t>
  </si>
  <si>
    <t xml:space="preserve">15PSY</t>
  </si>
  <si>
    <t xml:space="preserve">15-cis-phytoene synthase</t>
  </si>
  <si>
    <t xml:space="preserve">Not in iJO1366, similar reaction seems to exist in another model for conversion to all-trans phytoene (PSY and PSY_h). Next step in synthesis pathway is 15-cis-phyotene conversion to all-trans-phytoene, so it seems these were likely combined as one in this reaction. However, on BioCyc it’s reported that the 15-cis- to all-trans phytoene conversion is part of the CRTI enzyme activity and was therefore included in the next reaction step.</t>
  </si>
  <si>
    <t xml:space="preserve">15-cis-phytoene + 4 FAD --&gt; Lycopene + 4 FADH2</t>
  </si>
  <si>
    <t xml:space="preserve">PDSlyc</t>
  </si>
  <si>
    <t xml:space="preserve">Phytoene desaturase (lycopene-forming)</t>
  </si>
  <si>
    <t xml:space="preserve">This one reaction is in reality four reactions that are catalyzed by bacterial CRTI (phytoene desaturase). These four steps go via: 15-cis-phytoene --&gt; all-trans-phytoene--&gt; all-trans gamma-carotene --&gt; all-trans-neurosporene --&gt; all-trans lycopene. Between these four reactions, a total of four electron carriers are needed all of which are two electron carriers (ie. FAD/FADH2). Note that BioCyc and Sato (2012) report a different number of reaction steps, but the outcome is the same... On BRENDA, the IUMB comments specify that FAD is used, although Austin reported that he read menaquinol and ubiquinol were also tested and worked. None of the compounds in these 5 steps exist in the iJO1366 or iHN637 models, so it’s safe to treat this as a single step in the model. In the BiGG database the PHYDS4S_h reaction (4-step phytoene desaturase) describes the four steps from all-trans-phytoene to lycopene as one reaction, using 4 plastoquinones as the electron carrier. This reaction only exists in one model though. There are also a couple of PDS (PDS1 and PDS2) reactions in the BiGG database but they don’t carry out the four step reaction shown here. A unique rxnID was selected for this reaction.</t>
  </si>
  <si>
    <t xml:space="preserve">15-cis-phytoene + 4 Ubiquinone -&gt; Lycopene + 4 Ubiquinol</t>
  </si>
  <si>
    <t xml:space="preserve">Lycopene  &lt;=&gt; Gamma-carotene</t>
  </si>
  <si>
    <t xml:space="preserve">LYCOPC</t>
  </si>
  <si>
    <t xml:space="preserve">Lycopene cyclase</t>
  </si>
  <si>
    <t xml:space="preserve">Not in iJO1366, but exist in other BiGG model(s) under this rxnID.</t>
  </si>
  <si>
    <t xml:space="preserve">Gamma-carotene  &lt;=&gt; Beta-carotene</t>
  </si>
  <si>
    <t xml:space="preserve">LCYB</t>
  </si>
  <si>
    <t xml:space="preserve">Lycopene cyclase (beta-carotene producing)</t>
  </si>
  <si>
    <t xml:space="preserve">Beta-carotene_e + H2O_c + ATP_c &lt;=&gt; Beta-carotene_c + H+_c + ADP_c + Pi_c</t>
  </si>
  <si>
    <t xml:space="preserve">CAROtabc</t>
  </si>
  <si>
    <t xml:space="preserve">Beta-carotene transport via ABC transporter (extra-cellular)</t>
  </si>
  <si>
    <t xml:space="preserve">Not in BiGG database. Other instances of beta-carotene transport exist, but are all diffusion (and in mammal models).</t>
  </si>
  <si>
    <t xml:space="preserve">Beta-carotene_e &lt;=&gt;</t>
  </si>
  <si>
    <t xml:space="preserve">EX_caro_e</t>
  </si>
  <si>
    <t xml:space="preserve">Beta-carotene exchange</t>
  </si>
  <si>
    <t xml:space="preserve">Not in IJO1366 model but does exists in other BiGG models (but only  mammal models).</t>
  </si>
  <si>
    <t xml:space="preserve">Based on Yang (2006) and Yang (2014) Beta-carotene is an intracellular product in E.coli (B-carotene was extracted from homogenized cells using acetone). BUT according to Doshi (2013) and Bu (2020), ABC Transporters could be engineered/used for extra-cellular production of beta-carotene. This is assumed to be the mode of transport in the model.</t>
  </si>
  <si>
    <t xml:space="preserve">Wilding (2000): https://www.ncbi.nlm.nih.gov/pmc/articles/PMC101949/</t>
  </si>
  <si>
    <t xml:space="preserve">Yuan (2006): https://pubmed.ncbi.nlm.nih.gov/16257556/</t>
  </si>
  <si>
    <t xml:space="preserve">Yang (2014): https://microbialcellfactories.biomedcentral.com/articles/10.1186/s12934-014-0160-x</t>
  </si>
  <si>
    <t xml:space="preserve">Seeber (2010): https://www.sciencedirect.com/science/article/pii/S1937644810810056</t>
  </si>
  <si>
    <t xml:space="preserve">Sato (2012): https://www.sciencedirect.com/science/article/pii/B9780123814661000286</t>
  </si>
  <si>
    <t xml:space="preserve">BioCyc (Farnesyl-Transferase rxn): https://biocyc.org/META/NEW-IMAGE?type=REACTION&amp;object=FARNESYLTRANSTRANSFERASE-RXN</t>
  </si>
  <si>
    <t xml:space="preserve">BioCyc (Beta-carotene biosynthesis): https://biocyc.org/META/NEW-IMAGE?type=PATHWAY&amp;object=PWY-7393</t>
  </si>
  <si>
    <t xml:space="preserve">BRENDA (Phytoene desaturase): https://www.brenda-enzymes.org/enzyme.php?ecno=1.3.99.31</t>
  </si>
  <si>
    <t xml:space="preserve">Doshi (2013): https://www.pnas.org/content/pnas/110/19/7642.full.pdf</t>
  </si>
  <si>
    <t xml:space="preserve">Bu (2020): https://biotechnologyforbiofuels.biomedcentral.com/articles/10.1186/s13068-020-01809-6</t>
  </si>
  <si>
    <t xml:space="preserve">Butane</t>
  </si>
  <si>
    <t xml:space="preserve">Pathway developed/under development by the Laboratory for Metabolic Systems Engineering (LMSE) at the University of Toronto. There are two options for the terminal steps of the pathway: pentanoyl-CoA conversion to pentanal via two steps (Tes+Car) or via one step (LuxC). Enzyme screening work identified LuxC enzymes capable of working on hexanoyl-CoA (for pentane production) but not pentanoyl-CoA. Thus in model Tes+Car are used, but the LuxC reaction is included for reference. Research underway to look at Fatty acyl reductase (FAR) to carry out one step conversion of pentanoyl-coa to pentanal. Note that the Aldehyde decarbonylase reaction is applicable in anaerobic conditions, uncertain for aerobic conditions (LMSE only tested under anaerobic/microaerobic conditions). Das (2011) report that AD has oxygen-indepedent activity and that in the absence of oxygen (anaerobic conditions) its activity is actually 100-1000x higher. </t>
  </si>
  <si>
    <t xml:space="preserve">Succinyl-CoA ---&gt; (S)-Methylmalonyl-CoA</t>
  </si>
  <si>
    <t xml:space="preserve">MMM</t>
  </si>
  <si>
    <t xml:space="preserve">Methylmalonyl-CoA mutase</t>
  </si>
  <si>
    <t xml:space="preserve"> (S)-Methylmalonyl-CoA + H+ ---&gt; Propionyl-CoA + CO2</t>
  </si>
  <si>
    <t xml:space="preserve">MMCD</t>
  </si>
  <si>
    <t xml:space="preserve">Methylmalonyl-CoA decarboxylase</t>
  </si>
  <si>
    <t xml:space="preserve">Elongation Round 1</t>
  </si>
  <si>
    <t xml:space="preserve">Propionyl-CoA + Acetyl-CoA ---&gt; 3-oxopentanoyl-CoA + CoA</t>
  </si>
  <si>
    <t xml:space="preserve">ACACTc5</t>
  </si>
  <si>
    <t xml:space="preserve">Acetyl-CoA C-Acyltransferase (3-oxopentanoyl-CoA)</t>
  </si>
  <si>
    <t xml:space="preserve">Not in iJO1366 model and doesn’t appear to exist in any other model. There is a reaction that seems to be the same thing under rxnID VCACT, but this is for 3-ocopentanoyl-CoA not 3-oxopentanoyl-CoA (see notes in next reaction). Created unique ID for this reaction based on other acetyl-coa c-acyltransferases.</t>
  </si>
  <si>
    <t xml:space="preserve">3-oxopentanoyl-CoA + NADH + H+ ---&gt; 3-hydroxypentanoyl-CoA + NAD+</t>
  </si>
  <si>
    <t xml:space="preserve">HACDc5</t>
  </si>
  <si>
    <t xml:space="preserve">3-hydroxyacyl-CoA dehydrogenase (3-hydroxypentanoyl-CoA)</t>
  </si>
  <si>
    <t xml:space="preserve">Not in iJO1366 and doesn’t appear to exist in any other BiGG model. BUT a reaction that seems to be equivalent exists in the P. Putida iJN1463 model under rxnID HVCD, however this reaction produces 3-ocopentanoyl-CoA instead of 3-oxopentanoyl-CoA. Both metabolites exist in the P. Putida iJN1463 model and have the same formula and charge, so not sure if the 3-ocopentanoyl-CoA metabolite is a mistake and should be 3-oxopentanoyl-CoA (although 3-ocopentanoyl-coa seems to exist in other models too...so maybe not?). Regardless, made a unique reaction ID for this reaction, similar to other 3-hydroxyacyl-CoA dehydrogenases in the BiGG database.</t>
  </si>
  <si>
    <t xml:space="preserve">3-hydroxypentanoyl-CoA ---&gt; Trans-pent-2-enoyl-CoA + H2O</t>
  </si>
  <si>
    <t xml:space="preserve">VECOAHc5</t>
  </si>
  <si>
    <t xml:space="preserve">3-hydroxyacyl-CoA dehydratase (3-hydroxypentanoyl-CoA)</t>
  </si>
  <si>
    <t xml:space="preserve">Not in iJO1366 but exists in P. Putida iJN1463 model. Enzyme aka Enoyl-CoA hydratase,</t>
  </si>
  <si>
    <t xml:space="preserve">Trans-pent-2-enoyl-CoA + NADH + H+ ---&gt; Pentanoyl-CoA + NAD+</t>
  </si>
  <si>
    <t xml:space="preserve">VCOADnc5</t>
  </si>
  <si>
    <t xml:space="preserve">Acyl-CoA dehydrogenase (pentanoyl-CoA)</t>
  </si>
  <si>
    <t xml:space="preserve">Not in iJO1366 model. Does exist in P. Putida iJON1463 model but only as FAD-dependent reaction (rxnID: VCOAD). But NAD-dependent enzyme can also be used (it’s what we’re using in our synthetic pathway). NAD-dependent reaction doesn’t exist in BiGG database.</t>
  </si>
  <si>
    <t xml:space="preserve">Termination</t>
  </si>
  <si>
    <t xml:space="preserve">(1a)Pentanoyl-CoA + H2O --&gt; Pentanoate (aka valerate) + CoA + H+</t>
  </si>
  <si>
    <t xml:space="preserve">FACOAE50</t>
  </si>
  <si>
    <t xml:space="preserve">Fatty acyl-CoA thioesterase (pentanoate)</t>
  </si>
  <si>
    <t xml:space="preserve">Not in iJO1366 but exists in Pseudomoas putida iJN1463 model.</t>
  </si>
  <si>
    <t xml:space="preserve">(1b) Pentanoate(valerate) + NADPH + ATP + H+ ---&gt; Pentanal + NADP+ + AMP + PPi</t>
  </si>
  <si>
    <t xml:space="preserve">CARc5</t>
  </si>
  <si>
    <t xml:space="preserve">Carboxylic acid reductase (pentanal)</t>
  </si>
  <si>
    <t xml:space="preserve">Not in iJO1366 or any other BiGG model.</t>
  </si>
  <si>
    <t xml:space="preserve">(2) Pentanoyl-CoA + NADH + H+ ---&gt; Pentanal + CoA + NAD+ </t>
  </si>
  <si>
    <t xml:space="preserve">LUXc5</t>
  </si>
  <si>
    <t xml:space="preserve">Fatty acyl-CoA reductase (pentanal)</t>
  </si>
  <si>
    <t xml:space="preserve">Not in iJO1366 or any other BiGG model. Reaction in BioCyc is NADPH-dependent, but LMSE confirmed it’s more active with NADH.</t>
  </si>
  <si>
    <t xml:space="preserve">Pentanal + H2O ---&gt; Butane + Formate + H+</t>
  </si>
  <si>
    <t xml:space="preserve">ALDDc4</t>
  </si>
  <si>
    <t xml:space="preserve">Aldehyde decarbonylase (butane)</t>
  </si>
  <si>
    <t xml:space="preserve">Not in iJO1366 or any other BiGG model. RxnID modelled off of ALDDC17 (although reaction is different).</t>
  </si>
  <si>
    <t xml:space="preserve">Butane_p &lt;=&gt; Butane_c</t>
  </si>
  <si>
    <t xml:space="preserve">BUTANEtpp</t>
  </si>
  <si>
    <t xml:space="preserve">Butane transport via diffusion (periplasm)</t>
  </si>
  <si>
    <t xml:space="preserve">Not in iJO1366 model or any other BiGG model. Small, uncharged molecule with boiling point &lt;37degC, so assuming transport by diffusion, driven by concentration gradient.</t>
  </si>
  <si>
    <t xml:space="preserve">Butane_e &lt;=&gt; Butane_p</t>
  </si>
  <si>
    <t xml:space="preserve">BUTANEtex</t>
  </si>
  <si>
    <t xml:space="preserve">Butane transport via diffusion (extracellular to periplasm)</t>
  </si>
  <si>
    <t xml:space="preserve">Butane_e &lt;=&gt;</t>
  </si>
  <si>
    <t xml:space="preserve">EX_butane_e</t>
  </si>
  <si>
    <t xml:space="preserve">Butane exchange</t>
  </si>
  <si>
    <t xml:space="preserve">Call (2016) showed that the fatty acid transporter FadL is also used to import medium-chain alkanes (ie. Octane) in E.coli. From our experiments at LMSE, we already know that butane and pentane are extracellular products. Butane is small, uncharged molecule with a boiling point &lt;37degC. Since product will be in vapour phase and can be easily removed from reactor, transport can therefore be driven by concentration gradient and will likely occur via diffusion (maybe via channel; see Call (2016)). Based on boiling point &lt;37degC, assuming diffusion used for C &lt;=&gt; P, and diffusion for P &lt;=&gt; E.</t>
  </si>
  <si>
    <t xml:space="preserve">Liu (2021): https://www.frontiersin.org/articles/10.3389/fbioe.2021.613322/full</t>
  </si>
  <si>
    <t xml:space="preserve">Call (2016): https://www.ncbi.nlm.nih.gov/pmc/articles/PMC4822313/</t>
  </si>
  <si>
    <t xml:space="preserve">Das (2011): https://onlinelibrary.wiley.com/doi/abs/10.1002/anie.201101552</t>
  </si>
  <si>
    <t xml:space="preserve">BioCyc (LuxC): https://biocyc.org/META/NEW-IMAGE?type=EC-NUMBER&amp;object=EC-1.2.1.50</t>
  </si>
  <si>
    <r>
      <rPr>
        <b val="true"/>
        <sz val="11"/>
        <rFont val="arial"/>
        <family val="2"/>
        <charset val="1"/>
      </rPr>
      <t xml:space="preserve">Butanol PW1 </t>
    </r>
    <r>
      <rPr>
        <b val="true"/>
        <sz val="11"/>
        <color rgb="FF000000"/>
        <rFont val="arial"/>
        <family val="2"/>
        <charset val="1"/>
      </rPr>
      <t xml:space="preserve">(RBO)</t>
    </r>
  </si>
  <si>
    <t xml:space="preserve">Based on LMSE’s work with the alkane production pathways here are two options for butanoyl-CoA conversion to butanal; via two steps (Tes+Car) or via one step (LuxC). LuxC is employed in the model, but the Tes + Car options have been included for reference (though not active in the models).</t>
  </si>
  <si>
    <t xml:space="preserve">2Acetyl-CoA &lt;=&gt; Acetoacetyl-CoA</t>
  </si>
  <si>
    <t xml:space="preserve">Acetyl-CoA C-acetyltransferase (Acetoacetyl-CoA)</t>
  </si>
  <si>
    <t xml:space="preserve">Acetoacetyl-CoA + NADH + H+ &lt;=&gt; (S)-3-Hydroxybutanoyl-CoA + NAD</t>
  </si>
  <si>
    <t xml:space="preserve">(S)-3-Hydroxybutanoyl-CoA &lt;=&gt; Crotonoyl-CoA + H2O</t>
  </si>
  <si>
    <t xml:space="preserve">ECOAH1</t>
  </si>
  <si>
    <t xml:space="preserve">3-hydroxyacyl-CoA dehydratase (3-hydroxybutanoyl-CoA)</t>
  </si>
  <si>
    <t xml:space="preserve">Crotonoy-CoA(Trans-2-butenoyl-CoA) + NADH + H+ ---&gt; Butanoyl-CoA + NAD+</t>
  </si>
  <si>
    <t xml:space="preserve">ACOAD1</t>
  </si>
  <si>
    <t xml:space="preserve">Acyl-CoA dehydrogenase (butanoyl-CoA)</t>
  </si>
  <si>
    <t xml:space="preserve">Only exists in iJO1366 model as FAD-dependent reaction (rxnID: ACOAD1f). But NAD-dependent enzyme can also be used (it’s what we’re using in our synthetic pathway). NAD-dependent reaction exists in BiGG database under this rxnID (ACOAD1).</t>
  </si>
  <si>
    <t xml:space="preserve">(1a) Butanoyl-CoA + H2O --&gt; Butyrate + CoA + H+</t>
  </si>
  <si>
    <t xml:space="preserve">FACOAE40</t>
  </si>
  <si>
    <t xml:space="preserve">Fatty-acid-CoA thioesterase (butanoate)</t>
  </si>
  <si>
    <r>
      <rPr>
        <sz val="11"/>
        <color rgb="FF000000"/>
        <rFont val="arial"/>
        <family val="2"/>
        <charset val="1"/>
      </rPr>
      <t xml:space="preserve">Not in iJO1366 or any other BiGG model,</t>
    </r>
    <r>
      <rPr>
        <sz val="11"/>
        <rFont val="arial"/>
        <family val="2"/>
        <charset val="1"/>
      </rPr>
      <t xml:space="preserve"> but similar reaction exists for larger fatty-acid CoA substrates in the iJO1366 model and others (see the FACAOAE series). Same naming convention used for consistency.</t>
    </r>
  </si>
  <si>
    <t xml:space="preserve">(1b) Butyrate + NADPH + ATP + H+ ---&gt; Butanal + NADP+ + AMP + PPi</t>
  </si>
  <si>
    <t xml:space="preserve">CARc4</t>
  </si>
  <si>
    <t xml:space="preserve">Carboxylic acid reductase (butanal)</t>
  </si>
  <si>
    <t xml:space="preserve">(2) Butanoyl-CoA + NADH + H+ ---&gt; Butanal + CoA + NAD+ </t>
  </si>
  <si>
    <t xml:space="preserve">BTCOARx</t>
  </si>
  <si>
    <t xml:space="preserve">Butyryl-coA reductase (NADH)</t>
  </si>
  <si>
    <t xml:space="preserve">Not in iJO1366 but exists in some other BiGG models, including the Clostidrium ljungdahlii model iHN637. Essentially the same reaction as catalyzed by LuxC but named to match the reaction in the BiGG database.</t>
  </si>
  <si>
    <t xml:space="preserve">Butanal + NADH + H+ --&gt; Butanol + NAD+</t>
  </si>
  <si>
    <t xml:space="preserve">ALCD4</t>
  </si>
  <si>
    <t xml:space="preserve">Alcohol dehydrogenase (butanol)</t>
  </si>
  <si>
    <t xml:space="preserve">Not in iJO1366 but exists in the Geobacter metallireducens iAF987 model and the Clostridrium ljungdahlii iHN637 model.</t>
  </si>
  <si>
    <t xml:space="preserve">Butanol_p + H+_p &lt;=&gt; Butanol_c + H+_c</t>
  </si>
  <si>
    <t xml:space="preserve">BUTOHt2rpp</t>
  </si>
  <si>
    <t xml:space="preserve">Butanol transport via proton symport (periplasm)</t>
  </si>
  <si>
    <t xml:space="preserve">Not in iJO166 but exists in the Geobacter metallireducens iAF987 model.</t>
  </si>
  <si>
    <t xml:space="preserve">Butanol_e &lt;=&gt; Butanol_p</t>
  </si>
  <si>
    <t xml:space="preserve">BUTOHtex</t>
  </si>
  <si>
    <t xml:space="preserve">Butanol transport via diffusion (extracellular to periplasm)</t>
  </si>
  <si>
    <t xml:space="preserve">Butanol_e &lt;=&gt;</t>
  </si>
  <si>
    <t xml:space="preserve">EX_btoh_e</t>
  </si>
  <si>
    <t xml:space="preserve">Butanol exchange</t>
  </si>
  <si>
    <t xml:space="preserve">Based on boiling point &gt;37degC, assuming proton symporter used for C &lt;=&gt; P, and diffusion for P &lt;=&gt; E. Butanol transport exists in BiGG database as free diffusion (Clostridium ljundahlii iHN637) and proton symport (Geobacter metallireducens iAF987)</t>
  </si>
  <si>
    <t xml:space="preserve">Jawed (2020): https://pubs.acs.org/doi/10.1021/acssynbio.0c00154</t>
  </si>
  <si>
    <t xml:space="preserve">Garcia (2020): https://pubs.acs.org/doi/abs/10.1021/acssynbio.9b00518</t>
  </si>
  <si>
    <t xml:space="preserve">BioCyc (ADHE2): https://metacyc.org/gene?orgid=META&amp;id=G-12174</t>
  </si>
  <si>
    <t xml:space="preserve">Butanol PW2 (ketoacids)</t>
  </si>
  <si>
    <t xml:space="preserve">Shen (2008) use natural amino acid metabolism in E.coli for 2-oxobutanoate production (via Threonine), then a heterologous, modified version of the leucine biosynthetic enzymes LeuABCD to convert to 2-oxopentanoate. Then two exogenous genes are used to convert 2-oxopentanoate to butanal (rxnID: 2OPDC) and then to butanol (rxnID: ALCD4). 2-oxobutanoate (aka 2-ketoburytate) is "a common keto-acid intermediate for isoleucine biosynthesis."</t>
  </si>
  <si>
    <t xml:space="preserve">2-oxobutanoate + Acetyl-CoA + H2O --&gt; 2-ethylmalate + CoA + H+</t>
  </si>
  <si>
    <t xml:space="preserve">2EMS</t>
  </si>
  <si>
    <t xml:space="preserve">2-Ethylmalate synthase (LeuA)</t>
  </si>
  <si>
    <t xml:space="preserve">2-ethylmalate --&gt; 3-ethylmalate</t>
  </si>
  <si>
    <t xml:space="preserve">2EMHL</t>
  </si>
  <si>
    <t xml:space="preserve">2-Ethylmalate hydrolyase (LeuD)</t>
  </si>
  <si>
    <t xml:space="preserve">Two steps catalyzed by same enzyme. Modelled as one reaction here, see 3-methylbutanol biosynthesis pathway on BioCy.</t>
  </si>
  <si>
    <t xml:space="preserve">3-ethylmalate + NAD+ --&gt; 2-oxopentanoate (2-ketovalerate) + CO2 + NADH</t>
  </si>
  <si>
    <t xml:space="preserve">3EMDH</t>
  </si>
  <si>
    <t xml:space="preserve">3-Ethylmalate dehydrogenase (LeuB)</t>
  </si>
  <si>
    <t xml:space="preserve">Two steps first catalyzed, second is spontaneous. Modelled as one reaction here, see 3-methylbutanol biosynthesis pathway on BioCy.</t>
  </si>
  <si>
    <t xml:space="preserve">2-oxopentanoate + H+ --&gt; Butanal + CO2</t>
  </si>
  <si>
    <t xml:space="preserve">2OPDC</t>
  </si>
  <si>
    <t xml:space="preserve">2-Oxopentanoate decarboxylase</t>
  </si>
  <si>
    <t xml:space="preserve">Not in iJO366 but exists in two other BiGG models: Clostridium ljungdahlii iHN637 and Geobacter metallireducens iAF987. In Shen (2008) they use ADH2 from S. cerevisiae.</t>
  </si>
  <si>
    <t xml:space="preserve">Shen (2008): https://www.frontiersin.org/articles/10.3389/fbioe.2020.00710/full</t>
  </si>
  <si>
    <t xml:space="preserve">BioCyc (3-methylbutanol biosynthesis pathway): https://metacyc.org/META/NEW-IMAGE?type=PATHWAY&amp;object=PWY-6871</t>
  </si>
  <si>
    <t xml:space="preserve">Butyrate</t>
  </si>
  <si>
    <t xml:space="preserve">Conversion of Butanoyl-coA to butyrate can be performed a few different ways (see Durre (2016)). Two were selected here and both will be employed in the model, which will allow whichever reaction is more beneficial to be used.</t>
  </si>
  <si>
    <t xml:space="preserve">Butanoyl-CoA + FAD &lt;=&gt; Crotonoyl-CoA + FADH2 (reverse reaction needed)</t>
  </si>
  <si>
    <t xml:space="preserve">ACOAD1f</t>
  </si>
  <si>
    <t xml:space="preserve">Acetyl-CoA + Butyrate &lt;=&gt; Acetate + Butanoyl-CoA</t>
  </si>
  <si>
    <t xml:space="preserve">BUTCT</t>
  </si>
  <si>
    <t xml:space="preserve">Acetyl-CoA:butyrate-CoA transferase</t>
  </si>
  <si>
    <t xml:space="preserve">Exists in iJO1366 model but in forward direction only (not direction needed for this pathway), so lower bound must be modified to allow reaction to proceed in either direction. The reaction should be reversible based on Durre (2016).</t>
  </si>
  <si>
    <t xml:space="preserve">Butanoyl-CoA + H2O --&gt; Butyrate + CoA + H+</t>
  </si>
  <si>
    <t xml:space="preserve">BCOATE</t>
  </si>
  <si>
    <t xml:space="preserve">Butanoyl-CoA Thioesterase</t>
  </si>
  <si>
    <t xml:space="preserve">Not in iJO1366 model or any other BiGG model. Zhang (2016) report employing YciA from Haemophilus influenza in E.coli for butyryl-CoA --&gt; butyric acid conversion, as part of a propane producing pathway. Cantu (2010) report that many bacterial TE6 sequences are YciA TEs that preferentially attack Butyryl-coA (and a few other CoA substrates). The mechanism they show, and the reaction shown for YciA thioesterases on MetaCyc, are consistent with how the reaction is written here (a hydrolysis).</t>
  </si>
  <si>
    <t xml:space="preserve">Butyrate_p + H+_p &lt;=&gt; Butyrate_c + H+_c</t>
  </si>
  <si>
    <t xml:space="preserve">BUTt2rpp</t>
  </si>
  <si>
    <t xml:space="preserve">Butyrate transport via proton symport, reversible (periplasm)</t>
  </si>
  <si>
    <t xml:space="preserve">Butyrate_e &lt;=&gt; Butyrate_p</t>
  </si>
  <si>
    <t xml:space="preserve">BUTtex</t>
  </si>
  <si>
    <t xml:space="preserve">Butyrate transport via diffusion (extracellular to periplasm)</t>
  </si>
  <si>
    <t xml:space="preserve">Butryate_e &lt;=&gt;</t>
  </si>
  <si>
    <t xml:space="preserve">EX_but_e</t>
  </si>
  <si>
    <t xml:space="preserve">Butyrate (n-C4:0) exchange</t>
  </si>
  <si>
    <t xml:space="preserve">Butyrate transport and exchange already exists in the iJO1366 model, so no need to add.</t>
  </si>
  <si>
    <t xml:space="preserve">Zhang (2016): https://www.ncbi.nlm.nih.gov/pmc/articles/PMC4818529/</t>
  </si>
  <si>
    <r>
      <rPr>
        <sz val="11"/>
        <rFont val="arial"/>
        <family val="2"/>
        <charset val="1"/>
      </rPr>
      <t xml:space="preserve">Cantu (2010): </t>
    </r>
    <r>
      <rPr>
        <u val="single"/>
        <sz val="11"/>
        <color rgb="FF0563C1"/>
        <rFont val="arial"/>
        <family val="2"/>
        <charset val="1"/>
      </rPr>
      <t xml:space="preserve">https://www.ncbi.nlm.nih.gov/pmc/articles/PMC2974821/</t>
    </r>
  </si>
  <si>
    <r>
      <rPr>
        <sz val="11"/>
        <rFont val="arial"/>
        <family val="2"/>
        <charset val="1"/>
      </rPr>
      <t xml:space="preserve">Durre: (2016): </t>
    </r>
    <r>
      <rPr>
        <u val="single"/>
        <sz val="11"/>
        <color rgb="FF0563C1"/>
        <rFont val="arial"/>
        <family val="2"/>
        <charset val="1"/>
      </rPr>
      <t xml:space="preserve">https://academic.oup.com/femsle/article/363/6/fnw040/2570297</t>
    </r>
  </si>
  <si>
    <r>
      <rPr>
        <sz val="11"/>
        <rFont val="arial"/>
        <family val="2"/>
        <charset val="1"/>
      </rPr>
      <t xml:space="preserve">Litty (2021): </t>
    </r>
    <r>
      <rPr>
        <u val="single"/>
        <sz val="11"/>
        <color rgb="FF0563C1"/>
        <rFont val="arial"/>
        <family val="2"/>
        <charset val="1"/>
      </rPr>
      <t xml:space="preserve">https://sfamjournals.onlinelibrary.wiley.com/doi/epdf/10.1111/1751-7915.13779</t>
    </r>
  </si>
  <si>
    <t xml:space="preserve">Catechol</t>
  </si>
  <si>
    <t xml:space="preserve">Doesn’t appear to exist in any BiGG models. See reaction here: https://biocyc.org/META/NEW-IMAGE?type=REACTION&amp;object=PROTOCATECHUATE-DECARBOXYLASE-RXN</t>
  </si>
  <si>
    <t xml:space="preserve">Catechol_p + H+_p  &lt;=&gt; Catechol_c + H+</t>
  </si>
  <si>
    <t xml:space="preserve">CATECHOLt2rpp</t>
  </si>
  <si>
    <t xml:space="preserve">Catechol transport via proton symport (periplasm)</t>
  </si>
  <si>
    <t xml:space="preserve">Not in BiGG database. Transport between periplasm and cellular compartments exist in the P.putida models (iJN1463 and iJN746) as diffusion, but not as proton symporter.</t>
  </si>
  <si>
    <t xml:space="preserve">Catechol_e &lt;=&gt; Catechol_p</t>
  </si>
  <si>
    <t xml:space="preserve">CATECHOLtex</t>
  </si>
  <si>
    <t xml:space="preserve">Catechol transport via diffusion (extracellular to periplasm)</t>
  </si>
  <si>
    <t xml:space="preserve">Not in iJO1366 but exists in the P.putida models (iJN1463 and iJN746).</t>
  </si>
  <si>
    <t xml:space="preserve">Catechol_e &lt;=&gt;</t>
  </si>
  <si>
    <t xml:space="preserve">EX_catechol_e</t>
  </si>
  <si>
    <t xml:space="preserve">Catechol exchange</t>
  </si>
  <si>
    <t xml:space="preserve">Based on boiling point &gt;37degC, assuming proton symporter used for C &lt;=&gt; P, and diffusion for P &lt;=&gt; E. Catechol transport exists in the P. Putida models (iJN1463 and iJN746), but as free diffusion.</t>
  </si>
  <si>
    <t xml:space="preserve">cis-cis Muconate</t>
  </si>
  <si>
    <t xml:space="preserve">Cis-cis muconate_p + H+_p &lt;=&gt; Cis-cis muconate_c + H+_c</t>
  </si>
  <si>
    <t xml:space="preserve">CCMUACtpp</t>
  </si>
  <si>
    <t xml:space="preserve">Cis-cis muconate transport via proton symport (periplasm)</t>
  </si>
  <si>
    <t xml:space="preserve">Cis-cis muconate_e &lt;=&gt; Cis-cis muconate_p</t>
  </si>
  <si>
    <t xml:space="preserve">CCMUACtex</t>
  </si>
  <si>
    <t xml:space="preserve">Cis-cis muconate transport via diffusion (extracellular to periplasm)</t>
  </si>
  <si>
    <t xml:space="preserve">Cis-cis muconate_e &lt;=&gt;</t>
  </si>
  <si>
    <t xml:space="preserve">EX_ccmuac_e</t>
  </si>
  <si>
    <t xml:space="preserve">Cis-cis muconate exchange</t>
  </si>
  <si>
    <t xml:space="preserve">Based on Zhang (2015) cis,cis muconate is an extra-cellular product (analyzed by HPLC in cell-free broth), but didn’t mention how it leaves the cell. No other instance of cis,cis-muconate transport exists in the BiGG database. Based on boiling point &gt;37degC, assuming proton symporter used for C &lt;=&gt; P, and diffusion for P &lt;=&gt; E.</t>
  </si>
  <si>
    <t xml:space="preserve">Coumaric Acid (4-Hydroxycinnimate)</t>
  </si>
  <si>
    <t xml:space="preserve">Pathway uses native shikimate pathway (see Shikimate production pathway), then shikimate is converted to L-Tyrosine via chorismate (native pathways). Tyrosine converted to coumaric acid in last step of pathway, catalyzed by Tyrosine ammonia-lyase (TYRAL).</t>
  </si>
  <si>
    <t xml:space="preserve">CoumaricAcid_p + H+_p &lt;=&gt; CoumaricAcid_c + H+_c</t>
  </si>
  <si>
    <t xml:space="preserve">T4HCINNMt2rpp</t>
  </si>
  <si>
    <t xml:space="preserve">Coumaric acid transport via proton symport (periplasm)</t>
  </si>
  <si>
    <t xml:space="preserve">Not in BiGG database. Instance of transport exists in the P. Putida iJN1463 model but as diffusion. Creating new reaction for proton symporter.</t>
  </si>
  <si>
    <t xml:space="preserve">CoumaricAcid_e &lt;=&gt; CoumaricAcid_p</t>
  </si>
  <si>
    <t xml:space="preserve">T4HCINNMtex</t>
  </si>
  <si>
    <t xml:space="preserve">Coumaric acid transport via diffusion (extracellular to periplasm)</t>
  </si>
  <si>
    <t xml:space="preserve">Not in iJO1366, but exists in the P. Putida iJN1463 model.</t>
  </si>
  <si>
    <t xml:space="preserve">CoumaricAcid_e &lt;=&gt;</t>
  </si>
  <si>
    <t xml:space="preserve">EX_T4hcinnm_e</t>
  </si>
  <si>
    <t xml:space="preserve">Coumaric acid exchange</t>
  </si>
  <si>
    <t xml:space="preserve">Based on boiling point &gt;37degC, assuming proton symporter used for C &lt;=&gt; P, and diffusion for P &lt;=&gt; E. Phenol transport exists in the Geobacter metallireducens iAF987 model as proton symporter for P --&gt; C and diffusion for P &lt;=&gt; E.</t>
  </si>
  <si>
    <r>
      <rPr>
        <b val="true"/>
        <sz val="11"/>
        <color rgb="FF000000"/>
        <rFont val="arial"/>
        <family val="2"/>
        <charset val="1"/>
      </rPr>
      <t xml:space="preserve">Ethyl acetate (acetic ester) *</t>
    </r>
    <r>
      <rPr>
        <i val="true"/>
        <sz val="11"/>
        <color rgb="FF000000"/>
        <rFont val="arial"/>
        <family val="2"/>
        <charset val="1"/>
      </rPr>
      <t xml:space="preserve">Pathway may be anaerobic only</t>
    </r>
    <r>
      <rPr>
        <b val="true"/>
        <sz val="11"/>
        <color rgb="FF000000"/>
        <rFont val="arial"/>
        <family val="2"/>
        <charset val="1"/>
      </rPr>
      <t xml:space="preserve">*</t>
    </r>
  </si>
  <si>
    <t xml:space="preserve">Pathway involves one exogenous reaction in iJO1366 model (the ethanol acetyltransferase). Note that the uptream reactions used will depend on the feedstock, but two endogenous reactions of interest have been included here for reference.</t>
  </si>
  <si>
    <t xml:space="preserve">Acetaldehyde + NAD+ + CoA &lt;=&gt; Acetyl-CoA + NADH + H+</t>
  </si>
  <si>
    <t xml:space="preserve">ACALD</t>
  </si>
  <si>
    <t xml:space="preserve">Acetaldehyde dehydrogenase (acetylating)</t>
  </si>
  <si>
    <t xml:space="preserve">Native reaction for reference. Reverse reaction needed for this pathway.</t>
  </si>
  <si>
    <t xml:space="preserve">Ethanol  + NAD+ &lt;=&gt; Acetaldehyde + NADH + H + </t>
  </si>
  <si>
    <t xml:space="preserve">ALCD2x</t>
  </si>
  <si>
    <t xml:space="preserve">Alcohol dehydrogenase (ethanol)</t>
  </si>
  <si>
    <t xml:space="preserve">Acetyl-CoA + Ethanol ---&gt; Ethyl Acetate + CoA</t>
  </si>
  <si>
    <t xml:space="preserve">OHACT1</t>
  </si>
  <si>
    <t xml:space="preserve">Alcohol acetyltransferase (ethanol)</t>
  </si>
  <si>
    <t xml:space="preserve">Not in the iJO1366 model but does exist in the S. cerevisiae iMM904 model.</t>
  </si>
  <si>
    <t xml:space="preserve">Ethyl Acetate_p + H+_p &lt;=&gt; Ethyl Acetate_c + H+_c</t>
  </si>
  <si>
    <t xml:space="preserve">ACESt2rpp</t>
  </si>
  <si>
    <t xml:space="preserve">Acetic ester transport via proton symport (periplasm)</t>
  </si>
  <si>
    <t xml:space="preserve">Ethyl Acetate_e &lt;=&gt; Ethyl Acetate_p</t>
  </si>
  <si>
    <t xml:space="preserve">ACEStex</t>
  </si>
  <si>
    <t xml:space="preserve">Acetic ester transport via diffusion (extracellular to periplasm)</t>
  </si>
  <si>
    <t xml:space="preserve">EX_aces_e</t>
  </si>
  <si>
    <t xml:space="preserve">Acetic exchange</t>
  </si>
  <si>
    <t xml:space="preserve">Based on boiling point &gt;37degC, assuming proton symporter used for C &lt;=&gt; P, and diffusion for P &lt;=&gt; E. Ethyl acetate (acetic ester) transport exists in BiGG database in the S. cerevisiae iMM904 model as free diffusion.</t>
  </si>
  <si>
    <t xml:space="preserve">Bohnenkamp (2020): https://biotechnologyforbiofuels.biomedcentral.com/articles/10.1186/s13068-020-01703-1</t>
  </si>
  <si>
    <t xml:space="preserve">Kruis (2017): https://www.sciencedirect.com/science/article/pii/S1096717617300320#f0005</t>
  </si>
  <si>
    <t xml:space="preserve">MetaCyc (alcohol acetyltransferase): https://metacyc.org/META/NEW-IMAGE?type=REACTION&amp;object=RXN-12363</t>
  </si>
  <si>
    <r>
      <rPr>
        <b val="true"/>
        <sz val="11"/>
        <color rgb="FF000000"/>
        <rFont val="arial"/>
        <family val="2"/>
        <charset val="1"/>
      </rPr>
      <t xml:space="preserve">Farnesene </t>
    </r>
    <r>
      <rPr>
        <sz val="11"/>
        <color rgb="FF000000"/>
        <rFont val="arial"/>
        <family val="2"/>
        <charset val="1"/>
      </rPr>
      <t xml:space="preserve"> (mevalonate pathway; for isoprenoid synthesis)</t>
    </r>
  </si>
  <si>
    <t xml:space="preserve">Pathway similar to other isoprenoids synthesized via mevalonate pathway (ie. limonene, beta-carotene and isoprene)</t>
  </si>
  <si>
    <t xml:space="preserve">isopentenyl diphosphate  + dimethylallyl diphosphate --&gt; Geranyl disphosphate + diphosphate</t>
  </si>
  <si>
    <t xml:space="preserve">Farnesyl diphosphate &lt;=&gt; farnesene + Diphosphate</t>
  </si>
  <si>
    <t xml:space="preserve">FARSyn</t>
  </si>
  <si>
    <t xml:space="preserve">Farnesene synthase</t>
  </si>
  <si>
    <t xml:space="preserve">Not in iJO1366 or any other BiGG model. Different enzyme required to make alpha-Farnesene vs beta-farnesene, but either could be made.</t>
  </si>
  <si>
    <r>
      <rPr>
        <sz val="11"/>
        <color rgb="FF5C2D91"/>
        <rFont val="Arial"/>
        <family val="2"/>
        <charset val="1"/>
      </rPr>
      <t xml:space="preserve">Farnesene</t>
    </r>
    <r>
      <rPr>
        <sz val="11"/>
        <color rgb="FF5C2D91"/>
        <rFont val="arial"/>
        <family val="2"/>
        <charset val="1"/>
      </rPr>
      <t xml:space="preserve">_p + H+_p &lt;=&gt; Farnesene_c + H+_c</t>
    </r>
  </si>
  <si>
    <t xml:space="preserve">FRENEtpp</t>
  </si>
  <si>
    <t xml:space="preserve">Farnesene transport via proton symport (periplasm)</t>
  </si>
  <si>
    <t xml:space="preserve">Farnesene_e &lt;=&gt; Farnesene_p</t>
  </si>
  <si>
    <t xml:space="preserve">FRENEtex</t>
  </si>
  <si>
    <t xml:space="preserve">Farnesene transport via diffusion (extracellular to periplasm)</t>
  </si>
  <si>
    <t xml:space="preserve">Farnesene_e &lt;=&gt;</t>
  </si>
  <si>
    <t xml:space="preserve">EX_frene_e</t>
  </si>
  <si>
    <t xml:space="preserve">Farnesene exchange</t>
  </si>
  <si>
    <t xml:space="preserve">Based on Wang (2011) farnesene is an extracellular product (decane used to extract farnesene from cell culture, then analyzed by gas chromatography). No mention of how it leaves the cell; farnesene and its transport don’t exist in any other BiGG model. Based on boiling point &gt;37degC, assuming proton symporter used for C &lt;=&gt; P, and diffusion for P &lt;=&gt; E.</t>
  </si>
  <si>
    <t xml:space="preserve">Wang (2011): https://pubmed.ncbi.nlm.nih.gov/21907299/</t>
  </si>
  <si>
    <t xml:space="preserve">BioCyc (Farnesyl diphosphate biosynthesis): https://biocyc.org/META/NEW-IMAGE?type=PATHWAY&amp;object=PWY-5123</t>
  </si>
  <si>
    <t xml:space="preserve">BioCyc (Mevalonate Pathway I): https://biocyc.org/META/NEW-IMAGE?type=PATHWAY&amp;object=PWY-922</t>
  </si>
  <si>
    <t xml:space="preserve">Gamma-Butyrolactone</t>
  </si>
  <si>
    <t xml:space="preserve">*Only included this reaction for reference, it’s already in the model.</t>
  </si>
  <si>
    <t xml:space="preserve">Gamma-Hydroxybutyrate + ATP + CoA -=&gt; 4-Hydroxybutanoyl-CoA + ADP + Phosphate</t>
  </si>
  <si>
    <t xml:space="preserve">Doesn’t appear to exist in any BiGG models. But a similar reaction exists for 4-hydroxypentanoate in the P. Putida model iJN1463, rxn ID  4HPTNCOAL. Reaction as reported on MetaCyc.</t>
  </si>
  <si>
    <t xml:space="preserve">4-Hydroxybutanoyl-CoA &lt;=&gt; Gamma-Butyrolactone + CoA</t>
  </si>
  <si>
    <t xml:space="preserve">SPON4LAC</t>
  </si>
  <si>
    <t xml:space="preserve">Spontaneous butyrolactone formation</t>
  </si>
  <si>
    <t xml:space="preserve">Doesn’t  exist in any BiGG models. In the Lee (109) paper the reaction is listed as “spontaneous”. Typically relying on spontaneous reactions is slow (enzymatic is better), but Krishna says that lactone formation will happen very quickly and shouldn’t cause a bottleneck in the pathway.</t>
  </si>
  <si>
    <r>
      <rPr>
        <sz val="11"/>
        <color rgb="FF5C2D91"/>
        <rFont val="Arial"/>
        <family val="2"/>
        <charset val="1"/>
      </rPr>
      <t xml:space="preserve">Gamma-Butyrolactone</t>
    </r>
    <r>
      <rPr>
        <sz val="11"/>
        <color rgb="FF5C2D91"/>
        <rFont val="arial"/>
        <family val="2"/>
        <charset val="1"/>
      </rPr>
      <t xml:space="preserve">_p + H+_p &lt;=&gt; Gamma-Butyrolactone_c + H+_c</t>
    </r>
  </si>
  <si>
    <t xml:space="preserve">GBLTtpp</t>
  </si>
  <si>
    <t xml:space="preserve">Gamma-butyrolactone transport via proton symport (periplasm)</t>
  </si>
  <si>
    <t xml:space="preserve">Gamma-Butyrolactone_e &lt;=&gt; Gamma-Butyrolactone_p</t>
  </si>
  <si>
    <t xml:space="preserve">GBLTtex</t>
  </si>
  <si>
    <t xml:space="preserve">Gamma-butyrolactone transport via diffusion (extracellular to periplasm)</t>
  </si>
  <si>
    <t xml:space="preserve">Gamma-Butyrolactone_e &lt;=&gt;</t>
  </si>
  <si>
    <t xml:space="preserve">EX_gblt_e</t>
  </si>
  <si>
    <t xml:space="preserve">Gamma-butyrolactone exchange</t>
  </si>
  <si>
    <t xml:space="preserve">Can’t find paper that is specifically for production of gamma-butyrolactone, and it’s not in the BiGG database (including transport). It is relatively small  and uncharged therefore likely extra-cellular product. Based on boiling point &gt;37degC, assuming proton symporter used for C &lt;=&gt; P, and diffusion for P &lt;=&gt; E.</t>
  </si>
  <si>
    <t xml:space="preserve">Zhou (2012) [covers up to gamma-hydroxybutyrate, aka 4-hydroxybutyric acid]: https://microbialcellfactories.biomedcentral.com/articles/10.1186/1475-2859-11-54</t>
  </si>
  <si>
    <r>
      <rPr>
        <sz val="11"/>
        <rFont val="arial"/>
        <family val="2"/>
        <charset val="1"/>
      </rPr>
      <t xml:space="preserve">MetaCyc (4-hydroxybutyrate-CoA Ligase):</t>
    </r>
    <r>
      <rPr>
        <u val="single"/>
        <sz val="11"/>
        <color rgb="FF0563C1"/>
        <rFont val="arial"/>
        <family val="2"/>
        <charset val="1"/>
      </rPr>
      <t xml:space="preserve"> https://metacyc.org/META/NEW-IMAGE?type=REACTION&amp;object=RXN-18387</t>
    </r>
  </si>
  <si>
    <t xml:space="preserve">Glutarate</t>
  </si>
  <si>
    <t xml:space="preserve">5-Aminopentanoate + 2-Oxoglutarate &lt;=&gt; L-Glutamate + Glutarate semialdehyde</t>
  </si>
  <si>
    <t xml:space="preserve">APTNAT</t>
  </si>
  <si>
    <t xml:space="preserve">5-aminopentanoate:2-oxoglutarate aminotransferase</t>
  </si>
  <si>
    <t xml:space="preserve">Not in iJO1366, but exists in other BiGG models and is usually reversible.</t>
  </si>
  <si>
    <t xml:space="preserve">Glutarate semialdehyde + NAD + H2O &lt;=&gt; Glutarate + NADH + 2H+</t>
  </si>
  <si>
    <t xml:space="preserve">OXPTNDH</t>
  </si>
  <si>
    <t xml:space="preserve">Glutarate-semialdehyde:NAD+ oxidoreductase</t>
  </si>
  <si>
    <t xml:space="preserve">Not in iJO1366, but exists in other BiGG models, including other E.coli models, and is usually reversible.</t>
  </si>
  <si>
    <t xml:space="preserve">Glutarate_p + H+_p &lt;=&gt; Glutarate_c + H+_c</t>
  </si>
  <si>
    <t xml:space="preserve">GLUTARt2rpp</t>
  </si>
  <si>
    <t xml:space="preserve">Glutarate reversible transport via symport periplasm </t>
  </si>
  <si>
    <t xml:space="preserve">Not in iJO1366, but exists in P. Putida model iJN1463 as reversible reaction.</t>
  </si>
  <si>
    <t xml:space="preserve">Glutarate_e &lt;=&gt; Glutarate_p</t>
  </si>
  <si>
    <t xml:space="preserve">GLUTARtex</t>
  </si>
  <si>
    <t xml:space="preserve">Glutarate transport via diffusion extracellular to periplasm </t>
  </si>
  <si>
    <t xml:space="preserve">Glutarate_e &lt;=&gt;</t>
  </si>
  <si>
    <t xml:space="preserve">EX_glutar_e</t>
  </si>
  <si>
    <t xml:space="preserve">Glutarate exchange</t>
  </si>
  <si>
    <t xml:space="preserve">Glutarate transport exists in the P. Putida model iJN1463 as a proton symporter for P &lt;=&gt; C and diffusion for E &lt;=&gt; P. Based on Park (2013), glutarate is extra-cellular product (measured by HPLC, no mention of cell lysis). Based on boiling point &gt;37degC, assuming proton symporter used for C &lt;=&gt; P, and diffusion for P &lt;=&gt; E (consistent with P. Putida model).</t>
  </si>
  <si>
    <t xml:space="preserve">MetaCyc (Proline degradation I): https://metacyc.org/META/NEW-IMAGE?type=PATHWAY&amp;object=PROUT-PWY</t>
  </si>
  <si>
    <t xml:space="preserve">Heptane</t>
  </si>
  <si>
    <t xml:space="preserve">Pathway developed/under development by the Laboratory for Metabolic Systems Engineering (LMSE) at the University of Toronto. There are two options for the terminal steps of the pathway: octanoyl-CoA conversion to octanal via two steps (Tes+Car) or via one step (LuxC). LuxC offers advantage of NADH-dependence rather than NADPH, and does not use ATP. Thus LuxC was used in the model, but the Tes/Car option is included for reference. Since the Tes reaction exists in the iJO1366 model already, its activity must be knocked out in the pentane model. Note that for ACOAD1 and ACOAD2, similar reactions exist in iJO1366 but are FAD-dependent these are knocked out in the model such that the NAD-dependent reactions are used (knocked out: ACOAD1f &amp; ACOAD2f). Note also that the Aldehyde decarbonylase reaction is applicable in anaerobic conditions, uncertain for aerobic conditions (LMSE only tested under anaerobic/microaerobic conditions). Das (2011) report that AD has oxygen-indepedent activity and that in the absence of oxygen (anaerobic conditions) its activity is actually 100-1000x higher. </t>
  </si>
  <si>
    <r>
      <rPr>
        <sz val="11"/>
        <color rgb="FF0618F6"/>
        <rFont val="arial"/>
        <family val="2"/>
        <charset val="1"/>
      </rPr>
      <t xml:space="preserve">Acetoacetyl-CoA</t>
    </r>
    <r>
      <rPr>
        <sz val="11"/>
        <color rgb="FF0E08F7"/>
        <rFont val="arial"/>
        <family val="2"/>
        <charset val="1"/>
      </rPr>
      <t xml:space="preserve"> + NADH + H+ ---&gt; 3-hydroxybutanoyl-CoA + NAD+</t>
    </r>
  </si>
  <si>
    <t xml:space="preserve">3-hydroxybutanoyl-CoA ---&gt; Crotonoyl-CoA(Trans-2-butenoyl-CoA) + H2O</t>
  </si>
  <si>
    <t xml:space="preserve">Elongation Round 2</t>
  </si>
  <si>
    <t xml:space="preserve">Butanoyl-CoA + Acetyl-CoA ---&gt; 3-oxohexanoyl-CoA + CoA</t>
  </si>
  <si>
    <t xml:space="preserve">ACACT2r</t>
  </si>
  <si>
    <t xml:space="preserve">Acetyl-CoA C-acyltransferase (butanoyl-CoA)</t>
  </si>
  <si>
    <t xml:space="preserve">3-oxohexanoyl-CoA + NADH + H+ ---&gt; (S)-3-Hydroxyhexanoyl-CoA + NAD+</t>
  </si>
  <si>
    <t xml:space="preserve">HACD2</t>
  </si>
  <si>
    <t xml:space="preserve">3-hydroxyacyl-CoA dehydrogenase (3-oxohexanoyl-CoA)</t>
  </si>
  <si>
    <t xml:space="preserve">(S)-3-Hydroxyhexanoyl-CoA ---&gt; Trans-Hex-2-enoyl-CoA + H2O</t>
  </si>
  <si>
    <t xml:space="preserve">ECOAH2</t>
  </si>
  <si>
    <t xml:space="preserve">3-hydroxyacyl-CoA dehydratase (3-hydroxyhexanoyl-CoA)</t>
  </si>
  <si>
    <t xml:space="preserve">Enzyme aka Enoyl-CoA hydratase</t>
  </si>
  <si>
    <t xml:space="preserve">Trans-Hex-2-enoyl-CoA + NADH + H+ ---&gt; Hexanoyl-CoA + NAD+</t>
  </si>
  <si>
    <t xml:space="preserve">ACOAD2</t>
  </si>
  <si>
    <t xml:space="preserve">Acyl-CoA dehydrogenase (hexanoyl-CoA)</t>
  </si>
  <si>
    <t xml:space="preserve">Only exists in iJO1366 model as FAD-dependent reaction (rxnID: ACOAD2f). But NAD-dependent enzyme can also be used (it’s what we’re using in our synthetic pathway). NAD-dependent reaction exists in BiGG database under this rxnID (ACOAD2).</t>
  </si>
  <si>
    <t xml:space="preserve">Elongation Round 3</t>
  </si>
  <si>
    <t xml:space="preserve">Hexanoyl-CoA + Acetyl-CoA ---&gt; 3-oxooctanoyl-CoA + CoA</t>
  </si>
  <si>
    <t xml:space="preserve">ACACT3r</t>
  </si>
  <si>
    <t xml:space="preserve">Acetyl-CoA C-acyltransferase (hexanoyl-CoA)</t>
  </si>
  <si>
    <t xml:space="preserve">3-oxooctanoyl-CoA + NADH + H+ ---&gt; (S)-3-Hydroxyoctanoyl-CoA + NAD+</t>
  </si>
  <si>
    <t xml:space="preserve">HACD3</t>
  </si>
  <si>
    <t xml:space="preserve">3-hydroxyacyl-CoA dehydrogenase (3-oxooctanoyl-CoA)</t>
  </si>
  <si>
    <t xml:space="preserve">(S)-3-Hydroxyoctanoyl-CoA ---&gt; Trans-Oct-2-enoyl-CoA + H2O</t>
  </si>
  <si>
    <t xml:space="preserve">ECOAH3</t>
  </si>
  <si>
    <t xml:space="preserve">Trans-Oct-2-enoyl-CoA + NADH + H+ ---&gt; Octanoyl-CoA + NAD+</t>
  </si>
  <si>
    <t xml:space="preserve">ACOAD3</t>
  </si>
  <si>
    <t xml:space="preserve">Acyl-CoA dehydrogenase (octanoyl-CoA)</t>
  </si>
  <si>
    <t xml:space="preserve">Only exists in iJO1366 model as FAD-dependent reaction (rxnID: ACOAD3f). But NAD-dependent enzyme can also be used (it’s what we’re using in our synthetic pathway). NAD-dependent reaction exists in BiGG database under this rxnID (ACOAD3).</t>
  </si>
  <si>
    <t xml:space="preserve">(1a) Octanoyl-CoA + H2O --&gt; Octanoate + CoA + H+</t>
  </si>
  <si>
    <t xml:space="preserve">FACOAE80</t>
  </si>
  <si>
    <t xml:space="preserve">Fatty-acid-CoA thioesterase (octanoate)</t>
  </si>
  <si>
    <t xml:space="preserve">*Knocked out in model (so that LuxC option used)</t>
  </si>
  <si>
    <t xml:space="preserve">(1b) Octanoate + NADPH + ATP + H+ ---&gt; Octanal + NADP+ + AMP + PPi</t>
  </si>
  <si>
    <t xml:space="preserve">CARc8</t>
  </si>
  <si>
    <t xml:space="preserve">Carboxylic acid reductase (octanal)</t>
  </si>
  <si>
    <t xml:space="preserve">(2) Octanoyl-CoA + NADH + H+ ---&gt; Octanal + CoA + NAD+ </t>
  </si>
  <si>
    <t xml:space="preserve">LUXc8</t>
  </si>
  <si>
    <t xml:space="preserve">Acyl-CoA reductase (octanal)</t>
  </si>
  <si>
    <t xml:space="preserve">Octanal + H2O ---&gt; Heptane + Formate + H+</t>
  </si>
  <si>
    <t xml:space="preserve">ALDDc7</t>
  </si>
  <si>
    <t xml:space="preserve">Aldehyde decarbonylase (heptane)</t>
  </si>
  <si>
    <t xml:space="preserve">Heptane_p + H+_p &lt;=&gt; Heptane_c + H+_c</t>
  </si>
  <si>
    <t xml:space="preserve">HEPTANEt2pp</t>
  </si>
  <si>
    <t xml:space="preserve">Heptane transport via proton symport (periplasm)</t>
  </si>
  <si>
    <t xml:space="preserve">Not in iJO1366 model or any other BiGG model. Medium, uncharged molecule with boiling point &gt;37degC, so assuming efflux pump required for transport (proton symporter).</t>
  </si>
  <si>
    <t xml:space="preserve">Heptane_e &lt;=&gt; Heptane_p</t>
  </si>
  <si>
    <t xml:space="preserve">HEPTANEtex</t>
  </si>
  <si>
    <t xml:space="preserve">Heptane transporter via diffusion (extracellular to periplasm)</t>
  </si>
  <si>
    <t xml:space="preserve">Heptane_e &lt;=&gt;</t>
  </si>
  <si>
    <t xml:space="preserve">EX_heptane_e</t>
  </si>
  <si>
    <t xml:space="preserve">Heptane exchange</t>
  </si>
  <si>
    <t xml:space="preserve">Call (2016) showed that the fatty acid transporter FadL is also used to import medium-chain alkanes (ie. Octane) in E.coli. From our experiments at LMSE, we already know that butane and pentane are extracellular products. But heptane is larger molecule with a boiling point &gt;37degC. Based on boiling point &gt;37degC, assuming proton symporter used for C &lt;=&gt; P, and diffusion for P &lt;=&gt; E. Even if fatty acid transporter could allow diffusion of heptane, an RND-type proton symporter would allow greater titers (industrially relevant) to be achieved without toxicity from product.</t>
  </si>
  <si>
    <t xml:space="preserve">Hexane</t>
  </si>
  <si>
    <t xml:space="preserve">Pathway developed/under development by the Laboratory for Metabolic Systems Engineering (LMSE) at the University of Toronto. There are two options for the terminal steps of the pathway: heptanoyl-CoA conversion to heptanal via two steps (Tes+Car) or via one step (LuxC). Enzyme screening work identified LuxC enzymes capable of working on hexanoyl-CoA (for pentane production) but not pentanoyl-CoA. Additional screening work would need to be conducted for heptanoyl-CoA. In this model the LuxC reaction is used, but Tes+Car reactions are included for reference. Note that the Aldehyde decarbonylase reaction may only be applicable in anaerobic conditions, uncertain for aerobic conditions (LMSE only tested under anaerobic/microaerobic conditions). Das (2011) report that AD has oxygen-indepedent activity and that in the absence of oxygen (anaerobic conditions) its activity is actually 100-1000x higher. </t>
  </si>
  <si>
    <t xml:space="preserve">Not in iJO1366 model. Does exist in P. Putida iJN1463 model but only as FAD-dependent reaction (rxnID: VCOAD). But NAD-dependent enzyme can also be used (it’s what we’re using in our synthetic pathway). NAD-dependent reaction doesn’t exist in BiGG database.</t>
  </si>
  <si>
    <t xml:space="preserve"> 3-oxoheptanoyl-CoA + CoA --&gt; Pentanoyl-CoA + Acetyl-CoA</t>
  </si>
  <si>
    <t xml:space="preserve">KAT10</t>
  </si>
  <si>
    <t xml:space="preserve">Acetyl-CoA C-Acyltransferase (3-oxoheptanoyl-CoA)</t>
  </si>
  <si>
    <t xml:space="preserve">Not in iJO1366 model. Reaction exists in the P. Putida iJN1463 model (rxnID KAT10), but in the reverse reaction from what is needed in the pathway (Rev: 3-oxoheptanoyl-coa --&gt; pentanoyl-CoA) . Allowing reverse direction here for product model (lower bound &lt;0).</t>
  </si>
  <si>
    <t xml:space="preserve">3-hydroxyheptanoyl-CoA + NAD+ --&gt; 3-oxoheptanoyl-CoA + NADH + H+</t>
  </si>
  <si>
    <t xml:space="preserve">HACD10i</t>
  </si>
  <si>
    <t xml:space="preserve">3-hydroxyacyl-CoA dehydrogenase (3-hydroxyheptanoyl-CoA)</t>
  </si>
  <si>
    <t xml:space="preserve">Not in iJO1366 model. Reaction exists in the P. Putida iJN1463 model (rxnID HACD10i), but in the reverse reaction from what is needed in the pathway (rev: 3-hydroxyheptanoyl-CoA --&gt; 3-oxoheptanoyl-coa ).  Allowing reverse direction here for product model (lower bound &lt;0).</t>
  </si>
  <si>
    <t xml:space="preserve">3-hydroxyheptanoyl-CoA ---&gt; Trans-hept-2-enoyl-CoA + H2O</t>
  </si>
  <si>
    <t xml:space="preserve">ECOAH14</t>
  </si>
  <si>
    <t xml:space="preserve">3-hydroxyacyl-CoA dehydratase (3-hydroxyheptanoyl-CoA)</t>
  </si>
  <si>
    <t xml:space="preserve">Not in iJO1366 model but does exist in the P. Putida model iJN1463 under same rxnID.</t>
  </si>
  <si>
    <t xml:space="preserve">Trans-hept-2-enoyl-CoA + NADH + H+ ---&gt; Heptanoyl-CoA + NAD+</t>
  </si>
  <si>
    <t xml:space="preserve">ACOAD10n</t>
  </si>
  <si>
    <t xml:space="preserve">Acyl-CoA dehydrogenase (heptanoyl-CoA)</t>
  </si>
  <si>
    <t xml:space="preserve">Not in iJO1366 model. FAD-dependent version of the reaction exists in the P. Putida model iJN1463 under rxnID ACOAD10f. Used similar rxnID here for consistency.</t>
  </si>
  <si>
    <t xml:space="preserve">(1a)Heptanoyl-CoA + H2O --&gt; Heptanoate + CoA + H+</t>
  </si>
  <si>
    <t xml:space="preserve">FACOAE70</t>
  </si>
  <si>
    <t xml:space="preserve">Fatty acyl-CoA thioesterase (heptanoate)</t>
  </si>
  <si>
    <t xml:space="preserve">(1b) Heptanoate + NADPH + ATP + H+ ---&gt; Heptanal + NADP+ + AMP + PPi</t>
  </si>
  <si>
    <t xml:space="preserve">CARc7</t>
  </si>
  <si>
    <t xml:space="preserve">Carboxylic acid reductase (heptanal)</t>
  </si>
  <si>
    <t xml:space="preserve">(2) Heptanoyl-CoA + NADH + H+ ---&gt; Heptanal + CoA + NAD+ </t>
  </si>
  <si>
    <t xml:space="preserve">LUXc7</t>
  </si>
  <si>
    <t xml:space="preserve">Fatty acyl-CoA reductase (heptanal)</t>
  </si>
  <si>
    <t xml:space="preserve">Heptanal + H2O ---&gt; Hexane + Formate + H+</t>
  </si>
  <si>
    <t xml:space="preserve">ALDDc6</t>
  </si>
  <si>
    <t xml:space="preserve">Aldehyde decarbonylase (hexane)</t>
  </si>
  <si>
    <t xml:space="preserve">Hexane_p + H+_p &lt;=&gt; Hexane_c + H+_c</t>
  </si>
  <si>
    <t xml:space="preserve">HEXANEt2pp</t>
  </si>
  <si>
    <t xml:space="preserve">Hexane transport via proton symport (periplasm)</t>
  </si>
  <si>
    <t xml:space="preserve">Hexane_e &lt;=&gt; Hexane_p</t>
  </si>
  <si>
    <t xml:space="preserve">HEXANEtex</t>
  </si>
  <si>
    <t xml:space="preserve">Hexane transporter via diffusion (extracellular to periplasm)</t>
  </si>
  <si>
    <t xml:space="preserve">Hexane_e &lt;=&gt;</t>
  </si>
  <si>
    <t xml:space="preserve">EX_hexane_e</t>
  </si>
  <si>
    <t xml:space="preserve">Hexane exchange</t>
  </si>
  <si>
    <t xml:space="preserve">Call (2016) showed that the fatty acid transporter FadL is also used to import medium-chain alkanes (ie. Octane) in E.coli. From our experiments at LMSE, we already know that butane and pentane are extracellular products. But hexane is larger molecule with a boiling point &gt;37degC. Based on boiling point &gt;37degC, assuming proton symporter used for C &lt;=&gt; P, and diffusion for P &lt;=&gt; E. Even if fatty acid transporter could allow diffusion of hexane, an RND-type proton symporter would allow greater titers (industrially relevant) to be achieved without toxicity from product.</t>
  </si>
  <si>
    <t xml:space="preserve">Isobutanol</t>
  </si>
  <si>
    <t xml:space="preserve">Acetolactate synthase</t>
  </si>
  <si>
    <t xml:space="preserve">Acetolactate + H+ + NADPH &lt;=&gt; (R)-2,3-Dihydroxy-3-methylbutanoate + NADP</t>
  </si>
  <si>
    <t xml:space="preserve">KARA1</t>
  </si>
  <si>
    <t xml:space="preserve">Ketol-acid reductoisomerase (2,3-dihydroxy-3-methylbutanoate)</t>
  </si>
  <si>
    <t xml:space="preserve">(R)-2,3-Dihydroxy-3-methylbutanoate --&gt; 3-methyl-2-oxobutanoate + H2O</t>
  </si>
  <si>
    <t xml:space="preserve">DHAD1</t>
  </si>
  <si>
    <t xml:space="preserve">Dihydroxy-acid dehydratase (2,3-dihydroxy-3-methylbutanoate)</t>
  </si>
  <si>
    <t xml:space="preserve">3-methyl-2-oxobutanoate + H+ --&gt; 2-methylpropanal + CO2</t>
  </si>
  <si>
    <t xml:space="preserve">3MOBDC</t>
  </si>
  <si>
    <t xml:space="preserve">3 Methyl 2 oxobutanoate decarboxylase</t>
  </si>
  <si>
    <t xml:space="preserve">Not in iJO1366 but exists in the S. cerevisiae iMM904 model.</t>
  </si>
  <si>
    <t xml:space="preserve">2-methylpropanal + NADH + H+ --&gt; Isobutanol + NAD</t>
  </si>
  <si>
    <t xml:space="preserve">ALCD23xi</t>
  </si>
  <si>
    <t xml:space="preserve">Aldehyde dehydrogenase isobutyl alcohol NAD </t>
  </si>
  <si>
    <t xml:space="preserve">Isobutanol_p + H+_p &lt;=&gt; Isobutanol_c + H+_c</t>
  </si>
  <si>
    <t xml:space="preserve">IBUTOHtpp</t>
  </si>
  <si>
    <t xml:space="preserve">Isobutanol transport via proton symport (periplasm)</t>
  </si>
  <si>
    <t xml:space="preserve">Not in iJO1366 model or any other BiGG model. Transport for isobutanol exists in S. cerevisiae iMM904 model but for C &lt;=&gt; E under rxn ID: IBUTOHt and in C. Difficile iCN900 model for C &lt;=&gt;E for rxnID: IBTOLt. But using symporter here and separating transport through periplasm.</t>
  </si>
  <si>
    <t xml:space="preserve">Isobutanol_e &lt;=&gt; Isobutanol_p</t>
  </si>
  <si>
    <t xml:space="preserve">IBUTOHtex</t>
  </si>
  <si>
    <t xml:space="preserve">Isobutanol transporter via diffusion (extracellular to periplasm)</t>
  </si>
  <si>
    <t xml:space="preserve">Not in iJO1366 model or any other BiGG model. Transport for isobutanol exists in S. cerevisiae iMM904 model but for C &lt;=&gt; M (mitochondrial).</t>
  </si>
  <si>
    <t xml:space="preserve">Isobutanol_e &lt;=&gt;</t>
  </si>
  <si>
    <t xml:space="preserve">EX_ibutoh_e</t>
  </si>
  <si>
    <t xml:space="preserve">Isobutanol exchange</t>
  </si>
  <si>
    <t xml:space="preserve">Not in iJO1366 but exists in the S. cerevisiae iMM904 model. Isobutanol exchange also exists in the C. Difficiles model iCN900 as EX_ibtol_e.</t>
  </si>
  <si>
    <t xml:space="preserve">Isobutanol transport exists in the S. cerevisiae iMM904 model as diffusion from c &lt;=&gt; e. Also exists in C. Difficile iCN900 model as diffusion from C &lt;=&gt; E. 2-methyl-1-butanol transport also  exists in the iMM904 model with facilitated diffusion between p &lt;=&gt; c and diffusion from p &lt;=&gt; e. But since boiling point &gt;37degC, assuming proton symporter used for C &lt;=&gt; P, and diffusion for P &lt;=&gt; E, as RND-type transporter would help reduce effects of product toxicity at titers required for industrial production.</t>
  </si>
  <si>
    <t xml:space="preserve">Isobutyrate</t>
  </si>
  <si>
    <t xml:space="preserve">Pyruvate --&gt; Acetolactate --&gt; (R)-2,3-Dihydroxy-3-methylbutanoate --&gt; 3-methyl-2-oxobutanoate (2-ketoisovalerate)</t>
  </si>
  <si>
    <t xml:space="preserve">Native steps, for reference. See rxnIDS: ACLS, KARA1, &amp; DHAD1 </t>
  </si>
  <si>
    <t xml:space="preserve">3-Methyl-2-oxobutanoate + 2Ferredoxin(oxidized) + CoA &lt;=&gt; Isobutyryl-CoA + CO2 + 2Ferredoxin(reduced) + H+</t>
  </si>
  <si>
    <t xml:space="preserve">VOR</t>
  </si>
  <si>
    <t xml:space="preserve">3-methyl-2-oxobutanoate dehydrogenase</t>
  </si>
  <si>
    <t xml:space="preserve">3-methyl-2-oxobutanoate dehydrogenase exists in the BiGG database under reactions: VOR, VOR2b and VOR2bE, selected VOR as reaction to model as it matches the reaction reported on MetaCyc (uses two ferredoxins). Other VOR reactions differ in the type and number of ferredoxins used.</t>
  </si>
  <si>
    <t xml:space="preserve">Isobutyryl-CoA + H2O &lt;=&gt;  Isobutyrate + CoA + H+</t>
  </si>
  <si>
    <t xml:space="preserve">IBUTCOAH</t>
  </si>
  <si>
    <t xml:space="preserve">Isobutyryl-CoA Hydrolase</t>
  </si>
  <si>
    <t xml:space="preserve">Doesn’t exist in any BiGG models, but a similar type of reaction exists for 3-hydroxyisobutyryl-CoA; maybe this enzyme could be engineered to carry out this reaction. Acyl-CoA hydrolases generally carry out the this reaction for acyl-CoAs to carboxylates. One of these enzymes could also potentially be engineered to carry out this reaction.</t>
  </si>
  <si>
    <t xml:space="preserve">2ferredoxin(reduced)+ NADP+ + H+ &lt;=&gt; 2ferredoxin(oxidized)+ NADPH</t>
  </si>
  <si>
    <t xml:space="preserve">FNOR2</t>
  </si>
  <si>
    <t xml:space="preserve">Ferredoxin---NADP+ reductase</t>
  </si>
  <si>
    <t xml:space="preserve">Not in iJO1366. Similar instances of this reaction exist across different BiGG models (but use different instances of ferredoxin in the database). For clarity, a new unique rxnID was assigned since this reaction doesn’t appear to exist for the ferredoxin metabolites used here. See other similar reactions under IDs: FNRR2, FNOR2_h, FNOR, FNOR_1, FRDO4r, FRDO5r, etc. . Two ferredoxins are used as specified in the FNOR reaction and on BioCyc (see link).</t>
  </si>
  <si>
    <t xml:space="preserve">Acetyl-CoA + 2ferredoxin(reduced) + CO2 + H+  &lt;=&gt; Pyruvate + CoA + 2ferredoxin(oxidized)</t>
  </si>
  <si>
    <t xml:space="preserve">PFeOR</t>
  </si>
  <si>
    <t xml:space="preserve">Pyruvate:ferredoxin oxidoreductase</t>
  </si>
  <si>
    <t xml:space="preserve">Not in iJO1366. Similar instances of this reaction exist in different BiGG models (but use different instances of ferredoxin in the database). For clarity, a new unique rxnID was assigned since this reaction doesn’t appear to exist for the ferredoxin metabolites used here. See other similar reaction under IDs: POR_syn. Two ferredoxins are used as specified in the POR_syn reaction and on BioCyc (see link).</t>
  </si>
  <si>
    <t xml:space="preserve">Isobutryate_p + H+_p &lt;=&gt; Isobutyrate_c + H+_c</t>
  </si>
  <si>
    <t xml:space="preserve">IBTtpp</t>
  </si>
  <si>
    <t xml:space="preserve">Isobutyrate transport via proton symport (periplasm)</t>
  </si>
  <si>
    <t xml:space="preserve">Isobutryate_e &lt;=&gt; Isobutryate_p</t>
  </si>
  <si>
    <t xml:space="preserve">IBTex</t>
  </si>
  <si>
    <t xml:space="preserve">Isobutyrate transport via diffusion (extracellular to periplasm)</t>
  </si>
  <si>
    <t xml:space="preserve">Not in iJO1366 but exists in Geobacter metallireducens iAF987 model.</t>
  </si>
  <si>
    <t xml:space="preserve">Isobutryate_e &lt;=&gt;</t>
  </si>
  <si>
    <t xml:space="preserve">EX_ibt_e</t>
  </si>
  <si>
    <t xml:space="preserve">Isobutyrate exchange</t>
  </si>
  <si>
    <t xml:space="preserve">Isobutyrate transport exists in the Geobacter iAF987 model as some vectoral Co-A coupling reaction. However, I assume it would be similar to butyrate which undergoes proton symport in the iJO1366 model. Based on boiling point &gt;37degC, assuming proton symporter used for C &lt;=&gt; P, and diffusion for P &lt;=&gt; E.</t>
  </si>
  <si>
    <t xml:space="preserve">Li (2020) [ use of pyruvate:ferredoxin oxidoreductases in E.coli]: https://www.biorxiv.org/content/10.1101/2020.07.26.219949v2</t>
  </si>
  <si>
    <r>
      <rPr>
        <sz val="11"/>
        <rFont val="arial"/>
        <family val="2"/>
        <charset val="1"/>
      </rPr>
      <t xml:space="preserve">MetaCyc (3-methyl-2-oxobutanoate dehydrogenase): </t>
    </r>
    <r>
      <rPr>
        <u val="single"/>
        <sz val="11"/>
        <color rgb="FF0563C1"/>
        <rFont val="arial"/>
        <family val="2"/>
        <charset val="1"/>
      </rPr>
      <t xml:space="preserve">https://biocyc.org/META/NEW-IMAGE?type=REACTION&amp;object=1.2.7.7-RXN</t>
    </r>
  </si>
  <si>
    <t xml:space="preserve">BioCyc (ferredoxin-NADP+ reductase): https://biocyc.org/ECOLI/NEW-IMAGE?type=REACTION&amp;object=RXN-17897</t>
  </si>
  <si>
    <t xml:space="preserve">BioCyc (pyruvate:ferredoxin oxidoreductase): https://biocyc.org/ECOLI/NEW-IMAGE?type=REACTION&amp;object=PYRUFLAVREDUCT-RXN</t>
  </si>
  <si>
    <t xml:space="preserve">MetaCyc (3-hydroxybutyryl-CoA): https://biocyc.org/META/NEW-IMAGE?type=REACTION&amp;object=3-HYDROXYISOBUTYRYL-COA-HYDROLASE-RXN</t>
  </si>
  <si>
    <r>
      <rPr>
        <b val="true"/>
        <sz val="11"/>
        <color rgb="FF000000"/>
        <rFont val="arial"/>
        <family val="2"/>
        <charset val="1"/>
      </rPr>
      <t xml:space="preserve">Isoprene </t>
    </r>
    <r>
      <rPr>
        <sz val="11"/>
        <color rgb="FF000000"/>
        <rFont val="arial"/>
        <family val="2"/>
        <charset val="1"/>
      </rPr>
      <t xml:space="preserve"> (mevalonate pathway; for isoprenoid synthesis)</t>
    </r>
  </si>
  <si>
    <t xml:space="preserve">Pathway similar to other isoprenoids synthesized via mevalonate pathway (ie. beta-carotene, farnesene and limonene)</t>
  </si>
  <si>
    <t xml:space="preserve">Isopentenyl diphosphate  &lt;=&gt; Dimethylallyl diphosphate</t>
  </si>
  <si>
    <t xml:space="preserve">Dimethylallyl diphosphate --&gt; Isoprene + PPi</t>
  </si>
  <si>
    <t xml:space="preserve">IS</t>
  </si>
  <si>
    <t xml:space="preserve">Isoprene synthase</t>
  </si>
  <si>
    <t xml:space="preserve">Isoprene_p  &lt;=&gt; Isoprene_c</t>
  </si>
  <si>
    <t xml:space="preserve">IPRENEtpp</t>
  </si>
  <si>
    <t xml:space="preserve">Isoprene transport via diffusion (periplasm)</t>
  </si>
  <si>
    <t xml:space="preserve">Isoprene_e &lt;=&gt; Isoprene_p</t>
  </si>
  <si>
    <t xml:space="preserve">IPRENEtex</t>
  </si>
  <si>
    <t xml:space="preserve">Isoprene transport via diffusion (extracellular to periplasm)</t>
  </si>
  <si>
    <t xml:space="preserve">Isoprene_e &lt;=&gt;</t>
  </si>
  <si>
    <t xml:space="preserve">EX_iprene_e</t>
  </si>
  <si>
    <t xml:space="preserve">Isoprene exchange</t>
  </si>
  <si>
    <t xml:space="preserve">Based on boiling point &lt;37degC (product in vapour phase), assuming diffusion used for both C &lt;=&gt; P and P &lt;=&gt; E.</t>
  </si>
  <si>
    <t xml:space="preserve">Kim (2016): https://microbialcellfactories.biomedcentral.com/articles/10.1186/s12934-016-0612-6</t>
  </si>
  <si>
    <t xml:space="preserve">Li (2019): https://microbialcellfactories.biomedcentral.com/articles/10.1186/s12934-018-1051-3</t>
  </si>
  <si>
    <t xml:space="preserve">Isopropanol</t>
  </si>
  <si>
    <t xml:space="preserve">Acetone + NADPH + H+ &lt;=&gt; Isopropanol + NADP</t>
  </si>
  <si>
    <t xml:space="preserve">ALCD20y</t>
  </si>
  <si>
    <t xml:space="preserve">Isopropanol dehydrogenase</t>
  </si>
  <si>
    <t xml:space="preserve">Exists in the Methanosarcina barkeri iAF692 model but in reverse direction (ie. fwd reaction shown here is reverse reaction in iAF692 model). Reaction in iAF692 is reversible, so equivalent to reaction as shown here.</t>
  </si>
  <si>
    <t xml:space="preserve">Isopropanol_p + H+_p &lt;=&gt; Isopropanol_c + H+_c</t>
  </si>
  <si>
    <t xml:space="preserve">2PPOHtpp</t>
  </si>
  <si>
    <t xml:space="preserve">Isopropanol transport via proton symport (periplasm)</t>
  </si>
  <si>
    <t xml:space="preserve">Isopropanol_e &lt;=&gt; Isopropanol_p</t>
  </si>
  <si>
    <t xml:space="preserve">2PPOHex</t>
  </si>
  <si>
    <t xml:space="preserve">Isopropanol transport via diffusion (extracellular to periplasm)</t>
  </si>
  <si>
    <t xml:space="preserve">Isopropanol_e &lt;=&gt;</t>
  </si>
  <si>
    <t xml:space="preserve">EX_2ppoh_e</t>
  </si>
  <si>
    <t xml:space="preserve">Isopropanol exchange</t>
  </si>
  <si>
    <t xml:space="preserve">Isopropanol is extra-cellular product based on Hanai (2007) and Inokuma (2010), but transport mechanism isn’t discussed. Isopropanol transport doesn’t exist in BiGG database, but propanol transport exists in the Geobacter metallireducens iAF987 model as a proton symport for P &lt;=&gt; C (rxnID: PPOHt2pp) and diffusion for E &lt;=&gt; P (rxnID: PPOHtex). Based on boiling point &gt;37degC, assuming proton symporter used for C &lt;=&gt; P, and diffusion for P &lt;=&gt; E.</t>
  </si>
  <si>
    <t xml:space="preserve">Hanai (2007): https://aem.asm.org/content/73/24/7814</t>
  </si>
  <si>
    <t xml:space="preserve">Inokuma (2010): https://www.sciencedirect.com/science/article/pii/S1389172310002483#bb0060</t>
  </si>
  <si>
    <r>
      <rPr>
        <sz val="11"/>
        <rFont val="arial"/>
        <family val="2"/>
        <charset val="1"/>
      </rPr>
      <t xml:space="preserve">MetaCyc (</t>
    </r>
    <r>
      <rPr>
        <sz val="11"/>
        <color rgb="FF000000"/>
        <rFont val="arial"/>
        <family val="2"/>
        <charset val="1"/>
      </rPr>
      <t xml:space="preserve">Acetoacetate decarboxylase)</t>
    </r>
    <r>
      <rPr>
        <sz val="11"/>
        <rFont val="arial"/>
        <family val="2"/>
        <charset val="1"/>
      </rPr>
      <t xml:space="preserve">: </t>
    </r>
    <r>
      <rPr>
        <u val="single"/>
        <sz val="11"/>
        <color rgb="FF0563C1"/>
        <rFont val="arial"/>
        <family val="2"/>
        <charset val="1"/>
      </rPr>
      <t xml:space="preserve">https://metacyc.org/META/NEW-IMAGE?type=REACTION&amp;object=ACETOACETATE-DECARBOXYLASE-RXN</t>
    </r>
  </si>
  <si>
    <t xml:space="preserve">Itaconate</t>
  </si>
  <si>
    <t xml:space="preserve">Acetyl-CoA + Oxaloacetate + H2O --&gt; Citrate + CoA + H+</t>
  </si>
  <si>
    <t xml:space="preserve">CS</t>
  </si>
  <si>
    <t xml:space="preserve">Citrate synthase (gltA)</t>
  </si>
  <si>
    <t xml:space="preserve">Citrate &lt;=&gt; Cis-aconitate + H2O</t>
  </si>
  <si>
    <t xml:space="preserve">ACONTa</t>
  </si>
  <si>
    <t xml:space="preserve">Aconitase (half-reaction A, Citrate hydro-lyase) (acnA)</t>
  </si>
  <si>
    <t xml:space="preserve">Cis-aconitate + H+ --&gt; Itaconate + CO2</t>
  </si>
  <si>
    <t xml:space="preserve">CACDC</t>
  </si>
  <si>
    <t xml:space="preserve">Cis-Aconitate decarboxylase (cadA)</t>
  </si>
  <si>
    <t xml:space="preserve">Not in iJO1366 and doesn’t appear to exist in any other BiGG model. Vuoristor (2015) report that H2O is a reactant (in place of H+, but MetaCyc reports reaction with H+ and this is charge/mass balanced and so was assumed here.</t>
  </si>
  <si>
    <t xml:space="preserve">Itaconate_p + H+_p &lt;=&gt; Itaconate_c + H+_c</t>
  </si>
  <si>
    <t xml:space="preserve">ITACONt2rpp</t>
  </si>
  <si>
    <t xml:space="preserve">Itaconate transport via proton symport (periplasm)</t>
  </si>
  <si>
    <t xml:space="preserve">Itaconate_e &lt;=&gt; Itaconate_p</t>
  </si>
  <si>
    <t xml:space="preserve">ITACONtex</t>
  </si>
  <si>
    <t xml:space="preserve">Itaconate transport via diffusion (extracellular to periplasm)</t>
  </si>
  <si>
    <t xml:space="preserve">Itaconate_e &lt;=&gt;</t>
  </si>
  <si>
    <t xml:space="preserve">EX_itacon_e</t>
  </si>
  <si>
    <t xml:space="preserve">Itaconate exchange</t>
  </si>
  <si>
    <t xml:space="preserve">Based on boiling point &gt;37degC, assuming proton symporter used for C &lt;=&gt; P, and diffusion for P &lt;=&gt; E. No instances of Itaconate transport exist in BiGG database (except in the Homo sapiens Recon3D model, but it’s not relevant here).</t>
  </si>
  <si>
    <t xml:space="preserve">Vuoristor (2015): https://link.springer.com/article/10.1007%2Fs00253-014-6092-x#Ack1</t>
  </si>
  <si>
    <t xml:space="preserve">Kim (2017): https://www.nature.com/articles/srep39768</t>
  </si>
  <si>
    <t xml:space="preserve">MetaCyc (Cis-aconitate decarboxylase): https://metacyc.org/gene?orgid=META&amp;id=MONOMER-13632</t>
  </si>
  <si>
    <t xml:space="preserve">Limonene (Mevolonate pathway; for isoprenoid synthesis)</t>
  </si>
  <si>
    <t xml:space="preserve">Pathway similar to other isoprenoids synthesized via mevalonate pathway (ie. beta-carotene, farnesene and isoprene)</t>
  </si>
  <si>
    <t xml:space="preserve">Geranyl diphosphate &lt;=&gt; Limonene + diphosphate</t>
  </si>
  <si>
    <t xml:space="preserve">LS</t>
  </si>
  <si>
    <t xml:space="preserve">Limonene synthase</t>
  </si>
  <si>
    <t xml:space="preserve">Not in the BiGG database. Alonso-Gutierrez use LS from Methna spicata. Makes (R)-limonene.</t>
  </si>
  <si>
    <t xml:space="preserve">Limonene_p + H+_p &lt;=&gt; Limonene_c + H+_c</t>
  </si>
  <si>
    <t xml:space="preserve">LIMNENt2rpp</t>
  </si>
  <si>
    <t xml:space="preserve">Limonene transport via proton symport (periplasm)</t>
  </si>
  <si>
    <t xml:space="preserve">Limonene_e &lt;=&gt; Limonene_p</t>
  </si>
  <si>
    <t xml:space="preserve">LIMNENtex</t>
  </si>
  <si>
    <t xml:space="preserve">Limonene transport via diffusion (extracellular to periplasm)</t>
  </si>
  <si>
    <t xml:space="preserve">Limonene_e &lt;=&gt;</t>
  </si>
  <si>
    <t xml:space="preserve">EX_limnen_e</t>
  </si>
  <si>
    <t xml:space="preserve">Limonene exchange</t>
  </si>
  <si>
    <t xml:space="preserve">Exists in some of the BiGG mammal models.</t>
  </si>
  <si>
    <t xml:space="preserve">Based on boiling point &gt;37degC, assuming proton symporter used for C &lt;=&gt; P, and diffusion for P &lt;=&gt; E. Limonene transport exists in some mammal models in BiGG database, using diffusion.</t>
  </si>
  <si>
    <t xml:space="preserve">Alonso-Gutierrez (2013): https://www.sciencedirect.com/science/article/pii/S109671761300058X</t>
  </si>
  <si>
    <t xml:space="preserve">Ward (2018): https://academic.oup.com/femsle/article/365/10/fny079/4953741</t>
  </si>
  <si>
    <t xml:space="preserve">Limonene Synthase: https://www.brenda-enzymes.org/enzyme.php?ecno=4.2.3.20</t>
  </si>
  <si>
    <t xml:space="preserve">*See other references for isoprenoid production (ie. beta-carotene, isoprene, &amp; farnesene)</t>
  </si>
  <si>
    <t xml:space="preserve">Malonate</t>
  </si>
  <si>
    <t xml:space="preserve">Oxaloacetate --&gt; L-Aspartate --&gt; Beta-Alanine</t>
  </si>
  <si>
    <t xml:space="preserve">Native steps, for reference. See rxnIDS: ASP1DC</t>
  </si>
  <si>
    <t xml:space="preserve">Beta-Alanine + Pyruvate &lt;=&gt; L-Alanine + Malonate semialdehyde</t>
  </si>
  <si>
    <t xml:space="preserve">APATr</t>
  </si>
  <si>
    <t xml:space="preserve">Beta-alanine pyruvate aminotransferase</t>
  </si>
  <si>
    <t xml:space="preserve">Not in iJO1366 but exists in other BiGG models, all instances in other models reported as reversible.</t>
  </si>
  <si>
    <t xml:space="preserve">Malonate semialdehyde + NAD + H2O &lt;=&gt; Malonate + NADH + 2H+</t>
  </si>
  <si>
    <t xml:space="preserve">MSALx</t>
  </si>
  <si>
    <t xml:space="preserve">Malonate-semialdehyde dehydrogenase (NAD)</t>
  </si>
  <si>
    <t xml:space="preserve">Doesn’t appear to exist in any BiGG models. Song (2016) report using succinate-semialdehyde dehydrogenase from E.coli (gene yneI) to catalyze this reaction (they found/showed it has sufficient promiscuous activity). The succinate-semialdehyde reaction exists in the iJO1366 model as NAD-dependent (SSALx) or NADP-dependent (SSALy). In the paper they do not discuss if they used an NAD or NADP-dependent succinate-semialdehyde. So both have been added to the model and the more beneficial one can be used.</t>
  </si>
  <si>
    <t xml:space="preserve">Malonate semialdehyde + NADP + H2O &lt;=&gt; Malonate + NADPH + 2H+</t>
  </si>
  <si>
    <t xml:space="preserve">MSALy</t>
  </si>
  <si>
    <t xml:space="preserve">Malonate-semialdehyde dehydrogenase (NADP)</t>
  </si>
  <si>
    <r>
      <rPr>
        <sz val="11"/>
        <color rgb="FF5C2D91"/>
        <rFont val="Arial"/>
        <family val="2"/>
        <charset val="1"/>
      </rPr>
      <t xml:space="preserve">Malonate</t>
    </r>
    <r>
      <rPr>
        <sz val="11"/>
        <color rgb="FF5C2D91"/>
        <rFont val="arial"/>
        <family val="2"/>
        <charset val="1"/>
      </rPr>
      <t xml:space="preserve">_p + H+_p &lt;=&gt; Malonate_c + H+_c</t>
    </r>
  </si>
  <si>
    <t xml:space="preserve">MALONtpp</t>
  </si>
  <si>
    <t xml:space="preserve">Malonate transport via proton symport (periplasm)</t>
  </si>
  <si>
    <t xml:space="preserve">Malonate_e &lt;=&gt; Malonate_p</t>
  </si>
  <si>
    <t xml:space="preserve">MALONex</t>
  </si>
  <si>
    <t xml:space="preserve">Malonate transport via diffusion (extracellular to periplasm)</t>
  </si>
  <si>
    <t xml:space="preserve">Malonate_e &lt;=&gt;</t>
  </si>
  <si>
    <t xml:space="preserve">EX_malon_e</t>
  </si>
  <si>
    <t xml:space="preserve">Malonate exchange</t>
  </si>
  <si>
    <t xml:space="preserve">Extra-cellular product based on Song (2016); malonate analyzed by HPLC, no mention of cell lysis. Malonate transport doesn’t exist in any BiGG model. Based on boiling point &gt;37degC, assuming proton symporter used for C &lt;=&gt; P, and diffusion for P &lt;=&gt; E.</t>
  </si>
  <si>
    <t xml:space="preserve">Song (2016): https://pubs.acs.org/doi/10.1021/acssynbio.6b00007</t>
  </si>
  <si>
    <t xml:space="preserve">Nonane</t>
  </si>
  <si>
    <t xml:space="preserve">Pathway developed/under development by the Laboratory for Metabolic Systems Engineering (LMSE) at the University of Toronto. There are two options for the terminal steps of the pathway: hexanoyl-CoA conversion to pentanal via two steps (Tes+Car) or via one step (LuxC). LuxC offers advantage of NADH-dependence rather than NADPH, and does not use ATP. Thus LuxC was used in the model, but the Tes/Car option is included for reference. Since the Tes reaction exists in the iJO1366 model already, its activity must be knocked out in the pentane model. Note that for ACOAD1 and ACOAD2, similar reactions exist in iJO1366 but are FAD-dependent these are knocked out in the model such that the NAD-dependent reactions are used (knocked out: ACOAD1f &amp; ACOAD2f). Note also that the Aldehyde decarbonylase reaction is applicable in anaerobic conditions, uncertain for aerobic conditions (LMSE only tested under anaerobic/microaerobic conditions). Das (2011) report that AD has oxygen-indepedent activity and that in the absence of oxygen (anaerobic conditions) its activity is actually 100-1000x higher. </t>
  </si>
  <si>
    <t xml:space="preserve">3-hydroxyacyl-CoA dehydratase (3-hydroxyoctanoyl-CoA)</t>
  </si>
  <si>
    <t xml:space="preserve">Elongation Round 4</t>
  </si>
  <si>
    <t xml:space="preserve">Octanoyl-CoA + Acetyl-CoA ---&gt; 3-oxodecanoyl-CoA + CoA</t>
  </si>
  <si>
    <t xml:space="preserve">ACACT4r</t>
  </si>
  <si>
    <t xml:space="preserve">Acetyl-CoA C-acyltransferase (octanoyl-CoA)</t>
  </si>
  <si>
    <t xml:space="preserve">3-oxodecanoyl-CoA + NADH + H+ ---&gt; (S)-3-Hydroxydecanoyl-CoA + NAD+</t>
  </si>
  <si>
    <t xml:space="preserve">HACD4</t>
  </si>
  <si>
    <t xml:space="preserve">3-hydroxyacyl-CoA dehydrogenase (3-oxodecanoyl-CoA)</t>
  </si>
  <si>
    <t xml:space="preserve">(S)-3-Hydroxyoctanoyl-CoA ---&gt; Trans-Dec-2-enoyl-CoA + H2O</t>
  </si>
  <si>
    <t xml:space="preserve">ECOAH4</t>
  </si>
  <si>
    <t xml:space="preserve">3-hydroxyacyl-CoA dehydratase (3-hydroxydecanoyl-CoA)</t>
  </si>
  <si>
    <t xml:space="preserve">Trans-Dec-2-enoyl-CoA + NADH + H+ ---&gt; Decanoyl-CoA + NAD+</t>
  </si>
  <si>
    <t xml:space="preserve">ACOAD4</t>
  </si>
  <si>
    <t xml:space="preserve">Acyl-CoA dehydrogenase (decanoyl-CoA)</t>
  </si>
  <si>
    <t xml:space="preserve">Only exists in iJO1366 model as FAD-dependent reaction (rxnID: ACOAD4f). But NAD-dependent enzyme can also be used (it’s what we’re using in our synthetic pathway). NAD-dependent reaction exists in BiGG database under this rxnID (ACOAD4).</t>
  </si>
  <si>
    <t xml:space="preserve">(1a) Decanoyl-CoA + H2O --&gt; Decanoate + CoA + H+</t>
  </si>
  <si>
    <t xml:space="preserve">FACOAE100</t>
  </si>
  <si>
    <t xml:space="preserve">Fatty-acid-CoA thioesterase (decanoate)</t>
  </si>
  <si>
    <t xml:space="preserve">(1b) Decanoate + NADPH + ATP + H+ ---&gt; Decanal + NADP+ + AMP + PPi</t>
  </si>
  <si>
    <t xml:space="preserve">CARc10</t>
  </si>
  <si>
    <t xml:space="preserve">Carboxylic acid reductase (decanal)</t>
  </si>
  <si>
    <t xml:space="preserve">(2) Decanoyl-CoA + NADH + H+ ---&gt; Decanal + CoA + NAD+ </t>
  </si>
  <si>
    <t xml:space="preserve">LUXc10</t>
  </si>
  <si>
    <t xml:space="preserve">Acyl-CoA reductase (decanal)</t>
  </si>
  <si>
    <t xml:space="preserve">Decanal + H2O ---&gt; Nonane + Formate + H+</t>
  </si>
  <si>
    <t xml:space="preserve">ALDDc9</t>
  </si>
  <si>
    <t xml:space="preserve">Aldehyde decarbonylase (nonane)</t>
  </si>
  <si>
    <t xml:space="preserve">Nonane_p + H+_p &lt;=&gt; Nonane_c + H+_c</t>
  </si>
  <si>
    <t xml:space="preserve">NONANEt2pp</t>
  </si>
  <si>
    <t xml:space="preserve">Nonane transport via proton symport (periplasm)</t>
  </si>
  <si>
    <t xml:space="preserve">Nonane_e &lt;=&gt; Nonane_p</t>
  </si>
  <si>
    <t xml:space="preserve">NONANEtex</t>
  </si>
  <si>
    <t xml:space="preserve">Nonane transporter via diffusion (extracellular to periplasm)</t>
  </si>
  <si>
    <t xml:space="preserve">Nonane_e &lt;=&gt;</t>
  </si>
  <si>
    <t xml:space="preserve">EX_nonane_e</t>
  </si>
  <si>
    <t xml:space="preserve">Nonane exchange</t>
  </si>
  <si>
    <t xml:space="preserve">Call (2016) showed that the fatty acid transporter FadL is also used to import medium-chain alkanes (ie. Octane) in E.coli. From our experiments at LMSE, we already know that butane and pentane are extracellular products. But nonane is larger molecule with a boiling point &gt;37degC. Based on boiling point &gt;37degC, assuming proton symporter used for C &lt;=&gt; P, and diffusion for P &lt;=&gt; E. Even if fatty acid transporter could allow diffusion of nonane, an RND-type proton symporter would allow greater titers (industrially relevant) to be achieved without toxicity from product.</t>
  </si>
  <si>
    <t xml:space="preserve">Octane</t>
  </si>
  <si>
    <t xml:space="preserve">Pathway developed/under development by the Laboratory for Metabolic Systems Engineering (LMSE) at the University of Toronto. There are two options for the terminal steps of the pathway: nonanoyl-CoA conversion to nonanal via two steps (Tes+Car) or via one step (LuxC). Enzyme screening work identified LuxC enzymes capable of working on hexanoyl-CoA (for pentane production) but not pentanoyl-CoA. Additional screening work would need to be conducted for nonanoyl-CoA. In this model the LuxC reaction is used, but Tes+Car reactions are included for reference. Note that the Aldehyde decarbonylase reaction may only be applicable in anaerobic conditions, uncertain for aerobic conditions (LMSE only tested under anaerobic/microaerobic conditions). Das (2011) report that AD has oxygen-indepedent activity and that in the absence of oxygen (anaerobic conditions) its activity is actually 100-1000x higher. </t>
  </si>
  <si>
    <t xml:space="preserve"> 3-oxoheptanoyl-CoA + CoA &lt;=&gt; Pentanoyl-CoA + Acetyl-CoA</t>
  </si>
  <si>
    <t xml:space="preserve">KAT10 (ACACTc7)</t>
  </si>
  <si>
    <t xml:space="preserve">3-hydroxyheptanoyl-CoA + NAD+ &lt;=&gt; 3-oxoheptanoyl-CoA + NADH + H+</t>
  </si>
  <si>
    <t xml:space="preserve">HACD10i (HACDc7)</t>
  </si>
  <si>
    <t xml:space="preserve">3-oxononanoyl-CoA + CoA &lt;=&gt; Heptanoyl-CoA + Acetyl-CoA</t>
  </si>
  <si>
    <t xml:space="preserve">KAT11 (ACACTc9)</t>
  </si>
  <si>
    <t xml:space="preserve">Acetyl-CoA C-Acyltransferase (3-oxononanoyl-CoA)</t>
  </si>
  <si>
    <t xml:space="preserve">Not in iJO1366 model. Reaction exists in the P. Putida iJN1463 model (rxnID KAT11), but in the reverse reaction from what is needed in the pathway (Rev: 3-oxononanoyl-coa --&gt; heptanoyl-CoA) . Allowing reverse direction here for product model (lower bound &lt;0). </t>
  </si>
  <si>
    <t xml:space="preserve">3-hydroxynonanoyl-CoA + NAD+ &lt;=&gt; 3-oxononanoyl-CoA + NADH + H+</t>
  </si>
  <si>
    <t xml:space="preserve">HACD11i (HACDc9)</t>
  </si>
  <si>
    <t xml:space="preserve">3-hydroxyacyl-CoA dehydrogenase (3-hydroxynonanoyl-CoA)</t>
  </si>
  <si>
    <t xml:space="preserve">Not in iJO1366 model. Reaction exists in the P. Putida iJN1463 model (rxnID HACD11i), but in the reverse reaction from what is needed in the pathway (Rev: 3-hydroxynonanoyl-CoA --&gt; 3-oxononanoyl-coa ).  Allowing reverse direction here for product model (lower bound &lt;0).</t>
  </si>
  <si>
    <t xml:space="preserve">3-hydroxynonanoyl-CoA ---&gt; Trans-nona-2-enoyl-CoA + H2O</t>
  </si>
  <si>
    <t xml:space="preserve">ECOAH15</t>
  </si>
  <si>
    <t xml:space="preserve">3-hydroxyacyl-CoA dehydratase (3-hydroxynonanoyl-CoA)</t>
  </si>
  <si>
    <t xml:space="preserve">Trans-nona-2-enoyl-CoA + NADH + H+ ---&gt; Nonanoyl-CoA + NAD+</t>
  </si>
  <si>
    <t xml:space="preserve">ACOAD11n</t>
  </si>
  <si>
    <t xml:space="preserve">Acyl-CoA dehydrogenase (nonanoyl-CoA)</t>
  </si>
  <si>
    <t xml:space="preserve">Not in iJO1366 model. FAD-dependent version of the reaction exists in the P. Putida model iJN1463 under rxnID ACOAD11f. Used similar rxnID here for consistency.</t>
  </si>
  <si>
    <t xml:space="preserve">(1a) Nonanoyl-CoA + H2O --&gt; Nonanoate + CoA + H+</t>
  </si>
  <si>
    <t xml:space="preserve">FACOAE90</t>
  </si>
  <si>
    <t xml:space="preserve">Fatty acyl-CoA thioesterase (nonanoate)</t>
  </si>
  <si>
    <t xml:space="preserve">(1b) Nonanoate + NADPH + ATP + H+ ---&gt; Nonanal + NADP+ + AMP + PPi</t>
  </si>
  <si>
    <t xml:space="preserve">CARc9</t>
  </si>
  <si>
    <t xml:space="preserve">Carboxylic acid reductase (nonanal)</t>
  </si>
  <si>
    <t xml:space="preserve">(2) Nonanoyl-CoA + NADH + H+ ---&gt; Nonanal + CoA + NAD+ </t>
  </si>
  <si>
    <t xml:space="preserve">LUXc9</t>
  </si>
  <si>
    <t xml:space="preserve">Fatty acyl-CoA reductase (nonanal)</t>
  </si>
  <si>
    <t xml:space="preserve">Nonanal + H2O ---&gt; Octane + Formate + H+</t>
  </si>
  <si>
    <t xml:space="preserve">ALDDc8</t>
  </si>
  <si>
    <t xml:space="preserve">Aldehyde decarbonylase (octane)</t>
  </si>
  <si>
    <t xml:space="preserve">Octane_p + H+_p &lt;=&gt; Octane_c + H+_c</t>
  </si>
  <si>
    <t xml:space="preserve">OCTANEt2pp</t>
  </si>
  <si>
    <t xml:space="preserve">Octane transport via proton symport (periplasm)</t>
  </si>
  <si>
    <t xml:space="preserve">Octane_e &lt;=&gt; Octane_p</t>
  </si>
  <si>
    <t xml:space="preserve">OCTANEtex</t>
  </si>
  <si>
    <t xml:space="preserve">Octane transporter via diffusion (extracellular to periplasm)</t>
  </si>
  <si>
    <t xml:space="preserve">Octane_e &lt;=&gt;</t>
  </si>
  <si>
    <t xml:space="preserve">EX_octane_e</t>
  </si>
  <si>
    <t xml:space="preserve">Octane exchange</t>
  </si>
  <si>
    <t xml:space="preserve">Call (2016) showed that the fatty acid transporter FadL is also used to import medium-chain alkanes (ie. Octane) in E.coli. From our experiments at LMSE, we already know that butane and pentane are extracellular products. But octane is larger molecule with a boiling point &gt;37degC. Based on boiling point &gt;37degC, assuming proton symporter used for C &lt;=&gt; P, and diffusion for P &lt;=&gt; E. Even if fatty acid transporter could allow diffusion of octane, an RND-type proton symporter would allow greater titers (industrially relevant) to be achieved without toxicity from product.</t>
  </si>
  <si>
    <t xml:space="preserve">Pentane</t>
  </si>
  <si>
    <t xml:space="preserve">Acetyl-CoA C-acyltransferase (butanoyl-CoA) (r)</t>
  </si>
  <si>
    <t xml:space="preserve">(1a) Hexanoyl-CoA + H2O --&gt; Hexanoate + CoA + H+</t>
  </si>
  <si>
    <t xml:space="preserve">FACOAE60</t>
  </si>
  <si>
    <t xml:space="preserve">Fatty-acid-CoA thioesterase (hexanoate)</t>
  </si>
  <si>
    <t xml:space="preserve">(1b) Hexanoate + NADPH + ATP + H+ ---&gt; Hexanal + NADP+ + AMP + PPi</t>
  </si>
  <si>
    <t xml:space="preserve">CARc6</t>
  </si>
  <si>
    <t xml:space="preserve">Carboxylic acid reductase (hexanal)</t>
  </si>
  <si>
    <t xml:space="preserve">(2) Hexanoyl-CoA + NADH + H+ ---&gt; Hexanal + CoA + NAD+ </t>
  </si>
  <si>
    <t xml:space="preserve">LUXc6</t>
  </si>
  <si>
    <t xml:space="preserve">Acyl-CoA reductase (hexanal)</t>
  </si>
  <si>
    <t xml:space="preserve">Hexanal + H2O ---&gt; Pentane + Formate + H+</t>
  </si>
  <si>
    <t xml:space="preserve">ALDDc5</t>
  </si>
  <si>
    <t xml:space="preserve">Aldehyde decarbonylase (pentane)</t>
  </si>
  <si>
    <t xml:space="preserve">Pentane_p &lt;=&gt; Pentane_c</t>
  </si>
  <si>
    <t xml:space="preserve">PENTANEtpp</t>
  </si>
  <si>
    <t xml:space="preserve">Pentane transport via diffusion (periplasm)</t>
  </si>
  <si>
    <t xml:space="preserve">Pentane_e &lt;=&gt; Pentane_p</t>
  </si>
  <si>
    <t xml:space="preserve">PENTANEtex</t>
  </si>
  <si>
    <t xml:space="preserve">Pentane transport via diffusion (extracellular to periplasm)</t>
  </si>
  <si>
    <t xml:space="preserve">Pentane_e &lt;=&gt;</t>
  </si>
  <si>
    <t xml:space="preserve">EX_pentane_e</t>
  </si>
  <si>
    <t xml:space="preserve">Pentane exchange</t>
  </si>
  <si>
    <t xml:space="preserve">Call (2016) showed that the fatty acid transporter FadL is also used to import medium-chain alkanes (ie. Octane) in E.coli. From our experiments at LMSE, we already know that butane and pentane are extracellular products. Pentane is small, uncharged molecule with a boiling point &lt;37degC (36degC, so very close to operating temp). Since product will be in vapour phase (or easily heated slightly to vapour phase) and can be easily removed from reactor, transport can therefore be driven by concentration gradient and will likely occur via diffusion (maybe via channel; see Call (2016)). Based on boiling point &lt;37degC, assuming diffusion used for C &lt;=&gt; P, and diffusion for P &lt;=&gt; E.</t>
  </si>
  <si>
    <t xml:space="preserve">Pentanol PW1 (RBO)</t>
  </si>
  <si>
    <t xml:space="preserve">Based on LMSE’s work with the alkane production pathways here are two options for pentanoyl-CoA conversion to pentanal; via two steps (Tes+Car) or via one step (LuxC). Enzyme screening work identified LuxC enzymes capable of working on hexanoyl-CoA (for pentane production) but not pentanoyl-CoA. Thus in model Tes+Car are used, but the LuxC reaction is included for reference. </t>
  </si>
  <si>
    <t xml:space="preserve">(1a) Pentanoyl-CoA + H2O --&gt; Pentanoate (aka valerate) + CoA + H+</t>
  </si>
  <si>
    <t xml:space="preserve">Pentanal + NADH + H+ --&gt; Pentanol + NAD+</t>
  </si>
  <si>
    <t xml:space="preserve">ALCD5</t>
  </si>
  <si>
    <t xml:space="preserve">Alcohol dehydrogenase (pentanol)</t>
  </si>
  <si>
    <t xml:space="preserve">Not in BiGG database, but other instances of alcohol dehydrogenases exist, ie. ALCD4 for butanol. Although didn’t explicitly find this reaction/enzyme in literature, it could likely be engineered.</t>
  </si>
  <si>
    <t xml:space="preserve">Pentanol_p + H+_p &lt;=&gt; Pentanol_c + H+_c</t>
  </si>
  <si>
    <t xml:space="preserve">PENTOHt2rpp</t>
  </si>
  <si>
    <t xml:space="preserve">Pentanol transport via proton symport (periplasm)</t>
  </si>
  <si>
    <t xml:space="preserve">Pentanol_e &lt;=&gt; Pentanol_p</t>
  </si>
  <si>
    <t xml:space="preserve">PENTOHtex</t>
  </si>
  <si>
    <t xml:space="preserve">Pentanol transport via diffusion (extracellular to periplasm)</t>
  </si>
  <si>
    <t xml:space="preserve">Pentanol_e &lt;=&gt;</t>
  </si>
  <si>
    <t xml:space="preserve">EX_pentoh_e</t>
  </si>
  <si>
    <t xml:space="preserve">Pentanol exchange</t>
  </si>
  <si>
    <t xml:space="preserve">Based on boiling point &gt;37degC, assuming proton symporter used for C &lt;=&gt; P, and diffusion for P &lt;=&gt; E. No instances of pentanol transport exist in BiGG database.</t>
  </si>
  <si>
    <t xml:space="preserve">Mehrer (2018): https://www.ncbi.nlm.nih.gov/pmc/articles/PMC6072553/</t>
  </si>
  <si>
    <t xml:space="preserve">Pentanol PW2 (ketoacids)</t>
  </si>
  <si>
    <t xml:space="preserve">Shen (2008) use natural amino acid metabolism in E.coli for 2-oxobutanoate production (via Threonine), then a heterologous, modified versions of the leucine biosynthetic enzymes LeuABCD to convert to 2-oxopentanoate, and then 2-oxohexanoate. Finally, two exogenous genes are used to convert 2-oxohexanoate to pentanal (rxnID: 2OHDC) and then to pentanol (rxnID: ALCD5). 2-oxobutanoate (aka 2-ketoburytate) is "a common keto-acid intermediate for isoleucine biosynthesis."</t>
  </si>
  <si>
    <r>
      <rPr>
        <sz val="11"/>
        <color rgb="FF000000"/>
        <rFont val="arial"/>
        <family val="2"/>
        <charset val="1"/>
      </rPr>
      <t xml:space="preserve">Not in BiGG database. </t>
    </r>
    <r>
      <rPr>
        <sz val="11"/>
        <rFont val="arial"/>
        <family val="2"/>
        <charset val="1"/>
      </rPr>
      <t xml:space="preserve">Two steps catalyzed by same enzyme. Modelled as one reaction here, see 3-methylbutanol biosynthesis pathway on BioCy.</t>
    </r>
  </si>
  <si>
    <r>
      <rPr>
        <sz val="11"/>
        <color rgb="FF000000"/>
        <rFont val="arial"/>
        <family val="2"/>
        <charset val="1"/>
      </rPr>
      <t xml:space="preserve">Not in BiGG database. </t>
    </r>
    <r>
      <rPr>
        <sz val="11"/>
        <rFont val="arial"/>
        <family val="2"/>
        <charset val="1"/>
      </rPr>
      <t xml:space="preserve">Two steps first catalyzed, second is spontaneous. Modelled as one reaction here, see 3-methylbutanol biosynthesis pathway on BioCy.</t>
    </r>
  </si>
  <si>
    <t xml:space="preserve">2-Oxopentanoate + Acetyl-CoA + H2O --&gt; 2-propylmalate + CoA + H+</t>
  </si>
  <si>
    <t xml:space="preserve">2PMS</t>
  </si>
  <si>
    <t xml:space="preserve">2-Propylmalate synthase</t>
  </si>
  <si>
    <t xml:space="preserve">2-propylmalate --&gt; 3-propylmalate</t>
  </si>
  <si>
    <t xml:space="preserve">2PMHL</t>
  </si>
  <si>
    <t xml:space="preserve">2-Propylmalate hydrolase</t>
  </si>
  <si>
    <t xml:space="preserve">3-propylmalate + NAD+ --&gt; 2-oxohexanoate (2-ketocaproate) + CO2 + NADH</t>
  </si>
  <si>
    <t xml:space="preserve">3PMDH</t>
  </si>
  <si>
    <t xml:space="preserve">3-Propylmalate dehydrogenase</t>
  </si>
  <si>
    <t xml:space="preserve">2-oxohexanoate + H+ --&gt; Pentanal + CO2</t>
  </si>
  <si>
    <t xml:space="preserve">2OHDC</t>
  </si>
  <si>
    <t xml:space="preserve">2-Oxohexanoate decarboxylase</t>
  </si>
  <si>
    <t xml:space="preserve">Phenol</t>
  </si>
  <si>
    <t xml:space="preserve">Pathway uses native shikimate pathway (see Shikimate production pathway), then shikimate is converted to L-Tyrosine via chorismate (native pathways). Tyrosine converted to phenol in last step of pathway, catalyzed by Tyrosine phenol lyase (TPL).</t>
  </si>
  <si>
    <t xml:space="preserve">L-Tyrosine + H2O &lt;=&gt; Phenol + Pyruvate + Ammonium</t>
  </si>
  <si>
    <t xml:space="preserve">TPL</t>
  </si>
  <si>
    <t xml:space="preserve">Tyrosine phenol lyase</t>
  </si>
  <si>
    <t xml:space="preserve">Phenol_p + H+_p &lt;=&gt; Phenol_c + H+_c</t>
  </si>
  <si>
    <t xml:space="preserve">PHENOLt2pp</t>
  </si>
  <si>
    <t xml:space="preserve">Phenol transport via proton symport (periplasm)</t>
  </si>
  <si>
    <t xml:space="preserve">Phenol_e &lt;=&gt; Phenol_p</t>
  </si>
  <si>
    <t xml:space="preserve">PHENOLtex</t>
  </si>
  <si>
    <t xml:space="preserve">Phenol transport via diffusion (extracellular to periplasm)</t>
  </si>
  <si>
    <t xml:space="preserve">Phenol_e &lt;=&gt;</t>
  </si>
  <si>
    <t xml:space="preserve">EX_phenol_e</t>
  </si>
  <si>
    <t xml:space="preserve">Phenol exchange</t>
  </si>
  <si>
    <t xml:space="preserve">Kim (2013): https://onlinelibrary.wiley.com/doi/epdf/10.1002/biot.201300263</t>
  </si>
  <si>
    <t xml:space="preserve">MetaCyc (TPL): https://metacyc.org/META/NEW-IMAGE?type=REACTION&amp;object=TYROSINE-PHENOL-LYASE-RXN</t>
  </si>
  <si>
    <t xml:space="preserve">Propane PW1 (RBO)</t>
  </si>
  <si>
    <t xml:space="preserve">Pathway developed/under development by the Laboratory for Metabolic Systems Engineering (LMSE) at the University of Toronto. There are two options for the terminal steps of the pathway: butanoyl-CoA conversion to butanal via two steps (Tes+Car) or via one step (LuxC). LuxC offers advantage of NADH-dependence rather than NADPH, and does not use ATP. Thus LuxC was used in the model, but the Tes/Car option is included for reference. Since the Tes reaction exists in the iJO1366 model already, its activity must be knocked out in the pentane model. Note that for ACOAD1 and ACOAD2, similar reactions exist in iJO1366 but are FAD-dependent these are knocked out in the model such that the NAD-dependent reactions are used (knocked out: ACOAD1f &amp; ACOAD2f). Note also that the Aldehyde decarbonylase reaction is applicable in anaerobic conditions, uncertain for aerobic conditions (LMSE only tested under anaerobic/microaerobic conditions). Das (2011) report that AD has oxygen-indepedent activity and that in the absence of oxygen (anaerobic conditions) its activity is actually 100-1000x higher. </t>
  </si>
  <si>
    <t xml:space="preserve">Butanal + H2O ---&gt; Propane + Formate + H+</t>
  </si>
  <si>
    <t xml:space="preserve">ALDDc3</t>
  </si>
  <si>
    <t xml:space="preserve">Aldehyde decarbonylase (propane)</t>
  </si>
  <si>
    <t xml:space="preserve">Propane_p &lt;=&gt; Propane_c</t>
  </si>
  <si>
    <t xml:space="preserve">PROPANEtpp</t>
  </si>
  <si>
    <t xml:space="preserve">Propane transport via diffusion (periplasm)</t>
  </si>
  <si>
    <t xml:space="preserve">Propane_e &lt;=&gt; Propane_p</t>
  </si>
  <si>
    <t xml:space="preserve">PROPANEtex</t>
  </si>
  <si>
    <t xml:space="preserve">Propane transport via diffusion (extracellular to periplasm)</t>
  </si>
  <si>
    <t xml:space="preserve">Propane_e &lt;=&gt;</t>
  </si>
  <si>
    <t xml:space="preserve">EX_propane_e</t>
  </si>
  <si>
    <t xml:space="preserve">Propane exchange</t>
  </si>
  <si>
    <t xml:space="preserve">Call (2016) showed that the fatty acid transporter FadL is also used to import medium-chain alkanes (ie. Octane) in E.coli. From our experiments at LMSE, we already know that butane and pentane are extracellular products. Propane is even smaller, uncharged molecule with a boiling point &lt;37degC. Since product will be in vapour phase and can be easily removed from reactor, transport can therefore be driven by concentration gradient and will likely occur via diffusion (maybe via channel; see Call (2016)). Based on boiling point &lt;37degC, assuming diffusion used for C &lt;=&gt; P, and diffusion for P &lt;=&gt; E.</t>
  </si>
  <si>
    <t xml:space="preserve">Menon (2015): https://biotechnologyforbiofuels.biomedcentral.com/articles/10.1186/s13068-015-0231-1</t>
  </si>
  <si>
    <t xml:space="preserve">Propane PW2 (Valine)</t>
  </si>
  <si>
    <t xml:space="preserve">(1) 2-methylpropanal + 2NADPH + O2 + H+ --&gt; Propane + Formate + 2NADP + H2O</t>
  </si>
  <si>
    <t xml:space="preserve">ADO2mp</t>
  </si>
  <si>
    <t xml:space="preserve">Aldehyde deformylating oxygenase (2-methyl-propanal to propane)</t>
  </si>
  <si>
    <t xml:space="preserve">Not in IJO1366 and doesn’t appear to exist in any other BiGG model. This is reaction used by Zhang (2016); ADO from Prochlorococcus marinus. For consistency with paper, this reaction is used in model.</t>
  </si>
  <si>
    <t xml:space="preserve">(2) 2-methylpropanal + H2O --&gt; Propane + Formate + H+</t>
  </si>
  <si>
    <t xml:space="preserve">ALDD2mpc3</t>
  </si>
  <si>
    <t xml:space="preserve">Aldehyde decarbonylase (2-methyl-propanal to propane)</t>
  </si>
  <si>
    <t xml:space="preserve">Not in iJO1366 or any other BiGG model. In our (LMSE) alkane production pathway we use an oxygen-independent AD catalyzing the reaction shown here. Theoretically, this could be employed in this pathway too (as an alternative to ADO). AD reaction is included here for reference and is also included in ipynb model doc but is commented out (can be employed in future if desired).</t>
  </si>
  <si>
    <t xml:space="preserve">Shikimate</t>
  </si>
  <si>
    <t xml:space="preserve">Native shikimate pathway used, with transport reactions added.</t>
  </si>
  <si>
    <t xml:space="preserve">PEP and E4P derived from Glycolysis and PPP; specifically glyceradehyde 3-phosphate</t>
  </si>
  <si>
    <t xml:space="preserve">PEP + E4P + H2O --&gt; 2-Dehydro-3-deoxy-D-arabino-heptonate 7-phosphate + Pi</t>
  </si>
  <si>
    <t xml:space="preserve">DDPA</t>
  </si>
  <si>
    <t xml:space="preserve">3-deoxy-D-arabino-heptulosonate 7-phosphate synthetase</t>
  </si>
  <si>
    <t xml:space="preserve">2-Dehydro-3-deoxy-D-arabino-heptonate 7-phosphate--&gt; 3-dehydroquinate + Pi</t>
  </si>
  <si>
    <t xml:space="preserve">DHQS</t>
  </si>
  <si>
    <t xml:space="preserve">3-dehydroquinate synthase</t>
  </si>
  <si>
    <t xml:space="preserve">3-dehydroquinate --&gt; 3-dehydroshikimate + H2O</t>
  </si>
  <si>
    <t xml:space="preserve">DHQTi</t>
  </si>
  <si>
    <t xml:space="preserve">3-dehydroquinate dehydratase, irreversible</t>
  </si>
  <si>
    <t xml:space="preserve"> 3-dehydroshikimate + NADPH + H+ --&gt; Shikimate + NADP</t>
  </si>
  <si>
    <t xml:space="preserve">SHK3Dr</t>
  </si>
  <si>
    <t xml:space="preserve">Shikimate dehydrogenase</t>
  </si>
  <si>
    <t xml:space="preserve">Shikimate_p + H+_p &lt;=&gt; Shikimate_c + H+_c</t>
  </si>
  <si>
    <t xml:space="preserve">SKMt2pp</t>
  </si>
  <si>
    <t xml:space="preserve">Shikimate transport in via proton symport (periplasm)</t>
  </si>
  <si>
    <t xml:space="preserve">Transport reaction exists in iJO1366 model but only for transport in (need to make reaction reversible for Shikimate export).</t>
  </si>
  <si>
    <t xml:space="preserve">Shikimate_e &lt;=&gt; Shikimate_p</t>
  </si>
  <si>
    <t xml:space="preserve">SKMtex</t>
  </si>
  <si>
    <t xml:space="preserve">Shikimate transport via diffusion (extracellular to periplasm)</t>
  </si>
  <si>
    <t xml:space="preserve">Shikimate_e &lt;=&gt;</t>
  </si>
  <si>
    <t xml:space="preserve">EX_skm_e</t>
  </si>
  <si>
    <t xml:space="preserve">Shikimate exchange</t>
  </si>
  <si>
    <t xml:space="preserve">Based on boiling point &gt;37degC, assuming proton symporter used for C &lt;=&gt; P, and diffusion for P &lt;=&gt; E. Shikimate transport already exists in iJO1366 model. Proton symporter used for C &lt;=&gt; P, but only in P --&gt; C direction; need to modify model reaction to be reversible.</t>
  </si>
  <si>
    <t xml:space="preserve">Averesch (2018): https://www.frontiersin.org/articles/10.3389/fbioe.2018.00032/full</t>
  </si>
  <si>
    <t xml:space="preserve">Styrene</t>
  </si>
  <si>
    <t xml:space="preserve">Pathway uses native shikimate pathway (see Shikimate production pathway) for L-phenylalanine synthesis, then two exogenous reactions to convert L-phenylalanine to trans-cinnamate and then styrene.</t>
  </si>
  <si>
    <t xml:space="preserve">Prephenate + H+ --&gt; Phenylpyruvate + CO2 + H2O</t>
  </si>
  <si>
    <t xml:space="preserve">Prephenate dehydratase</t>
  </si>
  <si>
    <t xml:space="preserve">L-Phenylalanine + 2-Oxoglutarate ⇌ Phenylpyruvate + L-Glutamate</t>
  </si>
  <si>
    <t xml:space="preserve">Trans-Cinnamate + H+ -&gt; Styrene + CO2</t>
  </si>
  <si>
    <t xml:space="preserve">CADC</t>
  </si>
  <si>
    <t xml:space="preserve">Cinnamate decarboxylase</t>
  </si>
  <si>
    <t xml:space="preserve">Not in iJO1366 and doesn’t appear to exist in any other BiGG model. Lee-Jeong (2019) and Liang (2020) reported that ferulic acid decarboxylase from S. cerevisiae has promiscuous activity on trans-cinnamate, allowing the production of styrene.</t>
  </si>
  <si>
    <t xml:space="preserve">Styrene_p + H+_p &lt;=&gt; Styrene_c + H+_c</t>
  </si>
  <si>
    <t xml:space="preserve">STYRt2rpp</t>
  </si>
  <si>
    <t xml:space="preserve">Styrene transport via proton symport (periplasm)</t>
  </si>
  <si>
    <t xml:space="preserve">Styrene_e &lt;=&gt; Styrene_p</t>
  </si>
  <si>
    <t xml:space="preserve">STYRHtex</t>
  </si>
  <si>
    <t xml:space="preserve">Styrene transport via diffusion (extracellular to periplasm)</t>
  </si>
  <si>
    <t xml:space="preserve">Styrene_e &lt;=&gt;</t>
  </si>
  <si>
    <t xml:space="preserve">EX_styr_e</t>
  </si>
  <si>
    <t xml:space="preserve">Styrene exchange</t>
  </si>
  <si>
    <t xml:space="preserve">Based on boiling point &gt;37degC, assuming proton symporter used for C &lt;=&gt; P, and diffusion for P &lt;=&gt; E. No instances of styrene transport exist in BiGG database.</t>
  </si>
  <si>
    <t xml:space="preserve">McKenna (2011): https://www.sciencedirect.com/science/article/pii/S1096717611000711</t>
  </si>
  <si>
    <t xml:space="preserve">Lee-Jeong (2019): https://microbialcellfactories.biomedcentral.com/articles/10.1186/s12934-019-1129-6</t>
  </si>
  <si>
    <t xml:space="preserve">Liang (2020): https://www.sciencedirect.com/science/article/pii/S1096717619302320</t>
  </si>
  <si>
    <t xml:space="preserve">Products Native to E. coli &amp; iJO1366 model</t>
  </si>
  <si>
    <t xml:space="preserve">Malate_L</t>
  </si>
  <si>
    <t xml:space="preserve">*Can be produced aerobically or anaerobically. May be better to produce anaerobically.</t>
  </si>
  <si>
    <r>
      <rPr>
        <i val="true"/>
        <sz val="11"/>
        <color rgb="FF000000"/>
        <rFont val="arial"/>
        <family val="2"/>
        <charset val="1"/>
      </rPr>
      <t xml:space="preserve">Produced via TCA cycle. </t>
    </r>
    <r>
      <rPr>
        <i val="true"/>
        <sz val="11"/>
        <color rgb="FF000000"/>
        <rFont val="arial"/>
        <family val="2"/>
      </rPr>
      <t xml:space="preserve">Transport reactions needed to be added to iHN637 model but not iJO1366 model.</t>
    </r>
  </si>
  <si>
    <r>
      <rPr>
        <sz val="11"/>
        <color rgb="FF070AFE"/>
        <rFont val="arial"/>
        <family val="2"/>
        <charset val="1"/>
      </rPr>
      <t xml:space="preserve">2.0 H+_p + Malate_p --&gt; 2.0 H+_c + </t>
    </r>
    <r>
      <rPr>
        <sz val="11"/>
        <color rgb="FF070AFE"/>
        <rFont val="arial"/>
        <family val="2"/>
      </rPr>
      <t xml:space="preserve">Malate</t>
    </r>
    <r>
      <rPr>
        <sz val="11"/>
        <color rgb="FF070AFE"/>
        <rFont val="arial"/>
        <family val="2"/>
        <charset val="1"/>
      </rPr>
      <t xml:space="preserve">_c</t>
    </r>
  </si>
  <si>
    <t xml:space="preserve">MALt2_2pp</t>
  </si>
  <si>
    <t xml:space="preserve">Malate transport via proton symport (2 H) (periplasm)</t>
  </si>
  <si>
    <t xml:space="preserve">Doesn’t exist in the iHN637 model.</t>
  </si>
  <si>
    <r>
      <rPr>
        <sz val="11"/>
        <color rgb="FF070AFE"/>
        <rFont val="arial"/>
        <family val="2"/>
      </rPr>
      <t xml:space="preserve">Malate</t>
    </r>
    <r>
      <rPr>
        <sz val="11"/>
        <color rgb="FF070AFE"/>
        <rFont val="arial"/>
        <family val="2"/>
        <charset val="1"/>
      </rPr>
      <t xml:space="preserve">_c + H+_p --&gt; H+_c + </t>
    </r>
    <r>
      <rPr>
        <sz val="11"/>
        <color rgb="FF070AFE"/>
        <rFont val="arial"/>
        <family val="2"/>
      </rPr>
      <t xml:space="preserve">Malate</t>
    </r>
    <r>
      <rPr>
        <sz val="11"/>
        <color rgb="FF070AFE"/>
        <rFont val="arial"/>
        <family val="2"/>
        <charset val="1"/>
      </rPr>
      <t xml:space="preserve">_p</t>
    </r>
  </si>
  <si>
    <t xml:space="preserve">MALt3pp</t>
  </si>
  <si>
    <t xml:space="preserve">L-malate transport out via proton antiport (periplasm)</t>
  </si>
  <si>
    <r>
      <rPr>
        <sz val="11"/>
        <color rgb="FF070AFE"/>
        <rFont val="arial"/>
        <family val="2"/>
      </rPr>
      <t xml:space="preserve">Malate</t>
    </r>
    <r>
      <rPr>
        <sz val="11"/>
        <color rgb="FF070AFE"/>
        <rFont val="arial"/>
        <family val="2"/>
        <charset val="1"/>
      </rPr>
      <t xml:space="preserve">_e &lt;=&gt; </t>
    </r>
    <r>
      <rPr>
        <sz val="11"/>
        <color rgb="FF070AFE"/>
        <rFont val="arial"/>
        <family val="2"/>
      </rPr>
      <t xml:space="preserve">Malate</t>
    </r>
    <r>
      <rPr>
        <sz val="11"/>
        <color rgb="FF070AFE"/>
        <rFont val="arial"/>
        <family val="2"/>
        <charset val="1"/>
      </rPr>
      <t xml:space="preserve">_p</t>
    </r>
  </si>
  <si>
    <t xml:space="preserve">MALtex</t>
  </si>
  <si>
    <t xml:space="preserve">Malate transport via diffusion (extracellular to periplasm)</t>
  </si>
  <si>
    <r>
      <rPr>
        <sz val="11"/>
        <color rgb="FF070AFE"/>
        <rFont val="arial"/>
        <family val="2"/>
      </rPr>
      <t xml:space="preserve">Malate</t>
    </r>
    <r>
      <rPr>
        <sz val="11"/>
        <color rgb="FF070AFE"/>
        <rFont val="arial"/>
        <family val="2"/>
        <charset val="1"/>
      </rPr>
      <t xml:space="preserve">_e &lt;=&gt;</t>
    </r>
  </si>
  <si>
    <t xml:space="preserve">EX_mal__L_e</t>
  </si>
  <si>
    <t xml:space="preserve">L-Malate exchange</t>
  </si>
  <si>
    <t xml:space="preserve">Trichez (2018): https://microbialcellfactories.biomedcentral.com/articles/10.1186/s12934-018-0959-y</t>
  </si>
  <si>
    <t xml:space="preserve">Jiang (2020): https://microbialcellfactories.biomedcentral.com/articles/10.1186/s12934-020-01422-0</t>
  </si>
  <si>
    <t xml:space="preserve">Succinate</t>
  </si>
  <si>
    <t xml:space="preserve">*Can be produced aerobically or anaerobically. Succinate production under aerobic conditions is only possible if the conversion of succinate to fumarate is blocked in the TCA cycle (Cheng, 2013). May be better to produce anaerobically.</t>
  </si>
  <si>
    <t xml:space="preserve">Produced via TCA cycle</t>
  </si>
  <si>
    <r>
      <rPr>
        <sz val="11"/>
        <color rgb="FF070AFE"/>
        <rFont val="arial"/>
        <family val="2"/>
        <charset val="1"/>
      </rPr>
      <t xml:space="preserve">2.0 H+_p + Succinate_p --&gt; 2.0 H+_c + </t>
    </r>
    <r>
      <rPr>
        <sz val="11"/>
        <color rgb="FF070AFE"/>
        <rFont val="arial"/>
        <family val="2"/>
      </rPr>
      <t xml:space="preserve">Succinate</t>
    </r>
    <r>
      <rPr>
        <sz val="11"/>
        <color rgb="FF070AFE"/>
        <rFont val="arial"/>
        <family val="2"/>
        <charset val="1"/>
      </rPr>
      <t xml:space="preserve">_c</t>
    </r>
  </si>
  <si>
    <t xml:space="preserve">SUCCt2_2pp</t>
  </si>
  <si>
    <t xml:space="preserve">Succinate transport via proton symport (2 H) (periplasm)</t>
  </si>
  <si>
    <r>
      <rPr>
        <sz val="11"/>
        <color rgb="FF070AFE"/>
        <rFont val="arial"/>
        <family val="2"/>
      </rPr>
      <t xml:space="preserve">Succinate</t>
    </r>
    <r>
      <rPr>
        <sz val="11"/>
        <color rgb="FF070AFE"/>
        <rFont val="arial"/>
        <family val="2"/>
        <charset val="1"/>
      </rPr>
      <t xml:space="preserve">_c + H+_p --&gt; H+_c + </t>
    </r>
    <r>
      <rPr>
        <sz val="11"/>
        <color rgb="FF070AFE"/>
        <rFont val="arial"/>
        <family val="2"/>
      </rPr>
      <t xml:space="preserve">Succinate</t>
    </r>
    <r>
      <rPr>
        <sz val="11"/>
        <color rgb="FF070AFE"/>
        <rFont val="arial"/>
        <family val="2"/>
        <charset val="1"/>
      </rPr>
      <t xml:space="preserve">_p</t>
    </r>
  </si>
  <si>
    <t xml:space="preserve">SUCCt3pp</t>
  </si>
  <si>
    <t xml:space="preserve">Succinate transport out via proton antiport (periplasm)</t>
  </si>
  <si>
    <r>
      <rPr>
        <sz val="11"/>
        <color rgb="FF070AFE"/>
        <rFont val="arial"/>
        <family val="2"/>
      </rPr>
      <t xml:space="preserve">Succinate</t>
    </r>
    <r>
      <rPr>
        <sz val="11"/>
        <color rgb="FF070AFE"/>
        <rFont val="arial"/>
        <family val="2"/>
        <charset val="1"/>
      </rPr>
      <t xml:space="preserve">_e &lt;=&gt; </t>
    </r>
    <r>
      <rPr>
        <sz val="11"/>
        <color rgb="FF070AFE"/>
        <rFont val="arial"/>
        <family val="2"/>
      </rPr>
      <t xml:space="preserve">Succinate</t>
    </r>
    <r>
      <rPr>
        <sz val="11"/>
        <color rgb="FF070AFE"/>
        <rFont val="arial"/>
        <family val="2"/>
        <charset val="1"/>
      </rPr>
      <t xml:space="preserve">_p</t>
    </r>
  </si>
  <si>
    <t xml:space="preserve">SUCCtex</t>
  </si>
  <si>
    <t xml:space="preserve">Succinate transport via diffusion (extracellular to periplasm)</t>
  </si>
  <si>
    <r>
      <rPr>
        <sz val="11"/>
        <color rgb="FF070AFE"/>
        <rFont val="arial"/>
        <family val="2"/>
      </rPr>
      <t xml:space="preserve">Succinate</t>
    </r>
    <r>
      <rPr>
        <sz val="11"/>
        <color rgb="FF070AFE"/>
        <rFont val="arial"/>
        <family val="2"/>
        <charset val="1"/>
      </rPr>
      <t xml:space="preserve">_e &lt;=&gt;</t>
    </r>
  </si>
  <si>
    <t xml:space="preserve">EX_succ_e</t>
  </si>
  <si>
    <t xml:space="preserve">Succinate exchange</t>
  </si>
  <si>
    <t xml:space="preserve">Cheng (2013): https://www.ncbi.nlm.nih.gov/pmc/articles/PMC3652112/</t>
  </si>
  <si>
    <t xml:space="preserve">Thakker (2013): https://www.ncbi.nlm.nih.gov/pmc/articles/PMC3517001/</t>
  </si>
  <si>
    <t xml:space="preserve">Citrate</t>
  </si>
  <si>
    <t xml:space="preserve">*Typically Aspergillus niger is used for citric acid bioproduction.</t>
  </si>
  <si>
    <t xml:space="preserve">Produced via TCA cycle. Transport reactions needed to be added to iHN637 model but not iJO1366 model.</t>
  </si>
  <si>
    <r>
      <rPr>
        <sz val="11"/>
        <color rgb="FF070AFE"/>
        <rFont val="arial"/>
        <family val="2"/>
        <charset val="1"/>
      </rPr>
      <t xml:space="preserve">Citrate_p + H+_p --&gt; H+_c + </t>
    </r>
    <r>
      <rPr>
        <sz val="11"/>
        <color rgb="FF070AFE"/>
        <rFont val="arial"/>
        <family val="2"/>
      </rPr>
      <t xml:space="preserve">Citrate</t>
    </r>
    <r>
      <rPr>
        <sz val="11"/>
        <color rgb="FF070AFE"/>
        <rFont val="arial"/>
        <family val="2"/>
        <charset val="1"/>
      </rPr>
      <t xml:space="preserve">_p</t>
    </r>
  </si>
  <si>
    <t xml:space="preserve">CITt3pp</t>
  </si>
  <si>
    <t xml:space="preserve">Citrate transport out via proton antiport (periplasm)</t>
  </si>
  <si>
    <r>
      <rPr>
        <sz val="11"/>
        <color rgb="FF070AFE"/>
        <rFont val="arial"/>
        <family val="2"/>
      </rPr>
      <t xml:space="preserve">Citrate</t>
    </r>
    <r>
      <rPr>
        <sz val="11"/>
        <color rgb="FF070AFE"/>
        <rFont val="arial"/>
        <family val="2"/>
        <charset val="1"/>
      </rPr>
      <t xml:space="preserve">_e &lt;=&gt; </t>
    </r>
    <r>
      <rPr>
        <sz val="11"/>
        <color rgb="FF070AFE"/>
        <rFont val="arial"/>
        <family val="2"/>
      </rPr>
      <t xml:space="preserve">Citrate</t>
    </r>
    <r>
      <rPr>
        <sz val="11"/>
        <color rgb="FF070AFE"/>
        <rFont val="arial"/>
        <family val="2"/>
        <charset val="1"/>
      </rPr>
      <t xml:space="preserve">_p</t>
    </r>
  </si>
  <si>
    <t xml:space="preserve">CITtex</t>
  </si>
  <si>
    <t xml:space="preserve">Citrate transport via diffusion (extracellular to periplasm)</t>
  </si>
  <si>
    <r>
      <rPr>
        <sz val="11"/>
        <color rgb="FF070AFE"/>
        <rFont val="arial"/>
        <family val="2"/>
      </rPr>
      <t xml:space="preserve">Citrate</t>
    </r>
    <r>
      <rPr>
        <sz val="11"/>
        <color rgb="FF070AFE"/>
        <rFont val="arial"/>
        <family val="2"/>
        <charset val="1"/>
      </rPr>
      <t xml:space="preserve">_e &lt;=&gt;</t>
    </r>
  </si>
  <si>
    <t xml:space="preserve">EX_cit_e</t>
  </si>
  <si>
    <t xml:space="preserve">Citrate exchange</t>
  </si>
  <si>
    <t xml:space="preserve">Tong (2019): https://microbialcellfactories.biomedcentral.com/articles/10.1186/s12934-019-1064-6</t>
  </si>
  <si>
    <t xml:space="preserve">Mores (2021): https://www.sciencedirect.com/science/article/pii/S0960852420317004?dgcid=rss_sd_all</t>
  </si>
  <si>
    <t xml:space="preserve">Max (2010): https://www.ncbi.nlm.nih.gov/pmc/articles/PMC3769771/</t>
  </si>
  <si>
    <t xml:space="preserve">Glycolate</t>
  </si>
  <si>
    <t xml:space="preserve">Produced via TCA cycle from glyoxylate, OR from glycolaldehyde (in the case of EG and glycolaldehyde via glycolate pathway). TCA --&gt; glyoxylate --&gt; glycolate doesn’t exist in iHN637 mode. Reactions needed to be added along with glycolate transport reactions.</t>
  </si>
  <si>
    <t xml:space="preserve">Isocitrate --&gt; Glyoxylate + Succinate</t>
  </si>
  <si>
    <t xml:space="preserve">ICL</t>
  </si>
  <si>
    <t xml:space="preserve">Isocitrate lyase</t>
  </si>
  <si>
    <r>
      <rPr>
        <sz val="11"/>
        <color rgb="FF070AFE"/>
        <rFont val="arial"/>
        <family val="2"/>
      </rPr>
      <t xml:space="preserve">Glyoxylate</t>
    </r>
    <r>
      <rPr>
        <sz val="11"/>
        <color rgb="FF070AFE"/>
        <rFont val="arial"/>
        <family val="2"/>
        <charset val="1"/>
      </rPr>
      <t xml:space="preserve"> + H+ + NADH --&gt; Glycolate + NAD</t>
    </r>
  </si>
  <si>
    <t xml:space="preserve">GLYCLTDx</t>
  </si>
  <si>
    <t xml:space="preserve">Glycolate dehydrogenase (NAD)</t>
  </si>
  <si>
    <r>
      <rPr>
        <sz val="11"/>
        <color rgb="FF070AFE"/>
        <rFont val="arial"/>
        <family val="2"/>
      </rPr>
      <t xml:space="preserve">Glyoxylate</t>
    </r>
    <r>
      <rPr>
        <sz val="11"/>
        <color rgb="FF070AFE"/>
        <rFont val="arial"/>
        <family val="2"/>
        <charset val="1"/>
      </rPr>
      <t xml:space="preserve"> + H+ + NADPH --&gt; Glycolate + NADP</t>
    </r>
  </si>
  <si>
    <t xml:space="preserve">GLYCLTDy</t>
  </si>
  <si>
    <t xml:space="preserve">Glycolate dehydrogenase (NADP)</t>
  </si>
  <si>
    <r>
      <rPr>
        <sz val="11"/>
        <color rgb="FF070AFE"/>
        <rFont val="arial"/>
        <family val="2"/>
      </rPr>
      <t xml:space="preserve">Glycolate_p </t>
    </r>
    <r>
      <rPr>
        <sz val="11"/>
        <color rgb="FF070AFE"/>
        <rFont val="arial"/>
        <family val="2"/>
        <charset val="1"/>
      </rPr>
      <t xml:space="preserve">+ H+_p &lt;=&gt; </t>
    </r>
    <r>
      <rPr>
        <sz val="11"/>
        <color rgb="FF070AFE"/>
        <rFont val="arial"/>
        <family val="2"/>
      </rPr>
      <t xml:space="preserve">Glycolate_c</t>
    </r>
    <r>
      <rPr>
        <sz val="11"/>
        <color rgb="FF070AFE"/>
        <rFont val="arial"/>
        <family val="2"/>
        <charset val="1"/>
      </rPr>
      <t xml:space="preserve"> + H+_c</t>
    </r>
  </si>
  <si>
    <t xml:space="preserve">GLYCLTt2rpp</t>
  </si>
  <si>
    <t xml:space="preserve">Glycolate transport via proton symport, reversible (periplasm)</t>
  </si>
  <si>
    <r>
      <rPr>
        <sz val="11"/>
        <color rgb="FF070AFE"/>
        <rFont val="arial"/>
        <family val="2"/>
      </rPr>
      <t xml:space="preserve">Glycolate</t>
    </r>
    <r>
      <rPr>
        <sz val="11"/>
        <color rgb="FF070AFE"/>
        <rFont val="arial"/>
        <family val="2"/>
        <charset val="1"/>
      </rPr>
      <t xml:space="preserve">_e &lt;=&gt; </t>
    </r>
    <r>
      <rPr>
        <sz val="11"/>
        <color rgb="FF070AFE"/>
        <rFont val="arial"/>
        <family val="2"/>
      </rPr>
      <t xml:space="preserve">Glycolate</t>
    </r>
    <r>
      <rPr>
        <sz val="11"/>
        <color rgb="FF070AFE"/>
        <rFont val="arial"/>
        <family val="2"/>
        <charset val="1"/>
      </rPr>
      <t xml:space="preserve">_p</t>
    </r>
  </si>
  <si>
    <t xml:space="preserve">GLYCLTtex</t>
  </si>
  <si>
    <t xml:space="preserve">Glycolate transport via diffusion (extracellular to periplasm)</t>
  </si>
  <si>
    <r>
      <rPr>
        <sz val="11"/>
        <color rgb="FF070AFE"/>
        <rFont val="arial"/>
        <family val="2"/>
      </rPr>
      <t xml:space="preserve">Glycolate</t>
    </r>
    <r>
      <rPr>
        <sz val="11"/>
        <color rgb="FF070AFE"/>
        <rFont val="arial"/>
        <family val="2"/>
        <charset val="1"/>
      </rPr>
      <t xml:space="preserve">_e &lt;=&gt;</t>
    </r>
  </si>
  <si>
    <t xml:space="preserve">EX_glyclt_e</t>
  </si>
  <si>
    <t xml:space="preserve">Glycolate exchange</t>
  </si>
  <si>
    <t xml:space="preserve">Pandit (2021): https://microbialcellfactories.biomedcentral.com/articles/10.1186/s12934-021-01509-2</t>
  </si>
  <si>
    <t xml:space="preserve">Glutamate_L</t>
  </si>
  <si>
    <t xml:space="preserve">Produced from alpha-ketoglutarate derived from TCA cycle. Transport reactions already exist in iJO1366 and iHN637 models, BUT GLUt2r transport reaction in iHN637 was knocked-out; needed to be opened up.</t>
  </si>
  <si>
    <t xml:space="preserve">*Predominantly produced in Corynebacterium glutamincum rather than E. coli (Ma, 2017).</t>
  </si>
  <si>
    <t xml:space="preserve">Ma (2017): https://www.sciencedirect.com/science/article/pii/S2405805X17300534</t>
  </si>
  <si>
    <t xml:space="preserve">Lysine_L</t>
  </si>
  <si>
    <t xml:space="preserve">Produced from oxaloacetate from TCA cycle (Oxaloacetate --&gt; Aspartate --&gt; Aspartate -semialdehyde ---&gt; L-Lysine). Converted to L-Aspartate and then onwards to L-Lysine. Full pathway + transport exists in iJO1366 and iHN637 models.</t>
  </si>
  <si>
    <t xml:space="preserve">*See also glutarate production sources (pathway goes via L-lysine)</t>
  </si>
  <si>
    <t xml:space="preserve">Glucarate_D</t>
  </si>
  <si>
    <t xml:space="preserve">*Decided not to do glucarate because production pathway reported in literature only really makes sense from glucose</t>
  </si>
  <si>
    <t xml:space="preserve">Moon (2009): https://aem.asm.org/content/75/3/589</t>
  </si>
  <si>
    <t xml:space="preserve">Ethylbenzene</t>
  </si>
  <si>
    <t xml:space="preserve">Pathway uses native shikimate pathway for L-phenylalanine synthesis, then three exogenous reactions to convert L-phenylalanine to trans-cinnamate, styrene then ethylbenzene.</t>
  </si>
  <si>
    <t xml:space="preserve">CNDC</t>
  </si>
  <si>
    <t xml:space="preserve">Styrene + H+ + NADH &lt;-&gt; Ethylbenzene + NAD+</t>
  </si>
  <si>
    <t xml:space="preserve">Styrene dioxygenase</t>
  </si>
  <si>
    <t xml:space="preserve">Not in iJO1366 and doesn’t appear to exist in any other BiGG model. Napthalene dioxygenase (NDO) is reported on KEGG to catalyze this reaction, however, when I looked into the original paper cited it seems that NDO has been shown to catalyze Ethylbenzene oxgenation to (R)-1-phenyl-1,2-ethanediol via styrene. I suspect that using this enzyme here would result in styrene conversion to (R)-1-phenyl-1,2-ethanediol, rather than to ethylbenzene. Consequently, I think it’s unlikely this reaction can be catalyzed by the indicted enzyme, and so I will not model this pathway (since I can’t find any other papers about bioproduction of ethylbenzene). From Lee (1996): “ethylbenzene was oxidized through styrene to (R)-1-phenyl-1,2-ethanediol (74% e.e.) by reactions involving desaturation and dihydroxylation, respectively (Fig. 5). The latter pathway is supported by previous studies which have shown that NDO can catalyze the formation of double bonds (desaturation reactions) (8, 31, 40)
and the dioxygenation of styrene to yield (R)-1-phenyl-1,2-ethanediol in 78.6% e.e. (24). ”</t>
  </si>
  <si>
    <t xml:space="preserve">Ethylbenzene_p + H+_p &lt;=&gt; Ethylbenzene_c + H+_c</t>
  </si>
  <si>
    <t xml:space="preserve">ETBZt2rpp</t>
  </si>
  <si>
    <t xml:space="preserve">Ethylbenzene transport via proton symport (periplasm)</t>
  </si>
  <si>
    <t xml:space="preserve">Ethylbenzene_e &lt;=&gt; Ethylbenzene_p</t>
  </si>
  <si>
    <t xml:space="preserve">ETBZtex</t>
  </si>
  <si>
    <t xml:space="preserve">Ethylbenzene transport via diffusion (extracellular to periplasm)</t>
  </si>
  <si>
    <t xml:space="preserve">Ethylbenzene_e &lt;=&gt;</t>
  </si>
  <si>
    <t xml:space="preserve">EX_etbz_e</t>
  </si>
  <si>
    <t xml:space="preserve">Ethylbenzene exchange</t>
  </si>
  <si>
    <t xml:space="preserve">Based on boiling point &gt;37degC, assuming proton symporter used for C &lt;=&gt; P, and diffusion for P &lt;=&gt; E. No instances of ethylbenzene transport exist in BiGG database.</t>
  </si>
  <si>
    <t xml:space="preserve">Lee (1996): https://aem.asm.org/content/62/9/3101</t>
  </si>
  <si>
    <t xml:space="preserve">Old Glutaric Acid/Aminovaleric Acid pathway option (via proline) DISREGARDED BC REQUIRES PrdC protein; other pathway option via Lysine is better...</t>
  </si>
  <si>
    <t xml:space="preserve">Glutaric Acid PW2</t>
  </si>
  <si>
    <t xml:space="preserve">This pathway is based on a different proline degradation pathway (see MetaCyc link), which relies on the use of a PrdC protein (not sure if that makes sense for E.coli...). The pathway also requires L-proline be converted to D-proline. Austin had set up model to do this either in three steps via 1-pyrroline-2-carboxylate or in a single step catalyzed by racemase. As one of the steps required for the three-step option seems like it will create a bottleneck (not sure it will perform reverse reaction, which is required by pathway), will simply assume the one-step racemase option is used. But left the info for the 3-step option for reference.</t>
  </si>
  <si>
    <t xml:space="preserve"> L-Proline + NAD &lt;=&gt; 1-Pyrroline-2-carboxylate + NADH + 2H+</t>
  </si>
  <si>
    <t xml:space="preserve"> 1P2CBXLR2</t>
  </si>
  <si>
    <t xml:space="preserve">1-Pyrroline-2-carboxylate reductase (NAD)</t>
  </si>
  <si>
    <t xml:space="preserve">Not in iJO1366 model or any other BiGG model, but similar to 1P2CBXLR reaction listed below (this is NAD-dependent vs other is NADP-dependent version).</t>
  </si>
  <si>
    <t xml:space="preserve"> L-Proline + NADP &lt;=&gt; 1-Pyrroline-2-carboxylate + NADPH + 2H+</t>
  </si>
  <si>
    <t xml:space="preserve"> 1P2CBXLR</t>
  </si>
  <si>
    <t xml:space="preserve">1-Pyrroline-2-carboxylate reductase (NADPH)</t>
  </si>
  <si>
    <t xml:space="preserve">Not in iJO1355 model but exists in P. Putida model iJN1463 under same rxnID, but with name ‘Delta1 piperideine 2 carboxylate reductase’ (used slightly different name here, but means same thing ultimately..). This reaction is reported as being able to use NAD or NADP (maybe depending on what organism the enzyme comes from). Both included in model and whichever is more beneficial will be used.</t>
  </si>
  <si>
    <t xml:space="preserve">D-Proline + FAD ---&gt; 1-Pyrroline-2-carboxylate + FADH2 + H+</t>
  </si>
  <si>
    <t xml:space="preserve">DAAD7</t>
  </si>
  <si>
    <t xml:space="preserve">D-Amino acid dehydrogenase pro D </t>
  </si>
  <si>
    <t xml:space="preserve">Not in iJO1355 model but exists in P. Putida model iJN1463 under same rxnID, BUT only in the direction shown (proline --&gt; 1-pyrroline-2-carboxylate); vs the reverse reaction is needed for the pathway. On MetaCyc it also states the reaction is preferred in that same direction. Not sure if it would be possible to use the reverse direction. It could be a significant bottleneck. Will just use alternative instead (convert L-proline to D-proline via racemase enzyme).</t>
  </si>
  <si>
    <t xml:space="preserve">L-Proline &lt;=&gt; D-Proline</t>
  </si>
  <si>
    <t xml:space="preserve">PROR</t>
  </si>
  <si>
    <t xml:space="preserve">Proline racemase</t>
  </si>
  <si>
    <t xml:space="preserve">Not in iJO1366 model but exists in a couple other BiGG models. However, it’s a very bare-bone reaction with limited info. Added more reaction info here.</t>
  </si>
  <si>
    <t xml:space="preserve">D-Proline + PrdC protein with thiol/selenol residues -&gt;  5-Aminopentanoate + a PrdC protein with a selenide-sulfide bridge</t>
  </si>
  <si>
    <t xml:space="preserve">DPROR</t>
  </si>
  <si>
    <t xml:space="preserve">D-Proline reductase</t>
  </si>
  <si>
    <t xml:space="preserve">Doesn’t  exist in any BiGG models.</t>
  </si>
  <si>
    <t xml:space="preserve">MetaCyc (1-pyrroline-2-carboxylate reductase): https://metacyc.org/gene?orgid=META&amp;id=MONOMER-18703#tab=RXNS</t>
  </si>
  <si>
    <t xml:space="preserve">MetaCyc (proline racemase): https://metacyc.org/META/NEW-IMAGE?type=REACTION&amp;object=PROLINE-RACEMASE-RXN</t>
  </si>
  <si>
    <t xml:space="preserve">MetaCyc (D-proline reductase): https://metacyc.org/META/NEW-IMAGE?type=REACTION-IN-PATHWAY&amp;object=1.21.4.1-RXN</t>
  </si>
  <si>
    <t xml:space="preserve">MetaCyc (Proline degradation II): https://metacyc.org/META/NEW-IMAGE?type=PATHWAY&amp;object=PWY-8186</t>
  </si>
  <si>
    <t xml:space="preserve">productName</t>
  </si>
  <si>
    <t xml:space="preserve">metName</t>
  </si>
  <si>
    <t xml:space="preserve">metID</t>
  </si>
  <si>
    <t xml:space="preserve">metFormula</t>
  </si>
  <si>
    <t xml:space="preserve">metCompartment</t>
  </si>
  <si>
    <t xml:space="preserve">metCharge</t>
  </si>
  <si>
    <t xml:space="preserve">metModels</t>
  </si>
  <si>
    <t xml:space="preserve">metNotes</t>
  </si>
  <si>
    <t xml:space="preserve">Acetyl-CoA</t>
  </si>
  <si>
    <t xml:space="preserve">accoa_c</t>
  </si>
  <si>
    <t xml:space="preserve">C23H34N7O17P3S</t>
  </si>
  <si>
    <t xml:space="preserve">c</t>
  </si>
  <si>
    <t xml:space="preserve">Acetoacetyl-CoA</t>
  </si>
  <si>
    <t xml:space="preserve">aacoa_c</t>
  </si>
  <si>
    <t xml:space="preserve">C25H36N7O18P3S</t>
  </si>
  <si>
    <t xml:space="preserve">Aka 3-oxobutanoyl-CoA</t>
  </si>
  <si>
    <t xml:space="preserve">(R)-3-Hydroxybutanoyl-CoA</t>
  </si>
  <si>
    <t xml:space="preserve"> 3hbcoa__R_c</t>
  </si>
  <si>
    <t xml:space="preserve">C25H38N7O18P3S</t>
  </si>
  <si>
    <t xml:space="preserve">Not in iJO1366 model but does exist in other BiGG models. Aka (R)-3-Hydroxybutyryl-CoA.</t>
  </si>
  <si>
    <t xml:space="preserve">(R)-3-Hydroxybutanal</t>
  </si>
  <si>
    <t xml:space="preserve">3hba_c</t>
  </si>
  <si>
    <t xml:space="preserve">C4H8O2</t>
  </si>
  <si>
    <t xml:space="preserve">Not in iJO1366 or any other BiGG models. Aka (R)-3-Hydroxybutyraldehyde.</t>
  </si>
  <si>
    <t xml:space="preserve">(R)-1,3-Butanediol</t>
  </si>
  <si>
    <t xml:space="preserve">13bdo__R_c</t>
  </si>
  <si>
    <t xml:space="preserve">C4H10O2</t>
  </si>
  <si>
    <t xml:space="preserve">Not in iJO1366 or any other BiGG models.</t>
  </si>
  <si>
    <t xml:space="preserve">13bdo__R_e</t>
  </si>
  <si>
    <t xml:space="preserve">e</t>
  </si>
  <si>
    <t xml:space="preserve">Pyruvate</t>
  </si>
  <si>
    <t xml:space="preserve">pyr_c</t>
  </si>
  <si>
    <t xml:space="preserve">C3H3O3</t>
  </si>
  <si>
    <t xml:space="preserve">Acetaldehyde</t>
  </si>
  <si>
    <t xml:space="preserve">acald_c</t>
  </si>
  <si>
    <t xml:space="preserve">C2H4O</t>
  </si>
  <si>
    <t xml:space="preserve">L-Aspartate 4-semialdehyde</t>
  </si>
  <si>
    <t xml:space="preserve">aspsa_c</t>
  </si>
  <si>
    <t xml:space="preserve">C4H7NO3</t>
  </si>
  <si>
    <t xml:space="preserve"> L-Glutamate</t>
  </si>
  <si>
    <t xml:space="preserve">glu__L_c</t>
  </si>
  <si>
    <t xml:space="preserve">C5H8NO4</t>
  </si>
  <si>
    <t xml:space="preserve"> 2-Oxoglutarate </t>
  </si>
  <si>
    <t xml:space="preserve">akg_c</t>
  </si>
  <si>
    <t xml:space="preserve">C5H4O5</t>
  </si>
  <si>
    <t xml:space="preserve">L-2,4-diaminobutanoate</t>
  </si>
  <si>
    <t xml:space="preserve">24dab_c</t>
  </si>
  <si>
    <t xml:space="preserve">C4H10N2O2</t>
  </si>
  <si>
    <t xml:space="preserve">Not in iJO1366, but exists in other BiGG models. Charge of 0 reported in other models.</t>
  </si>
  <si>
    <t xml:space="preserve">13dampp_c</t>
  </si>
  <si>
    <t xml:space="preserve">C3H12N2</t>
  </si>
  <si>
    <t xml:space="preserve">Not in iJO1366, but exists in other BiGG models. Charge of 2 reported in other models. Also called Propane-1-3-Diamine.</t>
  </si>
  <si>
    <t xml:space="preserve">13dampp_e</t>
  </si>
  <si>
    <t xml:space="preserve">1,3-propanediol</t>
  </si>
  <si>
    <t xml:space="preserve">Glycerol</t>
  </si>
  <si>
    <t xml:space="preserve">glyc_c</t>
  </si>
  <si>
    <t xml:space="preserve">C3H8O3</t>
  </si>
  <si>
    <t xml:space="preserve">3-Hydroxypropanal</t>
  </si>
  <si>
    <t xml:space="preserve">3hppnl_c</t>
  </si>
  <si>
    <t xml:space="preserve">C3H6O2</t>
  </si>
  <si>
    <t xml:space="preserve">Not in iJO1366, but exists in other BiGG models including other E.coli models. Aka Reuterin, also present in the acrylic acid 1 pathway.</t>
  </si>
  <si>
    <t xml:space="preserve">13ppd_c</t>
  </si>
  <si>
    <t xml:space="preserve">C3H8O2</t>
  </si>
  <si>
    <t xml:space="preserve">Not in iJO1366, but exists in other BiGG models including other E.coli models (like iML1515)</t>
  </si>
  <si>
    <t xml:space="preserve">13ppd_e</t>
  </si>
  <si>
    <t xml:space="preserve">Not in iJO1366, but exists in other BiGG models including other E.coli models</t>
  </si>
  <si>
    <t xml:space="preserve">Succinyl-CoA</t>
  </si>
  <si>
    <t xml:space="preserve">succoa_c</t>
  </si>
  <si>
    <t xml:space="preserve">C25H35N7O19P3S</t>
  </si>
  <si>
    <t xml:space="preserve">Succinyl semialdehyde</t>
  </si>
  <si>
    <t xml:space="preserve">sucsal_c</t>
  </si>
  <si>
    <t xml:space="preserve">C4H5O3</t>
  </si>
  <si>
    <t xml:space="preserve">Gamma-hydroxybutyrate</t>
  </si>
  <si>
    <t xml:space="preserve">ghb_c</t>
  </si>
  <si>
    <t xml:space="preserve">C4H7O3</t>
  </si>
  <si>
    <t xml:space="preserve">Aka 4-hydroxybutyrate. Note that there are other instances of 4-hydroxybutyrate in the BiGG database under the metabolite IDs h4but_c and 4ohbut_c.</t>
  </si>
  <si>
    <t xml:space="preserve">Acetate</t>
  </si>
  <si>
    <t xml:space="preserve">ac_c</t>
  </si>
  <si>
    <t xml:space="preserve">C2H3O2</t>
  </si>
  <si>
    <t xml:space="preserve">4-Hydroxybutanoyl-CoA (4-Hydroxybutyryl-CoA)</t>
  </si>
  <si>
    <t xml:space="preserve">4hbutcoa_c</t>
  </si>
  <si>
    <t xml:space="preserve">Not in iJO1366 but does exist in other BiGG models. Aka 4-Hydroxybutyryl-CoA.</t>
  </si>
  <si>
    <t xml:space="preserve">4-Hydroxybutanal</t>
  </si>
  <si>
    <t xml:space="preserve">4hba_c</t>
  </si>
  <si>
    <t xml:space="preserve">Not in iJO1366 or any other BiGG models. Aka 4-hydroxybutyraldehyde</t>
  </si>
  <si>
    <t xml:space="preserve">14bdo_c</t>
  </si>
  <si>
    <t xml:space="preserve">14bdo_e</t>
  </si>
  <si>
    <t xml:space="preserve">Dihydroxyacetone Phosphate</t>
  </si>
  <si>
    <t xml:space="preserve">dhap_c</t>
  </si>
  <si>
    <t xml:space="preserve">C3H5O6P</t>
  </si>
  <si>
    <t xml:space="preserve">Methylglyoxal</t>
  </si>
  <si>
    <t xml:space="preserve">mthgxl_c</t>
  </si>
  <si>
    <t xml:space="preserve">C3H4O2</t>
  </si>
  <si>
    <t xml:space="preserve">D-Lactaldehyde</t>
  </si>
  <si>
    <t xml:space="preserve">lald__D_c</t>
  </si>
  <si>
    <t xml:space="preserve">(R)-Propane-1,2-diol</t>
  </si>
  <si>
    <t xml:space="preserve">12ppd__R_c</t>
  </si>
  <si>
    <t xml:space="preserve">Propanal</t>
  </si>
  <si>
    <t xml:space="preserve">ppal_c</t>
  </si>
  <si>
    <t xml:space="preserve">C3H6O</t>
  </si>
  <si>
    <t xml:space="preserve">Aka Propionaldehyde</t>
  </si>
  <si>
    <t xml:space="preserve">1-Propanol</t>
  </si>
  <si>
    <t xml:space="preserve">ppoh_c</t>
  </si>
  <si>
    <t xml:space="preserve">C3H8O</t>
  </si>
  <si>
    <t xml:space="preserve">Not in IJO1366 model but exists in other BiGG models, including other E.coli models.</t>
  </si>
  <si>
    <t xml:space="preserve">1-Propanol PW2</t>
  </si>
  <si>
    <t xml:space="preserve">L-Threonine</t>
  </si>
  <si>
    <t xml:space="preserve">thr__L_c</t>
  </si>
  <si>
    <t xml:space="preserve">C4H9NO3</t>
  </si>
  <si>
    <t xml:space="preserve">2-Oxobutanoate</t>
  </si>
  <si>
    <t xml:space="preserve">2obut_c</t>
  </si>
  <si>
    <t xml:space="preserve">Aka 2-ketobutyrate</t>
  </si>
  <si>
    <t xml:space="preserve">(S)-3-Methyl-2-oxopentanoate</t>
  </si>
  <si>
    <t xml:space="preserve">3mop_c</t>
  </si>
  <si>
    <t xml:space="preserve">C6H9O3</t>
  </si>
  <si>
    <t xml:space="preserve">Aka 2-Keto-3-methylvalerate</t>
  </si>
  <si>
    <t xml:space="preserve">2-Methylbutyraldehyde</t>
  </si>
  <si>
    <t xml:space="preserve">2mbald_c</t>
  </si>
  <si>
    <t xml:space="preserve">C5H10O</t>
  </si>
  <si>
    <t xml:space="preserve">Not in iJO1366. Exists in S. cerevisiae model iMM904. Aka 2-Methylbutanal.</t>
  </si>
  <si>
    <t xml:space="preserve">2mbtoh_c</t>
  </si>
  <si>
    <t xml:space="preserve">C5H12O</t>
  </si>
  <si>
    <t xml:space="preserve">Not in iJO1366. Aka 2-Methylbutanol. Exists in a S. cerevisiae model (iMM904), reported to have charge of 0.</t>
  </si>
  <si>
    <t xml:space="preserve">2mbtoh_e</t>
  </si>
  <si>
    <t xml:space="preserve">(S)-2-Acetolactate</t>
  </si>
  <si>
    <t xml:space="preserve">alac__S_c</t>
  </si>
  <si>
    <t xml:space="preserve">C5H7O4</t>
  </si>
  <si>
    <t xml:space="preserve">Aka alpha-acetolactate or 2-hydroxy-3-methyl butanoate</t>
  </si>
  <si>
    <t xml:space="preserve">(R)-Acetoin</t>
  </si>
  <si>
    <t xml:space="preserve">actn__R_c</t>
  </si>
  <si>
    <t xml:space="preserve">2,3-Butanediol (R R)</t>
  </si>
  <si>
    <t xml:space="preserve">btd_RR_c</t>
  </si>
  <si>
    <t xml:space="preserve">btd_RR_e</t>
  </si>
  <si>
    <t xml:space="preserve">2-Pyrone-4,6-dicarboxylate</t>
  </si>
  <si>
    <t xml:space="preserve">3-Dehydroshikimate</t>
  </si>
  <si>
    <t xml:space="preserve">3dhsk_c</t>
  </si>
  <si>
    <t xml:space="preserve">C7H7O5</t>
  </si>
  <si>
    <t xml:space="preserve">3,4-Dihydroxybenzoate (Protocatechuate)</t>
  </si>
  <si>
    <t xml:space="preserve">34dhbz_c</t>
  </si>
  <si>
    <t xml:space="preserve">C7H5O4</t>
  </si>
  <si>
    <t xml:space="preserve">Not in iJO1366 but exist in other BiGG models (many of the P. Putida models). Reported to have charge -1 in other models. Aka Protocatechuate.</t>
  </si>
  <si>
    <t xml:space="preserve">4-carboxy-2-hydroxy-muconate-6-semialdehyde</t>
  </si>
  <si>
    <t xml:space="preserve">4c2hm6sa_c</t>
  </si>
  <si>
    <t xml:space="preserve">C7H4O6</t>
  </si>
  <si>
    <t xml:space="preserve">Doesn’t appear to exist in the BiGG database. Thought it might be the same as 3-Carboxy-cis,cis-muconic acid (metID CCbuttc_c), but based on looking at the structures on PubMed, they appear to be different compounds. On PubMed it’s reported to have a charge of -2 (which makes sense with rxn that’s reported).</t>
  </si>
  <si>
    <t xml:space="preserve">2p46dc_c</t>
  </si>
  <si>
    <t xml:space="preserve">C7H2O6</t>
  </si>
  <si>
    <t xml:space="preserve">Doesn’t appear to exist in the BiGG database. H count in formula reflects charge.</t>
  </si>
  <si>
    <t xml:space="preserve">2p46dc_e</t>
  </si>
  <si>
    <t xml:space="preserve">2-hydroxy-2-(1-methylpropyl)butyrate (2-isopropylmalate + CH2)</t>
  </si>
  <si>
    <t xml:space="preserve">2h2mpb_c</t>
  </si>
  <si>
    <t xml:space="preserve">C8H12O5</t>
  </si>
  <si>
    <t xml:space="preserve">Based on Zhang (2008) paper, assuming compound is not in BiGG database.</t>
  </si>
  <si>
    <t xml:space="preserve">2-butan-2-yl but-2-enedioate (2-isopropylmaleate + CH2)</t>
  </si>
  <si>
    <t xml:space="preserve">2b2b_c</t>
  </si>
  <si>
    <t xml:space="preserve">C8H10O4</t>
  </si>
  <si>
    <t xml:space="preserve">2-butan-2-yl-3-hydroxybutyrate (3-isopropylmalate + CH2)</t>
  </si>
  <si>
    <t xml:space="preserve">2b3hb_c</t>
  </si>
  <si>
    <t xml:space="preserve">2-butan-2-yl-3-oxobutyrate (2-isopropyl-3-oxosuccinate + CH2)</t>
  </si>
  <si>
    <t xml:space="preserve">2b3ob_c</t>
  </si>
  <si>
    <t xml:space="preserve">C8H10O5</t>
  </si>
  <si>
    <t xml:space="preserve">4-Methyl-2-oxohexanoate (4-methyl-2-oxopentanoate + CH2)</t>
  </si>
  <si>
    <t xml:space="preserve">4m2oh_2</t>
  </si>
  <si>
    <t xml:space="preserve">C7H11O3</t>
  </si>
  <si>
    <t xml:space="preserve">Based on Zhang (2008) paper, assuming compound is not in BiGG database. Aka 2-keto-methylhexanoate.</t>
  </si>
  <si>
    <t xml:space="preserve">3-Methylpentanal</t>
  </si>
  <si>
    <t xml:space="preserve">3mpal_c</t>
  </si>
  <si>
    <t xml:space="preserve">C6H12O</t>
  </si>
  <si>
    <t xml:space="preserve">Not in iJO1366 and doesn’t appear to exist in any other BiGG model either.</t>
  </si>
  <si>
    <t xml:space="preserve">3mptoh_c</t>
  </si>
  <si>
    <t xml:space="preserve">C6H14O</t>
  </si>
  <si>
    <t xml:space="preserve">3mptoh_e</t>
  </si>
  <si>
    <t xml:space="preserve">skm_c</t>
  </si>
  <si>
    <t xml:space="preserve">C7H9O5</t>
  </si>
  <si>
    <t xml:space="preserve">Shikimate 5-phosphate</t>
  </si>
  <si>
    <t xml:space="preserve">skm5p_c</t>
  </si>
  <si>
    <t xml:space="preserve">C7H8O8P</t>
  </si>
  <si>
    <t xml:space="preserve">Phosphoenolpyruvate</t>
  </si>
  <si>
    <t xml:space="preserve">pep_c</t>
  </si>
  <si>
    <t xml:space="preserve">C3H2O6P</t>
  </si>
  <si>
    <t xml:space="preserve">5-O-(1-Carboxyvinyl)-3-phosphoshikimate</t>
  </si>
  <si>
    <t xml:space="preserve">3psme_c</t>
  </si>
  <si>
    <t xml:space="preserve">C10H9O10P</t>
  </si>
  <si>
    <t xml:space="preserve">Chorismate</t>
  </si>
  <si>
    <t xml:space="preserve">chor_c</t>
  </si>
  <si>
    <t xml:space="preserve">C10H8O6</t>
  </si>
  <si>
    <t xml:space="preserve">Prephenate</t>
  </si>
  <si>
    <t xml:space="preserve">pphn_c</t>
  </si>
  <si>
    <t xml:space="preserve">3-(4-Hydroxyphenyl)pyruvate</t>
  </si>
  <si>
    <t xml:space="preserve">34hpp_c</t>
  </si>
  <si>
    <t xml:space="preserve">C9H7O4</t>
  </si>
  <si>
    <t xml:space="preserve">L-Glutamate</t>
  </si>
  <si>
    <t xml:space="preserve"> 2-Oxoglutarate (alpha-ketoglutarate)</t>
  </si>
  <si>
    <t xml:space="preserve">Aka alpha-ketoglutarate</t>
  </si>
  <si>
    <t xml:space="preserve">L-Tyrosine</t>
  </si>
  <si>
    <t xml:space="preserve">tyr__L_c</t>
  </si>
  <si>
    <t xml:space="preserve">C9H11NO3</t>
  </si>
  <si>
    <t xml:space="preserve">Trans 4-Hydroxycinnamate (p-coumaric acid)</t>
  </si>
  <si>
    <t xml:space="preserve">T4hcinnm_c</t>
  </si>
  <si>
    <t xml:space="preserve">C9H7O3</t>
  </si>
  <si>
    <t xml:space="preserve">Deprotonated form of p-coumaric acid, but not the same as p-coumarate (which has hydroxy group deprotonated) vs hydroxycinnimate has carboxylic acid group deprotonated. Not in iJO1366 model but does exist in other BiGG models.</t>
  </si>
  <si>
    <t xml:space="preserve">4hxst_c</t>
  </si>
  <si>
    <t xml:space="preserve">C8H8O</t>
  </si>
  <si>
    <t xml:space="preserve">Aka 4-Vinylphenol</t>
  </si>
  <si>
    <t xml:space="preserve">4hxst_e</t>
  </si>
  <si>
    <t xml:space="preserve">5-Aminopentanoate</t>
  </si>
  <si>
    <t xml:space="preserve">L-Lysine</t>
  </si>
  <si>
    <t xml:space="preserve">lys__L_c</t>
  </si>
  <si>
    <t xml:space="preserve">C6H15N2O2</t>
  </si>
  <si>
    <t xml:space="preserve">5-Aminopentanamide</t>
  </si>
  <si>
    <t xml:space="preserve">5apentam_c</t>
  </si>
  <si>
    <t xml:space="preserve">C5H12N2O</t>
  </si>
  <si>
    <t xml:space="preserve">Not in iJO1366.</t>
  </si>
  <si>
    <t xml:space="preserve">5aptn_c</t>
  </si>
  <si>
    <t xml:space="preserve">C5H11NO2</t>
  </si>
  <si>
    <t xml:space="preserve">Not in iJO1366 but exists in other BiGG models, including other E.coli models. Aka 5-aminovalerate. Both the acid and conjugate base have the same formula and charge 0 ( the base has a +1 charge on amino group and -1 charge on the carboxylate group, giving charge of 0 overall, and same number of hydrogens in both cases). The conjugate base should exist at pH ~7.</t>
  </si>
  <si>
    <t xml:space="preserve">5aptn_e</t>
  </si>
  <si>
    <t xml:space="preserve">Acetoacetate</t>
  </si>
  <si>
    <t xml:space="preserve">acac_c</t>
  </si>
  <si>
    <t xml:space="preserve">acetone_c</t>
  </si>
  <si>
    <t xml:space="preserve">Not in iJO1366, but exists in other BiGG models.</t>
  </si>
  <si>
    <t xml:space="preserve">acetone_e</t>
  </si>
  <si>
    <t xml:space="preserve">Not in iJO1366, but exists in other BiGG models including other E.coli models. Aka Reuterin, also present in the 1,3-propanediol pathway.</t>
  </si>
  <si>
    <t xml:space="preserve">3-Hydroxypropanoate</t>
  </si>
  <si>
    <t xml:space="preserve">3hpp_c</t>
  </si>
  <si>
    <t xml:space="preserve">C3H5O3</t>
  </si>
  <si>
    <t xml:space="preserve">Aka 3-Hydroxypropionate</t>
  </si>
  <si>
    <t xml:space="preserve">3-Hydroxypropionyl-CoA</t>
  </si>
  <si>
    <t xml:space="preserve">3hpcoa_c</t>
  </si>
  <si>
    <t xml:space="preserve">C24H36N7O18P3S</t>
  </si>
  <si>
    <t xml:space="preserve">Not in iJO1366 but does exist in other BiGG models. Aka 3-Hydroxypropanoyl-CoA.</t>
  </si>
  <si>
    <t xml:space="preserve">Acrylyl-CoA</t>
  </si>
  <si>
    <t xml:space="preserve">pp2coa_c</t>
  </si>
  <si>
    <t xml:space="preserve">C24H34N7O17P3S</t>
  </si>
  <si>
    <t xml:space="preserve">Not in iJO1366 but exists in another BiGG model. H=34 assumes -4 charge.</t>
  </si>
  <si>
    <t xml:space="preserve">Acrylate</t>
  </si>
  <si>
    <t xml:space="preserve">acryl_c</t>
  </si>
  <si>
    <t xml:space="preserve">C3H3O2</t>
  </si>
  <si>
    <t xml:space="preserve">Not in iJO1366, but acrylic acid exists in a few other BiGG models, either in its protonated or deprotonated form. In all instances, the charge is not indicated or is 0, and it only partakes in one reaction in any model in which it exists. Acrylic acid has a pKa of ~4 meaning it will likely be deprotonated and charged (-1) at cellular conditions. Used same metabolite ID for consistency with BiGG database.</t>
  </si>
  <si>
    <t xml:space="preserve">acryl_e</t>
  </si>
  <si>
    <t xml:space="preserve">Not in iJO1366 or any other BiGG models. See notes for acryl_c.</t>
  </si>
  <si>
    <t xml:space="preserve">D-Lactate</t>
  </si>
  <si>
    <t xml:space="preserve">lac__D_c</t>
  </si>
  <si>
    <t xml:space="preserve">D-lactate same as R-lactate</t>
  </si>
  <si>
    <t xml:space="preserve">Propionate</t>
  </si>
  <si>
    <t xml:space="preserve">ppa_c</t>
  </si>
  <si>
    <t xml:space="preserve">C3H5O2</t>
  </si>
  <si>
    <t xml:space="preserve">Aka propanoate, but propionate is name in iJO1366 model</t>
  </si>
  <si>
    <t xml:space="preserve">Lactoyl-CoA</t>
  </si>
  <si>
    <t xml:space="preserve">laccoa_c</t>
  </si>
  <si>
    <t xml:space="preserve">Not in iJO1366, but exists in other BiGG models. Charge of -4 reported in other models.</t>
  </si>
  <si>
    <t xml:space="preserve">Not in iJO1366 or any other BiGG models. Acrylic acid exists in other BiGG models, including some other E.coli models, but it has a pKa ofr ~4 meaning it will likely be deprotonated and charged at cellular conditions.</t>
  </si>
  <si>
    <t xml:space="preserve">Not in iJO1366. Exists in other BiGG models though, as 3,4-Dihydroxybenzoate. Need to change ID from prcc_c as austin had set it before...</t>
  </si>
  <si>
    <t xml:space="preserve">catechol_c</t>
  </si>
  <si>
    <t xml:space="preserve">C6H6O2</t>
  </si>
  <si>
    <t xml:space="preserve">Not in iJO1366. Exists in other BiGG models under same metID as shown. Aka 1,2-dihydroxybenzene or 1,2-benzenediol.</t>
  </si>
  <si>
    <t xml:space="preserve">Muconate</t>
  </si>
  <si>
    <t xml:space="preserve">ccmuac_c</t>
  </si>
  <si>
    <t xml:space="preserve">C6H4O4</t>
  </si>
  <si>
    <t xml:space="preserve">Not in iJO1366. Exists in other BiGG models under same metID as shown.</t>
  </si>
  <si>
    <t xml:space="preserve">adpac_c</t>
  </si>
  <si>
    <t xml:space="preserve">C6H8O4</t>
  </si>
  <si>
    <t xml:space="preserve">Not in iJO1366, aka adipic acid. Does exist in other BiGG models but only mammal ones  (Homo sapiens and Cricetulus griseus). Reported as -2 in model, adipic acid carboxylate pKas reported as 4.1 and 5.4, meaning both will be deprotonated at pH ~7.</t>
  </si>
  <si>
    <t xml:space="preserve">adpac_e</t>
  </si>
  <si>
    <t xml:space="preserve">Benzoate PW1</t>
  </si>
  <si>
    <t xml:space="preserve">L-phenylalinine</t>
  </si>
  <si>
    <t xml:space="preserve">phe__L_c</t>
  </si>
  <si>
    <t xml:space="preserve">C9H11NO2</t>
  </si>
  <si>
    <t xml:space="preserve">Trans-Cinnamate</t>
  </si>
  <si>
    <t xml:space="preserve">cinnm_c</t>
  </si>
  <si>
    <t xml:space="preserve">C9H7O2</t>
  </si>
  <si>
    <t xml:space="preserve">3-Hydroxy-3-phenylpropanoate</t>
  </si>
  <si>
    <t xml:space="preserve">3h3pp_c</t>
  </si>
  <si>
    <t xml:space="preserve">C9H9O3</t>
  </si>
  <si>
    <t xml:space="preserve">Not in iJO1366 and doesn’t appear to exist in any other BiGG model either. NOT the same thing as 3hpppn_c in iJO1366 model.</t>
  </si>
  <si>
    <t xml:space="preserve">Benzaldehyde</t>
  </si>
  <si>
    <t xml:space="preserve">bzal_c</t>
  </si>
  <si>
    <t xml:space="preserve">C7H6O</t>
  </si>
  <si>
    <t xml:space="preserve">Not in iJO1366.  Exists in other BiGG models though.</t>
  </si>
  <si>
    <t xml:space="preserve">Benzoate</t>
  </si>
  <si>
    <t xml:space="preserve">bz_c</t>
  </si>
  <si>
    <t xml:space="preserve">C7H5O2</t>
  </si>
  <si>
    <t xml:space="preserve">Not in iJO1366, but exists in other BiGG models including other E.coli models. Should have a charge of -1, though not all instances in the BiGG models have a -1 charge assigned (but some do).</t>
  </si>
  <si>
    <t xml:space="preserve">bz_e</t>
  </si>
  <si>
    <t xml:space="preserve">Benzoate PW2</t>
  </si>
  <si>
    <t xml:space="preserve">Cinnamoyl-CoA</t>
  </si>
  <si>
    <t xml:space="preserve">cinmcoa_c</t>
  </si>
  <si>
    <t xml:space="preserve">C30H38N7O17P3S</t>
  </si>
  <si>
    <t xml:space="preserve">Not in iJO1366 but does exist in one other BiGG model for Pseudomonas putida.</t>
  </si>
  <si>
    <t xml:space="preserve">3-Hydroxy-3-phenylpropionyl-CoA</t>
  </si>
  <si>
    <t xml:space="preserve">hppcoa_c</t>
  </si>
  <si>
    <t xml:space="preserve">C30H40N7O18P3S</t>
  </si>
  <si>
    <t xml:space="preserve">Not in iJO1366 and doesn’t appear to exist in any other BiGG model either. It is similar to phppcoa_c in a Pseudomonas putida model, but I don’t think it’s a slightly different compound.</t>
  </si>
  <si>
    <t xml:space="preserve">3-Oxo-3-phenylpropionyl-CoA</t>
  </si>
  <si>
    <t xml:space="preserve">oppcoa_c</t>
  </si>
  <si>
    <t xml:space="preserve">C30H38N7O18P3S</t>
  </si>
  <si>
    <t xml:space="preserve">Not in iJO1366 and doesn’t appear to exist in any other BiGG model either. Aka benzoylacetyl-coA.</t>
  </si>
  <si>
    <t xml:space="preserve">Benzoyl-CoA</t>
  </si>
  <si>
    <t xml:space="preserve">benzcoa_c</t>
  </si>
  <si>
    <t xml:space="preserve">C28H36N7O17P3S</t>
  </si>
  <si>
    <t xml:space="preserve">Not in iJO1366, but exists in BiGG model iAF987 for Geobacter metallireducens.</t>
  </si>
  <si>
    <t xml:space="preserve">Phenylpyruvate</t>
  </si>
  <si>
    <t xml:space="preserve">phpyr_c</t>
  </si>
  <si>
    <t xml:space="preserve">(S)-Mandelate</t>
  </si>
  <si>
    <t xml:space="preserve">mand_c</t>
  </si>
  <si>
    <t xml:space="preserve">C8H7O3</t>
  </si>
  <si>
    <t xml:space="preserve">Phenylglyoxylate</t>
  </si>
  <si>
    <t xml:space="preserve">phglx_c</t>
  </si>
  <si>
    <t xml:space="preserve">C8H5O3</t>
  </si>
  <si>
    <t xml:space="preserve">Aka Benzoylformate. Not in iJO1366 and doesn’t appear to exist in any other BiGG model either.</t>
  </si>
  <si>
    <t xml:space="preserve">bzalc_c</t>
  </si>
  <si>
    <t xml:space="preserve">C7H8O</t>
  </si>
  <si>
    <t xml:space="preserve">bzalc_e</t>
  </si>
  <si>
    <t xml:space="preserve">Beta-Carotene</t>
  </si>
  <si>
    <t xml:space="preserve">3-Hydroxy-3-methylglutaryl-CoA</t>
  </si>
  <si>
    <t xml:space="preserve">hmgcoa_c</t>
  </si>
  <si>
    <t xml:space="preserve">C27H39N7O20P3S</t>
  </si>
  <si>
    <t xml:space="preserve">Not in iJO1366. Aka 3,5-Dihydroxy-3-methylpentanoate. Exists in other BiGG models.</t>
  </si>
  <si>
    <t xml:space="preserve">R Mevalonate</t>
  </si>
  <si>
    <t xml:space="preserve">mev__R_c</t>
  </si>
  <si>
    <t xml:space="preserve">C6H11O4</t>
  </si>
  <si>
    <t xml:space="preserve">Not in iJO1366. Exists in other BiGG models, appears to have charge of -1. Looks like (R)-Mevalonate is made specifically. Replaced ID Austin has used with the one indicated here.</t>
  </si>
  <si>
    <t xml:space="preserve">5-Phosphomevalonate</t>
  </si>
  <si>
    <t xml:space="preserve">5pmev_c</t>
  </si>
  <si>
    <t xml:space="preserve">C6H10O7P</t>
  </si>
  <si>
    <t xml:space="preserve">Not in iJO1366. Exists in other BiGG models, appears to have charge of -3.</t>
  </si>
  <si>
    <t xml:space="preserve">R 5 Diphosphomevalonate</t>
  </si>
  <si>
    <t xml:space="preserve">5dpmev_c</t>
  </si>
  <si>
    <t xml:space="preserve">C6H10O10P2</t>
  </si>
  <si>
    <t xml:space="preserve">Not in iJO1366.  Exists in other BiGG models, appears to have charge of -4.</t>
  </si>
  <si>
    <t xml:space="preserve">Isopentenyl diphosphate</t>
  </si>
  <si>
    <t xml:space="preserve">ipdp_c</t>
  </si>
  <si>
    <t xml:space="preserve">C5H9O7P2</t>
  </si>
  <si>
    <t xml:space="preserve">Dimethylallyl diphosphate</t>
  </si>
  <si>
    <t xml:space="preserve">dmpp_c</t>
  </si>
  <si>
    <t xml:space="preserve">Geranyl disphosphate</t>
  </si>
  <si>
    <t xml:space="preserve">grdp_c</t>
  </si>
  <si>
    <t xml:space="preserve">C10H17O7P2</t>
  </si>
  <si>
    <t xml:space="preserve">Aka geranyl pyrophosphate</t>
  </si>
  <si>
    <t xml:space="preserve">Farnesyl diphosphate</t>
  </si>
  <si>
    <t xml:space="preserve">frdp_c</t>
  </si>
  <si>
    <t xml:space="preserve">C15H25O7P2</t>
  </si>
  <si>
    <t xml:space="preserve">Geranylgeranyl diphosphate</t>
  </si>
  <si>
    <t xml:space="preserve">ggdp_c</t>
  </si>
  <si>
    <t xml:space="preserve">C20H33O7P2</t>
  </si>
  <si>
    <t xml:space="preserve">15-cis-phytoene</t>
  </si>
  <si>
    <t xml:space="preserve">phytoe_c</t>
  </si>
  <si>
    <t xml:space="preserve">C40H64</t>
  </si>
  <si>
    <t xml:space="preserve">Not in iJO1366. Doesn’t exist in other BiGG models either, but all-trans-phytoene does exist in some models, which is next metabolite in pathway (but part of multistep reaction so not listed here, see reaction notes for rxnID PDSlyc). All-trans phytoene exists under two different IDs in BiGG database: phyto and phytoe. Both report same formula and charge.</t>
  </si>
  <si>
    <t xml:space="preserve">Lycopene</t>
  </si>
  <si>
    <t xml:space="preserve">lycop_c</t>
  </si>
  <si>
    <t xml:space="preserve">C40H56</t>
  </si>
  <si>
    <t xml:space="preserve">Gamma-Carotene</t>
  </si>
  <si>
    <t xml:space="preserve">gcarote_c</t>
  </si>
  <si>
    <t xml:space="preserve">caro_c</t>
  </si>
  <si>
    <t xml:space="preserve">caro_e</t>
  </si>
  <si>
    <t xml:space="preserve">(S)-Methylmalonyl-CoA</t>
  </si>
  <si>
    <t xml:space="preserve">mmcoa__S_c</t>
  </si>
  <si>
    <t xml:space="preserve">Propanoyl-CoA (Propionyl-CoA)</t>
  </si>
  <si>
    <t xml:space="preserve">ppcoa_c</t>
  </si>
  <si>
    <t xml:space="preserve">C24H36N7O17P3S</t>
  </si>
  <si>
    <t xml:space="preserve">Aka Propionyl-CoA</t>
  </si>
  <si>
    <t xml:space="preserve"> 3-oxopentanoyl-CoA</t>
  </si>
  <si>
    <t xml:space="preserve">3oxptcoa_c</t>
  </si>
  <si>
    <t xml:space="preserve">C26H38N7O18P3S</t>
  </si>
  <si>
    <t xml:space="preserve">Not in iJO1366 but does exist other BiGG models.</t>
  </si>
  <si>
    <t xml:space="preserve">3-Hydroxypentoyl-CoA</t>
  </si>
  <si>
    <t xml:space="preserve">3hptcoa_c</t>
  </si>
  <si>
    <t xml:space="preserve">C26H40N7O18P3S</t>
  </si>
  <si>
    <t xml:space="preserve">Trans-pent-2-enoyl-CoA</t>
  </si>
  <si>
    <t xml:space="preserve">pt2coa_c</t>
  </si>
  <si>
    <t xml:space="preserve">C26H38N7O17P3S</t>
  </si>
  <si>
    <t xml:space="preserve">Pentanoyl-CoA</t>
  </si>
  <si>
    <t xml:space="preserve">ptcoa_c</t>
  </si>
  <si>
    <t xml:space="preserve">C26H40N7O17P3S</t>
  </si>
  <si>
    <t xml:space="preserve">Pentanoate (valerate)</t>
  </si>
  <si>
    <t xml:space="preserve">pta_p</t>
  </si>
  <si>
    <t xml:space="preserve">C5H9O2</t>
  </si>
  <si>
    <t xml:space="preserve">Pentanal</t>
  </si>
  <si>
    <t xml:space="preserve">ptal_c</t>
  </si>
  <si>
    <t xml:space="preserve">Formate</t>
  </si>
  <si>
    <t xml:space="preserve">for_c</t>
  </si>
  <si>
    <t xml:space="preserve">CHO2</t>
  </si>
  <si>
    <t xml:space="preserve">butn_c</t>
  </si>
  <si>
    <t xml:space="preserve">C4H10</t>
  </si>
  <si>
    <t xml:space="preserve">Not in iJO1366 or any other BiGG models. but_c already taken as ID for butyrate. Using butn_c instead (not yet assigned in BiGG database).</t>
  </si>
  <si>
    <t xml:space="preserve">butn_e</t>
  </si>
  <si>
    <t xml:space="preserve">Butanol PW1</t>
  </si>
  <si>
    <t xml:space="preserve">(S)-3-Hydroxybutanoyl-CoA</t>
  </si>
  <si>
    <t xml:space="preserve">3hbcoa_c</t>
  </si>
  <si>
    <t xml:space="preserve">Crotonoyl-CoA</t>
  </si>
  <si>
    <t xml:space="preserve">b2coa_c</t>
  </si>
  <si>
    <t xml:space="preserve">C25H36N7O17P3S</t>
  </si>
  <si>
    <t xml:space="preserve">Butanoyl-CoA</t>
  </si>
  <si>
    <t xml:space="preserve">btcoa_c</t>
  </si>
  <si>
    <t xml:space="preserve">C25H38N7O17P3S</t>
  </si>
  <si>
    <t xml:space="preserve">Butanal</t>
  </si>
  <si>
    <t xml:space="preserve">btal_c</t>
  </si>
  <si>
    <t xml:space="preserve">C4H8O</t>
  </si>
  <si>
    <t xml:space="preserve">Butanol</t>
  </si>
  <si>
    <t xml:space="preserve">btoh_c</t>
  </si>
  <si>
    <t xml:space="preserve">C4H10O</t>
  </si>
  <si>
    <t xml:space="preserve">Not in iJO1366 but exists in other BiGG models, including Clostridium ljundahli (iHN637) and Geobacter metallireducens (iAF987).</t>
  </si>
  <si>
    <t xml:space="preserve">btoh_e</t>
  </si>
  <si>
    <t xml:space="preserve">Butanol PW2</t>
  </si>
  <si>
    <t xml:space="preserve">2-Ethylmalate</t>
  </si>
  <si>
    <t xml:space="preserve">2em_c</t>
  </si>
  <si>
    <t xml:space="preserve">C6H8O5</t>
  </si>
  <si>
    <t xml:space="preserve">3-Ethylmalate</t>
  </si>
  <si>
    <t xml:space="preserve">3em_c</t>
  </si>
  <si>
    <t xml:space="preserve">2-Oxopentanoate</t>
  </si>
  <si>
    <t xml:space="preserve">2opent_c</t>
  </si>
  <si>
    <t xml:space="preserve">C5H7O3</t>
  </si>
  <si>
    <t xml:space="preserve">Not in BiGG database. Aka 2-Ketovalerate.</t>
  </si>
  <si>
    <t xml:space="preserve">Butyrate (n-C4:0)</t>
  </si>
  <si>
    <t xml:space="preserve">but_c</t>
  </si>
  <si>
    <t xml:space="preserve">C4H7O2</t>
  </si>
  <si>
    <t xml:space="preserve">but_e</t>
  </si>
  <si>
    <t xml:space="preserve">catechol_e</t>
  </si>
  <si>
    <t xml:space="preserve">Cis-cis Muconate</t>
  </si>
  <si>
    <t xml:space="preserve">ccmuac_e</t>
  </si>
  <si>
    <t xml:space="preserve">Not in iJO1366 or an other BiGG model.</t>
  </si>
  <si>
    <t xml:space="preserve">Coumaric Acid</t>
  </si>
  <si>
    <t xml:space="preserve">Deprotonated form of p-coumaric acid, but not the same as p-coumarate (which has hydroxy group deprotonated) vs hydroxycinnimate has carboxylic acid group deprotonated.</t>
  </si>
  <si>
    <t xml:space="preserve">T4hcinnm_e</t>
  </si>
  <si>
    <t xml:space="preserve">Ethyl Acetate</t>
  </si>
  <si>
    <t xml:space="preserve">Ethanol</t>
  </si>
  <si>
    <t xml:space="preserve">etoh_c</t>
  </si>
  <si>
    <t xml:space="preserve">C2H6O</t>
  </si>
  <si>
    <t xml:space="preserve">Acetic ester (Ethyl acetate)</t>
  </si>
  <si>
    <t xml:space="preserve">aces_c</t>
  </si>
  <si>
    <t xml:space="preserve">Not in iJO1366 but does exist in the S. cerevisiae model iMM904. Ethyl acetate is aka acetic ester (the latter is used in the BiGG database).</t>
  </si>
  <si>
    <t xml:space="preserve">aces_e</t>
  </si>
  <si>
    <t xml:space="preserve">Farnesene</t>
  </si>
  <si>
    <t xml:space="preserve">frene_c</t>
  </si>
  <si>
    <t xml:space="preserve">C15H24</t>
  </si>
  <si>
    <t xml:space="preserve">Not in iJO1366, or in any other BiGG models.</t>
  </si>
  <si>
    <t xml:space="preserve">frene_e</t>
  </si>
  <si>
    <t xml:space="preserve">Aka 4-hydroxybutyrate. Note that 4-hydroxybutyrate also exists in the BiGG database under metabolite ID h4but_c  but only in the Clostridiodes difficile iCN900 model.</t>
  </si>
  <si>
    <t xml:space="preserve">gblt_c</t>
  </si>
  <si>
    <t xml:space="preserve">C4H6O2</t>
  </si>
  <si>
    <t xml:space="preserve">gblt_e</t>
  </si>
  <si>
    <t xml:space="preserve">Not in iJO1366 but exists in a couple of the P. Putida models.</t>
  </si>
  <si>
    <t xml:space="preserve">Not in iJO1366 but exists in other BiGG models, including other E.coli models. Aka 5-aminovaleric acid.</t>
  </si>
  <si>
    <t xml:space="preserve">5-Oxopentanoate (Glutarate semialdehyde)</t>
  </si>
  <si>
    <t xml:space="preserve">oxptn_c</t>
  </si>
  <si>
    <t xml:space="preserve">Not in iJO1366 but exists in other BiGG models, including other E.coli models. In E.coli models it seems to be reported to have a 0 charge, but in the Putida iJN1463 model it has a charge of -1, and based on its pKa, I believe it would be deprotonated. And the chemical formula suggests it is deprotonated too.</t>
  </si>
  <si>
    <t xml:space="preserve">glutar_c</t>
  </si>
  <si>
    <t xml:space="preserve">C5H6O4</t>
  </si>
  <si>
    <t xml:space="preserve">Not in iJO1366 but exists in other BiGG models, including other E.coli models. Reported in P. Putida iJ1463 model as charge -2. pka is ~3.8, so it should be deprotonated at near-neutral pH.</t>
  </si>
  <si>
    <t xml:space="preserve">glutar_e</t>
  </si>
  <si>
    <t xml:space="preserve">Crotonoyl-CoA (Trans-2-butenoyl-CoA)</t>
  </si>
  <si>
    <t xml:space="preserve">3-oxohexanoyl-CoA</t>
  </si>
  <si>
    <t xml:space="preserve">3ohcoa_c</t>
  </si>
  <si>
    <t xml:space="preserve">C27H40N7O18P3S</t>
  </si>
  <si>
    <t xml:space="preserve">(S)-3-Hydroxyhexanoyl-CoA</t>
  </si>
  <si>
    <t xml:space="preserve">3hhcoa_c</t>
  </si>
  <si>
    <t xml:space="preserve">C27H42N7O18P3S</t>
  </si>
  <si>
    <t xml:space="preserve">Trans-Hex-2-enoyl-CoA</t>
  </si>
  <si>
    <t xml:space="preserve">hx2coa_c</t>
  </si>
  <si>
    <t xml:space="preserve">C27H40N7O17P3S</t>
  </si>
  <si>
    <t xml:space="preserve">Hexanoyl-CoA (n-C6:0CoA)</t>
  </si>
  <si>
    <t xml:space="preserve">hxcoa_c</t>
  </si>
  <si>
    <t xml:space="preserve">C27H42N7O17P3S</t>
  </si>
  <si>
    <t xml:space="preserve">3-Oxooctanoyl-CoA</t>
  </si>
  <si>
    <t xml:space="preserve">3oocoa_c</t>
  </si>
  <si>
    <t xml:space="preserve">C29H44N7O18P3S</t>
  </si>
  <si>
    <t xml:space="preserve">(S)-3-Hydroxyoctanoyl-CoA</t>
  </si>
  <si>
    <t xml:space="preserve">3hocoa_c</t>
  </si>
  <si>
    <t xml:space="preserve">C29H46N7O18P3S</t>
  </si>
  <si>
    <t xml:space="preserve">Trans-Oct-2-enoyl-CoA</t>
  </si>
  <si>
    <t xml:space="preserve">oc2coa_c</t>
  </si>
  <si>
    <t xml:space="preserve">C29H44N7O17P3S</t>
  </si>
  <si>
    <t xml:space="preserve">Octanoyl-CoA (n-C8:0CoA)</t>
  </si>
  <si>
    <t xml:space="preserve">occoa_c</t>
  </si>
  <si>
    <t xml:space="preserve">C29H46N7O17P3S</t>
  </si>
  <si>
    <t xml:space="preserve">Octanoate</t>
  </si>
  <si>
    <t xml:space="preserve">octa_c</t>
  </si>
  <si>
    <t xml:space="preserve">C8H15O2</t>
  </si>
  <si>
    <t xml:space="preserve">Octanal</t>
  </si>
  <si>
    <t xml:space="preserve">octal_c</t>
  </si>
  <si>
    <t xml:space="preserve">C8H16O</t>
  </si>
  <si>
    <t xml:space="preserve">Only exists in the BAcillus subtilis iYO844 model.</t>
  </si>
  <si>
    <t xml:space="preserve">hept_c</t>
  </si>
  <si>
    <t xml:space="preserve">C7H16</t>
  </si>
  <si>
    <t xml:space="preserve">hept_e</t>
  </si>
  <si>
    <t xml:space="preserve">3-oxoheptanoyl-CoA</t>
  </si>
  <si>
    <t xml:space="preserve">3ohpcoa_c</t>
  </si>
  <si>
    <t xml:space="preserve">C28H42N7O18P3S</t>
  </si>
  <si>
    <t xml:space="preserve">Not in IJO1366, but does exist in P. Putida model iJN1463</t>
  </si>
  <si>
    <t xml:space="preserve">3-hydroxyheptanoyl-CoA</t>
  </si>
  <si>
    <t xml:space="preserve">3hhpcoa_c</t>
  </si>
  <si>
    <t xml:space="preserve">C28H44N7O18P3S</t>
  </si>
  <si>
    <t xml:space="preserve">Trans-hep-2-enoyl-CoA</t>
  </si>
  <si>
    <t xml:space="preserve">hp2coa_c</t>
  </si>
  <si>
    <t xml:space="preserve">C28H42N7O17P3S</t>
  </si>
  <si>
    <t xml:space="preserve">Not in IJO1366, but does exist in P. Putida model iJN1463 under same metabolite ID but name Hep 2 enoyl CoA.</t>
  </si>
  <si>
    <t xml:space="preserve">Heptanoyl-CoA</t>
  </si>
  <si>
    <t xml:space="preserve">hptcoa_c</t>
  </si>
  <si>
    <t xml:space="preserve">C28H44N7O17P3S</t>
  </si>
  <si>
    <t xml:space="preserve">Heptanoate</t>
  </si>
  <si>
    <t xml:space="preserve">hpta_c</t>
  </si>
  <si>
    <t xml:space="preserve">C7H13O2</t>
  </si>
  <si>
    <t xml:space="preserve">Heptanal</t>
  </si>
  <si>
    <t xml:space="preserve">hptal_c</t>
  </si>
  <si>
    <t xml:space="preserve">C7H14O</t>
  </si>
  <si>
    <t xml:space="preserve">Not in iJO1366 but exists in Phaeodactylum triconutum model iLB1027_lipid.</t>
  </si>
  <si>
    <t xml:space="preserve">hex_c</t>
  </si>
  <si>
    <t xml:space="preserve">C6H14</t>
  </si>
  <si>
    <t xml:space="preserve">hex_e</t>
  </si>
  <si>
    <t xml:space="preserve">Aka 2-hydroxy-3-methyl butanoate</t>
  </si>
  <si>
    <t xml:space="preserve">(R)-2,3-Dihydroxy-3-methylbutanoate</t>
  </si>
  <si>
    <t xml:space="preserve">23dhmb_c</t>
  </si>
  <si>
    <t xml:space="preserve">C5H9O4</t>
  </si>
  <si>
    <t xml:space="preserve">Aka 2,3-dihydroxy-isovalerate</t>
  </si>
  <si>
    <t xml:space="preserve">3-Methyl-2-oxobutanoate</t>
  </si>
  <si>
    <t xml:space="preserve">3mob_c</t>
  </si>
  <si>
    <t xml:space="preserve">Aka 2-Ketoisovalerate</t>
  </si>
  <si>
    <t xml:space="preserve">2-methylpropanal</t>
  </si>
  <si>
    <t xml:space="preserve">2mppal_c</t>
  </si>
  <si>
    <t xml:space="preserve">Not in iJO1366 but exists in the S. cerevisiae model iMM904. Aka Isobutyraldehyde.</t>
  </si>
  <si>
    <t xml:space="preserve">ibutoh_c</t>
  </si>
  <si>
    <t xml:space="preserve">Not in iJO1366 but exists in the S. cerevisiae model iMM904 ALSO exists in the Clostridioides difficile iCN900 model under metID ibtol_c/ibtol_e. Aka isobutyl alcohol.</t>
  </si>
  <si>
    <t xml:space="preserve">ibutoh_e</t>
  </si>
  <si>
    <t xml:space="preserve">Not in iJO1366 but exists in the S. cerevisiae model iMM904. ALSO exists in the Clostridioides difficile iCN900 model under metID ibtol_c/ibtol_e. Aka isobutyl alcohol.</t>
  </si>
  <si>
    <t xml:space="preserve">Ferredoxin (oxidized) 2[Fe-4S]</t>
  </si>
  <si>
    <t xml:space="preserve">fdox_c</t>
  </si>
  <si>
    <t xml:space="preserve">Fe8S8X</t>
  </si>
  <si>
    <t xml:space="preserve">Not in iJO1366 but does exist in one other BiGG models, reported in other models with charge 0. For VOR reaction to be balanced (and other reactions ferredoxin is involved in), it must have formula Fe8S8X and it requires charge 0.</t>
  </si>
  <si>
    <t xml:space="preserve">Ferredoxin (reduced) 2[Fe-4S]</t>
  </si>
  <si>
    <t xml:space="preserve">fdred_c</t>
  </si>
  <si>
    <t xml:space="preserve">Not in iJO1366 but does exist in one other BiGG models, reported in other models with charge 0. Some models have formula as Fe8S8H2X, but for VOR reaction to be balanced (and other reactions ferredoxin is involved in), it must have formula Fe8S8X and it requires charge -1.</t>
  </si>
  <si>
    <t xml:space="preserve">Isobutyryl-CoA</t>
  </si>
  <si>
    <t xml:space="preserve">ibcoa_c</t>
  </si>
  <si>
    <t xml:space="preserve">Not in iJO1366 but does exist in one other BiGG models, reported in other models with charge -4.</t>
  </si>
  <si>
    <t xml:space="preserve">ibt_c</t>
  </si>
  <si>
    <t xml:space="preserve">Not in iJO1366 model, but exists as a compound in the Geobacter metallireducens model (iAF987), although only in the periplasm and extra-cellularlly. Aka 2-methylpropanoate.</t>
  </si>
  <si>
    <t xml:space="preserve">ibt_e</t>
  </si>
  <si>
    <t xml:space="preserve">Isoprene</t>
  </si>
  <si>
    <t xml:space="preserve">iprene_c</t>
  </si>
  <si>
    <t xml:space="preserve">C5H8</t>
  </si>
  <si>
    <t xml:space="preserve">iprene_e</t>
  </si>
  <si>
    <t xml:space="preserve">2-Propanol (Isopropanol)</t>
  </si>
  <si>
    <t xml:space="preserve">2ppoh_c</t>
  </si>
  <si>
    <t xml:space="preserve">Not in iJO1366 but exists in the Methanosarcina barkeri BiGG model (iAF692). Aka 2-propanol, isopropyl alcohol</t>
  </si>
  <si>
    <t xml:space="preserve">2ppoh_e</t>
  </si>
  <si>
    <t xml:space="preserve">Not in iJO1366 or any other BiGG model. Aka 2-propanol, isopropyl alcohol</t>
  </si>
  <si>
    <t xml:space="preserve">Oxaloacetate</t>
  </si>
  <si>
    <t xml:space="preserve">oaa_c</t>
  </si>
  <si>
    <t xml:space="preserve">C4H2O5</t>
  </si>
  <si>
    <t xml:space="preserve">cit_c</t>
  </si>
  <si>
    <t xml:space="preserve">C6H5O7</t>
  </si>
  <si>
    <t xml:space="preserve">Cis-Aconitate</t>
  </si>
  <si>
    <t xml:space="preserve">acon_C_c</t>
  </si>
  <si>
    <t xml:space="preserve">C6H3O6</t>
  </si>
  <si>
    <t xml:space="preserve">itacon_c</t>
  </si>
  <si>
    <t xml:space="preserve">C5H4O4</t>
  </si>
  <si>
    <t xml:space="preserve">Not in iJO1366 but does exist in other BiGG models (all eukaryotic models), including the S. cerevisiae iMM904 model. pKa of strongest acid group ~3.65, so both carboxylate groups will likely be deprotonated.</t>
  </si>
  <si>
    <t xml:space="preserve">itacon_e</t>
  </si>
  <si>
    <t xml:space="preserve">Not in iJO1366 but does exist in other BiGG models (all eukaryotic models), including the Homo Sapiens Recon3D model.</t>
  </si>
  <si>
    <t xml:space="preserve">Limonene</t>
  </si>
  <si>
    <t xml:space="preserve">limnen_c</t>
  </si>
  <si>
    <t xml:space="preserve">C10H16</t>
  </si>
  <si>
    <t xml:space="preserve">Not in iJO1366. Exists in a few BiGG models, but all mammal models. Called limnen in these models for some reason (but confident its limonene because it has the same formula and is used in the Limonene exchange reaction). Aka Dipentene. </t>
  </si>
  <si>
    <t xml:space="preserve">limnen_e</t>
  </si>
  <si>
    <t xml:space="preserve">Beta-Alanine</t>
  </si>
  <si>
    <t xml:space="preserve">ala_B_c</t>
  </si>
  <si>
    <t xml:space="preserve">C3H7NO2</t>
  </si>
  <si>
    <t xml:space="preserve">L-Alanine</t>
  </si>
  <si>
    <t xml:space="preserve">ala__L_c</t>
  </si>
  <si>
    <t xml:space="preserve">Malonate semialdehyde</t>
  </si>
  <si>
    <t xml:space="preserve">msa_c</t>
  </si>
  <si>
    <t xml:space="preserve">Malonate (propanedioate)</t>
  </si>
  <si>
    <t xml:space="preserve">malon_c</t>
  </si>
  <si>
    <t xml:space="preserve">C3H2O4</t>
  </si>
  <si>
    <t xml:space="preserve">Not in iJO1366, but exists in other BiGG models. PKa ~ 2.9, so will be deprotonated at pH 7. Also exists in some BiGG models under metabolite ID HC00319. Aka propanedioate.</t>
  </si>
  <si>
    <t xml:space="preserve">malon_e</t>
  </si>
  <si>
    <t xml:space="preserve">Aka Trans-2-butenoyl-CoA</t>
  </si>
  <si>
    <t xml:space="preserve">3-oxodecanoyl-CoA</t>
  </si>
  <si>
    <t xml:space="preserve">3odcoa_c</t>
  </si>
  <si>
    <t xml:space="preserve">C31H48N7O18P3S</t>
  </si>
  <si>
    <t xml:space="preserve">(S)-3-Hydroxydecanoyl-CoA</t>
  </si>
  <si>
    <t xml:space="preserve">3hdcoa_c</t>
  </si>
  <si>
    <t xml:space="preserve">C31H50N7O18P3S</t>
  </si>
  <si>
    <t xml:space="preserve">Trans-Dec-2-enoyl-CoA</t>
  </si>
  <si>
    <t xml:space="preserve">dc2coa_c</t>
  </si>
  <si>
    <t xml:space="preserve">C31H48N7O17P3S</t>
  </si>
  <si>
    <t xml:space="preserve">Decanoyl-CoA</t>
  </si>
  <si>
    <t xml:space="preserve">dcacoa_c</t>
  </si>
  <si>
    <t xml:space="preserve">C31H50N7O17P3S</t>
  </si>
  <si>
    <t xml:space="preserve">Decanoate</t>
  </si>
  <si>
    <t xml:space="preserve">dca_c</t>
  </si>
  <si>
    <t xml:space="preserve">C10H19O2</t>
  </si>
  <si>
    <t xml:space="preserve">Decanal</t>
  </si>
  <si>
    <t xml:space="preserve">dcal_c</t>
  </si>
  <si>
    <t xml:space="preserve">C10H20O</t>
  </si>
  <si>
    <t xml:space="preserve">Not in iJO1366 but does exist in one other BiGG model (Bacillus subtilis, iYO844).</t>
  </si>
  <si>
    <t xml:space="preserve">nonan_c</t>
  </si>
  <si>
    <t xml:space="preserve">C9H20</t>
  </si>
  <si>
    <t xml:space="preserve">nonan_e</t>
  </si>
  <si>
    <t xml:space="preserve"> 3-oxononanoyl-CoA</t>
  </si>
  <si>
    <t xml:space="preserve">3ononacoa_c</t>
  </si>
  <si>
    <t xml:space="preserve">C30H46N7O18P3S</t>
  </si>
  <si>
    <t xml:space="preserve">3-Hydroxynonanoyl-CoA</t>
  </si>
  <si>
    <t xml:space="preserve">3hnonacoa_c</t>
  </si>
  <si>
    <t xml:space="preserve">C30H48N7O18P3S</t>
  </si>
  <si>
    <t xml:space="preserve">Trans-nona-2-enoyl-CoA</t>
  </si>
  <si>
    <t xml:space="preserve">nona2coa_c</t>
  </si>
  <si>
    <t xml:space="preserve">C30H46N7O17P3S</t>
  </si>
  <si>
    <t xml:space="preserve">Nonaoyl-CoA</t>
  </si>
  <si>
    <t xml:space="preserve">nonacoa_c</t>
  </si>
  <si>
    <t xml:space="preserve">C30H48N7O17P3S</t>
  </si>
  <si>
    <t xml:space="preserve">Nonaoate</t>
  </si>
  <si>
    <t xml:space="preserve">nona_c</t>
  </si>
  <si>
    <t xml:space="preserve">C9H17O2</t>
  </si>
  <si>
    <t xml:space="preserve">Nonanal</t>
  </si>
  <si>
    <t xml:space="preserve">nonal_c</t>
  </si>
  <si>
    <t xml:space="preserve">C9H18O</t>
  </si>
  <si>
    <t xml:space="preserve">Not in iJO1366 but exists in Bacillus subtillis iYO844 model</t>
  </si>
  <si>
    <t xml:space="preserve">octn_c</t>
  </si>
  <si>
    <t xml:space="preserve">C8H18</t>
  </si>
  <si>
    <t xml:space="preserve">octn_e</t>
  </si>
  <si>
    <t xml:space="preserve">Hexanoate (n-C6:0)</t>
  </si>
  <si>
    <t xml:space="preserve">hxa_c</t>
  </si>
  <si>
    <t xml:space="preserve">C6H11O2</t>
  </si>
  <si>
    <t xml:space="preserve">Hexanal C6H12O</t>
  </si>
  <si>
    <t xml:space="preserve">hxal_c</t>
  </si>
  <si>
    <t xml:space="preserve">pent_c</t>
  </si>
  <si>
    <t xml:space="preserve">C5H12</t>
  </si>
  <si>
    <t xml:space="preserve">pent_e</t>
  </si>
  <si>
    <t xml:space="preserve">Pentanol PW1</t>
  </si>
  <si>
    <t xml:space="preserve">Not in iJO1366 but does exist other BiGG models. Aka valeraldehyde.</t>
  </si>
  <si>
    <t xml:space="preserve">Pentanol</t>
  </si>
  <si>
    <t xml:space="preserve">pentoh_c</t>
  </si>
  <si>
    <t xml:space="preserve">pentoh_e</t>
  </si>
  <si>
    <t xml:space="preserve">Pentanol PW2</t>
  </si>
  <si>
    <t xml:space="preserve">2-Propylmalate</t>
  </si>
  <si>
    <t xml:space="preserve">2ppm_c</t>
  </si>
  <si>
    <t xml:space="preserve">C7H10O5</t>
  </si>
  <si>
    <t xml:space="preserve">3-Propylmalate</t>
  </si>
  <si>
    <t xml:space="preserve">3ppm_c</t>
  </si>
  <si>
    <t xml:space="preserve">2-Oxohexanoate</t>
  </si>
  <si>
    <t xml:space="preserve">2ohex_c</t>
  </si>
  <si>
    <t xml:space="preserve">Not in BiGG database. Aka 2-Ketocaproate.</t>
  </si>
  <si>
    <t xml:space="preserve">phenol_c</t>
  </si>
  <si>
    <t xml:space="preserve">C6H6O</t>
  </si>
  <si>
    <t xml:space="preserve">Not in iJO1366 but does exist in the Geobacter metallireducens iAF987 model.</t>
  </si>
  <si>
    <t xml:space="preserve">phenol_e</t>
  </si>
  <si>
    <t xml:space="preserve">Propane PW1</t>
  </si>
  <si>
    <t xml:space="preserve">Propane</t>
  </si>
  <si>
    <t xml:space="preserve">prop_c</t>
  </si>
  <si>
    <t xml:space="preserve">C3H8</t>
  </si>
  <si>
    <t xml:space="preserve">prop_e</t>
  </si>
  <si>
    <t xml:space="preserve">Propane PW2</t>
  </si>
  <si>
    <t xml:space="preserve">Aka alpha-acetolactate or 2,3-dihydroxy-isovalerate</t>
  </si>
  <si>
    <t xml:space="preserve">2-methylpropanal (isobutyraldehyde)</t>
  </si>
  <si>
    <t xml:space="preserve">Aka PEP</t>
  </si>
  <si>
    <t xml:space="preserve">D-Erythrose 4-phosphate</t>
  </si>
  <si>
    <t xml:space="preserve">e4p_c</t>
  </si>
  <si>
    <t xml:space="preserve">C4H7O7P</t>
  </si>
  <si>
    <t xml:space="preserve">Aka E4P</t>
  </si>
  <si>
    <t xml:space="preserve">2-Dehydro-3-deoxy-D-arabino-heptonate 7-phosphate</t>
  </si>
  <si>
    <t xml:space="preserve">2dda7p_c</t>
  </si>
  <si>
    <t xml:space="preserve">C7H10O10P</t>
  </si>
  <si>
    <t xml:space="preserve">3-Dehydroquinate</t>
  </si>
  <si>
    <t xml:space="preserve">3dhq_c</t>
  </si>
  <si>
    <t xml:space="preserve">C7H9O6</t>
  </si>
  <si>
    <t xml:space="preserve">skm_e</t>
  </si>
  <si>
    <t xml:space="preserve">styr_c</t>
  </si>
  <si>
    <t xml:space="preserve">C8H8</t>
  </si>
  <si>
    <t xml:space="preserve">Not in iJO1366 or any other BiGG models. Aka Ethenylbenzene, Phenylethylene or Vinylbenzene.</t>
  </si>
  <si>
    <t xml:space="preserve">styr_e</t>
  </si>
  <si>
    <t xml:space="preserve">Metabolites for old Glutaric Acid/Aminovaleric Acid pathway option (via proline) DISREGARDED BC REQUIRES PrdC protein; other pathway option via Lysine is better...</t>
  </si>
  <si>
    <t xml:space="preserve">5-aminovaleric acid PW1</t>
  </si>
  <si>
    <t xml:space="preserve">L-Proline</t>
  </si>
  <si>
    <t xml:space="preserve">pro__L_c</t>
  </si>
  <si>
    <t xml:space="preserve">C5H9NO2</t>
  </si>
  <si>
    <t xml:space="preserve">D-Proline</t>
  </si>
  <si>
    <t xml:space="preserve">pro__D_c</t>
  </si>
  <si>
    <t xml:space="preserve">1-Pyrroline-2-carboxylate</t>
  </si>
  <si>
    <t xml:space="preserve">1p2cbxl_c</t>
  </si>
  <si>
    <t xml:space="preserve">C5H6NO2</t>
  </si>
  <si>
    <t xml:space="preserve">Not in iJO1366 but exists in other BiGG models. *Not using pathway option requiring this metabolite.</t>
  </si>
  <si>
    <t xml:space="preserve">Not in iJO1366 but exists in other BiGG models, including other E.coli models.</t>
  </si>
  <si>
    <t xml:space="preserve">etbz_c</t>
  </si>
  <si>
    <t xml:space="preserve">C8H10</t>
  </si>
  <si>
    <t xml:space="preserve">Not in iJO1366 or any other BiGG models. Aka Phenylethane, Ethylbenzol</t>
  </si>
  <si>
    <t xml:space="preserve">etbz_e</t>
  </si>
  <si>
    <t xml:space="preserve">ProductName</t>
  </si>
  <si>
    <t xml:space="preserve">Model_Author</t>
  </si>
  <si>
    <t xml:space="preserve">Formula</t>
  </si>
  <si>
    <t xml:space="preserve">C</t>
  </si>
  <si>
    <t xml:space="preserve">H</t>
  </si>
  <si>
    <t xml:space="preserve">O</t>
  </si>
  <si>
    <t xml:space="preserve">N</t>
  </si>
  <si>
    <t xml:space="preserve">Charge</t>
  </si>
  <si>
    <t xml:space="preserve">Deg_Red</t>
  </si>
  <si>
    <t xml:space="preserve">MW_g/mol</t>
  </si>
  <si>
    <t xml:space="preserve">BP_degC</t>
  </si>
  <si>
    <t xml:space="preserve">MoleculeType</t>
  </si>
  <si>
    <t xml:space="preserve">CCM_Feeder</t>
  </si>
  <si>
    <t xml:space="preserve">Transport</t>
  </si>
  <si>
    <t xml:space="preserve">ExchangeRxn</t>
  </si>
  <si>
    <t xml:space="preserve">MetID</t>
  </si>
  <si>
    <t xml:space="preserve">ProductNotes</t>
  </si>
  <si>
    <t xml:space="preserve">Transport (old)</t>
  </si>
  <si>
    <t xml:space="preserve">1-3-Diaminopropane</t>
  </si>
  <si>
    <t xml:space="preserve">A</t>
  </si>
  <si>
    <t xml:space="preserve">Diamine</t>
  </si>
  <si>
    <t xml:space="preserve">Oxaloacetate + aKG</t>
  </si>
  <si>
    <t xml:space="preserve">H-associated on both amino groups, giving H12 and 2+ charge</t>
  </si>
  <si>
    <t xml:space="preserve">Proton symporter</t>
  </si>
  <si>
    <t xml:space="preserve">1-3-Propanediol</t>
  </si>
  <si>
    <t xml:space="preserve">Diol</t>
  </si>
  <si>
    <t xml:space="preserve">Glyceraldehyde 3-P</t>
  </si>
  <si>
    <t xml:space="preserve">Diffusion</t>
  </si>
  <si>
    <t xml:space="preserve">2-Methyl-1-Butanol</t>
  </si>
  <si>
    <t xml:space="preserve">Alcohol</t>
  </si>
  <si>
    <t xml:space="preserve">PEP</t>
  </si>
  <si>
    <t xml:space="preserve">2-methyl-1-butanol transport exists in the S. cerevisiae iMM904 model as free diffusion between the extra-cellular space and the cytoplasm (rxnID 2MBTOHp).</t>
  </si>
  <si>
    <t xml:space="preserve">Dicarboxylate</t>
  </si>
  <si>
    <t xml:space="preserve">ExCell, transport?</t>
  </si>
  <si>
    <t xml:space="preserve">3-Methyl-1-Pentanol</t>
  </si>
  <si>
    <t xml:space="preserve">D-Amino Acid</t>
  </si>
  <si>
    <t xml:space="preserve">Both the acid and conjugate base have the same formula and charge 0 ( the base has a +1 charge on amino group and -1 charge on the carboxylate group, giving charge of 0 overall, and same number of hydrogens in both cases). The conjugate base should exist at pH ~7.</t>
  </si>
  <si>
    <t xml:space="preserve">Proton symporter?</t>
  </si>
  <si>
    <t xml:space="preserve">Ketone</t>
  </si>
  <si>
    <t xml:space="preserve">Acrylate-PW1</t>
  </si>
  <si>
    <t xml:space="preserve">Carboxylate</t>
  </si>
  <si>
    <t xml:space="preserve">Acrylate-PW2</t>
  </si>
  <si>
    <t xml:space="preserve">Benzoate-PW1</t>
  </si>
  <si>
    <t xml:space="preserve">Aromatic + Carboxylate</t>
  </si>
  <si>
    <t xml:space="preserve">E4P + aKG</t>
  </si>
  <si>
    <t xml:space="preserve">Benzoate-PW2</t>
  </si>
  <si>
    <t xml:space="preserve">BetaCarotene</t>
  </si>
  <si>
    <t xml:space="preserve">Hydrocarbon</t>
  </si>
  <si>
    <t xml:space="preserve">ABC Transporter</t>
  </si>
  <si>
    <r>
      <rPr>
        <sz val="11"/>
        <rFont val="arial"/>
        <family val="2"/>
        <charset val="1"/>
      </rPr>
      <t xml:space="preserve">Intracellular Product OR </t>
    </r>
    <r>
      <rPr>
        <sz val="11"/>
        <color rgb="FFED1C24"/>
        <rFont val="arial"/>
        <family val="2"/>
        <charset val="1"/>
      </rPr>
      <t xml:space="preserve">ABC Transporter?</t>
    </r>
  </si>
  <si>
    <t xml:space="preserve">Product transport already exists in iJO1366 model as proton symporter.</t>
  </si>
  <si>
    <t xml:space="preserve">ciscisMuconate</t>
  </si>
  <si>
    <t xml:space="preserve">260 (A)/272 (B)</t>
  </si>
  <si>
    <t xml:space="preserve">Isoprenoid; Hydrocarbon</t>
  </si>
  <si>
    <t xml:space="preserve">Pathway for making alpha or beta farnesene is the same, except last step requires different enzyme (but carries out same reaction).</t>
  </si>
  <si>
    <t xml:space="preserve">Proton Symporter OR ABC Transporter?</t>
  </si>
  <si>
    <t xml:space="preserve">GammaButyrolactone</t>
  </si>
  <si>
    <t xml:space="preserve">Lactone (cyclic ester)</t>
  </si>
  <si>
    <t xml:space="preserve">aKG</t>
  </si>
  <si>
    <t xml:space="preserve">Proton symporter (?)</t>
  </si>
  <si>
    <t xml:space="preserve">1-3-butanediol-PW1</t>
  </si>
  <si>
    <t xml:space="preserve">E</t>
  </si>
  <si>
    <t xml:space="preserve">Not in BiGG db, but 2,3-butanediol is as metID 23btdl_c and charge 0. 2,3-Butanediol transport exists in the BiGG database as diffusion (see BTDt_RR, BTDDtpp, BTDDtex).</t>
  </si>
  <si>
    <t xml:space="preserve">1-3-butanediol-PW2</t>
  </si>
  <si>
    <t xml:space="preserve">Pyruvate (acetalehyde)</t>
  </si>
  <si>
    <t xml:space="preserve">Eflux pump / Diffusion</t>
  </si>
  <si>
    <t xml:space="preserve">1-4-butanediol</t>
  </si>
  <si>
    <t xml:space="preserve">Not in BiGG db, but 2,3-butanediol is as metID 23btdl_c and charge 0. 2,3-Butanediol transport exist in the BiGG database as diffusion (see BTDt_RR, BTDDtpp, BTDDtex).</t>
  </si>
  <si>
    <t xml:space="preserve">2-3-butanediol</t>
  </si>
  <si>
    <t xml:space="preserve">Not in iJO1366, but exists in other BiGG models. 2,3-Butanediol transport exists in the BiGG database as diffusion (see BTDt_RR, BTDDtpp, BTDDtex).</t>
  </si>
  <si>
    <t xml:space="preserve">Aromatic + Alcohol</t>
  </si>
  <si>
    <t xml:space="preserve">E4P + L-glutamate</t>
  </si>
  <si>
    <t xml:space="preserve">Not in BiGG db at all.</t>
  </si>
  <si>
    <t xml:space="preserve">Not in iJO1366, aka adipic acid. Does exist in other BiGG models but only mammal ones  (Homo sapiens and Cricetulus griseus). Reported as -2 in model, adipic acid carboxylate pKas reported as 4.1 and 5.4, meaning both will be deprotonated at pH ~7. One instance of transport exists in Homo sapiens model as diffusion (rxnID ADPACtd), but given it’s charged I think it will likely need to be transported actively...</t>
  </si>
  <si>
    <t xml:space="preserve">Benzyl alcohol</t>
  </si>
  <si>
    <t xml:space="preserve">E4P</t>
  </si>
  <si>
    <t xml:space="preserve">Not in iJO1366, but exists in other BiGG model (iAF987).</t>
  </si>
  <si>
    <t xml:space="preserve">Hydrocarbon (alkane)</t>
  </si>
  <si>
    <t xml:space="preserve">Acetyl-CoA + Succinyl-CoA</t>
  </si>
  <si>
    <t xml:space="preserve">Butanol-PW1</t>
  </si>
  <si>
    <t xml:space="preserve">Not in iJO1366. Does exist in other BiGG models, also another instance of butanol exists as 1-butanol (metID: 1btol_c ). Transport of butanol exists in the Clostridium ljungdahlii iHN637 model as free diffusion (see rxnID: BTOHt)</t>
  </si>
  <si>
    <t xml:space="preserve">Butanol-PW2</t>
  </si>
  <si>
    <t xml:space="preserve">Aromatic + Diol</t>
  </si>
  <si>
    <t xml:space="preserve">Not in iJO1366. Exists in other BiGG models under same metID as shown. Aka 1,2-dihydroxybenzene or 1,2-benzenediol. Transport of catechol exists in P. Putida models (iJN1463 and iJN746) as diffusion, see rnx IDs: CATECHOLtpp &amp;  CATECHOLtex.</t>
  </si>
  <si>
    <t xml:space="preserve">Coumaric acid</t>
  </si>
  <si>
    <t xml:space="preserve">Aromatic + Alcohol + Carboxylate</t>
  </si>
  <si>
    <t xml:space="preserve">Not in iJO1366, but exists in other BiGG model (iJN1463).</t>
  </si>
  <si>
    <t xml:space="preserve">EthylAcetate</t>
  </si>
  <si>
    <t xml:space="preserve">Carboxylate Ester</t>
  </si>
  <si>
    <t xml:space="preserve"> EX_aces_e</t>
  </si>
  <si>
    <t xml:space="preserve">Not in iJO1366 but exists in S. cerevisiae IMM904 model under name “Acetic Ester C4H8O2”. In this model, the transport of ethyl acetate is by diffusion (see rxnID ACESt). Considered a carboxylate but it’s not charged (it’s a carboxylate ester so the O group that’s usually charged in a carboxylate is not, as it has two bonds via the ester). May have similar transport to other carboxylate esters.</t>
  </si>
  <si>
    <t xml:space="preserve">EX_heptane</t>
  </si>
  <si>
    <t xml:space="preserve">??</t>
  </si>
  <si>
    <t xml:space="preserve">Not in BiGG db at all, aka isopentadiene or 2-methyl-1,3-butadiene.</t>
  </si>
  <si>
    <t xml:space="preserve">Diffusion(?)</t>
  </si>
  <si>
    <t xml:space="preserve">Acetyl-CoA + Oxaloacetate</t>
  </si>
  <si>
    <t xml:space="preserve">Itaconate (itaconic acid)</t>
  </si>
  <si>
    <t xml:space="preserve">Isoprenoid; Aromatic (Cycloalkane)</t>
  </si>
  <si>
    <t xml:space="preserve">Exists in a few BiGG models, but all mammal models. Called limnen in these models for some reason (but confident its limonene because it has the same formula and is used in the Limonene exchange reaction). Aka Dipentene. Transport in the mammal models is by diffusion (see rxnIDs LIMNENte). Not sure if applicable here.</t>
  </si>
  <si>
    <t xml:space="preserve">Pentanol-PW1</t>
  </si>
  <si>
    <t xml:space="preserve">Not in BiGG db at all. Transport of butanol exists in BiGG db as free diffusion, same probably for pentanol?</t>
  </si>
  <si>
    <t xml:space="preserve">Pentanol-PW2</t>
  </si>
  <si>
    <t xml:space="preserve">Propane-PW1</t>
  </si>
  <si>
    <t xml:space="preserve">Propane-PW2</t>
  </si>
  <si>
    <t xml:space="preserve">PEP + E4P (Glyceraldehyde 3-P)</t>
  </si>
  <si>
    <t xml:space="preserve">In iJO1366 model.</t>
  </si>
  <si>
    <t xml:space="preserve">1-propanol-PW1</t>
  </si>
  <si>
    <t xml:space="preserve">E-S</t>
  </si>
  <si>
    <t xml:space="preserve">Glyceraldehyde 3-P (--&gt;DHAP)</t>
  </si>
  <si>
    <t xml:space="preserve">Not in iJO1366, but exists in other BiGG models. Transport exists in Geobacter metallireducens iAF987 model as proton symport (see rxnIDs PPOHt2pp, PPOHtex).</t>
  </si>
  <si>
    <t xml:space="preserve">1-propanol-PW2</t>
  </si>
  <si>
    <t xml:space="preserve">Not in iJO1366 but exist in a couple other BiGG models. Aka Hydroxybenzene. In Geobacter metallireducens iAF987 model transport from P --&gt; C is via proton symporter (rxnID: PHENOLt2pp), and P &lt;=&gt; E is via diffusion (rxnID: PHENOLtex). Assuming proton symporter could work in reverse to transport out.</t>
  </si>
  <si>
    <t xml:space="preserve">Cycloalkane</t>
  </si>
  <si>
    <t xml:space="preserve">Not in BiGG db at all. Aka ethenylbenzene or phenylethylene. Phenylethyl alcohol exists in the P. Putida iJN1463 model and requires ABC transporter system (rxnID PEAL2tabc), although it looks a bit bulkier as a molecule compared to styrene.</t>
  </si>
  <si>
    <t xml:space="preserve">NA</t>
  </si>
  <si>
    <t xml:space="preserve">Tricarboxylate + Alcohol</t>
  </si>
  <si>
    <t xml:space="preserve">Proton antiport</t>
  </si>
  <si>
    <t xml:space="preserve">Already exists in iJO1366 model. Assuming native pathway in iJO1366 model used for production. Native transport mechanism in model is proton antiport.</t>
  </si>
  <si>
    <t xml:space="preserve">Amino acid</t>
  </si>
  <si>
    <t xml:space="preserve">EX_glu__L_e</t>
  </si>
  <si>
    <t xml:space="preserve">Already exists in iJO1366 model. Assuming native pathway in iJO1366 model used for production.</t>
  </si>
  <si>
    <t xml:space="preserve">C2H3O3</t>
  </si>
  <si>
    <t xml:space="preserve">Carboxylate + Alcohol (hydroxy carboxylate)</t>
  </si>
  <si>
    <t xml:space="preserve">Glyoxylate (*isocitrate)</t>
  </si>
  <si>
    <t xml:space="preserve">glyclt_c</t>
  </si>
  <si>
    <t xml:space="preserve">EX_lys__L_e</t>
  </si>
  <si>
    <t xml:space="preserve">lys__L_</t>
  </si>
  <si>
    <t xml:space="preserve">Malate</t>
  </si>
  <si>
    <t xml:space="preserve">C4H4O5</t>
  </si>
  <si>
    <t xml:space="preserve">mal__L_e</t>
  </si>
  <si>
    <t xml:space="preserve">Already exists in iJO1366 model. Assuming native pathway in iJO1366 model used for production. Produced via TCA cycle.</t>
  </si>
  <si>
    <t xml:space="preserve">C4H4O4</t>
  </si>
  <si>
    <t xml:space="preserve">succ_c</t>
  </si>
  <si>
    <t xml:space="preserve">Diffusion (channel)</t>
  </si>
  <si>
    <t xml:space="preserve">ButylButanoate</t>
  </si>
  <si>
    <t xml:space="preserve">S</t>
  </si>
  <si>
    <t xml:space="preserve">C8H16O2</t>
  </si>
  <si>
    <t xml:space="preserve">butbut_c</t>
  </si>
  <si>
    <t xml:space="preserve">Not in BiGG db at all. Considered a carboxylate but it’s not charged (it’s a carboxylate ester so the O group that’s usually charged in a carboxylate is not, as it has two bonds via the ester). May have similar transport to other carboxylate esters.</t>
  </si>
  <si>
    <t xml:space="preserve">Casbene</t>
  </si>
  <si>
    <t xml:space="preserve">C20H32</t>
  </si>
  <si>
    <t xml:space="preserve">Diterpene</t>
  </si>
  <si>
    <t xml:space="preserve">EthylButanoate</t>
  </si>
  <si>
    <t xml:space="preserve">C6H12O2</t>
  </si>
  <si>
    <t xml:space="preserve">EthylPentanoate</t>
  </si>
  <si>
    <t xml:space="preserve">C7H14O2</t>
  </si>
  <si>
    <t xml:space="preserve">Not in BiGG db at all, aka ethyl valerate. Considered a carboxylate but it’s not charged (it’s a carboxylate ester so the O group that’s usually charged in a carboxylate is not, as it has two bonds via the ester). May have similar transport to other carboxylate esters.</t>
  </si>
  <si>
    <t xml:space="preserve">IsobutylAcetate</t>
  </si>
  <si>
    <t xml:space="preserve">EX_ibutac_e</t>
  </si>
  <si>
    <t xml:space="preserve">ibutac_c</t>
  </si>
  <si>
    <t xml:space="preserve">Only exists in one BiGG model: iMM904 for S. cerevisiae. Transport in this model is via diffusion (rxnID IBUTACt).  May have similar transport to other carboxylate esters.</t>
  </si>
  <si>
    <t xml:space="preserve">IsobutylButanoate</t>
  </si>
  <si>
    <t xml:space="preserve">Not in BiGG db at all, aka isobutyl butyrate.  May have similar transport to other carboxylate esters.</t>
  </si>
  <si>
    <t xml:space="preserve">IsobutylPentanoate</t>
  </si>
  <si>
    <t xml:space="preserve">C9H18O2</t>
  </si>
  <si>
    <t xml:space="preserve">Not in BiGG db at all, aka isobutyl valerate.  May have similar transport to other carboxylate esters.</t>
  </si>
  <si>
    <t xml:space="preserve">Myrcene (Mycrene?)</t>
  </si>
  <si>
    <t xml:space="preserve">Hydrocarbon (triene)</t>
  </si>
  <si>
    <t xml:space="preserve">Not in BiGG db at all, aka 7-Methyl-3-methylene-1,6-octadiene. Name was written as Mycrene, but I think it was supposed to be Myrcrene.</t>
  </si>
  <si>
    <t xml:space="preserve">PentylPentanoate</t>
  </si>
  <si>
    <t xml:space="preserve">C10H20O2</t>
  </si>
  <si>
    <t xml:space="preserve">Not in BiGG db at all. Aka pentyl valerate. A carboxyl ester, but probably not free diffusion like some other carboxyl esters because it’s much bigger.</t>
  </si>
  <si>
    <t xml:space="preserve">PropylButanoate</t>
  </si>
  <si>
    <t xml:space="preserve">Not in BiGG db at all. Aka propyl butyrate. Transport may be diffusion like other carboxylate esters, but it’s larger so might need to be actively transported.</t>
  </si>
  <si>
    <t xml:space="preserve">Vanillin</t>
  </si>
  <si>
    <t xml:space="preserve">C8H8O3</t>
  </si>
  <si>
    <t xml:space="preserve">Aromatic + Alcohol + Carbonyl + Ester</t>
  </si>
  <si>
    <t xml:space="preserve">EX_vanln_e</t>
  </si>
  <si>
    <t xml:space="preserve">vanln_c</t>
  </si>
  <si>
    <t xml:space="preserve">Exists in P. Putida models iJN1463 and iJN746, with charge 0 (pKa is ~7.4, so likely protonated and neutral at pH ~7; that’s what’s assumed here). In P. Putida models proton symporter is used for transport for P &lt;=&gt; C (rxnID: VNLNpp), and diffusion is used for transport between E &lt;=&gt; P (rxnID: VANLNtex) . </t>
  </si>
  <si>
    <t xml:space="preserve">Terepthlalate</t>
  </si>
  <si>
    <t xml:space="preserve">ZE</t>
  </si>
  <si>
    <t xml:space="preserve">ZiJO1366</t>
  </si>
  <si>
    <t xml:space="preserve">C6H8O8</t>
  </si>
  <si>
    <t xml:space="preserve">Dicarboxylate + Alcohols (aka sugar acid)</t>
  </si>
  <si>
    <t xml:space="preserve">EX_glcr_e</t>
  </si>
  <si>
    <t xml:space="preserve">glcr_c</t>
  </si>
  <si>
    <t xml:space="preserve">ZS</t>
  </si>
  <si>
    <t xml:space="preserve">Aromatic (Cycloalkane)</t>
  </si>
  <si>
    <t xml:space="preserve">Not in BiGG db at all. Aka phenylethane and ethylbenzol.</t>
  </si>
  <si>
    <t xml:space="preserve">HMF</t>
  </si>
  <si>
    <t xml:space="preserve">C6H6O3</t>
  </si>
  <si>
    <t xml:space="preserve">Not in BiGG db at all. Aka 5-hydroxymethylfurfural or 5-Hydroxymethyl-2-furaldehyde. PKa predicted to be ~12.8, so will be protonated and neutral at pH ~7.</t>
  </si>
  <si>
    <t xml:space="preserve">Levulinate</t>
  </si>
  <si>
    <t xml:space="preserve">EX_4oxptn_e</t>
  </si>
  <si>
    <t xml:space="preserve">4oxptn_c</t>
  </si>
  <si>
    <t xml:space="preserve">Exists in P. Putida model iJN1463 as the acid (4opa_c) and as the conjugate base (4oxptn_c), under its other name: 4-Oxopentanoic acid. Has pKa of ~4.3 meaning it will be deprotonated at pH ~7, so conjugate base is assumed here. In the iJN1463 model a sodium symporter is used for transportation from P --&gt; C (rxnID: 4OXPTNtpp), and diffusion is assumed from E &lt;=&gt; P (rxnID: 4OXPTNtex). Assumed that same transport system would work in reverse.</t>
  </si>
  <si>
    <t xml:space="preserve">P-Xylene</t>
  </si>
  <si>
    <t xml:space="preserve">EX_p_xyl_e</t>
  </si>
  <si>
    <t xml:space="preserve">p_xyl_c</t>
  </si>
  <si>
    <t xml:space="preserve">Not in BiGG db at all, but M-xylene exists in the P. Putida models iJN1463 and iJN746 (metID: m_xyl_c). Aka para-xylene or 1,4-Dimethylbenzene. In P. Putida models, M-xylene transport is a mix of passive diffusion (M_XYLtpp), proton antiport (MXYLt6) and porin transport (M_Xylt1). So not sure what to use....</t>
  </si>
  <si>
    <r>
      <rPr>
        <sz val="12"/>
        <color rgb="FF000000"/>
        <rFont val="arial"/>
        <family val="2"/>
        <charset val="1"/>
      </rPr>
      <t xml:space="preserve">*The </t>
    </r>
    <r>
      <rPr>
        <b val="true"/>
        <sz val="12"/>
        <color rgb="FF000000"/>
        <rFont val="arial"/>
        <family val="2"/>
        <charset val="1"/>
      </rPr>
      <t xml:space="preserve">Degree of reduction </t>
    </r>
    <r>
      <rPr>
        <sz val="12"/>
        <color rgb="FF000000"/>
        <rFont val="arial"/>
        <family val="2"/>
        <charset val="1"/>
      </rPr>
      <t xml:space="preserve">can be calculated and is indicative of the oxidation state (high degree of reduction = low degree of oxidation). The Degree of reduction (</t>
    </r>
    <r>
      <rPr>
        <sz val="12"/>
        <color rgb="FF000000"/>
        <rFont val="Noto Sans"/>
        <family val="2"/>
        <charset val="1"/>
      </rPr>
      <t xml:space="preserve">Ɣ</t>
    </r>
    <r>
      <rPr>
        <sz val="12"/>
        <color rgb="FF000000"/>
        <rFont val="arial"/>
        <family val="2"/>
        <charset val="1"/>
      </rPr>
      <t xml:space="preserve">) is calculated based on the number of electrons each atom can donate: C = 4, H = 1, O = -2, N = -3, P = 5 (-ve value means atom receives electrons rather than donates them). The calculation is as follows: </t>
    </r>
    <r>
      <rPr>
        <b val="true"/>
        <sz val="12"/>
        <color rgb="FF000000"/>
        <rFont val="arial"/>
        <family val="2"/>
        <charset val="1"/>
      </rPr>
      <t xml:space="preserve">(4*Cn+1*Hn-2*On-3*Nn+5*Pn)/Cn</t>
    </r>
    <r>
      <rPr>
        <sz val="12"/>
        <color rgb="FF000000"/>
        <rFont val="arial"/>
        <family val="2"/>
        <charset val="1"/>
      </rPr>
      <t xml:space="preserve">. For example, isopropanol (C3H8O): (4*(3)+1*(8)-2*(1))/(3) = 6 . </t>
    </r>
    <r>
      <rPr>
        <b val="true"/>
        <sz val="12"/>
        <color rgb="FF000000"/>
        <rFont val="arial"/>
        <family val="2"/>
        <charset val="1"/>
      </rPr>
      <t xml:space="preserve">SOURCE: </t>
    </r>
    <r>
      <rPr>
        <sz val="12"/>
        <color rgb="FF000000"/>
        <rFont val="arial"/>
        <family val="2"/>
        <charset val="1"/>
      </rPr>
      <t xml:space="preserve">Shuler and Kargi (2001) – Bioprocess Engineering Basic Concepts (p.211).</t>
    </r>
  </si>
  <si>
    <r>
      <rPr>
        <sz val="11"/>
        <color rgb="FF000000"/>
        <rFont val="arial"/>
        <family val="2"/>
        <charset val="1"/>
      </rPr>
      <t xml:space="preserve">**</t>
    </r>
    <r>
      <rPr>
        <b val="true"/>
        <sz val="11"/>
        <color rgb="FF000000"/>
        <rFont val="arial"/>
        <family val="2"/>
        <charset val="1"/>
      </rPr>
      <t xml:space="preserve">CCM Feeder</t>
    </r>
    <r>
      <rPr>
        <sz val="11"/>
        <color rgb="FF000000"/>
        <rFont val="arial"/>
        <family val="2"/>
        <charset val="1"/>
      </rPr>
      <t xml:space="preserve"> = central carbon metabolism feeder, aka the metabolite from CCM that feeds into the production pathway for the given product.</t>
    </r>
  </si>
  <si>
    <t xml:space="preserve">PolylacticAcid</t>
  </si>
  <si>
    <t xml:space="preserve">(C3H4O2)n</t>
  </si>
  <si>
    <t xml:space="preserve">Polymer</t>
  </si>
  <si>
    <t xml:space="preserve">Not in BiGG db at all. Polylactic acid  is the polymer of lactic acid. Yang (2010)/Jung (2009) (same group) engineered propionate-CoA transferase from Clostridium propionicum and polyhydroxyalkanoate (PHA) synthase from Pseudomonas in E. coli for polylactic acid production. See MetaCyc for more info on PHA synthase: https://metacyc.org/META/NEW-IMAGE?type=REACTION&amp;object=RXN-21039 . In Yang (2010) they say they measured the PHA accumulated in cells suggesting it’s an intracellular product (likely true if large polymer). Not sure what size PLA they made...</t>
  </si>
  <si>
    <t xml:space="preserve">**Intracellular**</t>
  </si>
  <si>
    <t xml:space="preserve">Degree_of_Reduction</t>
  </si>
  <si>
    <t xml:space="preserve">MW_BP</t>
  </si>
  <si>
    <t xml:space="preserve">Free diffusion?</t>
  </si>
  <si>
    <t xml:space="preserve">5-Aminovalerate</t>
  </si>
  <si>
    <t xml:space="preserve">Cycloalkane + Carboxylate</t>
  </si>
  <si>
    <t xml:space="preserve">Intracellular Product</t>
  </si>
  <si>
    <r>
      <rPr>
        <sz val="11"/>
        <color rgb="FF000000"/>
        <rFont val="arial"/>
        <family val="2"/>
        <charset val="1"/>
      </rPr>
      <t xml:space="preserve">Not in BiGG db at all. </t>
    </r>
    <r>
      <rPr>
        <sz val="11"/>
        <color rgb="FFED1C24"/>
        <rFont val="arial"/>
        <family val="2"/>
        <charset val="1"/>
      </rPr>
      <t xml:space="preserve">Call (2016) showed that the fatty acid transporter FadL is also used to import medium-chain alkanes (ie. Octane) in E.coli. From our experiments at LMSE, we already know that butane and pentane are extracellular products. It seems likely that this transporter (or another similar) could be used for the export of alkanes as well. Can thus probably assume diffusion for the transport mechanism? Can this be assumed for all small-medium alkanes?</t>
    </r>
  </si>
  <si>
    <t xml:space="preserve">EX_ipp_e</t>
  </si>
  <si>
    <t xml:space="preserve">1,3-butanediol</t>
  </si>
  <si>
    <t xml:space="preserve">13btdl_c</t>
  </si>
  <si>
    <t xml:space="preserve">1,4-butanediol</t>
  </si>
  <si>
    <t xml:space="preserve">14btdl_c</t>
  </si>
  <si>
    <t xml:space="preserve">1-propanol</t>
  </si>
  <si>
    <t xml:space="preserve">2,3-butanediol</t>
  </si>
  <si>
    <t xml:space="preserve">23btdl_c</t>
  </si>
  <si>
    <t xml:space="preserve">Cycloalkane + Diol</t>
  </si>
  <si>
    <t xml:space="preserve">Ethylene</t>
  </si>
  <si>
    <t xml:space="preserve">C2H4</t>
  </si>
  <si>
    <t xml:space="preserve">ethe_c</t>
  </si>
  <si>
    <t xml:space="preserve">Only exists in on BiGG model (iLB1027_lipid), and participates in only one reaction.</t>
  </si>
  <si>
    <t xml:space="preserve">Cycloalkane + Alcohol + Carbonyl + Ester</t>
  </si>
  <si>
    <t xml:space="preserve">EX_ibtol_e</t>
  </si>
  <si>
    <t xml:space="preserve"> ibtol_c</t>
  </si>
  <si>
    <t xml:space="preserve">Only exists in one BiGG model: iCN900 for Clostridioides difficile. Transport in this model is via diffusion (rxnID IBTOLt).</t>
  </si>
  <si>
    <t xml:space="preserve">Sodium symporter</t>
  </si>
  <si>
    <t xml:space="preserve">Diffusion (??)</t>
  </si>
  <si>
    <t xml:space="preserve">Cycloalkane + Alcohol</t>
  </si>
  <si>
    <t xml:space="preserve">Transporter??</t>
  </si>
  <si>
    <t xml:space="preserve">https://www.tandfonline.com/doi/pdf/10.1080/09168451.2014.891933?needAccess=true</t>
  </si>
  <si>
    <t xml:space="preserve">2ACALD -&gt; C4H8O2 (3-hydroxybutanal, HB3)</t>
  </si>
  <si>
    <t xml:space="preserve">HB3 + NADH + H(+) -&gt; 1,3-BD + NAD(+)</t>
  </si>
  <si>
    <t xml:space="preserve">https://www.genomatica.com/wp-content/uploads/2017/01/Metabolic-engineering-of-Escherichia-coli-for-direct-production-of-14-butanediol-Nature-Chemical-V1.pdf</t>
  </si>
  <si>
    <t xml:space="preserve">sucsal + NADH + H(+) -&gt; C4H7O3(-) (4-hydroxybutyrate) + NAD(+)</t>
  </si>
  <si>
    <t xml:space="preserve">C4H7O3(-) (4-hydroxybutyrate) + accoa + 4H(+) -&gt; C25H42N7O18P3S (4-hydroxybutyryl-CoA) + acetate</t>
  </si>
  <si>
    <t xml:space="preserve">C25H42N7O18P3S (4-hydroxybutyryl-CoA) + NADPH -&gt; C4H8O2 (4-hydroxybutyraldehyde) + NADP(+) + CoA + 3H(+)</t>
  </si>
  <si>
    <t xml:space="preserve">C4H8O2 (4-hydroxybutyraldehyde) + NADPH + H(+) -&gt; BD-1,4  NADP(+)</t>
  </si>
  <si>
    <t xml:space="preserve">https://www.sciencedirect.com/science/article/abs/pii/S1389172316300330?via%3Dihub</t>
  </si>
  <si>
    <t xml:space="preserve">PPDR12 (12ppd__R) -&gt; C3H6O (propionaldehyde) + H2O</t>
  </si>
  <si>
    <t xml:space="preserve">C3H6O + NADH + H(+) -&gt; C3H8O (1-propanol) + NAD(+)</t>
  </si>
  <si>
    <t xml:space="preserve">https://biotechnologyforbiofuels.biomedcentral.com/track/pdf/10.1186/s13068-019-1545-1</t>
  </si>
  <si>
    <t xml:space="preserve">alac__S -&gt; C4H8O2 (Acetoin) + CO2</t>
  </si>
  <si>
    <t xml:space="preserve">C4H8O2 (acetoin) + NADH + H(+) -&gt; 2,3-BD + NAD(+)</t>
  </si>
  <si>
    <t xml:space="preserve">Adipic acid</t>
  </si>
  <si>
    <t xml:space="preserve">https://www.sciencedirect.com/science/article/pii/S2214030117300275</t>
  </si>
  <si>
    <t xml:space="preserve">3-dehydroshikimate -&gt; C7H5O4(-) (PCA) + H2O</t>
  </si>
  <si>
    <t xml:space="preserve">C7H5O4(-) (PCA) + H(+) -&gt; C6H6O2 (catechol) + CO2</t>
  </si>
  <si>
    <t xml:space="preserve">C6H6O2 (catechol) + O2 -&gt; C6H4O4(2-) (cis,cis-muconic acid) + 2H(+)</t>
  </si>
  <si>
    <t xml:space="preserve">C6H4O4(2-) (CCMA) + 2H(+) + 2NADH -&gt; C6H8O4(2-) (adipic acid) + 2NAD(+)</t>
  </si>
  <si>
    <t xml:space="preserve">alpha-Farnesene</t>
  </si>
  <si>
    <t xml:space="preserve">https://academic.oup.com/femsle/article/365/10/fny079/4953741</t>
  </si>
  <si>
    <t xml:space="preserve">frdp -&gt; diphosphate + C15H24 (alpha-farnesene)</t>
  </si>
  <si>
    <t xml:space="preserve">https://www.ncbi.nlm.nih.gov/pmc/articles/PMC5270751/</t>
  </si>
  <si>
    <t xml:space="preserve">accoa + ppcoa -&gt; C26H38N7O18P3S(4-) (3-oxopentanoyl-CoA) + CoA</t>
  </si>
  <si>
    <t xml:space="preserve">3-oxopentanoyl-CoA + NADPH + H(+) -&gt; C26H40N7O18P3S(4-) (3-hydroxypentanoyl-CoA) + NADP(+)</t>
  </si>
  <si>
    <t xml:space="preserve">3-hydroxypentanoyl-CoA -&gt; C26H38N7O17P3S(4-) (pentenoyl-CoA) + H2O</t>
  </si>
  <si>
    <t xml:space="preserve">C26H38N7O17P3S(4-) (pentenoyl-CoA) + NADH + H(+) -&gt; C26H40N7O12P3S(4-) (pentanoyl-CoA) + NAD(+)</t>
  </si>
  <si>
    <t xml:space="preserve">pentanoyl-CoA + H2O -&gt; C5H9O2(-) (pentanoate) + CoA + H(+)</t>
  </si>
  <si>
    <t xml:space="preserve">pentanoate + NADPH + 2H(+) -&gt; C5H10O (pentanal) + NADP(+) + H2O</t>
  </si>
  <si>
    <t xml:space="preserve">pentanal + H2O -&gt; C4H10 (butane) + formate + H(+)</t>
  </si>
  <si>
    <t xml:space="preserve">https://pubs.acs.org/doi/pdf/10.1021/acssynbio.9b00518</t>
  </si>
  <si>
    <t xml:space="preserve">2accoa + 4NADH + 4H(+) -&gt; 2CoA + 4NAD(+) + butanol + H2O</t>
  </si>
  <si>
    <t xml:space="preserve">Butyl butanoate</t>
  </si>
  <si>
    <t xml:space="preserve">4accoa + 4NADH + 6H(+) -&gt; butyl-butanoate + 4CoA + 2H2O + 6NAD(+)</t>
  </si>
  <si>
    <t xml:space="preserve">FRDP + IPDP -&gt; diphosphate + C20H33O7P2(3-) (geranylgeranyl diphosphate)</t>
  </si>
  <si>
    <t xml:space="preserve">geranylgeranyl diphosphate -&gt; casbene + diphosphate</t>
  </si>
  <si>
    <t xml:space="preserve">2accoa + 2H(+) + 2NADH -&gt; ethyl acetate + 2CoA + 2NAD(+)</t>
  </si>
  <si>
    <t xml:space="preserve">Ethyl butanoate</t>
  </si>
  <si>
    <t xml:space="preserve">3accoa + 4NADH + 4H(+) -&gt; ethyl butanoate + 3CoA + H2O + 4NAD(+)</t>
  </si>
  <si>
    <t xml:space="preserve">Ethyl pentanoate</t>
  </si>
  <si>
    <t xml:space="preserve">accoa + oaa + glc__D + 6NADH + 6H(+) -&gt; ethyl pentanoate + CoA + akg + 5H2O + 6NAD(+)</t>
  </si>
  <si>
    <t xml:space="preserve">(took styrene pathway and then added this: https://www.genome.jp/dbget-bin/www_bget?rn:R05424 )</t>
  </si>
  <si>
    <t xml:space="preserve">skm + atp -&gt; s3p (shikimate 3-phosphate) + adp + H(+)</t>
  </si>
  <si>
    <t xml:space="preserve">s3p + pep + H &lt;-&gt; EPSP (5-enolpyruvylshikimate-3-phosphate) + phosphite</t>
  </si>
  <si>
    <t xml:space="preserve">EPSP -&gt; chorismate + phosphite + H(+)</t>
  </si>
  <si>
    <t xml:space="preserve">chorismate &lt;-&gt; pphn (Prephenate)</t>
  </si>
  <si>
    <t xml:space="preserve">glu__L + pphn &lt;-&gt; C10H12NO5 (L-Arogenate) + akg</t>
  </si>
  <si>
    <t xml:space="preserve">L-Arogenate + H -&gt; phe__L + h2o + co2</t>
  </si>
  <si>
    <t xml:space="preserve">phe__L -&gt; cinnamate + nh4</t>
  </si>
  <si>
    <t xml:space="preserve">cinnamate + H -&gt; styrene + co2</t>
  </si>
  <si>
    <t xml:space="preserve">styrene + H(+) + nadh &lt;-&gt; ethylbenzene + nad(+)</t>
  </si>
  <si>
    <t xml:space="preserve">https://www.genome.jp/dbget-bin/www_bget?rn:R09784</t>
  </si>
  <si>
    <t xml:space="preserve">akg + O2 + 2H(+) -&gt; ethylene + 3CO2 + H2O</t>
  </si>
  <si>
    <t xml:space="preserve">(S)-3-Hydroxyoctanoyl-CoA -&gt;C29H44N7O17P3S(4-) (octenoyl-CoA) + H2O</t>
  </si>
  <si>
    <t xml:space="preserve">octenoyl-CoA + nadh + H(+) &lt;-&gt; C29H46N7O17P3S(4-)(octanoyl-coa) + nad(+)</t>
  </si>
  <si>
    <t xml:space="preserve">octanoyl-coa + h2o &lt;-&gt; octanoate + coa + H(+)</t>
  </si>
  <si>
    <t xml:space="preserve">octanoate + nadph + 2H(+) &lt;-&gt; octanal + nadp(+) + h2o</t>
  </si>
  <si>
    <t xml:space="preserve">octanal + h2o &lt;-&gt; heptane + formate + H(+)</t>
  </si>
  <si>
    <t xml:space="preserve">https://www.genome.jp/kegg-bin/show_pathway?map00365+C11101</t>
  </si>
  <si>
    <t xml:space="preserve">akg + coa &lt;-&gt; C26H34N7O20P3S(-6)(2-oxoglutaryl-CoA) + h2o</t>
  </si>
  <si>
    <t xml:space="preserve">2-oxoglutaryl-CoA &lt;-&gt; C26H32N7O19P3S(-6)(5-hydroxy-2-furoyl-CoA) + h2o</t>
  </si>
  <si>
    <t xml:space="preserve">5-hydroxy-2-furoyl-CoA + nadh &lt;-&gt; C26H31N7O18P3S(-7)(2-furoyl-CoA) + nad + h2o</t>
  </si>
  <si>
    <t xml:space="preserve">2-furoyl-CoA + ppi + amp + 3H &lt;-&gt; C5H3O3(-)(2-furoate) + coa + atp</t>
  </si>
  <si>
    <t xml:space="preserve">2-furoate + co2 &lt;-&gt; C6H3O5(-)(2,5-furandicarboxylate)</t>
  </si>
  <si>
    <t xml:space="preserve">2,5-furandicarboxylate + 3H2O2 + H(+) &lt;-&gt; HMF + 3O2 + 2H2O</t>
  </si>
  <si>
    <t xml:space="preserve">https://www.nature.com/articles/s41929-018-0212-4#Sec2</t>
  </si>
  <si>
    <t xml:space="preserve">mob3 (3mob) + H(+) -&gt; C4H8O (isobutyraldehyde) + co2</t>
  </si>
  <si>
    <t xml:space="preserve">isobutyraldehyde + nadh + H -&gt; isobutanol + nad</t>
  </si>
  <si>
    <t xml:space="preserve">Isobutyl Acetate</t>
  </si>
  <si>
    <t xml:space="preserve">6accoa + 2pyr + 14nadh + 16H(+) -&gt; 3isobutyl acetate + 6coa + 6h2o + 14nad</t>
  </si>
  <si>
    <t xml:space="preserve">Isobutyl butanoate</t>
  </si>
  <si>
    <t xml:space="preserve">accoa + 2pyr + 8nadh + 10H -&gt; isobutyl butanoate + coa + 5h2o + 8nad</t>
  </si>
  <si>
    <t xml:space="preserve">Isobutyl pentanoate</t>
  </si>
  <si>
    <t xml:space="preserve">accoa + pyr + oaa + 11nadh + 14H -&gt; coa + 7h2o + 11nad + isobutyl pentanoate</t>
  </si>
  <si>
    <t xml:space="preserve">https://link.springer.com/article/10.1007/s00253-011-3199-1</t>
  </si>
  <si>
    <t xml:space="preserve">dmpp -&gt; diphosphate + isoprene</t>
  </si>
  <si>
    <t xml:space="preserve">Itaconic acid</t>
  </si>
  <si>
    <t xml:space="preserve">https://www.genome.jp/kegg-bin/show_pathway?map00660+C00490</t>
  </si>
  <si>
    <t xml:space="preserve">pyr + accoa -&gt; C26H37N7O20P3S(-5)(citramolyl-CoA)</t>
  </si>
  <si>
    <t xml:space="preserve">citramoyl-CoA -&gt; C26H35N7O19P3S(-5)(itaconyl-CoA) + h2o</t>
  </si>
  <si>
    <t xml:space="preserve">itaconyl-CoA + ac &lt;-&gt; accoa + itaconate</t>
  </si>
  <si>
    <t xml:space="preserve">Levulinic acid</t>
  </si>
  <si>
    <t xml:space="preserve">FIG 5:</t>
  </si>
  <si>
    <t xml:space="preserve">https://reader.elsevier.com/reader/sd/pii/S1364032115006048?token=0C0DBD2713B334A0234794CF2E59C21207218A9B5535235B70F12F556422AC0C38065E4A98EF48FA950E03BCFF581021 </t>
  </si>
  <si>
    <t xml:space="preserve">5-Amino-4-oxopentanoate + nadh + H -&gt; levulinate + ammonium + nad</t>
  </si>
  <si>
    <t xml:space="preserve">grdp &lt;-&gt; limonene + diphosphate</t>
  </si>
  <si>
    <t xml:space="preserve">Mycrene</t>
  </si>
  <si>
    <t xml:space="preserve">grdp &lt;-&gt; mycrene + diphosphate</t>
  </si>
  <si>
    <t xml:space="preserve">(S)-3-Hydroxydecanoyl-CoA &lt;-&gt; C31H48N7O17P3S(4-)(decenoyl-coa) + h2o</t>
  </si>
  <si>
    <t xml:space="preserve">decenoyl-coa + nadh + H &lt;-&gt; decanoyl-coa + nad</t>
  </si>
  <si>
    <t xml:space="preserve">decanoyl-coa + h2o &lt;-&gt; decanoate + coa + H</t>
  </si>
  <si>
    <t xml:space="preserve">decanoate + nadph + 2H &lt;-&gt; decanal + nadp + h2o</t>
  </si>
  <si>
    <t xml:space="preserve">decanal + h2o &lt;-&gt; nonane + formate + H</t>
  </si>
  <si>
    <t xml:space="preserve">(S)-3-Hydroxyhexanoyl-CoA &lt;-&gt; hexenoyl-coa + h2o</t>
  </si>
  <si>
    <t xml:space="preserve">hexenoyl-coa + nadh + H &lt;-&gt; hexanoyl-coa + nad</t>
  </si>
  <si>
    <t xml:space="preserve">hexanoyl-coa + h2o &lt;-&gt; hexanoate + coa + H</t>
  </si>
  <si>
    <t xml:space="preserve">hexanoate + nadph + 2H &lt;-&gt; hexanal + NADP + h2o</t>
  </si>
  <si>
    <t xml:space="preserve">hexanal + h2o &lt;-&gt; pentane + formate + H</t>
  </si>
  <si>
    <t xml:space="preserve">accoa + pyr + 6nadh + 7H -&gt; pentanol + coa + 3h2o + 6nad</t>
  </si>
  <si>
    <t xml:space="preserve">Pentyl Pentanoate</t>
  </si>
  <si>
    <t xml:space="preserve">accoa + 18.0 H + 14.0 nadh + 2.0 oaa -&gt; coa_c + 9.0 h2o+ 14.0 nad + pentyl pentanoate</t>
  </si>
  <si>
    <t xml:space="preserve">https://onlinelibrary.wiley.com/doi/epdf/10.1002/biot.201300263</t>
  </si>
  <si>
    <t xml:space="preserve">ADP + D-Erythrose 4-phosphate + 2.0 H+ + Phosphoenolpyruvate &lt;=&gt; ATP + 3-Deoxy-D-arabino-heptulosonic acid 7-phosphate</t>
  </si>
  <si>
    <t xml:space="preserve">3-Deoxy-D-arabino-heptulosonic acid 7-phosphate &lt;=&gt; 3-Dehydroquinate + 2.0 H+ + phosphate</t>
  </si>
  <si>
    <t xml:space="preserve">3-Dehydroquinate &lt;=&gt; 3-Dehydroshikimate + H2O</t>
  </si>
  <si>
    <t xml:space="preserve">3-Dehydroshikimate + H(+) + NADPH &lt;=&gt; NADP(+) + Shikimate</t>
  </si>
  <si>
    <t xml:space="preserve">phosphite + Shikimate &lt;=&gt; H(+) + Shikimate 5-phosphate</t>
  </si>
  <si>
    <t xml:space="preserve">Phosphoenolpyruvate + Shikimate 5-phosphate &lt;=&gt; 5-enolpyruvylshikimate-3-phosphate + phosphate</t>
  </si>
  <si>
    <t xml:space="preserve">5-enolpyruvylshikimate-3-phosphate &lt;=&gt; Chorismate + 2.0 H(+) + phosphate</t>
  </si>
  <si>
    <t xml:space="preserve">Chorismate &lt;=&gt; Prephenate</t>
  </si>
  <si>
    <t xml:space="preserve">NAD + Prephenate &lt;=&gt; 3-(4-Hydroxyphenyl)pyruvate + CO2 + NADH</t>
  </si>
  <si>
    <t xml:space="preserve">3-(4-Hydroxyphenyl)pyruvate + L-Alanine &lt;=&gt; Pyruvate + L-Tyrosine</t>
  </si>
  <si>
    <t xml:space="preserve">H2O + L-Tyrosine &lt;=&gt; Ammonium + phenol + Pyruvate</t>
  </si>
  <si>
    <t xml:space="preserve">Polylactic Acid</t>
  </si>
  <si>
    <t xml:space="preserve">https://onlinelibrary.wiley.com/doi/epdf/10.1002/bit.22548</t>
  </si>
  <si>
    <t xml:space="preserve">Acetyl-CoA + L-Lactate &lt;=&gt; Acetate + lactyl-CoA</t>
  </si>
  <si>
    <t xml:space="preserve">lactyl-CoA &lt;=&gt; Coenzyme A + polylactic acid</t>
  </si>
  <si>
    <t xml:space="preserve">https://www.ncbi.nlm.nih.gov/pmc/articles/PMC4818529/</t>
  </si>
  <si>
    <t xml:space="preserve">Acetate + Butanoyl-CoA &lt;=&gt; Acetyl-CoA + butyrate</t>
  </si>
  <si>
    <t xml:space="preserve">butyrate + 2.0 H(+) + NADH &lt;=&gt; butyraldehyde + H2O + NAD(+)</t>
  </si>
  <si>
    <t xml:space="preserve">butyraldehyde + H(+) + 2.0NADPH + O2 &lt;=&gt; Formate + H2O + 2.0 NADP(+) + propane</t>
  </si>
  <si>
    <t xml:space="preserve">Propyl Butanoate</t>
  </si>
  <si>
    <t xml:space="preserve">3.0 Acetyl-CoA + 8.0 H(+) + 7.0 NADH + Oxaloacetate &lt;=&gt; 3.0 Coenzyme A + 3.0 H2O H2O + 7.0 NAD + propyl butanoate + Pyruvate</t>
  </si>
  <si>
    <t xml:space="preserve">https://www.sciencedirect.com/science/article/pii/S1096717611000711</t>
  </si>
  <si>
    <t xml:space="preserve">https://www.nature.com/articles/srep13670</t>
  </si>
  <si>
    <t xml:space="preserve">L-Tyrosine &lt;=&gt; coumarate + Ammonium</t>
  </si>
  <si>
    <t xml:space="preserve">coumarate + H2O + NAD &lt;=&gt; caffeate + H(+) + NADH</t>
  </si>
  <si>
    <t xml:space="preserve">S-Adenosyl-L-methionine + caffeate &lt;=&gt; S-Adenosyl-L-homocysteine + ferulate + H(+)</t>
  </si>
  <si>
    <t xml:space="preserve">ATP + Coenzyme A + ferulate &lt;=&gt; ADP + Phosphate + trans feruloyl-CoA</t>
  </si>
  <si>
    <t xml:space="preserve">H2O + trans feruloyl-CoA &lt;=&gt; 4-hydroxy-3-methoxyphenyl-beta-hydroxypropionyl-CoA</t>
  </si>
  <si>
    <t xml:space="preserve">4-hydroxy-3-methoxyphenyl-beta-hydroxypropionyl-CoA &lt;=&gt; Acetyl-CoA + vanillin</t>
  </si>
  <si>
    <t xml:space="preserve">Xylene</t>
  </si>
  <si>
    <t xml:space="preserve">https://www.genome.jp/kegg-bin/show_pathway?map00622+C00479</t>
  </si>
  <si>
    <t xml:space="preserve">ATP + H(+) + Propionate (n-C3:0) &lt;=&gt; Diphosphate + Propionyladenylate</t>
  </si>
  <si>
    <t xml:space="preserve">Coenzyme A + Propionyladenylate &lt;=&gt; AMP + H(+) + Propanoyl-CoA</t>
  </si>
  <si>
    <t xml:space="preserve">H(+) + NADH + Propanoyl-CoA &lt;=&gt; Coenzyme A + NAD + Propanal</t>
  </si>
  <si>
    <t xml:space="preserve">Propanal + Pyruvate &lt;=&gt; 4-hydroxy-2-oxohexanoate</t>
  </si>
  <si>
    <t xml:space="preserve">4-hydroxy-2-oxohexanoate &lt;=&gt; 2-hydroxy-cis-hex-2,4-dienoate + H2O</t>
  </si>
  <si>
    <t xml:space="preserve">2-hydroxy-cis-hex-2,4-dienoate + CO2 CO2 &lt;=&gt; 2-oxo-5-methyl-cis-muconate</t>
  </si>
  <si>
    <t xml:space="preserve">2-oxo-5-methyl-cis-muconate &lt;=&gt; 2-hydroxy-5-methyl-cis,cis-muconate</t>
  </si>
  <si>
    <t xml:space="preserve">2-hydroxy-5-methyl-cis,cis-muconate + 2.0 H(+) + NADH &lt;=&gt; 2-hydroxy-5-methyl-cis,cis-muconic semialdehyde + H2O + NAD</t>
  </si>
  <si>
    <t xml:space="preserve">2-hydroxy-5-methyl-cis,cis-muconic semialdehyde &lt;=&gt; 4-methylcatechol + O2</t>
  </si>
  <si>
    <t xml:space="preserve">4-methylcatechol + CO2 + NADH &lt;=&gt; cis-1,2-dihydroxy-4-methylcyclohexa-3,5-diene-1-carboxylate + NAD</t>
  </si>
  <si>
    <t xml:space="preserve">cis-1,2-dihydroxy-4-methylcyclohexa-3,5-diene-1-carboxylate + NAD &lt;=&gt; H(+) + NADH + O2 + toluate</t>
  </si>
  <si>
    <t xml:space="preserve">2.0 H(+) + NADPH + toluate &lt;=&gt; H2O H2O + NADP + p-tolualdehyde</t>
  </si>
  <si>
    <t xml:space="preserve">H(+) + NADH + p-tolualdehyde &lt;=&gt; 4-methylbenzyl alcohol + NAD</t>
  </si>
  <si>
    <t xml:space="preserve">4-methylbenzyl alcohol + H2O + NAD &lt;=&gt; H(+) + NADH + O2 + p-xylene</t>
  </si>
  <si>
    <t xml:space="preserve">AUSTIN</t>
  </si>
  <si>
    <t xml:space="preserve">1,3- Propanediol</t>
  </si>
  <si>
    <t xml:space="preserve">https://www.nature.com/articles/s41929-018-0212-4 </t>
  </si>
  <si>
    <t xml:space="preserve">(Lee Paper)</t>
  </si>
  <si>
    <t xml:space="preserve">Glycerol &lt;=&gt; 3-hydroxypropanal + H2O</t>
  </si>
  <si>
    <t xml:space="preserve">3-hydroxypropanal + NADH + H+ &lt;=&gt; 1,3-propanediol + NAD</t>
  </si>
  <si>
    <t xml:space="preserve"> https://microbialcellfactories.biomedcentral.com/articles/10.1186/s12934-019-1054-8</t>
  </si>
  <si>
    <t xml:space="preserve">Acetoacetate + H+ &lt;=&gt; Acetone + CO2</t>
  </si>
  <si>
    <t xml:space="preserve">Acrylic Acid</t>
  </si>
  <si>
    <t xml:space="preserve">https://www.sciencedirect.com/science/article/pii/S1096717615001020</t>
  </si>
  <si>
    <t xml:space="preserve">3-hydroxypropanal + NAD + H2O &lt;=&gt; 3-Hydroxypropanoate + NADH + 2H+</t>
  </si>
  <si>
    <t xml:space="preserve">3-Hydroxypropanoyl-CoA &lt;=&gt; Acrylyl-CoA + H2O</t>
  </si>
  <si>
    <t xml:space="preserve">Acrylyl-CoA + H2O &lt;=&gt; Acrylic acid + CoA</t>
  </si>
  <si>
    <t xml:space="preserve">Gamma-Hydroxybutyrate + ATP + CoA &lt;=&gt; 4-hydroxybutyryl-CoA + ADP + Phosphate</t>
  </si>
  <si>
    <t xml:space="preserve">4-hydroxybutyryl-CoA &lt;=&gt; Gamma-Butyrolactone + CoA</t>
  </si>
  <si>
    <t xml:space="preserve">https://www.ncbi.nlm.nih.gov/pmc/articles/PMC101949/</t>
  </si>
  <si>
    <t xml:space="preserve">https://www.sciencedirect.com/science/article/pii/S1937644810810056</t>
  </si>
  <si>
    <t xml:space="preserve">https://www.sciencedirect.com/science/article/pii/B9780123814661000286</t>
  </si>
  <si>
    <t xml:space="preserve">3-Hydroxy-3-methylglutaryl-CoA + 2NADH + 2H+ &lt;=&gt; Mevalonate + CoA + 2NAD</t>
  </si>
  <si>
    <t xml:space="preserve">5-Phosphomevalonate + ATP &lt;=&gt; Mevalonate diphosphate + ADP</t>
  </si>
  <si>
    <t xml:space="preserve">Mevalonate diphosphate + ATP &lt;=&gt; Isopentenyl diphosphate + CO2 + ADP + Phosphate</t>
  </si>
  <si>
    <t xml:space="preserve">2 Geranylgeranyl diphosphate &lt;=&gt; 15-cis-phytoene + 2 Diphosphates</t>
  </si>
  <si>
    <t xml:space="preserve">15-cis-phytoene + 4 FAD &lt;=&gt; Lycopene + 4 FADH2</t>
  </si>
  <si>
    <t xml:space="preserve">realistically could probably be any two-electron carrier e.g.</t>
  </si>
  <si>
    <t xml:space="preserve">Lycopene  &lt;=&gt; Beta-carotene</t>
  </si>
  <si>
    <t xml:space="preserve">Farnesane</t>
  </si>
  <si>
    <t xml:space="preserve">Isobutyric Acid</t>
  </si>
  <si>
    <t xml:space="preserve">3-Methyl-2-oxobutanoate + 2NAD + CoA &lt;=&gt; Isobutyryl-CoA + CO2 + 2NADH + H+</t>
  </si>
  <si>
    <t xml:space="preserve">(Ferredoxins should be used as the electron carrier here instead of NAD but they require a lot more work to model)</t>
  </si>
  <si>
    <t xml:space="preserve">https://microbialcellfactories.biomedcentral.com/articles/10.1186/s12934-019-1054-8</t>
  </si>
  <si>
    <t xml:space="preserve">(Same paper as Acetone)</t>
  </si>
  <si>
    <t xml:space="preserve">Benzoic Acid</t>
  </si>
  <si>
    <t xml:space="preserve">https://onlinelibrary.wiley.com/doi/abs/10.1111/tpj.14506</t>
  </si>
  <si>
    <t xml:space="preserve">L-Phenylalanine &lt;=&gt; Cinnamate + Ammonium</t>
  </si>
  <si>
    <t xml:space="preserve">Cinnamate + H2O &lt;=&gt; 3-Hydroxy-3-phenylpropanoate</t>
  </si>
  <si>
    <t xml:space="preserve">3-Hydroxy-3-phenylpropanoate &lt;=&gt; Benzaldehyde + Acetate</t>
  </si>
  <si>
    <t xml:space="preserve">Benzaldehyde + NAD + H2O &lt;=&gt; Benzoic acid + NADH + H+</t>
  </si>
  <si>
    <t xml:space="preserve">cis-cis Muconic Acid</t>
  </si>
  <si>
    <t xml:space="preserve">3-Dehydroshikimate &lt;=&gt; Protocatechuate + H2O</t>
  </si>
  <si>
    <t xml:space="preserve">Protocatechuate + H+ &lt;=&gt; Catechol + CO2</t>
  </si>
  <si>
    <t xml:space="preserve">Catechol + O2 &lt;=&gt; Cis-cis muconic acid</t>
  </si>
  <si>
    <t xml:space="preserve">2-Pyrone-4,6-dicarboxylic acid</t>
  </si>
  <si>
    <t xml:space="preserve">https://pubs.acs.org/doi/10.1021/acssynbio.8b00281</t>
  </si>
  <si>
    <t xml:space="preserve">Protocatechuate + O2 &lt;=&gt; 4-carboxy-2-hydroxymuconate-6-semialdehyde + H+</t>
  </si>
  <si>
    <t xml:space="preserve">4-carboxy-2-hydroxymuconate-6-semialdehyde + NADP + H+ &lt;=&gt; 2-Pyrone-4,6-dicarboxylic acid + NADPH </t>
  </si>
  <si>
    <t xml:space="preserve">https://pubmed.ncbi.nlm.nih.gov/18758769/</t>
  </si>
  <si>
    <t xml:space="preserve">3-Methyl-2-oxopentanoate + H+ &lt;=&gt; 2-Methylbutanal + CO2</t>
  </si>
  <si>
    <t xml:space="preserve">2-Methylbutanal + NADH + H &lt;=&gt; 2-Methylbutanol + NAD</t>
  </si>
  <si>
    <t xml:space="preserve">https://www.ncbi.nlm.nih.gov/pmc/articles/PMC2634914/?tool=pmcentrez&amp;report=abstract</t>
  </si>
  <si>
    <t xml:space="preserve">3-Methyl-2-oxopentanoate + Acetyl-CoA + H2O &lt;=&gt; 2-Sec-butyl-2-hydroxysuccinate + CoA + H+</t>
  </si>
  <si>
    <t xml:space="preserve">2-Sec-butyl-2-hydroxysuccinate &lt;=&gt; 2-Sec-butyl-2-butenedioate + H2O</t>
  </si>
  <si>
    <t xml:space="preserve">2-Sec-butyl-2-butenedioate+ H2O &lt;=&gt; 2-[(2S)-2-butanyl]-3-hydroxysuccinate</t>
  </si>
  <si>
    <t xml:space="preserve">2-[(2S)-2-butanyl]-3-hydroxysuccinate + NAD &lt;=&gt; 2-Isopropyl-3-oxosuccinate+1C + NADH + H+</t>
  </si>
  <si>
    <t xml:space="preserve">2-Isopropyl-3-oxosuccinate+1C + H+ &lt;=&gt; 4-Methyl-2-oxohexanoate + CO2</t>
  </si>
  <si>
    <t xml:space="preserve">4-Methyl-2-oxohexanoate + H+ &lt;=&gt; 3-Methylpentanal + CO2</t>
  </si>
  <si>
    <t xml:space="preserve">3-Methylpentanal + NADPH + H &lt;=&gt; 3-Methyl-1-pentanol + NADP</t>
  </si>
  <si>
    <t xml:space="preserve">Malonic Acid</t>
  </si>
  <si>
    <t xml:space="preserve">https://pubs.acs.org/doi/10.1021/acssynbio.6b00007</t>
  </si>
  <si>
    <t xml:space="preserve">Malonate semialdehyde + NAD + H2O &lt;=&gt; Malonic acid + NADH</t>
  </si>
  <si>
    <t xml:space="preserve">Glutaric Acid</t>
  </si>
  <si>
    <t xml:space="preserve">Glutarate semialdehyde + NAD + H2O &lt;=&gt; Glutaric acid + NADH</t>
  </si>
  <si>
    <t xml:space="preserve">5-Aminovaleric Acid</t>
  </si>
  <si>
    <t xml:space="preserve">L-Proline + NAD -&gt; 1-Pyrroline-2-carboxylate + NADH + 2H+</t>
  </si>
  <si>
    <t xml:space="preserve">OR</t>
  </si>
  <si>
    <t xml:space="preserve">L-Proline -&gt; D-Proline</t>
  </si>
  <si>
    <t xml:space="preserve">1-Pyrroline-2-carboxylate + Ubiquinol + H+ -&gt; D-Proline + Ubiquinone</t>
  </si>
  <si>
    <t xml:space="preserve">D-Proline + PrdC protein with thiol/selenol residues -&gt;  5-Aminovaleric Acid + a PrdC protein with a selenide-sulfide bridge</t>
  </si>
  <si>
    <t xml:space="preserve">(Not sure what this protein is or should be)</t>
  </si>
  <si>
    <t xml:space="preserve">https://www.nature.com/articles/srep13040</t>
  </si>
  <si>
    <t xml:space="preserve">L-Aspartate-4-semialdehyde + L-Glutamate &lt;=&gt; L-2,4-diaminobutanoate + 2-Oxoglutarate </t>
  </si>
  <si>
    <t xml:space="preserve">L-2,4-diaminobutanoate &lt;=&gt; 1,3-Diaminopropane + CO2 + H+</t>
  </si>
  <si>
    <t xml:space="preserve">mmol/gDw.h</t>
  </si>
  <si>
    <t xml:space="preserve">mg/gDw.h</t>
  </si>
  <si>
    <t xml:space="preserve">mol/mol</t>
  </si>
  <si>
    <t xml:space="preserve">g/mol</t>
  </si>
  <si>
    <t xml:space="preserve">Product</t>
  </si>
  <si>
    <t xml:space="preserve">MOL FLUX</t>
  </si>
  <si>
    <t xml:space="preserve">MASS FLUX</t>
  </si>
  <si>
    <t xml:space="preserve">EX_name</t>
  </si>
  <si>
    <t xml:space="preserve">SBML file name</t>
  </si>
  <si>
    <t xml:space="preserve">YIELDS</t>
  </si>
  <si>
    <t xml:space="preserve">MOLAR MASS</t>
  </si>
  <si>
    <t xml:space="preserve">FINAL METABOLITE</t>
  </si>
  <si>
    <t xml:space="preserve">phenol</t>
  </si>
  <si>
    <t xml:space="preserve">phenol.xml</t>
  </si>
  <si>
    <t xml:space="preserve">styrene</t>
  </si>
  <si>
    <t xml:space="preserve">EX_styrene_e</t>
  </si>
  <si>
    <t xml:space="preserve">styrene.xml</t>
  </si>
  <si>
    <t xml:space="preserve">isobutanol.xml</t>
  </si>
  <si>
    <t xml:space="preserve">catechol.xml</t>
  </si>
  <si>
    <t xml:space="preserve">1_propanol.xml</t>
  </si>
  <si>
    <t xml:space="preserve">EX_adipic_e</t>
  </si>
  <si>
    <t xml:space="preserve">adipic_acid.xml</t>
  </si>
  <si>
    <t xml:space="preserve">Polylactic acid</t>
  </si>
  <si>
    <t xml:space="preserve">EX_polylactic_e</t>
  </si>
  <si>
    <t xml:space="preserve">polylactic_acid.xml</t>
  </si>
  <si>
    <t xml:space="preserve">EX_13btdl_e</t>
  </si>
  <si>
    <t xml:space="preserve">1_3_butanediol.xml</t>
  </si>
  <si>
    <t xml:space="preserve">EX_23btdl_e</t>
  </si>
  <si>
    <t xml:space="preserve">2_3_butanediol.xml</t>
  </si>
  <si>
    <t xml:space="preserve">EX_14btdl_e</t>
  </si>
  <si>
    <t xml:space="preserve">1_4_butanediol.xml</t>
  </si>
  <si>
    <t xml:space="preserve">EX_levulinate_e</t>
  </si>
  <si>
    <t xml:space="preserve">levulinic_acid.xml</t>
  </si>
  <si>
    <t xml:space="preserve">butanol.xml</t>
  </si>
  <si>
    <t xml:space="preserve">EX_ptoh_e</t>
  </si>
  <si>
    <t xml:space="preserve">pentanol.xml</t>
  </si>
  <si>
    <t xml:space="preserve">Ethyl acetate</t>
  </si>
  <si>
    <t xml:space="preserve">EX_ethac_e</t>
  </si>
  <si>
    <t xml:space="preserve">ethyl_acetate.xml</t>
  </si>
  <si>
    <t xml:space="preserve">Isobutyl acetate</t>
  </si>
  <si>
    <t xml:space="preserve">isobutyl_acetate.xml</t>
  </si>
  <si>
    <t xml:space="preserve">EX_ethbt_e</t>
  </si>
  <si>
    <t xml:space="preserve">ethyl_butanoate.xml</t>
  </si>
  <si>
    <t xml:space="preserve">EX_butyl_but_e</t>
  </si>
  <si>
    <t xml:space="preserve">butyl_butanoate.xml</t>
  </si>
  <si>
    <t xml:space="preserve">EX_ibutbu_e</t>
  </si>
  <si>
    <t xml:space="preserve">isobutyl_butanoate.xml</t>
  </si>
  <si>
    <t xml:space="preserve">Propyl butanoate</t>
  </si>
  <si>
    <t xml:space="preserve">EX_propyl_but_e</t>
  </si>
  <si>
    <t xml:space="preserve">propyl_butanoate.xml</t>
  </si>
  <si>
    <t xml:space="preserve">EX_ethpt_e</t>
  </si>
  <si>
    <t xml:space="preserve">ethyl_pentanoate.xml</t>
  </si>
  <si>
    <t xml:space="preserve">EX_iso_pent_e</t>
  </si>
  <si>
    <t xml:space="preserve">isobutyl_pentanoate.xml</t>
  </si>
  <si>
    <t xml:space="preserve">Pentyl pentanoate</t>
  </si>
  <si>
    <t xml:space="preserve">EX_pentyl_pent_e</t>
  </si>
  <si>
    <t xml:space="preserve">pentyl_pentanoate.xml</t>
  </si>
  <si>
    <t xml:space="preserve">propane.xml</t>
  </si>
  <si>
    <t xml:space="preserve">EX_isoprene_e</t>
  </si>
  <si>
    <t xml:space="preserve">isoprene.xml</t>
  </si>
  <si>
    <t xml:space="preserve">vanillin.xml</t>
  </si>
  <si>
    <t xml:space="preserve">itaconic_acid.xml</t>
  </si>
  <si>
    <t xml:space="preserve">EX_HMF_e</t>
  </si>
  <si>
    <t xml:space="preserve">HMF.xml</t>
  </si>
  <si>
    <t xml:space="preserve">EX_ethe_e</t>
  </si>
  <si>
    <t xml:space="preserve">ethylene.xml</t>
  </si>
  <si>
    <t xml:space="preserve">EX_ethylbenzene_e</t>
  </si>
  <si>
    <t xml:space="preserve">ethylbenzene.xml</t>
  </si>
  <si>
    <t xml:space="preserve">n-Nonane</t>
  </si>
  <si>
    <t xml:space="preserve">nonane.xml</t>
  </si>
  <si>
    <t xml:space="preserve">n-Heptane</t>
  </si>
  <si>
    <t xml:space="preserve">heptane.xml</t>
  </si>
  <si>
    <t xml:space="preserve">n-Butane</t>
  </si>
  <si>
    <t xml:space="preserve">butane.xml</t>
  </si>
  <si>
    <t xml:space="preserve">n-Pentane</t>
  </si>
  <si>
    <t xml:space="preserve">pentane.xml</t>
  </si>
  <si>
    <t xml:space="preserve">xylene.xml</t>
  </si>
  <si>
    <t xml:space="preserve">EX_mycrene_e</t>
  </si>
  <si>
    <t xml:space="preserve">mycrene.xml</t>
  </si>
  <si>
    <t xml:space="preserve">limonene.xml</t>
  </si>
  <si>
    <t xml:space="preserve">alpha-Pinene</t>
  </si>
  <si>
    <t xml:space="preserve">-</t>
  </si>
  <si>
    <t xml:space="preserve">beta-Pinene</t>
  </si>
  <si>
    <t xml:space="preserve">Camphene</t>
  </si>
  <si>
    <t xml:space="preserve">alpha-farnesene</t>
  </si>
  <si>
    <t xml:space="preserve">EX_farnesene_e</t>
  </si>
  <si>
    <t xml:space="preserve">alpha_farnesene.xml</t>
  </si>
  <si>
    <t xml:space="preserve">beta-farnesene</t>
  </si>
  <si>
    <t xml:space="preserve">epi-Isozizaene</t>
  </si>
  <si>
    <t xml:space="preserve">alpha-Bisabolene</t>
  </si>
  <si>
    <t xml:space="preserve">beta-Bisabolene</t>
  </si>
  <si>
    <t xml:space="preserve">gamma-Bisabolene</t>
  </si>
  <si>
    <t xml:space="preserve">beta-Macrocarpene</t>
  </si>
  <si>
    <t xml:space="preserve">Trichodiene</t>
  </si>
  <si>
    <t xml:space="preserve">Amorpha-4,11-diene</t>
  </si>
  <si>
    <t xml:space="preserve">alpha-Santalene</t>
  </si>
  <si>
    <t xml:space="preserve">alpha-Barbatene</t>
  </si>
  <si>
    <t xml:space="preserve">beta-Chamigrene</t>
  </si>
  <si>
    <t xml:space="preserve">Thujopsene</t>
  </si>
  <si>
    <t xml:space="preserve">EX_casbene_e</t>
  </si>
  <si>
    <t xml:space="preserve">casbene.xml</t>
  </si>
  <si>
    <t xml:space="preserve">Cembrene</t>
  </si>
  <si>
    <t xml:space="preserve">Stemar-13-ene</t>
  </si>
  <si>
    <t xml:space="preserve">Stemod-13(17)-ene</t>
  </si>
  <si>
    <t xml:space="preserve">9beta-Pimara-7,15-diene</t>
  </si>
  <si>
    <t xml:space="preserve">2,4-dien-1-yl-decahydronaphthalene</t>
  </si>
  <si>
    <t xml:space="preserve">ent-Pimara-8(14),15-diene</t>
  </si>
  <si>
    <t xml:space="preserve">ent-Cassa-12,15-diene</t>
  </si>
  <si>
    <t xml:space="preserve">Taxa-4,11-diene</t>
  </si>
  <si>
    <t xml:space="preserve">1_3_propanediol.xml</t>
  </si>
  <si>
    <t xml:space="preserve">acetone.xml</t>
  </si>
  <si>
    <t xml:space="preserve">Acrylic acid </t>
  </si>
  <si>
    <t xml:space="preserve">acrylic_acid_1.xml</t>
  </si>
  <si>
    <t xml:space="preserve">Ethylene Glycol </t>
  </si>
  <si>
    <t xml:space="preserve">Pathway 1 uses XYLOSE as an input so is on hold for now, see alternative pathway for EG for results</t>
  </si>
  <si>
    <t xml:space="preserve">gamma_butyrolactone.xml</t>
  </si>
  <si>
    <t xml:space="preserve">Gamma-Hydroxybutyrate</t>
  </si>
  <si>
    <t xml:space="preserve">Beta-Carosene</t>
  </si>
  <si>
    <t xml:space="preserve">beta_carotene.xml</t>
  </si>
  <si>
    <t xml:space="preserve">Farnesyl-Diphosphate</t>
  </si>
  <si>
    <t xml:space="preserve">Farnesene </t>
  </si>
  <si>
    <t xml:space="preserve">farnesene.xml</t>
  </si>
  <si>
    <t xml:space="preserve">Isobutyric Acid (Isobutyrate)</t>
  </si>
  <si>
    <t xml:space="preserve">isobutyrate.xml</t>
  </si>
  <si>
    <t xml:space="preserve">isopropanol.xml</t>
  </si>
  <si>
    <t xml:space="preserve">Benzoic acid</t>
  </si>
  <si>
    <t xml:space="preserve">benzoic_acid.xml</t>
  </si>
  <si>
    <t xml:space="preserve">L-Phenylalanine</t>
  </si>
  <si>
    <t xml:space="preserve">cis,cis- Muconic Acid</t>
  </si>
  <si>
    <t xml:space="preserve">muconic_acid.xml</t>
  </si>
  <si>
    <t xml:space="preserve">pyrone_2_4_6_dicarboxylic_acid.xml</t>
  </si>
  <si>
    <t xml:space="preserve">Butyrolactam</t>
  </si>
  <si>
    <t xml:space="preserve">Caprolactam</t>
  </si>
  <si>
    <t xml:space="preserve">1,2,4-Butanetriol</t>
  </si>
  <si>
    <t xml:space="preserve">methyl_2_butanol.xml</t>
  </si>
  <si>
    <t xml:space="preserve">3-Methyl-2-oxopentanoate</t>
  </si>
  <si>
    <t xml:space="preserve">(On Lee map closest is 2-Ketobutyric Acid)</t>
  </si>
  <si>
    <t xml:space="preserve">methyl_3_1_pentanol.xml</t>
  </si>
  <si>
    <t xml:space="preserve">malonic_acid.xml</t>
  </si>
  <si>
    <t xml:space="preserve">glutaric_acid_1.xml</t>
  </si>
  <si>
    <t xml:space="preserve">5_aminovaleric_acid_1.xml</t>
  </si>
  <si>
    <t xml:space="preserve">1_3_diaminopropane.xml</t>
  </si>
  <si>
    <t xml:space="preserve">Aspartate Semialdehyde</t>
  </si>
  <si>
    <t xml:space="preserve">catechol</t>
  </si>
  <si>
    <t xml:space="preserve">adipic acid</t>
  </si>
  <si>
    <t xml:space="preserve">levulinic acid</t>
  </si>
  <si>
    <t xml:space="preserve">ethylene</t>
  </si>
  <si>
    <t xml:space="preserve">propane</t>
  </si>
  <si>
    <t xml:space="preserve">vanillin</t>
  </si>
  <si>
    <t xml:space="preserve">butane</t>
  </si>
  <si>
    <t xml:space="preserve">butanol</t>
  </si>
  <si>
    <t xml:space="preserve">ethyl acetate</t>
  </si>
  <si>
    <t xml:space="preserve">itaconic acid</t>
  </si>
  <si>
    <t xml:space="preserve">Lactic Acid (Lactate)</t>
  </si>
  <si>
    <t xml:space="preserve">Ethylene Glycol</t>
  </si>
  <si>
    <t xml:space="preserve">Glycolaldehyde</t>
  </si>
  <si>
    <t xml:space="preserve">5- Aminovaleric Acid</t>
  </si>
  <si>
    <t xml:space="preserve">Phenol Pathway</t>
  </si>
  <si>
    <t xml:space="preserve">https://www.sciencedirect.com/science/article/pii/S0734975019300606</t>
  </si>
  <si>
    <t xml:space="preserve">C7H5O3(-) (4-hydroxybenzoate) + H(+) -&gt; phenol + CO2</t>
  </si>
  <si>
    <t xml:space="preserve">Catechol Pathway</t>
  </si>
  <si>
    <t xml:space="preserve">https://www.genome.jp/dbget-bin/www_bget?rn:R00821</t>
  </si>
  <si>
    <t xml:space="preserve">https://link.springer.com/content/pdf/10.1007/s10295-014-1581-6.pdf</t>
  </si>
  <si>
    <t xml:space="preserve">C7H5O4(-) (2,3-dihydroxybenzoate) + H(+) &lt;-&gt; catechol + CO2</t>
  </si>
  <si>
    <t xml:space="preserve">Adipic Acid Pathway</t>
  </si>
  <si>
    <t xml:space="preserve">catechol + O2 -&gt; C6H4O4(2-) (cis,cis-muconic acid) + 2H(+)</t>
  </si>
  <si>
    <t xml:space="preserve">C6H4O4(2-) (cis,cis-muc.) + 2NADP(H) + 2H(+) -&gt; C6H8O4(2-) (adipic) + 2NADP(+)</t>
  </si>
  <si>
    <t xml:space="preserve">Levulinic Acid Pathway</t>
  </si>
  <si>
    <t xml:space="preserve">https://www.sciencedirect.com/science/article/pii/S0021951713001085</t>
  </si>
  <si>
    <t xml:space="preserve">HMF + 2H2O -&gt; C5H7O3(-) (levulinate) + CHO2(-) (formate) + 2H(+)</t>
  </si>
  <si>
    <t xml:space="preserve">Ethylene Pathway</t>
  </si>
  <si>
    <t xml:space="preserve">https://www.sciencedirect.com/science/article/pii/S1096717608000360?via%3Dihub</t>
  </si>
  <si>
    <t xml:space="preserve">3 2-oxoglutarate + (3/2) O2 &lt;-&gt; 2ethylene + succinate + 7CO2</t>
  </si>
  <si>
    <t xml:space="preserve">Propane Pathway</t>
  </si>
  <si>
    <t xml:space="preserve">2-ketoisovalerate + H &lt;-&gt; isobutyraldehyde + CO2</t>
  </si>
  <si>
    <t xml:space="preserve">isobutyraldehyde + O2 + 2nadph + H &lt;-&gt; propane + formate + h2o + 2nadp</t>
  </si>
  <si>
    <t xml:space="preserve">Vanillin Pathway</t>
  </si>
  <si>
    <t xml:space="preserve">https://aem.asm.org/content/aem/75/9/2765.full.pdf</t>
  </si>
  <si>
    <t xml:space="preserve">https://link.springer.com/content/pdf/10.1007/s00425-017-2684-x.pdf</t>
  </si>
  <si>
    <t xml:space="preserve">3-dehydroshikimate (3dhsk) &lt;-&gt; 3,4-dihydroxybenzoate + h2o</t>
  </si>
  <si>
    <t xml:space="preserve">3,4-dihydroxybenzoate + NAD + h2o + formaldehyde &lt;-&gt; vanillate + o2 + nadh + H</t>
  </si>
  <si>
    <t xml:space="preserve">vanillate + NADH + 2H &lt;-&gt; vanillin + NAD + h2o</t>
  </si>
  <si>
    <t xml:space="preserve">(to form formaldehyde): Glyceraldehyde 3-phosphate + dihydroxyacetone &lt;-&gt; D-Xylulose 5-phosphate + formaldehyde ( https://www.genome.jp/dbget-bin/www_bget?K17100+2.2.1.3+R01440 )</t>
  </si>
  <si>
    <t xml:space="preserve">Butanol Pathway</t>
  </si>
  <si>
    <t xml:space="preserve">https://www.genome.jp/kegg-bin/show_pathway?map00650+C03044</t>
  </si>
  <si>
    <t xml:space="preserve">butanoyl-CoA + nadh + H &lt;-&gt; butanal + CoA + nad</t>
  </si>
  <si>
    <t xml:space="preserve">butanal + nadph + H &lt;-&gt; butanol + nadp</t>
  </si>
  <si>
    <t xml:space="preserve">Butane Pathway</t>
  </si>
  <si>
    <t xml:space="preserve">butanol + nad + h2o &lt;-&gt; butane + nadh + H</t>
  </si>
  <si>
    <t xml:space="preserve">https://www.nature.com/articles/ncomms3833.pdf</t>
  </si>
  <si>
    <t xml:space="preserve">1-Propanol Pathway</t>
  </si>
  <si>
    <t xml:space="preserve">https://reader.elsevier.com/reader/sd/pii/S1674205214000136?token=24558B4FA588171D1491210857413B2A1D3B8EB2E6F958A39E177FF626C9FB17A53E6D648ADBB2FD8C8E77A6F95BAC63</t>
  </si>
  <si>
    <t xml:space="preserve">https://www.sciencedirect.com/science/article/pii/S1096717608000487</t>
  </si>
  <si>
    <t xml:space="preserve">Cannizzaro Reaction</t>
  </si>
  <si>
    <t xml:space="preserve">2-ketobutyrate + NADH + 2H &lt;-&gt; 1-propanol + co2 + nad</t>
  </si>
  <si>
    <t xml:space="preserve">Ethyl acetate pathway</t>
  </si>
  <si>
    <t xml:space="preserve">https://www.genome.jp/dbget-bin/www_bget?rn:R12515</t>
  </si>
  <si>
    <t xml:space="preserve">acetate + ethanol + H &lt;-&gt; h2o + ethyl acetate</t>
  </si>
  <si>
    <t xml:space="preserve">Itaconic Acid Pathway</t>
  </si>
  <si>
    <t xml:space="preserve">https://www.researchgate.net/figure/Metabolic-pathway-for-itaconic-acid-production-via-the-different-compartments-in-the_fig1_259804784</t>
  </si>
  <si>
    <t xml:space="preserve">citrate &lt;-&gt; cis-aconitate + h2o</t>
  </si>
  <si>
    <t xml:space="preserve">cis-aconitate + H &lt;=&gt; itaconate + co2</t>
  </si>
  <si>
    <t xml:space="preserve">Acrylic Acid Pathway</t>
  </si>
  <si>
    <t xml:space="preserve">https://pubmed.ncbi.nlm.nih.gov/23023753/ </t>
  </si>
  <si>
    <t xml:space="preserve">https://link.springer.com/article/10.1007%2Fs00253-012-4274-y </t>
  </si>
  <si>
    <t xml:space="preserve">&lt;- (Mainly used as a reference for E-Coli)</t>
  </si>
  <si>
    <t xml:space="preserve">Lactate + Propanoyl-CoA &lt;=&gt; lactoyl-CoA + Propanoate</t>
  </si>
  <si>
    <t xml:space="preserve">Ethylene Glycol Pathway (Lee Paper)</t>
  </si>
  <si>
    <t xml:space="preserve">Glycolaldehyde + NADH + H+ &lt;=&gt; Ethylene Glycol + NAD</t>
  </si>
  <si>
    <t xml:space="preserve">Glutaric Acid (Lee Paper)</t>
  </si>
  <si>
    <t xml:space="preserve">5- Aminovaleric Acid (Lee Paper)</t>
  </si>
  <si>
    <t xml:space="preserve">5-Aminopentanamide + H2O + H+ &lt;=&gt; 5-Aminovaleric Acid + Ammonium</t>
  </si>
  <si>
    <t xml:space="preserve">#</t>
  </si>
  <si>
    <t xml:space="preserve">Sources</t>
  </si>
  <si>
    <t xml:space="preserve">https://reader.elsevier.com/reader/sd/pii/S0734975019300606?token=EF72CE41C7374742F9154FDA975955FA84A15DA64B3A1DC30A53DEF1443CA3B9BE197BA96FBBE0DABDD516E95443B92B</t>
  </si>
  <si>
    <t xml:space="preserve">https://www.sciencedirect.com/science/article/pii/S1096717611000711?casa_token=4MLgnW7sYJ0AAAAA:iGhz83AcdznODA6XutEHQliJRt1eJCdyKi6de3LTTR8JnTU0Ma8c12v1hbeYB3wWExe302juKQ</t>
  </si>
  <si>
    <t xml:space="preserve">https://www.nature.com/articles/nchembio.970</t>
  </si>
  <si>
    <t xml:space="preserve">https://chemistry-europe.onlinelibrary.wiley.com/doi/full/10.1002/cssc.201000111?casa_token=_8tJZdAlhcIAAAAA%3Ag_7zBE0Z-eo5gEHcrWTF-WLy0D7Nch7Bj60KI5fHOAAqFparFm1re9yECLXrAwI6SsZLSj4lKo9k4A</t>
  </si>
  <si>
    <t xml:space="preserve">https://patentimages.storage.googleapis.com/46/49/5d/78c8a9fd23d64f/US5798236.pdf</t>
  </si>
  <si>
    <t xml:space="preserve">https://reader.elsevier.com/reader/sd/pii/S0141022916300151?token=CAEED787D94C5A577054054DE9190F6222FF74F7FF0358C1B30560DED07A63FC7AD04B6AC8EA52A9FEF74D13730B3078</t>
  </si>
  <si>
    <t xml:space="preserve">https://www.ncbi.nlm.nih.gov/pmc/articles/PMC91161/</t>
  </si>
  <si>
    <t xml:space="preserve">https://www.researchgate.net/figure/Metabolic-pathways-involved-in-the-production-of-xylitol-xylonate-lactic-acid_fig2_324276493</t>
  </si>
  <si>
    <t xml:space="preserve">https://www.sciencedirect.com/science/article/pii/S156673670700444X?casa_token=IQT_d4kUvK4AAAAA:5Z8N4oNSl9x4I3nqWAalaasGT6glMP0vk2KhWEHJu6--B1V577XRyjBZVyhTccPBBe-foe1uAQ</t>
  </si>
  <si>
    <t xml:space="preserve">https://biotechnologyforbiofuels.biomedcentral.com/articles/10.1186/s13068-019-1486-8</t>
  </si>
  <si>
    <t xml:space="preserve">https://microbialcellfactories.biomedcentral.com/articles/10.1186/s12934-019-1171-4</t>
  </si>
  <si>
    <t xml:space="preserve">https://pubs.acs.org/doi/pdf/10.1021/ja00024a048?casa_token=sMcMoF7yjzYAAAAA:Ph6i5v5pLkCqj-la9mhLIZbTGn5UQL18LUbgakNK3KpqSSOY29dih1IVvmfDhJNNxzpCZ9CFuBPh0Mg</t>
  </si>
  <si>
    <t xml:space="preserve">https://www.sciencedirect.com/science/article/pii/S1389172316300330?via%3Dihub</t>
  </si>
  <si>
    <t xml:space="preserve">https://www.tandfonline.com/doi/full/10.1080/10826068.2018.1452257</t>
  </si>
</sst>
</file>

<file path=xl/styles.xml><?xml version="1.0" encoding="utf-8"?>
<styleSheet xmlns="http://schemas.openxmlformats.org/spreadsheetml/2006/main">
  <numFmts count="2">
    <numFmt numFmtId="164" formatCode="General"/>
    <numFmt numFmtId="165" formatCode="0.00"/>
  </numFmts>
  <fonts count="52">
    <font>
      <sz val="11"/>
      <color rgb="FF000000"/>
      <name val="Calibri"/>
      <family val="2"/>
      <charset val="1"/>
    </font>
    <font>
      <sz val="10"/>
      <name val="Arial"/>
      <family val="0"/>
    </font>
    <font>
      <sz val="10"/>
      <name val="Arial"/>
      <family val="0"/>
    </font>
    <font>
      <sz val="10"/>
      <name val="Arial"/>
      <family val="0"/>
    </font>
    <font>
      <sz val="11"/>
      <color rgb="FF000000"/>
      <name val="arial"/>
      <family val="2"/>
      <charset val="1"/>
    </font>
    <font>
      <b val="true"/>
      <sz val="11"/>
      <color rgb="FF000000"/>
      <name val="arial"/>
      <family val="2"/>
      <charset val="1"/>
    </font>
    <font>
      <sz val="11"/>
      <name val="arial"/>
      <family val="2"/>
      <charset val="1"/>
    </font>
    <font>
      <sz val="11"/>
      <color rgb="FF0E08F7"/>
      <name val="arial"/>
      <family val="2"/>
      <charset val="1"/>
    </font>
    <font>
      <sz val="11"/>
      <color rgb="FF0618F6"/>
      <name val="arial"/>
      <family val="2"/>
      <charset val="1"/>
    </font>
    <font>
      <u val="single"/>
      <sz val="11"/>
      <color rgb="FF0563C1"/>
      <name val="Calibri"/>
      <family val="2"/>
      <charset val="1"/>
    </font>
    <font>
      <sz val="11"/>
      <color rgb="FF5C2D91"/>
      <name val="arial"/>
      <family val="2"/>
      <charset val="1"/>
    </font>
    <font>
      <sz val="11"/>
      <name val="Calibri"/>
      <family val="2"/>
      <charset val="1"/>
    </font>
    <font>
      <i val="true"/>
      <sz val="11"/>
      <color rgb="FF000000"/>
      <name val="arial"/>
      <family val="2"/>
      <charset val="1"/>
    </font>
    <font>
      <i val="true"/>
      <sz val="11"/>
      <name val="arial"/>
      <family val="2"/>
      <charset val="1"/>
    </font>
    <font>
      <u val="single"/>
      <sz val="11"/>
      <color rgb="FF0563C1"/>
      <name val="arial"/>
      <family val="2"/>
      <charset val="1"/>
    </font>
    <font>
      <i val="true"/>
      <u val="single"/>
      <sz val="11"/>
      <color rgb="FF0563C1"/>
      <name val="arial"/>
      <family val="2"/>
      <charset val="1"/>
    </font>
    <font>
      <sz val="11"/>
      <color rgb="FFED1C24"/>
      <name val="arial"/>
      <family val="2"/>
      <charset val="1"/>
    </font>
    <font>
      <sz val="11"/>
      <color rgb="FF0000FF"/>
      <name val="arial"/>
      <family val="2"/>
      <charset val="1"/>
    </font>
    <font>
      <sz val="11"/>
      <color rgb="FF0B2AF3"/>
      <name val="arial"/>
      <family val="2"/>
      <charset val="1"/>
    </font>
    <font>
      <b val="true"/>
      <sz val="10"/>
      <color rgb="FF000000"/>
      <name val="arial"/>
      <family val="2"/>
      <charset val="1"/>
    </font>
    <font>
      <sz val="10"/>
      <color rgb="FF000000"/>
      <name val="arial"/>
      <family val="2"/>
      <charset val="1"/>
    </font>
    <font>
      <sz val="10"/>
      <name val="arial"/>
      <family val="2"/>
      <charset val="1"/>
    </font>
    <font>
      <sz val="11"/>
      <color rgb="FF0618F6"/>
      <name val="Calibri"/>
      <family val="2"/>
      <charset val="1"/>
    </font>
    <font>
      <sz val="11"/>
      <color rgb="FF0511FB"/>
      <name val="arial"/>
      <family val="2"/>
      <charset val="1"/>
    </font>
    <font>
      <sz val="11"/>
      <color rgb="FF5C2D91"/>
      <name val="Arial"/>
      <family val="2"/>
      <charset val="1"/>
    </font>
    <font>
      <b val="true"/>
      <sz val="11"/>
      <color rgb="FF0618F6"/>
      <name val="arial"/>
      <family val="2"/>
      <charset val="1"/>
    </font>
    <font>
      <sz val="11"/>
      <color rgb="FF4A4A4A"/>
      <name val="Noto Sans"/>
      <family val="2"/>
      <charset val="1"/>
    </font>
    <font>
      <i val="true"/>
      <sz val="11"/>
      <color rgb="FF0618F6"/>
      <name val="arial"/>
      <family val="2"/>
      <charset val="1"/>
    </font>
    <font>
      <sz val="11"/>
      <color rgb="FF0923F8"/>
      <name val="arial"/>
      <family val="2"/>
      <charset val="1"/>
    </font>
    <font>
      <b val="true"/>
      <sz val="11"/>
      <color rgb="FF0E08F7"/>
      <name val="arial"/>
      <family val="2"/>
      <charset val="1"/>
    </font>
    <font>
      <u val="single"/>
      <sz val="11"/>
      <color rgb="FF0E08F7"/>
      <name val="arial"/>
      <family val="2"/>
      <charset val="1"/>
    </font>
    <font>
      <b val="true"/>
      <i val="true"/>
      <sz val="11"/>
      <name val="arial"/>
      <family val="2"/>
      <charset val="1"/>
    </font>
    <font>
      <b val="true"/>
      <sz val="11"/>
      <name val="arial"/>
      <family val="2"/>
      <charset val="1"/>
    </font>
    <font>
      <sz val="11"/>
      <color rgb="FF121BFA"/>
      <name val="arial"/>
      <family val="2"/>
      <charset val="1"/>
    </font>
    <font>
      <sz val="11"/>
      <color rgb="FF5C2D91"/>
      <name val="Calibri"/>
      <family val="2"/>
      <charset val="1"/>
    </font>
    <font>
      <sz val="11"/>
      <color rgb="FF080BF9"/>
      <name val="arial"/>
      <family val="2"/>
      <charset val="1"/>
    </font>
    <font>
      <sz val="11"/>
      <color rgb="FF080BF9"/>
      <name val="Calibri"/>
      <family val="2"/>
      <charset val="1"/>
    </font>
    <font>
      <sz val="11"/>
      <color rgb="FF0805FA"/>
      <name val="arial"/>
      <family val="2"/>
      <charset val="1"/>
    </font>
    <font>
      <sz val="11"/>
      <color rgb="FF0924FB"/>
      <name val="arial"/>
      <family val="2"/>
      <charset val="1"/>
    </font>
    <font>
      <i val="true"/>
      <sz val="11"/>
      <color rgb="FF000000"/>
      <name val="arial"/>
      <family val="2"/>
    </font>
    <font>
      <sz val="11"/>
      <color rgb="FF070AFE"/>
      <name val="arial"/>
      <family val="2"/>
      <charset val="1"/>
    </font>
    <font>
      <sz val="11"/>
      <color rgb="FF070AFE"/>
      <name val="arial"/>
      <family val="2"/>
    </font>
    <font>
      <sz val="11"/>
      <color rgb="FF0716FB"/>
      <name val="arial"/>
      <family val="2"/>
      <charset val="1"/>
    </font>
    <font>
      <sz val="11"/>
      <color rgb="FF0B1CF5"/>
      <name val="arial"/>
      <family val="2"/>
      <charset val="1"/>
    </font>
    <font>
      <sz val="11"/>
      <color rgb="FF0501FB"/>
      <name val="arial"/>
      <family val="2"/>
      <charset val="1"/>
    </font>
    <font>
      <sz val="11"/>
      <color rgb="FF0713F7"/>
      <name val="arial"/>
      <family val="2"/>
      <charset val="1"/>
    </font>
    <font>
      <sz val="11"/>
      <color rgb="FFFFFFFF"/>
      <name val="arial"/>
      <family val="2"/>
      <charset val="1"/>
    </font>
    <font>
      <sz val="12"/>
      <color rgb="FF000000"/>
      <name val="arial"/>
      <family val="2"/>
      <charset val="1"/>
    </font>
    <font>
      <b val="true"/>
      <sz val="12"/>
      <color rgb="FF000000"/>
      <name val="arial"/>
      <family val="2"/>
      <charset val="1"/>
    </font>
    <font>
      <sz val="12"/>
      <color rgb="FF000000"/>
      <name val="Noto Sans"/>
      <family val="2"/>
      <charset val="1"/>
    </font>
    <font>
      <b val="true"/>
      <sz val="11"/>
      <color rgb="FF000000"/>
      <name val="Calibri"/>
      <family val="2"/>
      <charset val="1"/>
    </font>
    <font>
      <sz val="9"/>
      <color rgb="FF000000"/>
      <name val="Arial"/>
      <family val="2"/>
      <charset val="1"/>
    </font>
  </fonts>
  <fills count="19">
    <fill>
      <patternFill patternType="none"/>
    </fill>
    <fill>
      <patternFill patternType="gray125"/>
    </fill>
    <fill>
      <patternFill patternType="solid">
        <fgColor rgb="FF08FB3E"/>
        <bgColor rgb="FF05F720"/>
      </patternFill>
    </fill>
    <fill>
      <patternFill patternType="solid">
        <fgColor rgb="FF000000"/>
        <bgColor rgb="FF800000"/>
      </patternFill>
    </fill>
    <fill>
      <patternFill patternType="solid">
        <fgColor rgb="FFFFF200"/>
        <bgColor rgb="FFFFFF00"/>
      </patternFill>
    </fill>
    <fill>
      <patternFill patternType="solid">
        <fgColor rgb="FF05F420"/>
        <bgColor rgb="FF05F720"/>
      </patternFill>
    </fill>
    <fill>
      <patternFill patternType="solid">
        <fgColor rgb="FFED1C24"/>
        <bgColor rgb="FFEF413D"/>
      </patternFill>
    </fill>
    <fill>
      <patternFill patternType="solid">
        <fgColor rgb="FF666666"/>
        <bgColor rgb="FF808080"/>
      </patternFill>
    </fill>
    <fill>
      <patternFill patternType="solid">
        <fgColor rgb="FF65FAED"/>
        <bgColor rgb="FF00FFFF"/>
      </patternFill>
    </fill>
    <fill>
      <patternFill patternType="solid">
        <fgColor rgb="FF05F720"/>
        <bgColor rgb="FF05F420"/>
      </patternFill>
    </fill>
    <fill>
      <patternFill patternType="solid">
        <fgColor rgb="FFF8AA97"/>
        <bgColor rgb="FFFFCC99"/>
      </patternFill>
    </fill>
    <fill>
      <patternFill patternType="solid">
        <fgColor rgb="FF73FD04"/>
        <bgColor rgb="FF05F720"/>
      </patternFill>
    </fill>
    <fill>
      <patternFill patternType="solid">
        <fgColor rgb="FFFAA61A"/>
        <bgColor rgb="FFFFCC00"/>
      </patternFill>
    </fill>
    <fill>
      <patternFill patternType="solid">
        <fgColor rgb="FFEF413D"/>
        <bgColor rgb="FFED1C24"/>
      </patternFill>
    </fill>
    <fill>
      <patternFill patternType="solid">
        <fgColor rgb="FFFFFF00"/>
        <bgColor rgb="FFFFF200"/>
      </patternFill>
    </fill>
    <fill>
      <patternFill patternType="solid">
        <fgColor rgb="FFD9D9D9"/>
        <bgColor rgb="FFDBDBDB"/>
      </patternFill>
    </fill>
    <fill>
      <patternFill patternType="solid">
        <fgColor rgb="FFC6E0B4"/>
        <bgColor rgb="FFD9D9D9"/>
      </patternFill>
    </fill>
    <fill>
      <patternFill patternType="solid">
        <fgColor rgb="FFD9E1F2"/>
        <bgColor rgb="FFDBDBDB"/>
      </patternFill>
    </fill>
    <fill>
      <patternFill patternType="solid">
        <fgColor rgb="FFDBDBDB"/>
        <bgColor rgb="FFD9D9D9"/>
      </patternFill>
    </fill>
  </fills>
  <borders count="3">
    <border diagonalUp="false" diagonalDown="false">
      <left/>
      <right/>
      <top/>
      <bottom/>
      <diagonal/>
    </border>
    <border diagonalUp="false" diagonalDown="false">
      <left/>
      <right/>
      <top style="hair"/>
      <bottom/>
      <diagonal/>
    </border>
    <border diagonalUp="false" diagonalDown="false">
      <left/>
      <right/>
      <top/>
      <bottom style="hair"/>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9" fillId="0" borderId="0" applyFont="true" applyBorder="false" applyAlignment="true" applyProtection="false">
      <alignment horizontal="general" vertical="bottom" textRotation="0" wrapText="false" indent="0" shrinkToFit="false"/>
    </xf>
  </cellStyleXfs>
  <cellXfs count="20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true" indent="0" shrinkToFit="false"/>
      <protection locked="true" hidden="false"/>
    </xf>
    <xf numFmtId="164" fontId="5" fillId="0" borderId="0" xfId="0" applyFont="true" applyBorder="false" applyAlignment="true" applyProtection="false">
      <alignment horizontal="left" vertical="bottom"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left"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4" fillId="0" borderId="1"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7" fillId="0" borderId="0" xfId="20" applyFont="true" applyBorder="tru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false">
      <alignment horizontal="left"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6" fillId="0" borderId="0" xfId="20" applyFont="true" applyBorder="tru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false">
      <alignment horizontal="left" vertical="bottom" textRotation="0" wrapText="false" indent="0" shrinkToFit="false"/>
      <protection locked="true" hidden="false"/>
    </xf>
    <xf numFmtId="164" fontId="6" fillId="0" borderId="0" xfId="0" applyFont="true" applyBorder="false" applyAlignment="true" applyProtection="false">
      <alignment horizontal="left"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0" fillId="3" borderId="0" xfId="0" applyFont="true" applyBorder="true" applyAlignment="false" applyProtection="false">
      <alignment horizontal="general" vertical="bottom" textRotation="0" wrapText="false" indent="0" shrinkToFit="false"/>
      <protection locked="true" hidden="false"/>
    </xf>
    <xf numFmtId="164" fontId="8" fillId="4" borderId="0" xfId="20" applyFont="true" applyBorder="true" applyAlignment="true" applyProtection="true">
      <alignment horizontal="general" vertical="bottom" textRotation="0" wrapText="false" indent="0" shrinkToFit="false"/>
      <protection locked="true" hidden="false"/>
    </xf>
    <xf numFmtId="164" fontId="6" fillId="4" borderId="0" xfId="20" applyFont="true" applyBorder="tru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false">
      <alignment horizontal="left"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4" fillId="0" borderId="1" xfId="0" applyFont="true" applyBorder="true" applyAlignment="true" applyProtection="false">
      <alignment horizontal="left" vertical="bottom" textRotation="0" wrapText="false" indent="0" shrinkToFit="false"/>
      <protection locked="true" hidden="false"/>
    </xf>
    <xf numFmtId="164" fontId="14" fillId="0" borderId="1" xfId="20" applyFont="true" applyBorder="true" applyAlignment="true" applyProtection="true">
      <alignment horizontal="left" vertical="bottom" textRotation="0" wrapText="true" indent="0" shrinkToFit="false"/>
      <protection locked="true" hidden="false"/>
    </xf>
    <xf numFmtId="164" fontId="14" fillId="0" borderId="1" xfId="20" applyFont="true" applyBorder="true" applyAlignment="true" applyProtection="tru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left" vertical="bottom" textRotation="0" wrapText="false" indent="0" shrinkToFit="false"/>
      <protection locked="true" hidden="false"/>
    </xf>
    <xf numFmtId="164" fontId="15" fillId="0" borderId="0" xfId="20" applyFont="true" applyBorder="true" applyAlignment="true" applyProtection="true">
      <alignment horizontal="left" vertical="bottom" textRotation="0" wrapText="true" indent="0" shrinkToFit="false"/>
      <protection locked="true" hidden="false"/>
    </xf>
    <xf numFmtId="164" fontId="15" fillId="0" borderId="0" xfId="20" applyFont="true" applyBorder="true" applyAlignment="true" applyProtection="tru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4" fillId="3"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left" vertical="bottom" textRotation="0" wrapText="false" indent="0" shrinkToFit="false"/>
      <protection locked="true" hidden="false"/>
    </xf>
    <xf numFmtId="164" fontId="10" fillId="0" borderId="0" xfId="0" applyFont="true" applyBorder="false" applyAlignment="true" applyProtection="false">
      <alignment horizontal="left" vertical="bottom" textRotation="0" wrapText="true" indent="0" shrinkToFit="false"/>
      <protection locked="true" hidden="false"/>
    </xf>
    <xf numFmtId="164" fontId="10" fillId="3"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7" fillId="0" borderId="0" xfId="20" applyFont="true" applyBorder="tru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false">
      <alignment horizontal="left" vertical="bottom" textRotation="0" wrapText="false" indent="0" shrinkToFit="false"/>
      <protection locked="true" hidden="false"/>
    </xf>
    <xf numFmtId="164" fontId="4" fillId="0" borderId="0" xfId="0" applyFont="true" applyBorder="true" applyAlignment="true" applyProtection="false">
      <alignment horizontal="left" vertical="bottom" textRotation="0" wrapText="true" indent="0" shrinkToFit="false"/>
      <protection locked="true" hidden="false"/>
    </xf>
    <xf numFmtId="164" fontId="4" fillId="0" borderId="1" xfId="0" applyFont="true" applyBorder="true" applyAlignment="true" applyProtection="false">
      <alignment horizontal="left" vertical="bottom" textRotation="0" wrapText="tru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left" vertical="bottom" textRotation="0" wrapText="false" indent="0" shrinkToFit="false"/>
      <protection locked="true" hidden="false"/>
    </xf>
    <xf numFmtId="164" fontId="8" fillId="0" borderId="0" xfId="0" applyFont="true" applyBorder="true" applyAlignment="true" applyProtection="false">
      <alignment horizontal="left" vertical="bottom"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8" fillId="4"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left" vertical="bottom" textRotation="0" wrapText="true" indent="0" shrinkToFit="false"/>
      <protection locked="true" hidden="false"/>
    </xf>
    <xf numFmtId="164" fontId="12" fillId="3"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4" fillId="4" borderId="0" xfId="0" applyFont="true" applyBorder="false" applyAlignment="false" applyProtection="false">
      <alignment horizontal="general" vertical="bottom" textRotation="0" wrapText="false" indent="0" shrinkToFit="false"/>
      <protection locked="true" hidden="false"/>
    </xf>
    <xf numFmtId="164" fontId="5" fillId="5" borderId="1" xfId="0" applyFont="true" applyBorder="true" applyAlignment="true" applyProtection="false">
      <alignment horizontal="left"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4" fillId="0" borderId="2" xfId="0" applyFont="true" applyBorder="true" applyAlignment="false" applyProtection="false">
      <alignment horizontal="general" vertical="bottom" textRotation="0" wrapText="false" indent="0" shrinkToFit="false"/>
      <protection locked="true" hidden="false"/>
    </xf>
    <xf numFmtId="164" fontId="4" fillId="0" borderId="2" xfId="0" applyFont="true" applyBorder="true" applyAlignment="true" applyProtection="false">
      <alignment horizontal="left" vertical="bottom" textRotation="0" wrapText="false" indent="0" shrinkToFit="false"/>
      <protection locked="true" hidden="false"/>
    </xf>
    <xf numFmtId="164" fontId="4" fillId="0" borderId="2" xfId="0" applyFont="true" applyBorder="true" applyAlignment="true" applyProtection="false">
      <alignment horizontal="left" vertical="bottom" textRotation="0" wrapText="true" indent="0" shrinkToFit="false"/>
      <protection locked="true" hidden="false"/>
    </xf>
    <xf numFmtId="164" fontId="18" fillId="0" borderId="0" xfId="0" applyFont="true" applyBorder="true" applyAlignment="false" applyProtection="false">
      <alignment horizontal="general" vertical="bottom" textRotation="0" wrapText="false" indent="0" shrinkToFit="false"/>
      <protection locked="true" hidden="false"/>
    </xf>
    <xf numFmtId="164" fontId="18" fillId="0" borderId="0" xfId="0" applyFont="true" applyBorder="true" applyAlignment="true" applyProtection="false">
      <alignment horizontal="left" vertical="bottom" textRotation="0" wrapText="false" indent="0" shrinkToFit="false"/>
      <protection locked="true" hidden="false"/>
    </xf>
    <xf numFmtId="164" fontId="18" fillId="0" borderId="0" xfId="0" applyFont="true" applyBorder="true" applyAlignment="true" applyProtection="false">
      <alignment horizontal="left" vertical="bottom" textRotation="0" wrapText="true" indent="0" shrinkToFit="false"/>
      <protection locked="true" hidden="false"/>
    </xf>
    <xf numFmtId="164" fontId="4" fillId="3"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general" vertical="bottom"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13" fillId="0" borderId="0" xfId="0" applyFont="true" applyBorder="true" applyAlignment="false" applyProtection="false">
      <alignment horizontal="general" vertical="bottom" textRotation="0" wrapText="false" indent="0" shrinkToFit="false"/>
      <protection locked="true" hidden="false"/>
    </xf>
    <xf numFmtId="164" fontId="21" fillId="0" borderId="0" xfId="0" applyFont="true" applyBorder="true" applyAlignment="false" applyProtection="false">
      <alignment horizontal="general" vertical="bottom" textRotation="0" wrapText="false" indent="0" shrinkToFit="false"/>
      <protection locked="true" hidden="false"/>
    </xf>
    <xf numFmtId="164" fontId="20"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left" vertical="bottom"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4" fillId="3"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left" vertical="bottom" textRotation="0" wrapText="false" indent="0" shrinkToFit="false"/>
      <protection locked="true" hidden="false"/>
    </xf>
    <xf numFmtId="164" fontId="8" fillId="0" borderId="0" xfId="0" applyFont="true" applyBorder="false" applyAlignment="true" applyProtection="false">
      <alignment horizontal="left" vertical="bottom" textRotation="0" wrapText="true" indent="0" shrinkToFit="false"/>
      <protection locked="true" hidden="false"/>
    </xf>
    <xf numFmtId="164" fontId="10" fillId="0" borderId="0" xfId="20" applyFont="true" applyBorder="tru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25" fillId="0" borderId="0" xfId="0" applyFont="true" applyBorder="true" applyAlignment="false" applyProtection="false">
      <alignment horizontal="general" vertical="bottom" textRotation="0" wrapText="false" indent="0" shrinkToFit="false"/>
      <protection locked="true" hidden="false"/>
    </xf>
    <xf numFmtId="164" fontId="25" fillId="0" borderId="0" xfId="0" applyFont="true" applyBorder="false" applyAlignment="false" applyProtection="false">
      <alignment horizontal="general" vertical="bottom" textRotation="0" wrapText="false" indent="0" shrinkToFit="false"/>
      <protection locked="true" hidden="false"/>
    </xf>
    <xf numFmtId="164" fontId="4" fillId="0" borderId="0" xfId="20" applyFont="true" applyBorder="true" applyAlignment="true" applyProtection="true">
      <alignment horizontal="general" vertical="bottom" textRotation="0" wrapText="false" indent="0" shrinkToFit="false"/>
      <protection locked="true" hidden="false"/>
    </xf>
    <xf numFmtId="164" fontId="10" fillId="4" borderId="0" xfId="0" applyFont="true" applyBorder="false" applyAlignment="false" applyProtection="false">
      <alignment horizontal="general" vertical="bottom" textRotation="0" wrapText="false" indent="0" shrinkToFit="false"/>
      <protection locked="true" hidden="false"/>
    </xf>
    <xf numFmtId="164" fontId="14" fillId="0" borderId="1" xfId="20" applyFont="true" applyBorder="true" applyAlignment="true" applyProtection="true">
      <alignment horizontal="left" vertical="bottom" textRotation="0" wrapText="false" indent="0" shrinkToFit="false"/>
      <protection locked="true" hidden="false"/>
    </xf>
    <xf numFmtId="164" fontId="28" fillId="0" borderId="0" xfId="0" applyFont="true" applyBorder="true" applyAlignment="false" applyProtection="false">
      <alignment horizontal="general" vertical="bottom" textRotation="0" wrapText="false" indent="0" shrinkToFit="false"/>
      <protection locked="true" hidden="false"/>
    </xf>
    <xf numFmtId="164" fontId="14" fillId="0" borderId="0" xfId="20" applyFont="true" applyBorder="true" applyAlignment="true" applyProtection="true">
      <alignment horizontal="general" vertical="bottom" textRotation="0" wrapText="false" indent="0" shrinkToFit="false"/>
      <protection locked="true" hidden="false"/>
    </xf>
    <xf numFmtId="164" fontId="7" fillId="0" borderId="0" xfId="0" applyFont="true" applyBorder="true" applyAlignment="true" applyProtection="false">
      <alignment horizontal="left" vertical="bottom" textRotation="0" wrapText="false" indent="0" shrinkToFit="false"/>
      <protection locked="true" hidden="false"/>
    </xf>
    <xf numFmtId="164" fontId="7" fillId="0" borderId="0" xfId="0" applyFont="true" applyBorder="true" applyAlignment="true" applyProtection="false">
      <alignment horizontal="left" vertical="bottom" textRotation="0" wrapText="true" indent="0" shrinkToFit="false"/>
      <protection locked="true" hidden="false"/>
    </xf>
    <xf numFmtId="164" fontId="7" fillId="0" borderId="0" xfId="0" applyFont="true" applyBorder="false" applyAlignment="true" applyProtection="false">
      <alignment horizontal="left" vertical="bottom" textRotation="0" wrapText="true" indent="0" shrinkToFit="false"/>
      <protection locked="true" hidden="false"/>
    </xf>
    <xf numFmtId="164" fontId="29" fillId="0" borderId="0" xfId="0" applyFont="true" applyBorder="true" applyAlignment="true" applyProtection="false">
      <alignment horizontal="left" vertical="bottom" textRotation="0" wrapText="false" indent="0" shrinkToFit="false"/>
      <protection locked="true" hidden="false"/>
    </xf>
    <xf numFmtId="164" fontId="30" fillId="0" borderId="0" xfId="20" applyFont="true" applyBorder="true" applyAlignment="true" applyProtection="true">
      <alignment horizontal="left" vertical="bottom" textRotation="0" wrapText="false" indent="0" shrinkToFit="false"/>
      <protection locked="true" hidden="false"/>
    </xf>
    <xf numFmtId="164" fontId="30" fillId="0" borderId="0" xfId="20" applyFont="true" applyBorder="true" applyAlignment="true" applyProtection="true">
      <alignment horizontal="general" vertical="bottom" textRotation="0" wrapText="false" indent="0" shrinkToFit="false"/>
      <protection locked="true" hidden="false"/>
    </xf>
    <xf numFmtId="164" fontId="31" fillId="0" borderId="0" xfId="20"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true" indent="0" shrinkToFit="false"/>
      <protection locked="true" hidden="false"/>
    </xf>
    <xf numFmtId="164" fontId="32" fillId="0" borderId="1" xfId="20" applyFont="true" applyBorder="true" applyAlignment="true" applyProtection="true">
      <alignment horizontal="general" vertical="bottom" textRotation="0" wrapText="false" indent="0" shrinkToFit="false"/>
      <protection locked="true" hidden="false"/>
    </xf>
    <xf numFmtId="164" fontId="6" fillId="0" borderId="1" xfId="0" applyFont="true" applyBorder="true" applyAlignment="true" applyProtection="false">
      <alignment horizontal="left" vertical="bottom" textRotation="0" wrapText="false" indent="0" shrinkToFit="false"/>
      <protection locked="true" hidden="false"/>
    </xf>
    <xf numFmtId="164" fontId="6" fillId="0" borderId="1" xfId="0" applyFont="true" applyBorder="true" applyAlignment="true" applyProtection="false">
      <alignment horizontal="left" vertical="bottom" textRotation="0" wrapText="tru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4" fillId="4" borderId="0" xfId="0" applyFont="true" applyBorder="false" applyAlignment="true" applyProtection="false">
      <alignment horizontal="left" vertical="bottom" textRotation="0" wrapText="false" indent="0" shrinkToFit="false"/>
      <protection locked="true" hidden="false"/>
    </xf>
    <xf numFmtId="164" fontId="4" fillId="4" borderId="0" xfId="0" applyFont="true" applyBorder="false" applyAlignment="true" applyProtection="false">
      <alignment horizontal="left" vertical="bottom" textRotation="0" wrapText="true" indent="0" shrinkToFit="false"/>
      <protection locked="true" hidden="false"/>
    </xf>
    <xf numFmtId="164" fontId="9" fillId="0" borderId="1" xfId="20" applyFont="true" applyBorder="true" applyAlignment="true" applyProtection="true">
      <alignment horizontal="left" vertical="bottom" textRotation="0" wrapText="false" indent="0" shrinkToFit="false"/>
      <protection locked="true" hidden="false"/>
    </xf>
    <xf numFmtId="164" fontId="0" fillId="0" borderId="1" xfId="0" applyFont="false" applyBorder="true" applyAlignment="true" applyProtection="false">
      <alignment horizontal="left" vertical="bottom" textRotation="0" wrapText="true" indent="0" shrinkToFit="false"/>
      <protection locked="true" hidden="false"/>
    </xf>
    <xf numFmtId="164" fontId="8" fillId="4" borderId="0" xfId="0" applyFont="true" applyBorder="false" applyAlignment="false" applyProtection="false">
      <alignment horizontal="general" vertical="bottom" textRotation="0" wrapText="false" indent="0" shrinkToFit="false"/>
      <protection locked="true" hidden="false"/>
    </xf>
    <xf numFmtId="164" fontId="22" fillId="0" borderId="0" xfId="0" applyFont="true" applyBorder="false" applyAlignment="true" applyProtection="false">
      <alignment horizontal="left" vertical="bottom" textRotation="0" wrapText="false" indent="0" shrinkToFit="false"/>
      <protection locked="true" hidden="false"/>
    </xf>
    <xf numFmtId="164" fontId="22" fillId="0" borderId="0" xfId="0" applyFont="true" applyBorder="false" applyAlignment="true" applyProtection="false">
      <alignment horizontal="left" vertical="bottom" textRotation="0" wrapText="true" indent="0" shrinkToFit="false"/>
      <protection locked="true" hidden="false"/>
    </xf>
    <xf numFmtId="164" fontId="33" fillId="0" borderId="0" xfId="0" applyFont="true" applyBorder="false" applyAlignment="false" applyProtection="false">
      <alignment horizontal="general" vertical="bottom" textRotation="0" wrapText="false" indent="0" shrinkToFit="false"/>
      <protection locked="true" hidden="false"/>
    </xf>
    <xf numFmtId="164" fontId="24" fillId="0" borderId="0" xfId="20" applyFont="true" applyBorder="true" applyAlignment="true" applyProtection="true">
      <alignment horizontal="general" vertical="bottom" textRotation="0" wrapText="false" indent="0" shrinkToFit="false"/>
      <protection locked="true" hidden="false"/>
    </xf>
    <xf numFmtId="164" fontId="14" fillId="0" borderId="0" xfId="20" applyFont="true" applyBorder="true" applyAlignment="true" applyProtection="true">
      <alignment horizontal="left" vertical="bottom" textRotation="0" wrapText="false" indent="0" shrinkToFit="false"/>
      <protection locked="true" hidden="false"/>
    </xf>
    <xf numFmtId="164" fontId="8" fillId="0" borderId="0" xfId="20" applyFont="true" applyBorder="true" applyAlignment="true" applyProtection="true">
      <alignment horizontal="general" vertical="bottom" textRotation="0" wrapText="false" indent="0" shrinkToFit="false"/>
      <protection locked="true" hidden="false"/>
    </xf>
    <xf numFmtId="164" fontId="7" fillId="4" borderId="0" xfId="20" applyFont="true" applyBorder="true" applyAlignment="true" applyProtection="true">
      <alignment horizontal="general" vertical="bottom" textRotation="0" wrapText="false" indent="0" shrinkToFit="false"/>
      <protection locked="true" hidden="false"/>
    </xf>
    <xf numFmtId="164" fontId="34" fillId="0" borderId="0" xfId="0" applyFont="true" applyBorder="false" applyAlignment="true" applyProtection="false">
      <alignment horizontal="left" vertical="bottom" textRotation="0" wrapText="false" indent="0" shrinkToFit="false"/>
      <protection locked="true" hidden="false"/>
    </xf>
    <xf numFmtId="164" fontId="35" fillId="0" borderId="0" xfId="0" applyFont="true" applyBorder="false" applyAlignment="false" applyProtection="false">
      <alignment horizontal="general" vertical="bottom" textRotation="0" wrapText="false" indent="0" shrinkToFit="false"/>
      <protection locked="true" hidden="false"/>
    </xf>
    <xf numFmtId="164" fontId="3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10" fillId="4" borderId="0" xfId="0" applyFont="true" applyBorder="true" applyAlignment="false" applyProtection="false">
      <alignment horizontal="general" vertical="bottom" textRotation="0" wrapText="false" indent="0" shrinkToFit="false"/>
      <protection locked="true" hidden="false"/>
    </xf>
    <xf numFmtId="164" fontId="37" fillId="0" borderId="0" xfId="0" applyFont="true" applyBorder="false" applyAlignment="false" applyProtection="false">
      <alignment horizontal="general" vertical="bottom" textRotation="0" wrapText="false" indent="0" shrinkToFit="false"/>
      <protection locked="true" hidden="false"/>
    </xf>
    <xf numFmtId="164" fontId="38" fillId="0" borderId="0" xfId="0" applyFont="true" applyBorder="false" applyAlignment="false" applyProtection="false">
      <alignment horizontal="general" vertical="bottom" textRotation="0" wrapText="false" indent="0" shrinkToFit="false"/>
      <protection locked="true" hidden="false"/>
    </xf>
    <xf numFmtId="164" fontId="32" fillId="4" borderId="1" xfId="0" applyFont="true" applyBorder="true" applyAlignment="false" applyProtection="false">
      <alignment horizontal="general" vertical="bottom" textRotation="0" wrapText="false" indent="0" shrinkToFit="false"/>
      <protection locked="true" hidden="false"/>
    </xf>
    <xf numFmtId="164" fontId="32" fillId="0" borderId="1" xfId="0" applyFont="true" applyBorder="true" applyAlignment="true" applyProtection="false">
      <alignment horizontal="left"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left"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40" fillId="0" borderId="0" xfId="0" applyFont="true" applyBorder="true" applyAlignment="true" applyProtection="false">
      <alignment horizontal="left" vertical="bottom" textRotation="0" wrapText="false" indent="0" shrinkToFit="false"/>
      <protection locked="true" hidden="false"/>
    </xf>
    <xf numFmtId="164" fontId="40" fillId="0" borderId="0" xfId="0" applyFont="true" applyBorder="false" applyAlignment="true" applyProtection="false">
      <alignment horizontal="left" vertical="bottom" textRotation="0" wrapText="false" indent="0" shrinkToFit="false"/>
      <protection locked="true" hidden="false"/>
    </xf>
    <xf numFmtId="164" fontId="40" fillId="0" borderId="0" xfId="0" applyFont="true" applyBorder="false" applyAlignment="true" applyProtection="false">
      <alignment horizontal="left" vertical="bottom" textRotation="0" wrapText="true" indent="0" shrinkToFit="false"/>
      <protection locked="true" hidden="false"/>
    </xf>
    <xf numFmtId="164" fontId="40" fillId="0" borderId="0" xfId="0" applyFont="true" applyBorder="true" applyAlignment="false" applyProtection="false">
      <alignment horizontal="general" vertical="bottom" textRotation="0" wrapText="false" indent="0" shrinkToFit="false"/>
      <protection locked="true" hidden="false"/>
    </xf>
    <xf numFmtId="164" fontId="41" fillId="0" borderId="0" xfId="0" applyFont="true" applyBorder="true" applyAlignment="false" applyProtection="false">
      <alignment horizontal="general" vertical="bottom" textRotation="0" wrapText="false" indent="0" shrinkToFit="false"/>
      <protection locked="true" hidden="false"/>
    </xf>
    <xf numFmtId="164" fontId="40" fillId="0" borderId="0" xfId="0" applyFont="true" applyBorder="false" applyAlignment="false" applyProtection="false">
      <alignment horizontal="general" vertical="bottom" textRotation="0" wrapText="false" indent="0" shrinkToFit="false"/>
      <protection locked="true" hidden="false"/>
    </xf>
    <xf numFmtId="164" fontId="41" fillId="0" borderId="0" xfId="0" applyFont="true" applyBorder="false" applyAlignment="false" applyProtection="false">
      <alignment horizontal="general" vertical="bottom" textRotation="0" wrapText="false" indent="0" shrinkToFit="false"/>
      <protection locked="true" hidden="false"/>
    </xf>
    <xf numFmtId="164" fontId="40" fillId="0" borderId="0" xfId="0" applyFont="true" applyBorder="true" applyAlignment="true" applyProtection="false">
      <alignment horizontal="right" vertical="bottom" textRotation="0" wrapText="false" indent="0" shrinkToFit="false"/>
      <protection locked="true" hidden="false"/>
    </xf>
    <xf numFmtId="164" fontId="40" fillId="0" borderId="0" xfId="0" applyFont="true" applyBorder="false" applyAlignment="true" applyProtection="false">
      <alignment horizontal="right" vertical="bottom" textRotation="0" wrapText="false" indent="0" shrinkToFit="false"/>
      <protection locked="true" hidden="false"/>
    </xf>
    <xf numFmtId="164" fontId="40" fillId="0" borderId="1"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true" indent="0" shrinkToFit="false"/>
      <protection locked="true" hidden="false"/>
    </xf>
    <xf numFmtId="164" fontId="12" fillId="0" borderId="0" xfId="0" applyFont="true" applyBorder="false" applyAlignment="true" applyProtection="false">
      <alignment horizontal="left"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5" fillId="6" borderId="0" xfId="0" applyFont="true" applyBorder="false" applyAlignment="false" applyProtection="false">
      <alignment horizontal="general" vertical="bottom" textRotation="0" wrapText="false" indent="0" shrinkToFit="false"/>
      <protection locked="true" hidden="false"/>
    </xf>
    <xf numFmtId="164" fontId="5" fillId="6"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left"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4" fillId="7" borderId="0" xfId="0" applyFont="true" applyBorder="false" applyAlignment="false" applyProtection="false">
      <alignment horizontal="general" vertical="bottom" textRotation="0" wrapText="false" indent="0" shrinkToFit="false"/>
      <protection locked="true" hidden="false"/>
    </xf>
    <xf numFmtId="164" fontId="4" fillId="7" borderId="0" xfId="0" applyFont="true" applyBorder="false" applyAlignment="true" applyProtection="false">
      <alignment horizontal="left" vertical="bottom" textRotation="0" wrapText="false" indent="0" shrinkToFit="false"/>
      <protection locked="true" hidden="false"/>
    </xf>
    <xf numFmtId="164" fontId="4" fillId="7" borderId="0" xfId="0" applyFont="true" applyBorder="false" applyAlignment="true" applyProtection="false">
      <alignment horizontal="left" vertical="bottom" textRotation="0" wrapText="tru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4" fontId="17" fillId="0" borderId="0" xfId="0" applyFont="true" applyBorder="false" applyAlignment="true" applyProtection="false">
      <alignment horizontal="left" vertical="bottom" textRotation="0" wrapText="false" indent="0" shrinkToFit="false"/>
      <protection locked="true" hidden="false"/>
    </xf>
    <xf numFmtId="164" fontId="42" fillId="0" borderId="0" xfId="0" applyFont="true" applyBorder="false" applyAlignment="true" applyProtection="false">
      <alignment horizontal="left" vertical="bottom" textRotation="0" wrapText="false" indent="0" shrinkToFit="false"/>
      <protection locked="true" hidden="false"/>
    </xf>
    <xf numFmtId="164" fontId="18" fillId="0" borderId="0" xfId="0" applyFont="true" applyBorder="false" applyAlignment="true" applyProtection="false">
      <alignment horizontal="left" vertical="bottom" textRotation="0" wrapText="false" indent="0" shrinkToFit="false"/>
      <protection locked="true" hidden="false"/>
    </xf>
    <xf numFmtId="164" fontId="43" fillId="0" borderId="0" xfId="0" applyFont="true" applyBorder="false" applyAlignment="true" applyProtection="false">
      <alignment horizontal="left" vertical="bottom" textRotation="0" wrapText="false" indent="0" shrinkToFit="false"/>
      <protection locked="true" hidden="false"/>
    </xf>
    <xf numFmtId="164" fontId="7" fillId="3" borderId="0" xfId="0" applyFont="true" applyBorder="false" applyAlignment="true" applyProtection="false">
      <alignment horizontal="left" vertical="bottom" textRotation="0" wrapText="false" indent="0" shrinkToFit="false"/>
      <protection locked="true" hidden="false"/>
    </xf>
    <xf numFmtId="164" fontId="7" fillId="0" borderId="0" xfId="0" applyFont="true" applyBorder="false" applyAlignment="true" applyProtection="false">
      <alignment horizontal="right" vertical="bottom" textRotation="0" wrapText="false" indent="0" shrinkToFit="false"/>
      <protection locked="true" hidden="false"/>
    </xf>
    <xf numFmtId="164" fontId="28" fillId="0" borderId="0" xfId="0" applyFont="true" applyBorder="false" applyAlignment="true" applyProtection="false">
      <alignment horizontal="left" vertical="bottom" textRotation="0" wrapText="false" indent="0" shrinkToFit="false"/>
      <protection locked="true" hidden="false"/>
    </xf>
    <xf numFmtId="164" fontId="44" fillId="0" borderId="0" xfId="0" applyFont="true" applyBorder="false" applyAlignment="true" applyProtection="false">
      <alignment horizontal="left" vertical="bottom" textRotation="0" wrapText="false" indent="0" shrinkToFit="false"/>
      <protection locked="true" hidden="false"/>
    </xf>
    <xf numFmtId="164" fontId="6" fillId="3" borderId="0" xfId="0" applyFont="true" applyBorder="false" applyAlignment="true" applyProtection="false">
      <alignment horizontal="left" vertical="bottom" textRotation="0" wrapText="false" indent="0" shrinkToFit="false"/>
      <protection locked="true" hidden="false"/>
    </xf>
    <xf numFmtId="164" fontId="35" fillId="0" borderId="0" xfId="0" applyFont="true" applyBorder="false" applyAlignment="true" applyProtection="false">
      <alignment horizontal="left" vertical="bottom" textRotation="0" wrapText="false" indent="0" shrinkToFit="false"/>
      <protection locked="true" hidden="false"/>
    </xf>
    <xf numFmtId="164" fontId="45" fillId="0" borderId="0" xfId="0" applyFont="true" applyBorder="false" applyAlignment="false" applyProtection="false">
      <alignment horizontal="general" vertical="bottom" textRotation="0" wrapText="false" indent="0" shrinkToFit="false"/>
      <protection locked="true" hidden="false"/>
    </xf>
    <xf numFmtId="164" fontId="45" fillId="0" borderId="0" xfId="0" applyFont="true" applyBorder="false" applyAlignment="true" applyProtection="false">
      <alignment horizontal="left" vertical="bottom" textRotation="0" wrapText="false" indent="0" shrinkToFit="false"/>
      <protection locked="true" hidden="false"/>
    </xf>
    <xf numFmtId="164" fontId="5" fillId="4"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32" fillId="0" borderId="0" xfId="0" applyFont="true" applyBorder="false" applyAlignment="true" applyProtection="false">
      <alignment horizontal="center" vertical="bottom" textRotation="0" wrapText="false" indent="0" shrinkToFit="false"/>
      <protection locked="true" hidden="false"/>
    </xf>
    <xf numFmtId="164" fontId="32" fillId="0" borderId="0" xfId="0" applyFont="true" applyBorder="false" applyAlignment="false" applyProtection="false">
      <alignment horizontal="general" vertical="bottom" textRotation="0" wrapText="false" indent="0" shrinkToFit="false"/>
      <protection locked="true" hidden="false"/>
    </xf>
    <xf numFmtId="164" fontId="32" fillId="4"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5" fontId="6" fillId="0" borderId="0" xfId="0" applyFont="true" applyBorder="false" applyAlignment="true" applyProtection="false">
      <alignment horizontal="center" vertical="bottom" textRotation="0" wrapText="false" indent="0" shrinkToFit="false"/>
      <protection locked="true" hidden="false"/>
    </xf>
    <xf numFmtId="164" fontId="46" fillId="3" borderId="0" xfId="0" applyFont="true" applyBorder="false" applyAlignment="true" applyProtection="false">
      <alignment horizontal="center" vertical="bottom" textRotation="0" wrapText="false" indent="0" shrinkToFit="false"/>
      <protection locked="true" hidden="false"/>
    </xf>
    <xf numFmtId="164" fontId="16" fillId="0" borderId="0" xfId="0" applyFont="true" applyBorder="false" applyAlignment="true" applyProtection="false">
      <alignment horizontal="center" vertical="bottom" textRotation="0" wrapText="false" indent="0" shrinkToFit="false"/>
      <protection locked="true" hidden="false"/>
    </xf>
    <xf numFmtId="164" fontId="6" fillId="3" borderId="0" xfId="0" applyFont="true" applyBorder="false" applyAlignment="true" applyProtection="false">
      <alignment horizontal="center" vertical="bottom" textRotation="0" wrapText="false" indent="0" shrinkToFit="false"/>
      <protection locked="true" hidden="false"/>
    </xf>
    <xf numFmtId="165" fontId="6" fillId="8" borderId="0" xfId="0" applyFont="true" applyBorder="false" applyAlignment="true" applyProtection="false">
      <alignment horizontal="center" vertical="bottom" textRotation="0" wrapText="false" indent="0" shrinkToFit="false"/>
      <protection locked="true" hidden="false"/>
    </xf>
    <xf numFmtId="164" fontId="6" fillId="8" borderId="0" xfId="0" applyFont="true" applyBorder="false" applyAlignment="true" applyProtection="false">
      <alignment horizontal="center" vertical="bottom" textRotation="0" wrapText="false" indent="0" shrinkToFit="false"/>
      <protection locked="true" hidden="false"/>
    </xf>
    <xf numFmtId="164" fontId="16" fillId="9" borderId="0" xfId="0" applyFont="true" applyBorder="false" applyAlignment="true" applyProtection="false">
      <alignment horizontal="center" vertical="bottom" textRotation="0" wrapText="false" indent="0" shrinkToFit="false"/>
      <protection locked="true" hidden="false"/>
    </xf>
    <xf numFmtId="164" fontId="46" fillId="3" borderId="0" xfId="0" applyFont="true" applyBorder="false" applyAlignment="false" applyProtection="false">
      <alignment horizontal="general" vertical="bottom" textRotation="0" wrapText="false" indent="0" shrinkToFit="false"/>
      <protection locked="true" hidden="false"/>
    </xf>
    <xf numFmtId="164" fontId="16" fillId="10" borderId="0" xfId="0" applyFont="true" applyBorder="false" applyAlignment="true" applyProtection="false">
      <alignment horizontal="center" vertical="bottom" textRotation="0" wrapText="false" indent="0" shrinkToFit="false"/>
      <protection locked="true" hidden="false"/>
    </xf>
    <xf numFmtId="164" fontId="6" fillId="11" borderId="0" xfId="0" applyFont="true" applyBorder="false" applyAlignment="true" applyProtection="false">
      <alignment horizontal="center" vertical="bottom" textRotation="0" wrapText="false" indent="0" shrinkToFit="false"/>
      <protection locked="true" hidden="false"/>
    </xf>
    <xf numFmtId="164" fontId="4" fillId="12" borderId="0" xfId="0" applyFont="true" applyBorder="false" applyAlignment="false" applyProtection="false">
      <alignment horizontal="general" vertical="bottom" textRotation="0" wrapText="false" indent="0" shrinkToFit="false"/>
      <protection locked="true" hidden="false"/>
    </xf>
    <xf numFmtId="164" fontId="4" fillId="6" borderId="0" xfId="0" applyFont="true" applyBorder="false" applyAlignment="false" applyProtection="false">
      <alignment horizontal="general" vertical="bottom" textRotation="0" wrapText="false" indent="0" shrinkToFit="false"/>
      <protection locked="true" hidden="false"/>
    </xf>
    <xf numFmtId="164" fontId="47" fillId="0" borderId="0" xfId="0" applyFont="true" applyBorder="true" applyAlignment="true" applyProtection="false">
      <alignment horizontal="left" vertical="center" textRotation="0" wrapText="true" indent="0" shrinkToFit="false"/>
      <protection locked="true" hidden="false"/>
    </xf>
    <xf numFmtId="164" fontId="4" fillId="4" borderId="0" xfId="0" applyFont="true" applyBorder="false" applyAlignment="true" applyProtection="false">
      <alignment horizontal="center" vertical="bottom" textRotation="0" wrapText="false" indent="0" shrinkToFit="false"/>
      <protection locked="true" hidden="false"/>
    </xf>
    <xf numFmtId="164" fontId="4" fillId="9" borderId="0" xfId="0" applyFont="true" applyBorder="false" applyAlignment="false" applyProtection="false">
      <alignment horizontal="general" vertical="bottom" textRotation="0" wrapText="false" indent="0" shrinkToFit="false"/>
      <protection locked="true" hidden="false"/>
    </xf>
    <xf numFmtId="164" fontId="4" fillId="9" borderId="0" xfId="0" applyFont="true" applyBorder="false" applyAlignment="true" applyProtection="false">
      <alignment horizontal="center" vertical="bottom" textRotation="0" wrapText="false" indent="0" shrinkToFit="false"/>
      <protection locked="true" hidden="false"/>
    </xf>
    <xf numFmtId="165" fontId="6" fillId="9" borderId="0" xfId="0" applyFont="true" applyBorder="false" applyAlignment="true" applyProtection="false">
      <alignment horizontal="center" vertical="bottom" textRotation="0" wrapText="false" indent="0" shrinkToFit="false"/>
      <protection locked="true" hidden="false"/>
    </xf>
    <xf numFmtId="164" fontId="4" fillId="3" borderId="0" xfId="0" applyFont="true" applyBorder="false" applyAlignment="true" applyProtection="false">
      <alignment horizontal="center" vertical="bottom" textRotation="0" wrapText="false" indent="0" shrinkToFit="false"/>
      <protection locked="true" hidden="false"/>
    </xf>
    <xf numFmtId="164" fontId="4" fillId="13" borderId="0" xfId="0" applyFont="true" applyBorder="false" applyAlignment="false" applyProtection="false">
      <alignment horizontal="general" vertical="bottom" textRotation="0" wrapText="false" indent="0" shrinkToFit="false"/>
      <protection locked="true" hidden="false"/>
    </xf>
    <xf numFmtId="164" fontId="4" fillId="13" borderId="0" xfId="0" applyFont="true" applyBorder="false" applyAlignment="true" applyProtection="false">
      <alignment horizontal="center" vertical="bottom" textRotation="0" wrapText="false" indent="0" shrinkToFit="false"/>
      <protection locked="true" hidden="false"/>
    </xf>
    <xf numFmtId="165" fontId="6" fillId="13" borderId="0" xfId="0" applyFont="true" applyBorder="false" applyAlignment="true" applyProtection="false">
      <alignment horizontal="center" vertical="bottom" textRotation="0" wrapText="false" indent="0" shrinkToFit="false"/>
      <protection locked="true" hidden="false"/>
    </xf>
    <xf numFmtId="164" fontId="50" fillId="0" borderId="0" xfId="0" applyFont="true" applyBorder="false" applyAlignment="false" applyProtection="false">
      <alignment horizontal="general" vertical="bottom" textRotation="0" wrapText="false" indent="0" shrinkToFit="false"/>
      <protection locked="true" hidden="false"/>
    </xf>
    <xf numFmtId="164" fontId="9" fillId="0" borderId="0" xfId="20" applyFont="true" applyBorder="true" applyAlignment="true" applyProtection="true">
      <alignment horizontal="general" vertical="bottom" textRotation="0" wrapText="false" indent="0" shrinkToFit="false"/>
      <protection locked="true" hidden="false"/>
    </xf>
    <xf numFmtId="164" fontId="50" fillId="14"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50" fillId="15" borderId="0" xfId="0" applyFont="true" applyBorder="false" applyAlignment="false" applyProtection="false">
      <alignment horizontal="general" vertical="bottom" textRotation="0" wrapText="false" indent="0" shrinkToFit="false"/>
      <protection locked="true" hidden="false"/>
    </xf>
    <xf numFmtId="164" fontId="0" fillId="14" borderId="0" xfId="0" applyFont="true" applyBorder="false" applyAlignment="false" applyProtection="false">
      <alignment horizontal="general" vertical="bottom" textRotation="0" wrapText="false" indent="0" shrinkToFit="false"/>
      <protection locked="true" hidden="false"/>
    </xf>
    <xf numFmtId="164" fontId="0" fillId="16" borderId="0" xfId="0" applyFont="true" applyBorder="false" applyAlignment="false" applyProtection="false">
      <alignment horizontal="general" vertical="bottom" textRotation="0" wrapText="false" indent="0" shrinkToFit="false"/>
      <protection locked="true" hidden="false"/>
    </xf>
    <xf numFmtId="164" fontId="50" fillId="16" borderId="0" xfId="0" applyFont="true" applyBorder="false" applyAlignment="false" applyProtection="false">
      <alignment horizontal="general" vertical="bottom" textRotation="0" wrapText="false" indent="0" shrinkToFit="false"/>
      <protection locked="true" hidden="false"/>
    </xf>
    <xf numFmtId="164" fontId="0" fillId="17" borderId="0" xfId="0" applyFont="true" applyBorder="false" applyAlignment="false" applyProtection="false">
      <alignment horizontal="general" vertical="bottom" textRotation="0" wrapText="false" indent="0" shrinkToFit="false"/>
      <protection locked="true" hidden="false"/>
    </xf>
    <xf numFmtId="164" fontId="50" fillId="17"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right" vertical="bottom" textRotation="0" wrapText="false" indent="0" shrinkToFit="false"/>
      <protection locked="true" hidden="false"/>
    </xf>
    <xf numFmtId="164" fontId="51" fillId="0" borderId="0" xfId="0" applyFont="true" applyBorder="false" applyAlignment="false" applyProtection="false">
      <alignment horizontal="general" vertical="bottom" textRotation="0" wrapText="false" indent="0" shrinkToFit="false"/>
      <protection locked="true" hidden="false"/>
    </xf>
    <xf numFmtId="164" fontId="50" fillId="18"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50"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0" borderId="0" xfId="20" applyFont="true" applyBorder="true" applyAlignment="true" applyProtection="true">
      <alignment horizontal="general" vertical="bottom" textRotation="0" wrapText="false" indent="0" shrinkToFit="false"/>
      <protection locked="true" hidden="false"/>
    </xf>
    <xf numFmtId="164" fontId="50" fillId="0" borderId="0" xfId="20" applyFont="true" applyBorder="true" applyAlignment="true" applyProtection="true">
      <alignment horizontal="general" vertical="bottom" textRotation="0" wrapText="false" indent="0" shrinkToFit="false"/>
      <protection locked="true" hidden="false"/>
    </xf>
  </cellXfs>
  <cellStyles count="7">
    <cellStyle name="Normal" xfId="0" builtinId="0" customBuiltin="false"/>
    <cellStyle name="Comma" xfId="15" builtinId="3" customBuiltin="false"/>
    <cellStyle name="Comma [0]" xfId="16" builtinId="6" customBuiltin="false"/>
    <cellStyle name="Currency" xfId="17" builtinId="4" customBuiltin="false"/>
    <cellStyle name="Currency [0]" xfId="18" builtinId="7" customBuiltin="false"/>
    <cellStyle name="Percent" xfId="19" builtinId="5" customBuiltin="false"/>
    <cellStyle name="*unknown*" xfId="20" builtinId="8" customBuiltin="false"/>
  </cellStyles>
  <colors>
    <indexedColors>
      <rgbColor rgb="FF000000"/>
      <rgbColor rgb="FFFFFFFF"/>
      <rgbColor rgb="FFED1C24"/>
      <rgbColor rgb="FF05F720"/>
      <rgbColor rgb="FF0000FF"/>
      <rgbColor rgb="FFFFFF00"/>
      <rgbColor rgb="FFFF00FF"/>
      <rgbColor rgb="FF05F420"/>
      <rgbColor rgb="FF800000"/>
      <rgbColor rgb="FF008000"/>
      <rgbColor rgb="FF0E08F7"/>
      <rgbColor rgb="FF808000"/>
      <rgbColor rgb="FF080BF9"/>
      <rgbColor rgb="FF0923F8"/>
      <rgbColor rgb="FFC6E0B4"/>
      <rgbColor rgb="FF808080"/>
      <rgbColor rgb="FF9999FF"/>
      <rgbColor rgb="FF0511FB"/>
      <rgbColor rgb="FFFFFFCC"/>
      <rgbColor rgb="FFD9E1F2"/>
      <rgbColor rgb="FF121BFA"/>
      <rgbColor rgb="FFFF8080"/>
      <rgbColor rgb="FF0563C1"/>
      <rgbColor rgb="FFD9D9D9"/>
      <rgbColor rgb="FF0805FA"/>
      <rgbColor rgb="FFFF00FF"/>
      <rgbColor rgb="FFFFF200"/>
      <rgbColor rgb="FF00FFFF"/>
      <rgbColor rgb="FF0B1CF5"/>
      <rgbColor rgb="FF800000"/>
      <rgbColor rgb="FF0716FB"/>
      <rgbColor rgb="FF0501FB"/>
      <rgbColor rgb="FF00CCFF"/>
      <rgbColor rgb="FFCCFFFF"/>
      <rgbColor rgb="FFDBDBDB"/>
      <rgbColor rgb="FFFFFF99"/>
      <rgbColor rgb="FF65FAED"/>
      <rgbColor rgb="FFF8AA97"/>
      <rgbColor rgb="FFCC99FF"/>
      <rgbColor rgb="FFFFCC99"/>
      <rgbColor rgb="FF0924FB"/>
      <rgbColor rgb="FF08FB3E"/>
      <rgbColor rgb="FF73FD04"/>
      <rgbColor rgb="FFFFCC00"/>
      <rgbColor rgb="FFFAA61A"/>
      <rgbColor rgb="FFEF413D"/>
      <rgbColor rgb="FF666666"/>
      <rgbColor rgb="FF969696"/>
      <rgbColor rgb="FF0B2AF3"/>
      <rgbColor rgb="FF339966"/>
      <rgbColor rgb="FF0618F6"/>
      <rgbColor rgb="FF0713F7"/>
      <rgbColor rgb="FF993300"/>
      <rgbColor rgb="FF070AFE"/>
      <rgbColor rgb="FF5C2D91"/>
      <rgbColor rgb="FF4A4A4A"/>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hyperlink" Target="https://pubmed.ncbi.nlm.nih.gov/29753069/" TargetMode="External"/><Relationship Id="rId2" Type="http://schemas.openxmlformats.org/officeDocument/2006/relationships/hyperlink" Target="https://www.tandfonline.com/doi/pdf/10.1080/09168451.2014.891933?needAccess=true&amp;" TargetMode="External"/><Relationship Id="rId3" Type="http://schemas.openxmlformats.org/officeDocument/2006/relationships/hyperlink" Target="https://www.sciencedirect.com/science/article/pii/S1389172312004768?via%3Dihub" TargetMode="External"/><Relationship Id="rId4" Type="http://schemas.openxmlformats.org/officeDocument/2006/relationships/hyperlink" Target="https://metacyc.org/gene?orgid=META&amp;id=MONOMER-13586" TargetMode="External"/><Relationship Id="rId5" Type="http://schemas.openxmlformats.org/officeDocument/2006/relationships/hyperlink" Target="https://metacyc.org/META/NEW-IMAGE?type=PATHWAY&amp;object=PWY-7216" TargetMode="External"/><Relationship Id="rId6" Type="http://schemas.openxmlformats.org/officeDocument/2006/relationships/hyperlink" Target="https://pubmed.ncbi.nlm.nih.gov/29753069/" TargetMode="External"/><Relationship Id="rId7" Type="http://schemas.openxmlformats.org/officeDocument/2006/relationships/hyperlink" Target="https://www.tandfonline.com/doi/pdf/10.1080/09168451.2014.891933?needAccess=true&amp;" TargetMode="External"/><Relationship Id="rId8" Type="http://schemas.openxmlformats.org/officeDocument/2006/relationships/hyperlink" Target="https://www.sciencedirect.com/science/article/pii/S1389172312004768?via%3Dihub" TargetMode="External"/><Relationship Id="rId9" Type="http://schemas.openxmlformats.org/officeDocument/2006/relationships/hyperlink" Target="https://metacyc.org/gene?orgid=META&amp;id=MONOMER-13586" TargetMode="External"/><Relationship Id="rId10" Type="http://schemas.openxmlformats.org/officeDocument/2006/relationships/hyperlink" Target="https://metacyc.org/META/NEW-IMAGE?type=PATHWAY&amp;object=PWY-7216" TargetMode="External"/><Relationship Id="rId11" Type="http://schemas.openxmlformats.org/officeDocument/2006/relationships/hyperlink" Target="https://www.nature.com/articles/srep13040" TargetMode="External"/><Relationship Id="rId12" Type="http://schemas.openxmlformats.org/officeDocument/2006/relationships/hyperlink" Target="https://www.nature.com/articles/s41929-018-0212-4" TargetMode="External"/><Relationship Id="rId13" Type="http://schemas.openxmlformats.org/officeDocument/2006/relationships/hyperlink" Target="https://pubmed.ncbi.nlm.nih.gov/30056370/" TargetMode="External"/><Relationship Id="rId14" Type="http://schemas.openxmlformats.org/officeDocument/2006/relationships/hyperlink" Target="https://aiche.onlinelibrary.wiley.com/doi/full/10.1002/btpr.2917" TargetMode="External"/><Relationship Id="rId15" Type="http://schemas.openxmlformats.org/officeDocument/2006/relationships/hyperlink" Target="https://www.sciencedirect.com/science/article/pii/S1096717616000215?via%3Dihub" TargetMode="External"/><Relationship Id="rId16" Type="http://schemas.openxmlformats.org/officeDocument/2006/relationships/hyperlink" Target="https://www.nature.com/articles/nchembio.580" TargetMode="External"/><Relationship Id="rId17" Type="http://schemas.openxmlformats.org/officeDocument/2006/relationships/hyperlink" Target="https://pubmed.ncbi.nlm.nih.gov/27072298/" TargetMode="External"/><Relationship Id="rId18" Type="http://schemas.openxmlformats.org/officeDocument/2006/relationships/hyperlink" Target="https://www.genome.jp/dbget-bin/www_bget?ec:1.1.1.77" TargetMode="External"/><Relationship Id="rId19" Type="http://schemas.openxmlformats.org/officeDocument/2006/relationships/hyperlink" Target="https://biocyc.org/META/NEW-IMAGE?type=REACTION-IN-PATHWAY&amp;object=PROPANEDIOL-DEHYDRATASE-RXN" TargetMode="External"/><Relationship Id="rId20" Type="http://schemas.openxmlformats.org/officeDocument/2006/relationships/hyperlink" Target="https://biocyc.org/gene?orgid=META&amp;id=STM2052" TargetMode="External"/><Relationship Id="rId21" Type="http://schemas.openxmlformats.org/officeDocument/2006/relationships/hyperlink" Target="https://metacyc.org/gene?orgid=META&amp;id=G-10082" TargetMode="External"/><Relationship Id="rId22" Type="http://schemas.openxmlformats.org/officeDocument/2006/relationships/hyperlink" Target="https://metacyc.org/gene?orgid=META&amp;id=YMR303C" TargetMode="External"/><Relationship Id="rId23" Type="http://schemas.openxmlformats.org/officeDocument/2006/relationships/hyperlink" Target="https://www.sciencedirect.com/science/article/pii/S1096717608000487" TargetMode="External"/><Relationship Id="rId24" Type="http://schemas.openxmlformats.org/officeDocument/2006/relationships/hyperlink" Target="https://www.frontiersin.org/articles/10.3389/fbioe.2020.00710/full" TargetMode="External"/><Relationship Id="rId25" Type="http://schemas.openxmlformats.org/officeDocument/2006/relationships/hyperlink" Target="https://pubmed.ncbi.nlm.nih.gov/29753069/" TargetMode="External"/><Relationship Id="rId26" Type="http://schemas.openxmlformats.org/officeDocument/2006/relationships/hyperlink" Target="https://link.springer.com/content/pdf/10.1007/s12257-019-0306-0.pdf" TargetMode="External"/><Relationship Id="rId27" Type="http://schemas.openxmlformats.org/officeDocument/2006/relationships/hyperlink" Target="https://microbialcellfactories.biomedcentral.com/articles/10.1186/s12934-021-01554-x" TargetMode="External"/><Relationship Id="rId28" Type="http://schemas.openxmlformats.org/officeDocument/2006/relationships/hyperlink" Target="https://pubmed.ncbi.nlm.nih.gov/18758769/" TargetMode="External"/><Relationship Id="rId29" Type="http://schemas.openxmlformats.org/officeDocument/2006/relationships/hyperlink" Target="https://pubs.acs.org/doi/10.1021/acssynbio.8b00281" TargetMode="External"/><Relationship Id="rId30" Type="http://schemas.openxmlformats.org/officeDocument/2006/relationships/hyperlink" Target="https://metacyc.org/gene?orgid=META&amp;id=MONOMER-8501" TargetMode="External"/><Relationship Id="rId31" Type="http://schemas.openxmlformats.org/officeDocument/2006/relationships/hyperlink" Target="https://www.ncbi.nlm.nih.gov/pmc/articles/PMC2634914/?tool=pmcentrez&amp;report=abstract" TargetMode="External"/><Relationship Id="rId32" Type="http://schemas.openxmlformats.org/officeDocument/2006/relationships/hyperlink" Target="https://www.nature.com/articles/s41929-018-0212-4" TargetMode="External"/><Relationship Id="rId33" Type="http://schemas.openxmlformats.org/officeDocument/2006/relationships/hyperlink" Target="https://www.sciencedirect.com/science/article/pii/S0958166915000981" TargetMode="External"/><Relationship Id="rId34" Type="http://schemas.openxmlformats.org/officeDocument/2006/relationships/hyperlink" Target="https://biocyc.org/ECOLI/NEW-IMAGE?type=PATHWAY&amp;object=ARO-PWY" TargetMode="External"/><Relationship Id="rId35" Type="http://schemas.openxmlformats.org/officeDocument/2006/relationships/hyperlink" Target="https://metacyc.org/META/NEW-IMAGE?type=REACTION&amp;object=RXN-802" TargetMode="External"/><Relationship Id="rId36" Type="http://schemas.openxmlformats.org/officeDocument/2006/relationships/hyperlink" Target="https://pubmed.ncbi.nlm.nih.gov/23246520/" TargetMode="External"/><Relationship Id="rId37" Type="http://schemas.openxmlformats.org/officeDocument/2006/relationships/hyperlink" Target="https://www.nature.com/articles/s41929-018-0212-4" TargetMode="External"/><Relationship Id="rId38" Type="http://schemas.openxmlformats.org/officeDocument/2006/relationships/hyperlink" Target="https://www.sciencedirect.com/science/article/pii/S1381117716302016" TargetMode="External"/><Relationship Id="rId39" Type="http://schemas.openxmlformats.org/officeDocument/2006/relationships/hyperlink" Target="https://microbialcellfactories.biomedcentral.com/articles/10.1186/s12934-019-1054-8" TargetMode="External"/><Relationship Id="rId40" Type="http://schemas.openxmlformats.org/officeDocument/2006/relationships/hyperlink" Target="https://www.sciencedirect.com/science/article/pii/S1096717615001020" TargetMode="External"/><Relationship Id="rId41" Type="http://schemas.openxmlformats.org/officeDocument/2006/relationships/hyperlink" Target="https://pubmed.ncbi.nlm.nih.gov/15735954/" TargetMode="External"/><Relationship Id="rId42" Type="http://schemas.openxmlformats.org/officeDocument/2006/relationships/hyperlink" Target="https://metacyc.org/gene?orgid=META&amp;id=G-34517" TargetMode="External"/><Relationship Id="rId43" Type="http://schemas.openxmlformats.org/officeDocument/2006/relationships/hyperlink" Target="https://pubmed.ncbi.nlm.nih.gov/23023753/" TargetMode="External"/><Relationship Id="rId44" Type="http://schemas.openxmlformats.org/officeDocument/2006/relationships/hyperlink" Target="https://link.springer.com/article/10.1007%2Fs00253-012-4274-y" TargetMode="External"/><Relationship Id="rId45" Type="http://schemas.openxmlformats.org/officeDocument/2006/relationships/hyperlink" Target="https://pubmed.ncbi.nlm.nih.gov/15735954/" TargetMode="External"/><Relationship Id="rId46" Type="http://schemas.openxmlformats.org/officeDocument/2006/relationships/hyperlink" Target="https://www.sciencedirect.com/science/article/pii/S1096717615001020" TargetMode="External"/><Relationship Id="rId47" Type="http://schemas.openxmlformats.org/officeDocument/2006/relationships/hyperlink" Target="https://www.sciencedirect.com/science/article/pii/S2214030117300275" TargetMode="External"/><Relationship Id="rId48" Type="http://schemas.openxmlformats.org/officeDocument/2006/relationships/hyperlink" Target="https://microbialcellfactories.biomedcentral.com/articles/10.1186/s12934-015-0319-0" TargetMode="External"/><Relationship Id="rId49" Type="http://schemas.openxmlformats.org/officeDocument/2006/relationships/hyperlink" Target="https://www.mdpi.com/2218-273X/10/9/1238/htm" TargetMode="External"/><Relationship Id="rId50" Type="http://schemas.openxmlformats.org/officeDocument/2006/relationships/hyperlink" Target="https://www.nature.com/articles/s41929-018-0212-4" TargetMode="External"/><Relationship Id="rId51" Type="http://schemas.openxmlformats.org/officeDocument/2006/relationships/hyperlink" Target="https://biocyc.org/META/NEW-IMAGE?type=REACTION&amp;object=PROTOCATECHUATE-DECARBOXYLASE-RXN" TargetMode="External"/><Relationship Id="rId52" Type="http://schemas.openxmlformats.org/officeDocument/2006/relationships/hyperlink" Target="https://biocyc.org/ECOLI/NEW-IMAGE?type=PATHWAY&amp;object=ARO-PWY" TargetMode="External"/><Relationship Id="rId53" Type="http://schemas.openxmlformats.org/officeDocument/2006/relationships/hyperlink" Target="https://biocyc.org/ECOLI/NEW-IMAGE?type=PATHWAY&amp;object=PHESYN" TargetMode="External"/><Relationship Id="rId54" Type="http://schemas.openxmlformats.org/officeDocument/2006/relationships/hyperlink" Target="https://www.sciencedirect.com/science/article/pii/S1096717620301579?via%3Dihub" TargetMode="External"/><Relationship Id="rId55" Type="http://schemas.openxmlformats.org/officeDocument/2006/relationships/hyperlink" Target="https://onlinelibrary.wiley.com/doi/abs/10.1111/tpj.14506" TargetMode="External"/><Relationship Id="rId56" Type="http://schemas.openxmlformats.org/officeDocument/2006/relationships/hyperlink" Target="https://microbialcellfactories.biomedcentral.com/articles/10.1186/1475-2859-11-49" TargetMode="External"/><Relationship Id="rId57" Type="http://schemas.openxmlformats.org/officeDocument/2006/relationships/hyperlink" Target="https://biocyc.org/META/NEW-IMAGE?type=PATHWAY&amp;object=PWY-6444" TargetMode="External"/><Relationship Id="rId58" Type="http://schemas.openxmlformats.org/officeDocument/2006/relationships/hyperlink" Target="https://biocyc.org/ECOLI/NEW-IMAGE?type=PATHWAY&amp;object=ARO-PWY" TargetMode="External"/><Relationship Id="rId59" Type="http://schemas.openxmlformats.org/officeDocument/2006/relationships/hyperlink" Target="https://www.sciencedirect.com/science/article/pii/S1096717620301579?via%3Dihub" TargetMode="External"/><Relationship Id="rId60" Type="http://schemas.openxmlformats.org/officeDocument/2006/relationships/hyperlink" Target="https://onlinelibrary.wiley.com/doi/abs/10.1111/tpj.14506" TargetMode="External"/><Relationship Id="rId61" Type="http://schemas.openxmlformats.org/officeDocument/2006/relationships/hyperlink" Target="https://www.pnas.org/content/109/40/16383" TargetMode="External"/><Relationship Id="rId62" Type="http://schemas.openxmlformats.org/officeDocument/2006/relationships/hyperlink" Target="https://microbialcellfactories.biomedcentral.com/articles/10.1186/1475-2859-11-49" TargetMode="External"/><Relationship Id="rId63" Type="http://schemas.openxmlformats.org/officeDocument/2006/relationships/hyperlink" Target="https://biocyc.org/META/NEW-IMAGE?type=PATHWAY&amp;object=PWY-6446" TargetMode="External"/><Relationship Id="rId64" Type="http://schemas.openxmlformats.org/officeDocument/2006/relationships/hyperlink" Target="https://biocyc.org/META/NEW-IMAGE?type=PATHWAY&amp;object=PWY-6443" TargetMode="External"/><Relationship Id="rId65" Type="http://schemas.openxmlformats.org/officeDocument/2006/relationships/hyperlink" Target="https://www.sciencedirect.com/science/article/pii/S2214030115300018" TargetMode="External"/><Relationship Id="rId66" Type="http://schemas.openxmlformats.org/officeDocument/2006/relationships/hyperlink" Target="https://www.sciencedirect.com/science/article/abs/pii/S0958166915000981" TargetMode="External"/><Relationship Id="rId67" Type="http://schemas.openxmlformats.org/officeDocument/2006/relationships/hyperlink" Target="https://www.ncbi.nlm.nih.gov/pmc/articles/PMC101949/" TargetMode="External"/><Relationship Id="rId68" Type="http://schemas.openxmlformats.org/officeDocument/2006/relationships/hyperlink" Target="https://pubmed.ncbi.nlm.nih.gov/16257556/" TargetMode="External"/><Relationship Id="rId69" Type="http://schemas.openxmlformats.org/officeDocument/2006/relationships/hyperlink" Target="https://microbialcellfactories.biomedcentral.com/articles/10.1186/s12934-014-0160-x" TargetMode="External"/><Relationship Id="rId70" Type="http://schemas.openxmlformats.org/officeDocument/2006/relationships/hyperlink" Target="https://www.sciencedirect.com/science/article/pii/S1937644810810056" TargetMode="External"/><Relationship Id="rId71" Type="http://schemas.openxmlformats.org/officeDocument/2006/relationships/hyperlink" Target="https://www.sciencedirect.com/science/article/pii/B9780123814661000286" TargetMode="External"/><Relationship Id="rId72" Type="http://schemas.openxmlformats.org/officeDocument/2006/relationships/hyperlink" Target="https://biocyc.org/META/NEW-IMAGE?type=REACTION&amp;object=FARNESYLTRANSTRANSFERASE-RXN" TargetMode="External"/><Relationship Id="rId73" Type="http://schemas.openxmlformats.org/officeDocument/2006/relationships/hyperlink" Target="https://biocyc.org/META/NEW-IMAGE?type=PATHWAY&amp;object=PWY-7393" TargetMode="External"/><Relationship Id="rId74" Type="http://schemas.openxmlformats.org/officeDocument/2006/relationships/hyperlink" Target="https://www.brenda-enzymes.org/enzyme.php?ecno=1.3.99.31" TargetMode="External"/><Relationship Id="rId75" Type="http://schemas.openxmlformats.org/officeDocument/2006/relationships/hyperlink" Target="https://www.pnas.org/content/pnas/110/19/7642.full.pdf" TargetMode="External"/><Relationship Id="rId76" Type="http://schemas.openxmlformats.org/officeDocument/2006/relationships/hyperlink" Target="https://biotechnologyforbiofuels.biomedcentral.com/articles/10.1186/s13068-020-01809-6" TargetMode="External"/><Relationship Id="rId77" Type="http://schemas.openxmlformats.org/officeDocument/2006/relationships/hyperlink" Target="https://www.frontiersin.org/articles/10.3389/fbioe.2021.613322/full" TargetMode="External"/><Relationship Id="rId78" Type="http://schemas.openxmlformats.org/officeDocument/2006/relationships/hyperlink" Target="https://www.ncbi.nlm.nih.gov/pmc/articles/PMC4822313/" TargetMode="External"/><Relationship Id="rId79" Type="http://schemas.openxmlformats.org/officeDocument/2006/relationships/hyperlink" Target="https://onlinelibrary.wiley.com/doi/abs/10.1002/anie.201101552" TargetMode="External"/><Relationship Id="rId80" Type="http://schemas.openxmlformats.org/officeDocument/2006/relationships/hyperlink" Target="https://biocyc.org/META/NEW-IMAGE?type=EC-NUMBER&amp;object=EC-1.2.1.50" TargetMode="External"/><Relationship Id="rId81" Type="http://schemas.openxmlformats.org/officeDocument/2006/relationships/hyperlink" Target="https://pubs.acs.org/doi/10.1021/acssynbio.0c00154" TargetMode="External"/><Relationship Id="rId82" Type="http://schemas.openxmlformats.org/officeDocument/2006/relationships/hyperlink" Target="https://pubs.acs.org/doi/abs/10.1021/acssynbio.9b00518" TargetMode="External"/><Relationship Id="rId83" Type="http://schemas.openxmlformats.org/officeDocument/2006/relationships/hyperlink" Target="https://metacyc.org/gene?orgid=META&amp;id=G-12174" TargetMode="External"/><Relationship Id="rId84" Type="http://schemas.openxmlformats.org/officeDocument/2006/relationships/hyperlink" Target="https://www.frontiersin.org/articles/10.3389/fbioe.2020.00710/full" TargetMode="External"/><Relationship Id="rId85" Type="http://schemas.openxmlformats.org/officeDocument/2006/relationships/hyperlink" Target="https://www.frontiersin.org/articles/10.3389/fbioe.2020.00710/full" TargetMode="External"/><Relationship Id="rId86" Type="http://schemas.openxmlformats.org/officeDocument/2006/relationships/hyperlink" Target="https://metacyc.org/META/NEW-IMAGE?type=PATHWAY&amp;object=PWY-6871" TargetMode="External"/><Relationship Id="rId87" Type="http://schemas.openxmlformats.org/officeDocument/2006/relationships/hyperlink" Target="https://www.ncbi.nlm.nih.gov/pmc/articles/PMC4818529/" TargetMode="External"/><Relationship Id="rId88" Type="http://schemas.openxmlformats.org/officeDocument/2006/relationships/hyperlink" Target="https://biocyc.org/META/NEW-IMAGE?type=REACTION&amp;object=PROTOCATECHUATE-DECARBOXYLASE-RXN" TargetMode="External"/><Relationship Id="rId89" Type="http://schemas.openxmlformats.org/officeDocument/2006/relationships/hyperlink" Target="https://www.sciencedirect.com/science/article/pii/S2214030117300275" TargetMode="External"/><Relationship Id="rId90" Type="http://schemas.openxmlformats.org/officeDocument/2006/relationships/hyperlink" Target="https://microbialcellfactories.biomedcentral.com/articles/10.1186/s12934-015-0319-0" TargetMode="External"/><Relationship Id="rId91" Type="http://schemas.openxmlformats.org/officeDocument/2006/relationships/hyperlink" Target="https://www.mdpi.com/2218-273X/10/9/1238/htm" TargetMode="External"/><Relationship Id="rId92" Type="http://schemas.openxmlformats.org/officeDocument/2006/relationships/hyperlink" Target="https://www.nature.com/articles/s41929-018-0212-4" TargetMode="External"/><Relationship Id="rId93" Type="http://schemas.openxmlformats.org/officeDocument/2006/relationships/hyperlink" Target="https://biocyc.org/META/NEW-IMAGE?type=REACTION&amp;object=PROTOCATECHUATE-DECARBOXYLASE-RXN" TargetMode="External"/><Relationship Id="rId94" Type="http://schemas.openxmlformats.org/officeDocument/2006/relationships/hyperlink" Target="https://www.sciencedirect.com/science/article/pii/S2214030117300275" TargetMode="External"/><Relationship Id="rId95" Type="http://schemas.openxmlformats.org/officeDocument/2006/relationships/hyperlink" Target="https://microbialcellfactories.biomedcentral.com/articles/10.1186/s12934-015-0319-0" TargetMode="External"/><Relationship Id="rId96" Type="http://schemas.openxmlformats.org/officeDocument/2006/relationships/hyperlink" Target="https://www.mdpi.com/2218-273X/10/9/1238/htm" TargetMode="External"/><Relationship Id="rId97" Type="http://schemas.openxmlformats.org/officeDocument/2006/relationships/hyperlink" Target="https://www.nature.com/articles/s41929-018-0212-4" TargetMode="External"/><Relationship Id="rId98" Type="http://schemas.openxmlformats.org/officeDocument/2006/relationships/hyperlink" Target="https://biocyc.org/META/NEW-IMAGE?type=REACTION&amp;object=PROTOCATECHUATE-DECARBOXYLASE-RXN" TargetMode="External"/><Relationship Id="rId99" Type="http://schemas.openxmlformats.org/officeDocument/2006/relationships/hyperlink" Target="https://www.sciencedirect.com/science/article/pii/S0958166915000981" TargetMode="External"/><Relationship Id="rId100" Type="http://schemas.openxmlformats.org/officeDocument/2006/relationships/hyperlink" Target="https://biocyc.org/ECOLI/NEW-IMAGE?type=PATHWAY&amp;object=ARO-PWY" TargetMode="External"/><Relationship Id="rId101" Type="http://schemas.openxmlformats.org/officeDocument/2006/relationships/hyperlink" Target="https://biotechnologyforbiofuels.biomedcentral.com/articles/10.1186/s13068-020-01703-1" TargetMode="External"/><Relationship Id="rId102" Type="http://schemas.openxmlformats.org/officeDocument/2006/relationships/hyperlink" Target="https://www.sciencedirect.com/science/article/pii/S1096717617300320" TargetMode="External"/><Relationship Id="rId103" Type="http://schemas.openxmlformats.org/officeDocument/2006/relationships/hyperlink" Target="https://pubmed.ncbi.nlm.nih.gov/21907299/" TargetMode="External"/><Relationship Id="rId104" Type="http://schemas.openxmlformats.org/officeDocument/2006/relationships/hyperlink" Target="https://www.ncbi.nlm.nih.gov/pmc/articles/PMC101949/" TargetMode="External"/><Relationship Id="rId105" Type="http://schemas.openxmlformats.org/officeDocument/2006/relationships/hyperlink" Target="https://biocyc.org/META/NEW-IMAGE?type=PATHWAY&amp;object=PWY-5123" TargetMode="External"/><Relationship Id="rId106" Type="http://schemas.openxmlformats.org/officeDocument/2006/relationships/hyperlink" Target="https://biocyc.org/META/NEW-IMAGE?type=PATHWAY&amp;object=PWY-922" TargetMode="External"/><Relationship Id="rId107" Type="http://schemas.openxmlformats.org/officeDocument/2006/relationships/hyperlink" Target="https://microbialcellfactories.biomedcentral.com/articles/10.1186/1475-2859-11-54" TargetMode="External"/><Relationship Id="rId108" Type="http://schemas.openxmlformats.org/officeDocument/2006/relationships/hyperlink" Target="https://www.nature.com/articles/s41929-018-0212-4" TargetMode="External"/><Relationship Id="rId109" Type="http://schemas.openxmlformats.org/officeDocument/2006/relationships/hyperlink" Target="https://pubmed.ncbi.nlm.nih.gov/23246520/" TargetMode="External"/><Relationship Id="rId110" Type="http://schemas.openxmlformats.org/officeDocument/2006/relationships/hyperlink" Target="https://www.nature.com/articles/s41929-018-0212-4" TargetMode="External"/><Relationship Id="rId111" Type="http://schemas.openxmlformats.org/officeDocument/2006/relationships/hyperlink" Target="https://metacyc.org/META/NEW-IMAGE?type=PATHWAY&amp;object=PROUT-PWY" TargetMode="External"/><Relationship Id="rId112" Type="http://schemas.openxmlformats.org/officeDocument/2006/relationships/hyperlink" Target="https://www.frontiersin.org/articles/10.3389/fbioe.2021.613322/full" TargetMode="External"/><Relationship Id="rId113" Type="http://schemas.openxmlformats.org/officeDocument/2006/relationships/hyperlink" Target="https://onlinelibrary.wiley.com/doi/abs/10.1002/anie.201101552" TargetMode="External"/><Relationship Id="rId114" Type="http://schemas.openxmlformats.org/officeDocument/2006/relationships/hyperlink" Target="https://www.ncbi.nlm.nih.gov/pmc/articles/PMC4822313/" TargetMode="External"/><Relationship Id="rId115" Type="http://schemas.openxmlformats.org/officeDocument/2006/relationships/hyperlink" Target="https://biocyc.org/META/NEW-IMAGE?type=EC-NUMBER&amp;object=EC-1.2.1.50" TargetMode="External"/><Relationship Id="rId116" Type="http://schemas.openxmlformats.org/officeDocument/2006/relationships/hyperlink" Target="https://www.frontiersin.org/articles/10.3389/fbioe.2021.613322/full" TargetMode="External"/><Relationship Id="rId117" Type="http://schemas.openxmlformats.org/officeDocument/2006/relationships/hyperlink" Target="https://www.ncbi.nlm.nih.gov/pmc/articles/PMC4822313/" TargetMode="External"/><Relationship Id="rId118" Type="http://schemas.openxmlformats.org/officeDocument/2006/relationships/hyperlink" Target="https://onlinelibrary.wiley.com/doi/abs/10.1002/anie.201101552" TargetMode="External"/><Relationship Id="rId119" Type="http://schemas.openxmlformats.org/officeDocument/2006/relationships/hyperlink" Target="https://biocyc.org/META/NEW-IMAGE?type=EC-NUMBER&amp;object=EC-1.2.1.50" TargetMode="External"/><Relationship Id="rId120" Type="http://schemas.openxmlformats.org/officeDocument/2006/relationships/hyperlink" Target="https://www.ncbi.nlm.nih.gov/pmc/articles/PMC4818529/" TargetMode="External"/><Relationship Id="rId121" Type="http://schemas.openxmlformats.org/officeDocument/2006/relationships/hyperlink" Target="https://www.nature.com/articles/s41929-018-0212-4" TargetMode="External"/><Relationship Id="rId122" Type="http://schemas.openxmlformats.org/officeDocument/2006/relationships/hyperlink" Target="https://www.biorxiv.org/content/10.1101/2020.07.26.219949v2" TargetMode="External"/><Relationship Id="rId123" Type="http://schemas.openxmlformats.org/officeDocument/2006/relationships/hyperlink" Target="https://biocyc.org/ECOLI/NEW-IMAGE?type=REACTION&amp;object=RXN-17897" TargetMode="External"/><Relationship Id="rId124" Type="http://schemas.openxmlformats.org/officeDocument/2006/relationships/hyperlink" Target="https://biocyc.org/ECOLI/NEW-IMAGE?type=REACTION&amp;object=PYRUFLAVREDUCT-RXN" TargetMode="External"/><Relationship Id="rId125" Type="http://schemas.openxmlformats.org/officeDocument/2006/relationships/hyperlink" Target="https://biocyc.org/META/NEW-IMAGE?type=REACTION&amp;object=3-HYDROXYISOBUTYRYL-COA-HYDROLASE-RXN" TargetMode="External"/><Relationship Id="rId126" Type="http://schemas.openxmlformats.org/officeDocument/2006/relationships/hyperlink" Target="https://www.ncbi.nlm.nih.gov/pmc/articles/PMC101949/" TargetMode="External"/><Relationship Id="rId127" Type="http://schemas.openxmlformats.org/officeDocument/2006/relationships/hyperlink" Target="https://microbialcellfactories.biomedcentral.com/articles/10.1186/s12934-016-0612-6" TargetMode="External"/><Relationship Id="rId128" Type="http://schemas.openxmlformats.org/officeDocument/2006/relationships/hyperlink" Target="https://microbialcellfactories.biomedcentral.com/articles/10.1186/s12934-018-1051-3" TargetMode="External"/><Relationship Id="rId129" Type="http://schemas.openxmlformats.org/officeDocument/2006/relationships/hyperlink" Target="https://biocyc.org/META/NEW-IMAGE?type=PATHWAY&amp;object=PWY-922" TargetMode="External"/><Relationship Id="rId130" Type="http://schemas.openxmlformats.org/officeDocument/2006/relationships/hyperlink" Target="https://aem.asm.org/content/73/24/7814" TargetMode="External"/><Relationship Id="rId131" Type="http://schemas.openxmlformats.org/officeDocument/2006/relationships/hyperlink" Target="https://microbialcellfactories.biomedcentral.com/articles/10.1186/s12934-019-1054-8" TargetMode="External"/><Relationship Id="rId132" Type="http://schemas.openxmlformats.org/officeDocument/2006/relationships/hyperlink" Target="https://link.springer.com/article/10.1007%2Fs00253-014-6092-x" TargetMode="External"/><Relationship Id="rId133" Type="http://schemas.openxmlformats.org/officeDocument/2006/relationships/hyperlink" Target="https://www.nature.com/articles/srep39768" TargetMode="External"/><Relationship Id="rId134" Type="http://schemas.openxmlformats.org/officeDocument/2006/relationships/hyperlink" Target="https://metacyc.org/gene?orgid=META&amp;id=MONOMER-13632" TargetMode="External"/><Relationship Id="rId135" Type="http://schemas.openxmlformats.org/officeDocument/2006/relationships/hyperlink" Target="https://www.sciencedirect.com/science/article/pii/S109671761300058X" TargetMode="External"/><Relationship Id="rId136" Type="http://schemas.openxmlformats.org/officeDocument/2006/relationships/hyperlink" Target="https://academic.oup.com/femsle/article/365/10/fny079/4953741" TargetMode="External"/><Relationship Id="rId137" Type="http://schemas.openxmlformats.org/officeDocument/2006/relationships/hyperlink" Target="https://www.brenda-enzymes.org/enzyme.php?ecno=4.2.3.20" TargetMode="External"/><Relationship Id="rId138" Type="http://schemas.openxmlformats.org/officeDocument/2006/relationships/hyperlink" Target="https://pubs.acs.org/doi/10.1021/acssynbio.6b00007" TargetMode="External"/><Relationship Id="rId139" Type="http://schemas.openxmlformats.org/officeDocument/2006/relationships/hyperlink" Target="https://www.frontiersin.org/articles/10.3389/fbioe.2021.613322/full" TargetMode="External"/><Relationship Id="rId140" Type="http://schemas.openxmlformats.org/officeDocument/2006/relationships/hyperlink" Target="https://onlinelibrary.wiley.com/doi/abs/10.1002/anie.201101552" TargetMode="External"/><Relationship Id="rId141" Type="http://schemas.openxmlformats.org/officeDocument/2006/relationships/hyperlink" Target="https://www.ncbi.nlm.nih.gov/pmc/articles/PMC4822313/" TargetMode="External"/><Relationship Id="rId142" Type="http://schemas.openxmlformats.org/officeDocument/2006/relationships/hyperlink" Target="https://biocyc.org/META/NEW-IMAGE?type=EC-NUMBER&amp;object=EC-1.2.1.50" TargetMode="External"/><Relationship Id="rId143" Type="http://schemas.openxmlformats.org/officeDocument/2006/relationships/hyperlink" Target="https://www.frontiersin.org/articles/10.3389/fbioe.2021.613322/full" TargetMode="External"/><Relationship Id="rId144" Type="http://schemas.openxmlformats.org/officeDocument/2006/relationships/hyperlink" Target="https://www.ncbi.nlm.nih.gov/pmc/articles/PMC4822313/" TargetMode="External"/><Relationship Id="rId145" Type="http://schemas.openxmlformats.org/officeDocument/2006/relationships/hyperlink" Target="https://onlinelibrary.wiley.com/doi/abs/10.1002/anie.201101552" TargetMode="External"/><Relationship Id="rId146" Type="http://schemas.openxmlformats.org/officeDocument/2006/relationships/hyperlink" Target="https://biocyc.org/META/NEW-IMAGE?type=EC-NUMBER&amp;object=EC-1.2.1.50" TargetMode="External"/><Relationship Id="rId147" Type="http://schemas.openxmlformats.org/officeDocument/2006/relationships/hyperlink" Target="https://www.frontiersin.org/articles/10.3389/fbioe.2021.613322/full" TargetMode="External"/><Relationship Id="rId148" Type="http://schemas.openxmlformats.org/officeDocument/2006/relationships/hyperlink" Target="https://onlinelibrary.wiley.com/doi/abs/10.1002/anie.201101552" TargetMode="External"/><Relationship Id="rId149" Type="http://schemas.openxmlformats.org/officeDocument/2006/relationships/hyperlink" Target="https://www.ncbi.nlm.nih.gov/pmc/articles/PMC4822313/" TargetMode="External"/><Relationship Id="rId150" Type="http://schemas.openxmlformats.org/officeDocument/2006/relationships/hyperlink" Target="https://biocyc.org/META/NEW-IMAGE?type=EC-NUMBER&amp;object=EC-1.2.1.50" TargetMode="External"/><Relationship Id="rId151" Type="http://schemas.openxmlformats.org/officeDocument/2006/relationships/hyperlink" Target="https://www.ncbi.nlm.nih.gov/pmc/articles/PMC6072553/" TargetMode="External"/><Relationship Id="rId152" Type="http://schemas.openxmlformats.org/officeDocument/2006/relationships/hyperlink" Target="https://www.frontiersin.org/articles/10.3389/fbioe.2021.613322/full" TargetMode="External"/><Relationship Id="rId153" Type="http://schemas.openxmlformats.org/officeDocument/2006/relationships/hyperlink" Target="https://www.sciencedirect.com/science/article/pii/S0958166915000981" TargetMode="External"/><Relationship Id="rId154" Type="http://schemas.openxmlformats.org/officeDocument/2006/relationships/hyperlink" Target="https://onlinelibrary.wiley.com/doi/epdf/10.1002/biot.201300263" TargetMode="External"/><Relationship Id="rId155" Type="http://schemas.openxmlformats.org/officeDocument/2006/relationships/hyperlink" Target="https://biocyc.org/ECOLI/NEW-IMAGE?type=PATHWAY&amp;object=ARO-PWY" TargetMode="External"/><Relationship Id="rId156" Type="http://schemas.openxmlformats.org/officeDocument/2006/relationships/hyperlink" Target="https://metacyc.org/META/NEW-IMAGE?type=REACTION&amp;object=TYROSINE-PHENOL-LYASE-RXN" TargetMode="External"/><Relationship Id="rId157" Type="http://schemas.openxmlformats.org/officeDocument/2006/relationships/hyperlink" Target="https://biotechnologyforbiofuels.biomedcentral.com/articles/10.1186/s13068-015-0231-1" TargetMode="External"/><Relationship Id="rId158" Type="http://schemas.openxmlformats.org/officeDocument/2006/relationships/hyperlink" Target="https://www.frontiersin.org/articles/10.3389/fbioe.2021.613322/full" TargetMode="External"/><Relationship Id="rId159" Type="http://schemas.openxmlformats.org/officeDocument/2006/relationships/hyperlink" Target="https://onlinelibrary.wiley.com/doi/abs/10.1002/anie.201101552" TargetMode="External"/><Relationship Id="rId160" Type="http://schemas.openxmlformats.org/officeDocument/2006/relationships/hyperlink" Target="https://biocyc.org/META/NEW-IMAGE?type=EC-NUMBER&amp;object=EC-1.2.1.50" TargetMode="External"/><Relationship Id="rId161" Type="http://schemas.openxmlformats.org/officeDocument/2006/relationships/hyperlink" Target="https://www.ncbi.nlm.nih.gov/pmc/articles/PMC4818529/" TargetMode="External"/><Relationship Id="rId162" Type="http://schemas.openxmlformats.org/officeDocument/2006/relationships/hyperlink" Target="https://www.ncbi.nlm.nih.gov/pmc/articles/PMC4822313/" TargetMode="External"/><Relationship Id="rId163" Type="http://schemas.openxmlformats.org/officeDocument/2006/relationships/hyperlink" Target="https://www.frontiersin.org/articles/10.3389/fbioe.2018.00032/full" TargetMode="External"/><Relationship Id="rId164" Type="http://schemas.openxmlformats.org/officeDocument/2006/relationships/hyperlink" Target="https://www.sciencedirect.com/science/article/pii/S1096717611000711" TargetMode="External"/><Relationship Id="rId165" Type="http://schemas.openxmlformats.org/officeDocument/2006/relationships/hyperlink" Target="https://microbialcellfactories.biomedcentral.com/articles/10.1186/s12934-019-1129-6" TargetMode="External"/><Relationship Id="rId166" Type="http://schemas.openxmlformats.org/officeDocument/2006/relationships/hyperlink" Target="https://www.sciencedirect.com/science/article/pii/S1096717619302320" TargetMode="External"/><Relationship Id="rId167" Type="http://schemas.openxmlformats.org/officeDocument/2006/relationships/hyperlink" Target="https://biocyc.org/ECOLI/NEW-IMAGE?type=PATHWAY&amp;object=ARO-PWY" TargetMode="External"/><Relationship Id="rId168" Type="http://schemas.openxmlformats.org/officeDocument/2006/relationships/hyperlink" Target="https://biocyc.org/ECOLI/NEW-IMAGE?type=PATHWAY&amp;object=PHESYN" TargetMode="External"/><Relationship Id="rId169" Type="http://schemas.openxmlformats.org/officeDocument/2006/relationships/hyperlink" Target="https://microbialcellfactories.biomedcentral.com/articles/10.1186/s12934-018-0959-y" TargetMode="External"/><Relationship Id="rId170" Type="http://schemas.openxmlformats.org/officeDocument/2006/relationships/hyperlink" Target="https://microbialcellfactories.biomedcentral.com/articles/10.1186/s12934-020-01422-0" TargetMode="External"/><Relationship Id="rId171" Type="http://schemas.openxmlformats.org/officeDocument/2006/relationships/hyperlink" Target="https://www.ncbi.nlm.nih.gov/pmc/articles/PMC3652112/" TargetMode="External"/><Relationship Id="rId172" Type="http://schemas.openxmlformats.org/officeDocument/2006/relationships/hyperlink" Target="https://microbialcellfactories.biomedcentral.com/articles/10.1186/s12934-019-1064-6" TargetMode="External"/><Relationship Id="rId173" Type="http://schemas.openxmlformats.org/officeDocument/2006/relationships/hyperlink" Target="https://www.sciencedirect.com/science/article/pii/S0960852420317004?dgcid=rss_sd_all" TargetMode="External"/><Relationship Id="rId174" Type="http://schemas.openxmlformats.org/officeDocument/2006/relationships/hyperlink" Target="https://www.ncbi.nlm.nih.gov/pmc/articles/PMC3769771/" TargetMode="External"/><Relationship Id="rId175" Type="http://schemas.openxmlformats.org/officeDocument/2006/relationships/hyperlink" Target="https://microbialcellfactories.biomedcentral.com/articles/10.1186/s12934-021-01509-2" TargetMode="External"/><Relationship Id="rId176" Type="http://schemas.openxmlformats.org/officeDocument/2006/relationships/hyperlink" Target="https://www.sciencedirect.com/science/article/pii/S2405805X17300534" TargetMode="External"/><Relationship Id="rId177" Type="http://schemas.openxmlformats.org/officeDocument/2006/relationships/hyperlink" Target="https://www.sciencedirect.com/science/article/pii/S2405805X17300534" TargetMode="External"/><Relationship Id="rId178" Type="http://schemas.openxmlformats.org/officeDocument/2006/relationships/hyperlink" Target="https://aem.asm.org/content/75/3/589" TargetMode="External"/><Relationship Id="rId179" Type="http://schemas.openxmlformats.org/officeDocument/2006/relationships/hyperlink" Target="https://aem.asm.org/content/62/9/3101" TargetMode="External"/><Relationship Id="rId180" Type="http://schemas.openxmlformats.org/officeDocument/2006/relationships/hyperlink" Target="https://www.sciencedirect.com/science/article/pii/S1096717611000711" TargetMode="External"/><Relationship Id="rId181" Type="http://schemas.openxmlformats.org/officeDocument/2006/relationships/hyperlink" Target="https://microbialcellfactories.biomedcentral.com/articles/10.1186/s12934-019-1129-6" TargetMode="External"/><Relationship Id="rId182" Type="http://schemas.openxmlformats.org/officeDocument/2006/relationships/hyperlink" Target="https://www.sciencedirect.com/science/article/pii/S1096717619302320" TargetMode="External"/><Relationship Id="rId183" Type="http://schemas.openxmlformats.org/officeDocument/2006/relationships/hyperlink" Target="https://biocyc.org/ECOLI/NEW-IMAGE?type=PATHWAY&amp;object=ARO-PWY" TargetMode="External"/><Relationship Id="rId184" Type="http://schemas.openxmlformats.org/officeDocument/2006/relationships/hyperlink" Target="https://biocyc.org/ECOLI/NEW-IMAGE?type=PATHWAY&amp;object=PHESYN" TargetMode="External"/><Relationship Id="rId185" Type="http://schemas.openxmlformats.org/officeDocument/2006/relationships/hyperlink" Target="https://metacyc.org/gene?orgid=META&amp;id=MONOMER-18703" TargetMode="External"/><Relationship Id="rId186" Type="http://schemas.openxmlformats.org/officeDocument/2006/relationships/hyperlink" Target="https://metacyc.org/META/NEW-IMAGE?type=REACTION&amp;object=PROLINE-RACEMASE-RXN" TargetMode="External"/><Relationship Id="rId187" Type="http://schemas.openxmlformats.org/officeDocument/2006/relationships/hyperlink" Target="https://metacyc.org/META/NEW-IMAGE?type=REACTION-IN-PATHWAY&amp;object=1.21.4.1-RXN" TargetMode="External"/><Relationship Id="rId188" Type="http://schemas.openxmlformats.org/officeDocument/2006/relationships/hyperlink" Target="https://metacyc.org/META/NEW-IMAGE?type=PATHWAY&amp;object=PWY-8186" TargetMode="Externa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hyperlink" Target="https://metacyc.org/META/NEW-IMAGE?type=REACTION&amp;object=RXN-21039" TargetMode="External"/>
</Relationships>
</file>

<file path=xl/worksheets/_rels/sheet5.xml.rels><?xml version="1.0" encoding="UTF-8"?>
<Relationships xmlns="http://schemas.openxmlformats.org/package/2006/relationships"><Relationship Id="rId1" Type="http://schemas.openxmlformats.org/officeDocument/2006/relationships/hyperlink" Target="https://www.tandfonline.com/doi/pdf/10.1080/09168451.2014.891933?needAccess=true" TargetMode="External"/><Relationship Id="rId2" Type="http://schemas.openxmlformats.org/officeDocument/2006/relationships/hyperlink" Target="https://www.genomatica.com/wp-content/uploads/2017/01/Metabolic-engineering-of-Escherichia-coli-for-direct-production-of-14-butanediol-Nature-Chemical-V1.pdf" TargetMode="External"/><Relationship Id="rId3" Type="http://schemas.openxmlformats.org/officeDocument/2006/relationships/hyperlink" Target="https://www.sciencedirect.com/science/article/abs/pii/S1389172316300330?via%3Dihub" TargetMode="External"/><Relationship Id="rId4" Type="http://schemas.openxmlformats.org/officeDocument/2006/relationships/hyperlink" Target="https://biotechnologyforbiofuels.biomedcentral.com/track/pdf/10.1186/s13068-019-1545-1" TargetMode="External"/><Relationship Id="rId5" Type="http://schemas.openxmlformats.org/officeDocument/2006/relationships/hyperlink" Target="https://www.sciencedirect.com/science/article/pii/S2214030117300275" TargetMode="External"/><Relationship Id="rId6" Type="http://schemas.openxmlformats.org/officeDocument/2006/relationships/hyperlink" Target="https://academic.oup.com/femsle/article/365/10/fny079/4953741" TargetMode="External"/><Relationship Id="rId7" Type="http://schemas.openxmlformats.org/officeDocument/2006/relationships/hyperlink" Target="https://www.ncbi.nlm.nih.gov/pmc/articles/PMC5270751/" TargetMode="External"/><Relationship Id="rId8" Type="http://schemas.openxmlformats.org/officeDocument/2006/relationships/hyperlink" Target="https://pubs.acs.org/doi/pdf/10.1021/acssynbio.9b00518" TargetMode="External"/><Relationship Id="rId9" Type="http://schemas.openxmlformats.org/officeDocument/2006/relationships/hyperlink" Target="https://pubs.acs.org/doi/pdf/10.1021/acssynbio.9b00518" TargetMode="External"/><Relationship Id="rId10" Type="http://schemas.openxmlformats.org/officeDocument/2006/relationships/hyperlink" Target="https://academic.oup.com/femsle/article/365/10/fny079/4953741" TargetMode="External"/><Relationship Id="rId11" Type="http://schemas.openxmlformats.org/officeDocument/2006/relationships/hyperlink" Target="https://www.sciencedirect.com/science/article/pii/S2214030117300275" TargetMode="External"/><Relationship Id="rId12" Type="http://schemas.openxmlformats.org/officeDocument/2006/relationships/hyperlink" Target="https://pubs.acs.org/doi/pdf/10.1021/acssynbio.9b00518" TargetMode="External"/><Relationship Id="rId13" Type="http://schemas.openxmlformats.org/officeDocument/2006/relationships/hyperlink" Target="https://pubs.acs.org/doi/pdf/10.1021/acssynbio.9b00518" TargetMode="External"/><Relationship Id="rId14" Type="http://schemas.openxmlformats.org/officeDocument/2006/relationships/hyperlink" Target="https://pubs.acs.org/doi/pdf/10.1021/acssynbio.9b00518" TargetMode="External"/><Relationship Id="rId15" Type="http://schemas.openxmlformats.org/officeDocument/2006/relationships/hyperlink" Target="https://www.ncbi.nlm.nih.gov/pmc/articles/PMC5270751/" TargetMode="External"/><Relationship Id="rId16" Type="http://schemas.openxmlformats.org/officeDocument/2006/relationships/hyperlink" Target="https://www.genome.jp/kegg-bin/show_pathway?map00365+C11101" TargetMode="External"/><Relationship Id="rId17" Type="http://schemas.openxmlformats.org/officeDocument/2006/relationships/hyperlink" Target="https://www.nature.com/articles/s41929-018-0212-4" TargetMode="External"/><Relationship Id="rId18" Type="http://schemas.openxmlformats.org/officeDocument/2006/relationships/hyperlink" Target="https://pubs.acs.org/doi/pdf/10.1021/acssynbio.9b00518" TargetMode="External"/><Relationship Id="rId19" Type="http://schemas.openxmlformats.org/officeDocument/2006/relationships/hyperlink" Target="https://pubs.acs.org/doi/pdf/10.1021/acssynbio.9b00518" TargetMode="External"/><Relationship Id="rId20" Type="http://schemas.openxmlformats.org/officeDocument/2006/relationships/hyperlink" Target="https://pubs.acs.org/doi/pdf/10.1021/acssynbio.9b00518" TargetMode="External"/><Relationship Id="rId21" Type="http://schemas.openxmlformats.org/officeDocument/2006/relationships/hyperlink" Target="https://link.springer.com/article/10.1007/s00253-011-3199-1" TargetMode="External"/><Relationship Id="rId22" Type="http://schemas.openxmlformats.org/officeDocument/2006/relationships/hyperlink" Target="https://www.genome.jp/kegg-bin/show_pathway?map00660+C00490" TargetMode="External"/><Relationship Id="rId23" Type="http://schemas.openxmlformats.org/officeDocument/2006/relationships/hyperlink" Target="https://reader.elsevier.com/reader/sd/pii/S1364032115006048?token=0C0DBD2713B334A0234794CF2E59C21207218A9B5535235B70F12F556422AC0C38065E4A98EF48FA950E03BCFF581021" TargetMode="External"/><Relationship Id="rId24" Type="http://schemas.openxmlformats.org/officeDocument/2006/relationships/hyperlink" Target="https://academic.oup.com/femsle/article/365/10/fny079/4953741" TargetMode="External"/><Relationship Id="rId25" Type="http://schemas.openxmlformats.org/officeDocument/2006/relationships/hyperlink" Target="https://academic.oup.com/femsle/article/365/10/fny079/4953741" TargetMode="External"/><Relationship Id="rId26" Type="http://schemas.openxmlformats.org/officeDocument/2006/relationships/hyperlink" Target="https://www.ncbi.nlm.nih.gov/pmc/articles/PMC5270751/" TargetMode="External"/><Relationship Id="rId27" Type="http://schemas.openxmlformats.org/officeDocument/2006/relationships/hyperlink" Target="https://www.ncbi.nlm.nih.gov/pmc/articles/PMC5270751/" TargetMode="External"/><Relationship Id="rId28" Type="http://schemas.openxmlformats.org/officeDocument/2006/relationships/hyperlink" Target="https://pubs.acs.org/doi/pdf/10.1021/acssynbio.9b00518" TargetMode="External"/><Relationship Id="rId29" Type="http://schemas.openxmlformats.org/officeDocument/2006/relationships/hyperlink" Target="https://pubs.acs.org/doi/pdf/10.1021/acssynbio.9b00518" TargetMode="External"/><Relationship Id="rId30" Type="http://schemas.openxmlformats.org/officeDocument/2006/relationships/hyperlink" Target="https://onlinelibrary.wiley.com/doi/epdf/10.1002/biot.201300263" TargetMode="External"/><Relationship Id="rId31" Type="http://schemas.openxmlformats.org/officeDocument/2006/relationships/hyperlink" Target="https://onlinelibrary.wiley.com/doi/epdf/10.1002/bit.22548" TargetMode="External"/><Relationship Id="rId32" Type="http://schemas.openxmlformats.org/officeDocument/2006/relationships/hyperlink" Target="https://www.ncbi.nlm.nih.gov/pmc/articles/PMC4818529/" TargetMode="External"/><Relationship Id="rId33" Type="http://schemas.openxmlformats.org/officeDocument/2006/relationships/hyperlink" Target="https://pubs.acs.org/doi/pdf/10.1021/acssynbio.9b00518" TargetMode="External"/><Relationship Id="rId34" Type="http://schemas.openxmlformats.org/officeDocument/2006/relationships/hyperlink" Target="https://www.sciencedirect.com/science/article/pii/S1096717611000711" TargetMode="External"/><Relationship Id="rId35" Type="http://schemas.openxmlformats.org/officeDocument/2006/relationships/hyperlink" Target="https://www.nature.com/articles/srep13670" TargetMode="External"/><Relationship Id="rId36" Type="http://schemas.openxmlformats.org/officeDocument/2006/relationships/hyperlink" Target="https://www.genome.jp/kegg-bin/show_pathway?map00622+C00479" TargetMode="External"/><Relationship Id="rId37" Type="http://schemas.openxmlformats.org/officeDocument/2006/relationships/hyperlink" Target="https://www.nature.com/articles/s41929-018-0212-4" TargetMode="External"/><Relationship Id="rId38" Type="http://schemas.openxmlformats.org/officeDocument/2006/relationships/hyperlink" Target="https://microbialcellfactories.biomedcentral.com/articles/10.1186/s12934-019-1054-8" TargetMode="External"/><Relationship Id="rId39" Type="http://schemas.openxmlformats.org/officeDocument/2006/relationships/hyperlink" Target="https://www.sciencedirect.com/science/article/pii/S1096717615001020" TargetMode="External"/><Relationship Id="rId40" Type="http://schemas.openxmlformats.org/officeDocument/2006/relationships/hyperlink" Target="https://www.nature.com/articles/s41929-018-0212-4" TargetMode="External"/><Relationship Id="rId41" Type="http://schemas.openxmlformats.org/officeDocument/2006/relationships/hyperlink" Target="https://www.ncbi.nlm.nih.gov/pmc/articles/PMC101949/" TargetMode="External"/><Relationship Id="rId42" Type="http://schemas.openxmlformats.org/officeDocument/2006/relationships/hyperlink" Target="https://www.sciencedirect.com/science/article/pii/S1937644810810056" TargetMode="External"/><Relationship Id="rId43" Type="http://schemas.openxmlformats.org/officeDocument/2006/relationships/hyperlink" Target="https://www.sciencedirect.com/science/article/pii/B9780123814661000286" TargetMode="External"/><Relationship Id="rId44" Type="http://schemas.openxmlformats.org/officeDocument/2006/relationships/hyperlink" Target="https://www.nature.com/articles/s41929-018-0212-4" TargetMode="External"/><Relationship Id="rId45" Type="http://schemas.openxmlformats.org/officeDocument/2006/relationships/hyperlink" Target="https://microbialcellfactories.biomedcentral.com/articles/10.1186/s12934-019-1054-8" TargetMode="External"/><Relationship Id="rId46" Type="http://schemas.openxmlformats.org/officeDocument/2006/relationships/hyperlink" Target="https://onlinelibrary.wiley.com/doi/abs/10.1111/tpj.14506" TargetMode="External"/><Relationship Id="rId47" Type="http://schemas.openxmlformats.org/officeDocument/2006/relationships/hyperlink" Target="https://www.nature.com/articles/s41929-018-0212-4" TargetMode="External"/><Relationship Id="rId48" Type="http://schemas.openxmlformats.org/officeDocument/2006/relationships/hyperlink" Target="https://pubs.acs.org/doi/10.1021/acssynbio.8b00281" TargetMode="External"/><Relationship Id="rId49" Type="http://schemas.openxmlformats.org/officeDocument/2006/relationships/hyperlink" Target="https://pubmed.ncbi.nlm.nih.gov/18758769/" TargetMode="External"/><Relationship Id="rId50" Type="http://schemas.openxmlformats.org/officeDocument/2006/relationships/hyperlink" Target="https://www.ncbi.nlm.nih.gov/pmc/articles/PMC2634914/?tool=pmcentrez&amp;report=abstract" TargetMode="External"/><Relationship Id="rId51" Type="http://schemas.openxmlformats.org/officeDocument/2006/relationships/hyperlink" Target="https://pubs.acs.org/doi/10.1021/acssynbio.6b00007" TargetMode="External"/><Relationship Id="rId52" Type="http://schemas.openxmlformats.org/officeDocument/2006/relationships/hyperlink" Target="https://www.nature.com/articles/s41929-018-0212-4" TargetMode="External"/><Relationship Id="rId53" Type="http://schemas.openxmlformats.org/officeDocument/2006/relationships/hyperlink" Target="https://www.nature.com/articles/s41929-018-0212-4" TargetMode="External"/><Relationship Id="rId54" Type="http://schemas.openxmlformats.org/officeDocument/2006/relationships/hyperlink" Target="https://www.nature.com/articles/srep13040" TargetMode="External"/>
</Relationships>
</file>

<file path=xl/worksheets/_rels/sheet8.xml.rels><?xml version="1.0" encoding="UTF-8"?>
<Relationships xmlns="http://schemas.openxmlformats.org/package/2006/relationships"><Relationship Id="rId1" Type="http://schemas.openxmlformats.org/officeDocument/2006/relationships/hyperlink" Target="https://www.sciencedirect.com/science/article/pii/S0734975019300606" TargetMode="External"/><Relationship Id="rId2" Type="http://schemas.openxmlformats.org/officeDocument/2006/relationships/hyperlink" Target="https://www.genome.jp/dbget-bin/www_bget?rn:R00821" TargetMode="External"/><Relationship Id="rId3" Type="http://schemas.openxmlformats.org/officeDocument/2006/relationships/hyperlink" Target="https://link.springer.com/content/pdf/10.1007/s10295-014-1581-6.pdf" TargetMode="External"/><Relationship Id="rId4" Type="http://schemas.openxmlformats.org/officeDocument/2006/relationships/hyperlink" Target="https://www.sciencedirect.com/science/article/pii/S2214030117300275" TargetMode="External"/><Relationship Id="rId5" Type="http://schemas.openxmlformats.org/officeDocument/2006/relationships/hyperlink" Target="https://www.genome.jp/dbget-bin/www_bget?rn:R00821" TargetMode="External"/><Relationship Id="rId6" Type="http://schemas.openxmlformats.org/officeDocument/2006/relationships/hyperlink" Target="https://www.genome.jp/kegg-bin/show_pathway?map00365+C11101" TargetMode="External"/><Relationship Id="rId7" Type="http://schemas.openxmlformats.org/officeDocument/2006/relationships/hyperlink" Target="https://www.sciencedirect.com/science/article/pii/S0021951713001085" TargetMode="External"/><Relationship Id="rId8" Type="http://schemas.openxmlformats.org/officeDocument/2006/relationships/hyperlink" Target="https://www.sciencedirect.com/science/article/pii/S1096717608000360?via%3Dihub" TargetMode="External"/><Relationship Id="rId9" Type="http://schemas.openxmlformats.org/officeDocument/2006/relationships/hyperlink" Target="https://www.ncbi.nlm.nih.gov/pmc/articles/PMC4818529/" TargetMode="External"/><Relationship Id="rId10" Type="http://schemas.openxmlformats.org/officeDocument/2006/relationships/hyperlink" Target="https://aem.asm.org/content/aem/75/9/2765.full.pdf" TargetMode="External"/><Relationship Id="rId11" Type="http://schemas.openxmlformats.org/officeDocument/2006/relationships/hyperlink" Target="https://link.springer.com/content/pdf/10.1007/s00425-017-2684-x.pdf" TargetMode="External"/><Relationship Id="rId12" Type="http://schemas.openxmlformats.org/officeDocument/2006/relationships/hyperlink" Target="https://www.genome.jp/kegg-bin/show_pathway?map00650+C03044" TargetMode="External"/><Relationship Id="rId13" Type="http://schemas.openxmlformats.org/officeDocument/2006/relationships/hyperlink" Target="https://www.genome.jp/kegg-bin/show_pathway?map00650+C03044" TargetMode="External"/><Relationship Id="rId14" Type="http://schemas.openxmlformats.org/officeDocument/2006/relationships/hyperlink" Target="https://www.nature.com/articles/ncomms3833.pdf" TargetMode="External"/><Relationship Id="rId15" Type="http://schemas.openxmlformats.org/officeDocument/2006/relationships/hyperlink" Target="https://www.nature.com/articles/s41929-018-0212-4" TargetMode="External"/><Relationship Id="rId16" Type="http://schemas.openxmlformats.org/officeDocument/2006/relationships/hyperlink" Target="https://reader.elsevier.com/reader/sd/pii/S1674205214000136?token=24558B4FA588171D1491210857413B2A1D3B8EB2E6F958A39E177FF626C9FB17A53E6D648ADBB2FD8C8E77A6F95BAC63" TargetMode="External"/><Relationship Id="rId17" Type="http://schemas.openxmlformats.org/officeDocument/2006/relationships/hyperlink" Target="https://www.sciencedirect.com/science/article/pii/S1096717608000487" TargetMode="External"/><Relationship Id="rId18" Type="http://schemas.openxmlformats.org/officeDocument/2006/relationships/hyperlink" Target="https://www.genome.jp/dbget-bin/www_bget?rn:R12515" TargetMode="External"/><Relationship Id="rId19" Type="http://schemas.openxmlformats.org/officeDocument/2006/relationships/hyperlink" Target="https://www.researchgate.net/figure/Metabolic-pathway-for-itaconic-acid-production-via-the-different-compartments-in-the_fig1_259804784" TargetMode="External"/><Relationship Id="rId20" Type="http://schemas.openxmlformats.org/officeDocument/2006/relationships/hyperlink" Target="https://pubmed.ncbi.nlm.nih.gov/23023753/" TargetMode="External"/><Relationship Id="rId21" Type="http://schemas.openxmlformats.org/officeDocument/2006/relationships/hyperlink" Target="https://link.springer.com/article/10.1007%2Fs00253-012-4274-y" TargetMode="External"/>
</Relationships>
</file>

<file path=xl/worksheets/_rels/sheet9.xml.rels><?xml version="1.0" encoding="UTF-8"?>
<Relationships xmlns="http://schemas.openxmlformats.org/package/2006/relationships"><Relationship Id="rId1" Type="http://schemas.openxmlformats.org/officeDocument/2006/relationships/hyperlink" Target="https://www.nature.com/articles/s41929-018-0212-4" TargetMode="External"/><Relationship Id="rId2" Type="http://schemas.openxmlformats.org/officeDocument/2006/relationships/hyperlink" Target="https://onlinelibrary.wiley.com/doi/epdf/10.1002/biot.201300263" TargetMode="External"/><Relationship Id="rId3" Type="http://schemas.openxmlformats.org/officeDocument/2006/relationships/hyperlink" Target="https://reader.elsevier.com/reader/sd/pii/S0734975019300606?token=EF72CE41C7374742F9154FDA975955FA84A15DA64B3A1DC30A53DEF1443CA3B9BE197BA96FBBE0DABDD516E95443B92B" TargetMode="External"/><Relationship Id="rId4" Type="http://schemas.openxmlformats.org/officeDocument/2006/relationships/hyperlink" Target="https://www.sciencedirect.com/science/article/pii/S1096717611000711?casa_token=4MLgnW7sYJ0AAAAA:iGhz83AcdznODA6XutEHQliJRt1eJCdyKi6de3LTTR8JnTU0Ma8c12v1hbeYB3wWExe302juKQ" TargetMode="External"/><Relationship Id="rId5" Type="http://schemas.openxmlformats.org/officeDocument/2006/relationships/hyperlink" Target="https://www.nature.com/articles/nchembio.970" TargetMode="External"/><Relationship Id="rId6" Type="http://schemas.openxmlformats.org/officeDocument/2006/relationships/hyperlink" Target="https://chemistry-europe.onlinelibrary.wiley.com/doi/full/10.1002/cssc.201000111?casa_token=_8tJZdAlhcIAAAAA%3Ag_7zBE0Z-eo5gEHcrWTF-WLy0D7Nch7Bj60KI5fHOAAqFparFm1re9yECLXrAwI6SsZLSj4lKo9k4A" TargetMode="External"/><Relationship Id="rId7" Type="http://schemas.openxmlformats.org/officeDocument/2006/relationships/hyperlink" Target="https://patentimages.storage.googleapis.com/46/49/5d/78c8a9fd23d64f/US5798236.pdf" TargetMode="External"/><Relationship Id="rId8" Type="http://schemas.openxmlformats.org/officeDocument/2006/relationships/hyperlink" Target="https://reader.elsevier.com/reader/sd/pii/S0141022916300151?token=CAEED787D94C5A577054054DE9190F6222FF74F7FF0358C1B30560DED07A63FC7AD04B6AC8EA52A9FEF74D13730B3078" TargetMode="External"/><Relationship Id="rId9" Type="http://schemas.openxmlformats.org/officeDocument/2006/relationships/hyperlink" Target="https://www.ncbi.nlm.nih.gov/pmc/articles/PMC91161/" TargetMode="External"/><Relationship Id="rId10" Type="http://schemas.openxmlformats.org/officeDocument/2006/relationships/hyperlink" Target="https://www.researchgate.net/figure/Metabolic-pathways-involved-in-the-production-of-xylitol-xylonate-lactic-acid_fig2_324276493" TargetMode="External"/><Relationship Id="rId11" Type="http://schemas.openxmlformats.org/officeDocument/2006/relationships/hyperlink" Target="https://www.sciencedirect.com/science/article/pii/S156673670700444X?casa_token=IQT_d4kUvK4AAAAA:5Z8N4oNSl9x4I3nqWAalaasGT6glMP0vk2KhWEHJu6--B1V577XRyjBZVyhTccPBBe-foe1uAQ" TargetMode="External"/><Relationship Id="rId12" Type="http://schemas.openxmlformats.org/officeDocument/2006/relationships/hyperlink" Target="https://biotechnologyforbiofuels.biomedcentral.com/articles/10.1186/s13068-019-1486-8" TargetMode="External"/><Relationship Id="rId13" Type="http://schemas.openxmlformats.org/officeDocument/2006/relationships/hyperlink" Target="https://microbialcellfactories.biomedcentral.com/articles/10.1186/s12934-019-1171-4" TargetMode="External"/><Relationship Id="rId14" Type="http://schemas.openxmlformats.org/officeDocument/2006/relationships/hyperlink" Target="https://pubs.acs.org/doi/pdf/10.1021/ja00024a048?casa_token=sMcMoF7yjzYAAAAA:Ph6i5v5pLkCqj-la9mhLIZbTGn5UQL18LUbgakNK3KpqSSOY29dih1IVvmfDhJNNxzpCZ9CFuBPh0Mg" TargetMode="External"/><Relationship Id="rId15" Type="http://schemas.openxmlformats.org/officeDocument/2006/relationships/hyperlink" Target="https://www.sciencedirect.com/science/article/pii/S1389172316300330?via%3Dihub" TargetMode="External"/><Relationship Id="rId16" Type="http://schemas.openxmlformats.org/officeDocument/2006/relationships/hyperlink" Target="https://www.sciencedirect.com/science/article/pii/S2214030117300275" TargetMode="External"/><Relationship Id="rId17" Type="http://schemas.openxmlformats.org/officeDocument/2006/relationships/hyperlink" Target="https://link.springer.com/content/pdf/10.1007/s10295-014-1581-6.pdf" TargetMode="External"/><Relationship Id="rId18" Type="http://schemas.openxmlformats.org/officeDocument/2006/relationships/hyperlink" Target="https://www.tandfonline.com/doi/pdf/10.1080/09168451.2014.891933?needAccess=true" TargetMode="External"/><Relationship Id="rId19" Type="http://schemas.openxmlformats.org/officeDocument/2006/relationships/hyperlink" Target="https://biotechnologyforbiofuels.biomedcentral.com/track/pdf/10.1186/s13068-019-1545-1" TargetMode="External"/><Relationship Id="rId20" Type="http://schemas.openxmlformats.org/officeDocument/2006/relationships/hyperlink" Target="https://www.genomatica.com/wp-content/uploads/2017/01/Metabolic-engineering-of-Escherichia-coli-for-direct-production-of-14-butanediol-Nature-Chemical-V1.pdf" TargetMode="External"/><Relationship Id="rId21" Type="http://schemas.openxmlformats.org/officeDocument/2006/relationships/hyperlink" Target="https://onlinelibrary.wiley.com/doi/epdf/10.1002/bit.22548" TargetMode="External"/><Relationship Id="rId22" Type="http://schemas.openxmlformats.org/officeDocument/2006/relationships/hyperlink" Target="https://www.sciencedirect.com/science/article/pii/S0021951713001085" TargetMode="External"/><Relationship Id="rId23" Type="http://schemas.openxmlformats.org/officeDocument/2006/relationships/hyperlink" Target="https://www.ncbi.nlm.nih.gov/pmc/articles/PMC5270751/" TargetMode="External"/><Relationship Id="rId24" Type="http://schemas.openxmlformats.org/officeDocument/2006/relationships/hyperlink" Target="https://pubs.acs.org/doi/pdf/10.1021/acssynbio.9b00518" TargetMode="External"/><Relationship Id="rId25" Type="http://schemas.openxmlformats.org/officeDocument/2006/relationships/hyperlink" Target="https://www.tandfonline.com/doi/full/10.1080/10826068.2018.1452257" TargetMode="External"/><Relationship Id="rId26" Type="http://schemas.openxmlformats.org/officeDocument/2006/relationships/hyperlink" Target="https://www.nature.com/articles/srep13670" TargetMode="External"/><Relationship Id="rId27" Type="http://schemas.openxmlformats.org/officeDocument/2006/relationships/hyperlink" Target="https://www.ncbi.nlm.nih.gov/pmc/articles/PMC4818529/" TargetMode="External"/><Relationship Id="rId28" Type="http://schemas.openxmlformats.org/officeDocument/2006/relationships/hyperlink" Target="https://microbialcellfactories.biomedcentral.com/articles/10.1186/s12934-019-1054-8" TargetMode="External"/><Relationship Id="rId29" Type="http://schemas.openxmlformats.org/officeDocument/2006/relationships/hyperlink" Target="https://www.sciencedirect.com/science/article/pii/S1096717615001020" TargetMode="External"/><Relationship Id="rId30" Type="http://schemas.openxmlformats.org/officeDocument/2006/relationships/hyperlink" Target="https://pubmed.ncbi.nlm.nih.gov/23023753/" TargetMode="External"/><Relationship Id="rId31" Type="http://schemas.openxmlformats.org/officeDocument/2006/relationships/hyperlink" Target="https://link.springer.com/article/10.1007%2Fs00253-012-4274-y" TargetMode="External"/><Relationship Id="rId32" Type="http://schemas.openxmlformats.org/officeDocument/2006/relationships/hyperlink" Target="https://www.ncbi.nlm.nih.gov/pmc/articles/PMC101949/" TargetMode="External"/><Relationship Id="rId33" Type="http://schemas.openxmlformats.org/officeDocument/2006/relationships/hyperlink" Target="https://www.sciencedirect.com/science/article/pii/S1937644810810056" TargetMode="External"/><Relationship Id="rId34" Type="http://schemas.openxmlformats.org/officeDocument/2006/relationships/hyperlink" Target="https://www.sciencedirect.com/science/article/pii/B9780123814661000286" TargetMode="External"/><Relationship Id="rId35" Type="http://schemas.openxmlformats.org/officeDocument/2006/relationships/hyperlink" Target="https://onlinelibrary.wiley.com/doi/abs/10.1111/tpj.14506" TargetMode="External"/><Relationship Id="rId36" Type="http://schemas.openxmlformats.org/officeDocument/2006/relationships/hyperlink" Target="https://pubs.acs.org/doi/10.1021/acssynbio.8b00281" TargetMode="External"/><Relationship Id="rId37" Type="http://schemas.openxmlformats.org/officeDocument/2006/relationships/hyperlink" Target="https://pubmed.ncbi.nlm.nih.gov/18758769/" TargetMode="External"/><Relationship Id="rId38" Type="http://schemas.openxmlformats.org/officeDocument/2006/relationships/hyperlink" Target="https://www.ncbi.nlm.nih.gov/pmc/articles/PMC2634914/?tool=pmcentrez&amp;report=abstract" TargetMode="External"/><Relationship Id="rId39" Type="http://schemas.openxmlformats.org/officeDocument/2006/relationships/hyperlink" Target="https://pubs.acs.org/doi/10.1021/acssynbio.6b00007" TargetMode="External"/><Relationship Id="rId40" Type="http://schemas.openxmlformats.org/officeDocument/2006/relationships/hyperlink" Target="https://www.nature.com/articles/srep13040" TargetMode="Externa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Y104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B921" activePane="bottomLeft" state="frozen"/>
      <selection pane="topLeft" activeCell="A1" activeCellId="0" sqref="A1"/>
      <selection pane="bottomLeft" activeCell="A974" activeCellId="0" sqref="A974"/>
    </sheetView>
  </sheetViews>
  <sheetFormatPr defaultRowHeight="13.8" zeroHeight="false" outlineLevelRow="0" outlineLevelCol="0"/>
  <cols>
    <col collapsed="false" customWidth="true" hidden="false" outlineLevel="0" max="1" min="1" style="1" width="62.23"/>
    <col collapsed="false" customWidth="true" hidden="false" outlineLevel="0" max="2" min="2" style="2" width="10.02"/>
    <col collapsed="false" customWidth="true" hidden="false" outlineLevel="0" max="3" min="3" style="2" width="8.11"/>
    <col collapsed="false" customWidth="true" hidden="false" outlineLevel="0" max="4" min="4" style="3" width="9.02"/>
    <col collapsed="false" customWidth="true" hidden="false" outlineLevel="0" max="5" min="5" style="1" width="12.32"/>
    <col collapsed="false" customWidth="true" hidden="false" outlineLevel="0" max="6" min="6" style="1" width="31.27"/>
    <col collapsed="false" customWidth="true" hidden="false" outlineLevel="0" max="7" min="7" style="1" width="8"/>
    <col collapsed="false" customWidth="true" hidden="false" outlineLevel="0" max="8" min="8" style="1" width="7.81"/>
    <col collapsed="false" customWidth="true" hidden="false" outlineLevel="0" max="9" min="9" style="1" width="11.94"/>
    <col collapsed="false" customWidth="true" hidden="false" outlineLevel="0" max="13" min="10" style="1" width="9.14"/>
    <col collapsed="false" customWidth="true" hidden="false" outlineLevel="0" max="14" min="14" style="1" width="17.19"/>
    <col collapsed="false" customWidth="true" hidden="false" outlineLevel="0" max="15" min="15" style="1" width="16.02"/>
    <col collapsed="false" customWidth="true" hidden="false" outlineLevel="0" max="16" min="16" style="1" width="15.02"/>
    <col collapsed="false" customWidth="true" hidden="false" outlineLevel="0" max="1025" min="17" style="1" width="9.14"/>
  </cols>
  <sheetData>
    <row r="1" customFormat="false" ht="26.55" hidden="false" customHeight="false" outlineLevel="0" collapsed="false">
      <c r="B1" s="4" t="s">
        <v>0</v>
      </c>
      <c r="C1" s="4" t="s">
        <v>1</v>
      </c>
      <c r="D1" s="4" t="s">
        <v>2</v>
      </c>
      <c r="E1" s="5" t="s">
        <v>3</v>
      </c>
      <c r="F1" s="5" t="s">
        <v>4</v>
      </c>
      <c r="G1" s="5" t="s">
        <v>5</v>
      </c>
      <c r="H1" s="5" t="s">
        <v>6</v>
      </c>
      <c r="I1" s="5" t="s">
        <v>7</v>
      </c>
      <c r="J1" s="5" t="s">
        <v>8</v>
      </c>
    </row>
    <row r="4" customFormat="false" ht="14" hidden="false" customHeight="false" outlineLevel="0" collapsed="false">
      <c r="A4" s="6" t="s">
        <v>9</v>
      </c>
      <c r="B4" s="7" t="s">
        <v>10</v>
      </c>
      <c r="C4" s="8"/>
      <c r="D4" s="8"/>
      <c r="E4" s="8"/>
      <c r="F4" s="8"/>
      <c r="G4" s="8"/>
      <c r="H4" s="8"/>
      <c r="I4" s="8"/>
      <c r="J4" s="9" t="s">
        <v>11</v>
      </c>
      <c r="K4" s="9"/>
      <c r="L4" s="9"/>
      <c r="M4" s="10"/>
      <c r="N4" s="10"/>
    </row>
    <row r="5" customFormat="false" ht="14" hidden="false" customHeight="false" outlineLevel="0" collapsed="false">
      <c r="A5" s="11" t="s">
        <v>12</v>
      </c>
      <c r="B5" s="12"/>
      <c r="C5" s="12"/>
      <c r="D5" s="13"/>
      <c r="E5" s="14" t="s">
        <v>13</v>
      </c>
      <c r="F5" s="14" t="s">
        <v>14</v>
      </c>
      <c r="G5" s="14" t="n">
        <v>-1000</v>
      </c>
      <c r="H5" s="14" t="n">
        <v>1000</v>
      </c>
      <c r="I5" s="14" t="s">
        <v>15</v>
      </c>
      <c r="J5" s="1" t="s">
        <v>16</v>
      </c>
      <c r="K5" s="10"/>
      <c r="L5" s="15"/>
      <c r="M5" s="15"/>
      <c r="N5" s="15"/>
    </row>
    <row r="6" customFormat="false" ht="13.8" hidden="false" customHeight="false" outlineLevel="0" collapsed="false">
      <c r="A6" s="16" t="s">
        <v>17</v>
      </c>
      <c r="B6" s="17"/>
      <c r="C6" s="17"/>
      <c r="D6" s="18"/>
      <c r="E6" s="1" t="s">
        <v>18</v>
      </c>
      <c r="F6" s="19" t="s">
        <v>19</v>
      </c>
      <c r="G6" s="19" t="n">
        <v>0</v>
      </c>
      <c r="H6" s="19" t="n">
        <v>1000</v>
      </c>
      <c r="I6" s="20"/>
      <c r="J6" s="19" t="s">
        <v>20</v>
      </c>
      <c r="K6" s="0"/>
      <c r="L6" s="10"/>
      <c r="M6" s="15"/>
      <c r="N6" s="15"/>
    </row>
    <row r="7" customFormat="false" ht="14" hidden="false" customHeight="false" outlineLevel="0" collapsed="false">
      <c r="A7" s="16" t="s">
        <v>21</v>
      </c>
      <c r="B7" s="17"/>
      <c r="C7" s="17"/>
      <c r="D7" s="18"/>
      <c r="E7" s="1" t="s">
        <v>22</v>
      </c>
      <c r="F7" s="19" t="s">
        <v>23</v>
      </c>
      <c r="G7" s="19" t="n">
        <v>0</v>
      </c>
      <c r="H7" s="19" t="n">
        <v>1000</v>
      </c>
      <c r="I7" s="20"/>
      <c r="J7" s="19" t="s">
        <v>24</v>
      </c>
      <c r="K7" s="10"/>
      <c r="L7" s="15"/>
      <c r="M7" s="15"/>
      <c r="N7" s="15"/>
    </row>
    <row r="8" customFormat="false" ht="13.8" hidden="false" customHeight="false" outlineLevel="0" collapsed="false">
      <c r="A8" s="19" t="s">
        <v>25</v>
      </c>
      <c r="B8" s="19"/>
      <c r="C8" s="19"/>
      <c r="D8" s="19"/>
      <c r="E8" s="1" t="s">
        <v>26</v>
      </c>
      <c r="F8" s="1" t="s">
        <v>27</v>
      </c>
      <c r="G8" s="19" t="n">
        <v>0</v>
      </c>
      <c r="H8" s="19" t="n">
        <v>1000</v>
      </c>
      <c r="I8" s="20"/>
      <c r="J8" s="19" t="s">
        <v>28</v>
      </c>
      <c r="K8" s="10"/>
      <c r="L8" s="15"/>
      <c r="M8" s="15"/>
      <c r="N8" s="15"/>
    </row>
    <row r="9" s="1" customFormat="true" ht="14" hidden="false" customHeight="false" outlineLevel="0" collapsed="false">
      <c r="A9" s="21" t="s">
        <v>29</v>
      </c>
      <c r="E9" s="21" t="s">
        <v>30</v>
      </c>
      <c r="F9" s="21" t="s">
        <v>31</v>
      </c>
      <c r="G9" s="22" t="n">
        <v>-1000</v>
      </c>
      <c r="H9" s="22" t="n">
        <v>1000</v>
      </c>
      <c r="I9" s="23"/>
      <c r="J9" s="22" t="s">
        <v>32</v>
      </c>
      <c r="K9" s="10"/>
      <c r="L9" s="15"/>
      <c r="M9" s="15"/>
      <c r="N9" s="15"/>
    </row>
    <row r="10" s="1" customFormat="true" ht="14" hidden="false" customHeight="false" outlineLevel="0" collapsed="false">
      <c r="A10" s="21" t="s">
        <v>33</v>
      </c>
      <c r="E10" s="21" t="s">
        <v>34</v>
      </c>
      <c r="F10" s="21" t="s">
        <v>35</v>
      </c>
      <c r="G10" s="22" t="n">
        <v>-1000</v>
      </c>
      <c r="H10" s="22" t="n">
        <v>1000</v>
      </c>
      <c r="I10" s="23"/>
      <c r="J10" s="22" t="s">
        <v>32</v>
      </c>
      <c r="K10" s="10"/>
      <c r="L10" s="15"/>
      <c r="M10" s="15"/>
      <c r="N10" s="15"/>
    </row>
    <row r="11" s="1" customFormat="true" ht="14" hidden="false" customHeight="false" outlineLevel="0" collapsed="false">
      <c r="A11" s="21" t="s">
        <v>36</v>
      </c>
      <c r="E11" s="21" t="s">
        <v>37</v>
      </c>
      <c r="F11" s="21" t="s">
        <v>38</v>
      </c>
      <c r="G11" s="21" t="n">
        <v>0</v>
      </c>
      <c r="H11" s="21" t="n">
        <v>1000</v>
      </c>
      <c r="J11" s="1" t="s">
        <v>39</v>
      </c>
      <c r="K11" s="10"/>
      <c r="L11" s="15"/>
      <c r="M11" s="15"/>
      <c r="N11" s="15"/>
    </row>
    <row r="12" s="1" customFormat="true" ht="14" hidden="false" customHeight="false" outlineLevel="0" collapsed="false">
      <c r="A12" s="21" t="s">
        <v>40</v>
      </c>
      <c r="K12" s="10"/>
      <c r="L12" s="15"/>
      <c r="M12" s="15"/>
      <c r="N12" s="15"/>
    </row>
    <row r="13" customFormat="false" ht="14" hidden="false" customHeight="false" outlineLevel="0" collapsed="false">
      <c r="A13" s="24" t="s">
        <v>41</v>
      </c>
      <c r="B13" s="12"/>
      <c r="C13" s="12"/>
      <c r="E13" s="14" t="s">
        <v>42</v>
      </c>
      <c r="F13" s="14" t="s">
        <v>43</v>
      </c>
      <c r="G13" s="14" t="n">
        <v>-1000</v>
      </c>
      <c r="H13" s="14" t="n">
        <v>1000</v>
      </c>
      <c r="I13" s="14" t="s">
        <v>15</v>
      </c>
      <c r="J13" s="19" t="s">
        <v>44</v>
      </c>
      <c r="K13" s="10"/>
      <c r="L13" s="15"/>
      <c r="M13" s="15"/>
      <c r="N13" s="15"/>
    </row>
    <row r="14" customFormat="false" ht="14" hidden="false" customHeight="false" outlineLevel="0" collapsed="false">
      <c r="A14" s="25" t="s">
        <v>45</v>
      </c>
      <c r="B14" s="12"/>
      <c r="C14" s="12"/>
      <c r="E14" s="19" t="s">
        <v>46</v>
      </c>
      <c r="F14" s="19" t="s">
        <v>47</v>
      </c>
      <c r="G14" s="19" t="n">
        <v>0</v>
      </c>
      <c r="H14" s="19" t="n">
        <v>1000</v>
      </c>
      <c r="I14" s="19"/>
      <c r="J14" s="19" t="s">
        <v>48</v>
      </c>
      <c r="K14" s="10"/>
      <c r="L14" s="15"/>
      <c r="M14" s="15"/>
      <c r="N14" s="15"/>
    </row>
    <row r="15" s="1" customFormat="true" ht="13.8" hidden="false" customHeight="false" outlineLevel="0" collapsed="false">
      <c r="A15" s="0"/>
      <c r="K15" s="10"/>
      <c r="L15" s="15"/>
      <c r="M15" s="15"/>
      <c r="N15" s="15"/>
    </row>
    <row r="16" s="1" customFormat="true" ht="14" hidden="false" customHeight="false" outlineLevel="0" collapsed="false">
      <c r="A16" s="1" t="s">
        <v>49</v>
      </c>
      <c r="K16" s="10"/>
      <c r="L16" s="15"/>
      <c r="M16" s="15"/>
      <c r="N16" s="15"/>
    </row>
    <row r="17" s="1" customFormat="true" ht="14" hidden="false" customHeight="false" outlineLevel="0" collapsed="false">
      <c r="A17" s="1" t="s">
        <v>50</v>
      </c>
      <c r="K17" s="10"/>
      <c r="L17" s="15"/>
      <c r="M17" s="15"/>
      <c r="N17" s="15"/>
    </row>
    <row r="18" s="1" customFormat="true" ht="14" hidden="false" customHeight="false" outlineLevel="0" collapsed="false">
      <c r="A18" s="1" t="s">
        <v>51</v>
      </c>
      <c r="K18" s="10"/>
      <c r="L18" s="15"/>
      <c r="M18" s="15"/>
      <c r="N18" s="15"/>
    </row>
    <row r="19" s="1" customFormat="true" ht="14" hidden="false" customHeight="false" outlineLevel="0" collapsed="false">
      <c r="A19" s="1" t="s">
        <v>52</v>
      </c>
      <c r="K19" s="10"/>
      <c r="L19" s="15"/>
      <c r="M19" s="15"/>
      <c r="N19" s="15"/>
    </row>
    <row r="20" s="1" customFormat="true" ht="14" hidden="false" customHeight="false" outlineLevel="0" collapsed="false">
      <c r="A20" s="1" t="s">
        <v>53</v>
      </c>
      <c r="K20" s="10"/>
      <c r="L20" s="15"/>
      <c r="M20" s="15"/>
      <c r="N20" s="15"/>
    </row>
    <row r="22" customFormat="false" ht="14.25" hidden="false" customHeight="false" outlineLevel="0" collapsed="false">
      <c r="A22" s="6" t="s">
        <v>54</v>
      </c>
      <c r="B22" s="7" t="s">
        <v>10</v>
      </c>
      <c r="C22" s="8"/>
      <c r="D22" s="8"/>
      <c r="E22" s="8"/>
      <c r="F22" s="8"/>
      <c r="G22" s="8"/>
      <c r="H22" s="8"/>
      <c r="I22" s="8"/>
      <c r="J22" s="9" t="s">
        <v>11</v>
      </c>
      <c r="K22" s="9"/>
      <c r="L22" s="9"/>
    </row>
    <row r="23" customFormat="false" ht="14.25" hidden="false" customHeight="false" outlineLevel="0" collapsed="false">
      <c r="A23" s="16" t="s">
        <v>55</v>
      </c>
      <c r="B23" s="17"/>
      <c r="C23" s="17"/>
      <c r="D23" s="26"/>
      <c r="E23" s="19" t="s">
        <v>56</v>
      </c>
      <c r="F23" s="19" t="s">
        <v>57</v>
      </c>
      <c r="G23" s="19" t="n">
        <v>0</v>
      </c>
      <c r="H23" s="19" t="n">
        <v>1000</v>
      </c>
      <c r="I23" s="19"/>
      <c r="J23" s="1" t="s">
        <v>58</v>
      </c>
      <c r="K23" s="10"/>
      <c r="L23" s="15"/>
    </row>
    <row r="24" customFormat="false" ht="14.25" hidden="false" customHeight="false" outlineLevel="0" collapsed="false">
      <c r="A24" s="16" t="s">
        <v>59</v>
      </c>
      <c r="B24" s="17"/>
      <c r="C24" s="17"/>
      <c r="D24" s="18"/>
      <c r="E24" s="1" t="s">
        <v>60</v>
      </c>
      <c r="F24" s="19" t="s">
        <v>61</v>
      </c>
      <c r="G24" s="19" t="n">
        <v>0</v>
      </c>
      <c r="H24" s="19" t="n">
        <v>1000</v>
      </c>
      <c r="I24" s="20"/>
      <c r="J24" s="1" t="s">
        <v>62</v>
      </c>
      <c r="K24" s="10"/>
      <c r="L24" s="15"/>
    </row>
    <row r="25" customFormat="false" ht="27" hidden="false" customHeight="false" outlineLevel="0" collapsed="false">
      <c r="A25" s="19" t="s">
        <v>25</v>
      </c>
      <c r="B25" s="19"/>
      <c r="C25" s="19"/>
      <c r="D25" s="19"/>
      <c r="E25" s="1" t="s">
        <v>26</v>
      </c>
      <c r="F25" s="1" t="s">
        <v>27</v>
      </c>
      <c r="G25" s="19" t="n">
        <v>0</v>
      </c>
      <c r="H25" s="19" t="n">
        <v>1000</v>
      </c>
      <c r="I25" s="20"/>
      <c r="J25" s="27" t="s">
        <v>63</v>
      </c>
      <c r="K25" s="10"/>
      <c r="L25" s="15"/>
    </row>
    <row r="26" s="1" customFormat="true" ht="13.8" hidden="false" customHeight="false" outlineLevel="0" collapsed="false">
      <c r="A26" s="21" t="s">
        <v>29</v>
      </c>
      <c r="E26" s="21" t="s">
        <v>30</v>
      </c>
      <c r="F26" s="21" t="s">
        <v>31</v>
      </c>
      <c r="G26" s="22" t="n">
        <v>-1000</v>
      </c>
      <c r="H26" s="22" t="n">
        <v>1000</v>
      </c>
      <c r="I26" s="23"/>
      <c r="J26" s="22" t="s">
        <v>32</v>
      </c>
      <c r="K26" s="10"/>
      <c r="L26" s="15"/>
    </row>
    <row r="27" s="1" customFormat="true" ht="13.8" hidden="false" customHeight="false" outlineLevel="0" collapsed="false">
      <c r="A27" s="21" t="s">
        <v>33</v>
      </c>
      <c r="E27" s="21" t="s">
        <v>34</v>
      </c>
      <c r="F27" s="21" t="s">
        <v>35</v>
      </c>
      <c r="G27" s="22" t="n">
        <v>-1000</v>
      </c>
      <c r="H27" s="22" t="n">
        <v>1000</v>
      </c>
      <c r="I27" s="23"/>
      <c r="J27" s="22" t="s">
        <v>32</v>
      </c>
      <c r="K27" s="10"/>
      <c r="L27" s="15"/>
    </row>
    <row r="28" s="1" customFormat="true" ht="13.8" hidden="false" customHeight="false" outlineLevel="0" collapsed="false">
      <c r="A28" s="21" t="s">
        <v>36</v>
      </c>
      <c r="E28" s="21" t="s">
        <v>37</v>
      </c>
      <c r="F28" s="21" t="s">
        <v>38</v>
      </c>
      <c r="G28" s="21" t="n">
        <v>0</v>
      </c>
      <c r="H28" s="21" t="n">
        <v>1000</v>
      </c>
      <c r="J28" s="1" t="s">
        <v>39</v>
      </c>
      <c r="K28" s="10"/>
      <c r="L28" s="15"/>
    </row>
    <row r="29" s="1" customFormat="true" ht="13.8" hidden="false" customHeight="false" outlineLevel="0" collapsed="false">
      <c r="A29" s="21" t="s">
        <v>40</v>
      </c>
      <c r="K29" s="10"/>
      <c r="L29" s="15"/>
    </row>
    <row r="30" customFormat="false" ht="14.25" hidden="false" customHeight="false" outlineLevel="0" collapsed="false">
      <c r="A30" s="24" t="s">
        <v>41</v>
      </c>
      <c r="B30" s="12"/>
      <c r="C30" s="12"/>
      <c r="E30" s="14" t="s">
        <v>42</v>
      </c>
      <c r="F30" s="14" t="s">
        <v>43</v>
      </c>
      <c r="G30" s="14" t="n">
        <v>-1000</v>
      </c>
      <c r="H30" s="14" t="n">
        <v>1000</v>
      </c>
      <c r="I30" s="14" t="s">
        <v>15</v>
      </c>
      <c r="J30" s="19" t="s">
        <v>44</v>
      </c>
      <c r="K30" s="10"/>
      <c r="L30" s="15"/>
    </row>
    <row r="31" customFormat="false" ht="14.25" hidden="false" customHeight="false" outlineLevel="0" collapsed="false">
      <c r="A31" s="25" t="s">
        <v>45</v>
      </c>
      <c r="B31" s="12"/>
      <c r="C31" s="12"/>
      <c r="E31" s="19" t="s">
        <v>46</v>
      </c>
      <c r="F31" s="19" t="s">
        <v>47</v>
      </c>
      <c r="G31" s="19" t="n">
        <v>0</v>
      </c>
      <c r="H31" s="19" t="n">
        <v>1000</v>
      </c>
      <c r="I31" s="19"/>
      <c r="J31" s="19" t="s">
        <v>48</v>
      </c>
      <c r="K31" s="10"/>
      <c r="L31" s="15"/>
    </row>
    <row r="32" s="1" customFormat="true" ht="13.8" hidden="false" customHeight="false" outlineLevel="0" collapsed="false">
      <c r="A32" s="0"/>
      <c r="K32" s="10"/>
      <c r="L32" s="15"/>
    </row>
    <row r="33" s="1" customFormat="true" ht="14.25" hidden="false" customHeight="false" outlineLevel="0" collapsed="false">
      <c r="A33" s="1" t="s">
        <v>49</v>
      </c>
      <c r="K33" s="10"/>
      <c r="L33" s="15"/>
    </row>
    <row r="34" s="1" customFormat="true" ht="14.25" hidden="false" customHeight="false" outlineLevel="0" collapsed="false">
      <c r="A34" s="1" t="s">
        <v>50</v>
      </c>
      <c r="K34" s="10"/>
      <c r="L34" s="15"/>
    </row>
    <row r="35" s="1" customFormat="true" ht="14.25" hidden="false" customHeight="false" outlineLevel="0" collapsed="false">
      <c r="A35" s="1" t="s">
        <v>51</v>
      </c>
      <c r="K35" s="10"/>
      <c r="L35" s="15"/>
    </row>
    <row r="36" s="1" customFormat="true" ht="14.25" hidden="false" customHeight="false" outlineLevel="0" collapsed="false">
      <c r="A36" s="1" t="s">
        <v>52</v>
      </c>
      <c r="K36" s="10"/>
      <c r="L36" s="15"/>
    </row>
    <row r="37" s="1" customFormat="true" ht="14.25" hidden="false" customHeight="false" outlineLevel="0" collapsed="false">
      <c r="A37" s="1" t="s">
        <v>53</v>
      </c>
      <c r="K37" s="10"/>
      <c r="L37" s="15"/>
    </row>
    <row r="39" customFormat="false" ht="13.8" hidden="false" customHeight="false" outlineLevel="0" collapsed="false">
      <c r="A39" s="6" t="s">
        <v>64</v>
      </c>
      <c r="B39" s="7" t="s">
        <v>10</v>
      </c>
      <c r="C39" s="28"/>
      <c r="D39" s="29"/>
      <c r="E39" s="30"/>
      <c r="F39" s="30"/>
      <c r="G39" s="30"/>
      <c r="H39" s="30"/>
      <c r="I39" s="30"/>
      <c r="J39" s="9"/>
      <c r="K39" s="9"/>
      <c r="L39" s="9"/>
      <c r="M39" s="9"/>
      <c r="N39" s="9"/>
      <c r="O39" s="9"/>
      <c r="P39" s="9"/>
      <c r="Q39" s="9"/>
    </row>
    <row r="40" s="35" customFormat="true" ht="13.8" hidden="false" customHeight="false" outlineLevel="0" collapsed="false">
      <c r="A40" s="31" t="s">
        <v>65</v>
      </c>
      <c r="B40" s="32"/>
      <c r="C40" s="32"/>
      <c r="D40" s="33"/>
      <c r="E40" s="34"/>
      <c r="F40" s="34"/>
      <c r="G40" s="34"/>
      <c r="H40" s="34"/>
      <c r="I40" s="34"/>
      <c r="J40" s="31" t="s">
        <v>66</v>
      </c>
      <c r="K40" s="31"/>
      <c r="L40" s="31"/>
      <c r="M40" s="31"/>
      <c r="N40" s="31"/>
      <c r="O40" s="31"/>
      <c r="P40" s="31"/>
      <c r="Q40" s="31"/>
    </row>
    <row r="41" customFormat="false" ht="13.8" hidden="false" customHeight="false" outlineLevel="0" collapsed="false">
      <c r="A41" s="1" t="s">
        <v>67</v>
      </c>
      <c r="B41" s="2" t="n">
        <f aca="false">0+-1</f>
        <v>-1</v>
      </c>
      <c r="C41" s="2" t="n">
        <f aca="false">0+-2+1</f>
        <v>-1</v>
      </c>
      <c r="D41" s="3" t="s">
        <v>68</v>
      </c>
      <c r="E41" s="1" t="s">
        <v>69</v>
      </c>
      <c r="F41" s="1" t="s">
        <v>70</v>
      </c>
      <c r="G41" s="1" t="n">
        <v>-1000</v>
      </c>
      <c r="H41" s="1" t="n">
        <v>1000</v>
      </c>
      <c r="J41" s="1" t="s">
        <v>71</v>
      </c>
    </row>
    <row r="42" customFormat="false" ht="13.8" hidden="false" customHeight="false" outlineLevel="0" collapsed="false">
      <c r="A42" s="1" t="s">
        <v>72</v>
      </c>
      <c r="B42" s="2" t="n">
        <f aca="false">2</f>
        <v>2</v>
      </c>
      <c r="C42" s="2" t="n">
        <f aca="false">2</f>
        <v>2</v>
      </c>
      <c r="D42" s="3" t="s">
        <v>68</v>
      </c>
      <c r="E42" s="1" t="s">
        <v>73</v>
      </c>
      <c r="F42" s="1" t="s">
        <v>74</v>
      </c>
      <c r="G42" s="1" t="n">
        <v>0</v>
      </c>
      <c r="H42" s="1" t="n">
        <v>1000</v>
      </c>
      <c r="I42" s="36"/>
      <c r="J42" s="1" t="s">
        <v>75</v>
      </c>
    </row>
    <row r="43" s="40" customFormat="true" ht="13.8" hidden="false" customHeight="false" outlineLevel="0" collapsed="false">
      <c r="A43" s="21" t="s">
        <v>76</v>
      </c>
      <c r="B43" s="37"/>
      <c r="C43" s="37"/>
      <c r="D43" s="38"/>
      <c r="E43" s="21" t="s">
        <v>77</v>
      </c>
      <c r="F43" s="21" t="s">
        <v>78</v>
      </c>
      <c r="G43" s="21" t="n">
        <v>-1000</v>
      </c>
      <c r="H43" s="21" t="n">
        <v>1000</v>
      </c>
      <c r="I43" s="39"/>
      <c r="J43" s="21" t="s">
        <v>79</v>
      </c>
    </row>
    <row r="44" s="40" customFormat="true" ht="13.8" hidden="false" customHeight="false" outlineLevel="0" collapsed="false">
      <c r="A44" s="21" t="s">
        <v>80</v>
      </c>
      <c r="B44" s="37"/>
      <c r="C44" s="37"/>
      <c r="D44" s="38"/>
      <c r="E44" s="21" t="s">
        <v>81</v>
      </c>
      <c r="F44" s="21" t="s">
        <v>82</v>
      </c>
      <c r="G44" s="21" t="n">
        <v>-1000</v>
      </c>
      <c r="H44" s="21" t="n">
        <v>1000</v>
      </c>
      <c r="I44" s="21"/>
      <c r="J44" s="21" t="s">
        <v>83</v>
      </c>
    </row>
    <row r="45" s="21" customFormat="true" ht="13.8" hidden="false" customHeight="false" outlineLevel="0" collapsed="false">
      <c r="A45" s="21" t="s">
        <v>84</v>
      </c>
      <c r="B45" s="37"/>
      <c r="C45" s="37"/>
      <c r="D45" s="38"/>
      <c r="E45" s="21" t="s">
        <v>85</v>
      </c>
      <c r="F45" s="21" t="s">
        <v>86</v>
      </c>
      <c r="G45" s="21" t="n">
        <v>0</v>
      </c>
      <c r="H45" s="21" t="n">
        <v>1000</v>
      </c>
      <c r="J45" s="21" t="s">
        <v>83</v>
      </c>
    </row>
    <row r="46" s="21" customFormat="true" ht="13.8" hidden="false" customHeight="false" outlineLevel="0" collapsed="false">
      <c r="A46" s="21" t="s">
        <v>87</v>
      </c>
      <c r="B46" s="37"/>
      <c r="C46" s="37"/>
      <c r="D46" s="38"/>
    </row>
    <row r="48" customFormat="false" ht="13.8" hidden="false" customHeight="false" outlineLevel="0" collapsed="false">
      <c r="A48" s="41" t="s">
        <v>88</v>
      </c>
      <c r="B48" s="42"/>
      <c r="C48" s="42"/>
      <c r="D48" s="43"/>
      <c r="E48" s="10"/>
      <c r="F48" s="10"/>
      <c r="G48" s="10"/>
      <c r="H48" s="10"/>
      <c r="I48" s="10"/>
      <c r="J48" s="10"/>
    </row>
    <row r="49" customFormat="false" ht="13.8" hidden="false" customHeight="false" outlineLevel="0" collapsed="false">
      <c r="A49" s="16" t="s">
        <v>89</v>
      </c>
      <c r="B49" s="42"/>
      <c r="C49" s="42"/>
      <c r="D49" s="43"/>
      <c r="E49" s="10"/>
      <c r="F49" s="10"/>
      <c r="G49" s="10"/>
      <c r="H49" s="10"/>
      <c r="I49" s="10"/>
      <c r="J49" s="10"/>
    </row>
    <row r="51" customFormat="false" ht="13.8" hidden="false" customHeight="false" outlineLevel="0" collapsed="false">
      <c r="A51" s="6" t="s">
        <v>90</v>
      </c>
      <c r="B51" s="7" t="s">
        <v>10</v>
      </c>
      <c r="C51" s="28"/>
      <c r="D51" s="44"/>
      <c r="E51" s="9"/>
      <c r="F51" s="9"/>
      <c r="G51" s="9"/>
      <c r="H51" s="9"/>
      <c r="I51" s="9"/>
      <c r="J51" s="9" t="s">
        <v>91</v>
      </c>
      <c r="K51" s="9"/>
      <c r="L51" s="9"/>
      <c r="M51" s="9"/>
      <c r="N51" s="9"/>
      <c r="O51" s="9"/>
      <c r="P51" s="9"/>
      <c r="Q51" s="9"/>
    </row>
    <row r="52" s="48" customFormat="true" ht="13.8" hidden="false" customHeight="false" outlineLevel="0" collapsed="false">
      <c r="A52" s="45" t="s">
        <v>92</v>
      </c>
      <c r="B52" s="46"/>
      <c r="C52" s="46"/>
      <c r="D52" s="47"/>
      <c r="E52" s="45" t="s">
        <v>93</v>
      </c>
      <c r="F52" s="45" t="s">
        <v>94</v>
      </c>
      <c r="G52" s="45" t="n">
        <v>-1000</v>
      </c>
      <c r="H52" s="45" t="n">
        <v>1000</v>
      </c>
      <c r="I52" s="45" t="s">
        <v>15</v>
      </c>
      <c r="J52" s="45" t="s">
        <v>95</v>
      </c>
      <c r="K52" s="45"/>
      <c r="L52" s="45"/>
      <c r="M52" s="45"/>
      <c r="N52" s="45"/>
      <c r="O52" s="45"/>
      <c r="P52" s="45"/>
      <c r="Q52" s="45"/>
    </row>
    <row r="53" s="48" customFormat="true" ht="13.8" hidden="false" customHeight="false" outlineLevel="0" collapsed="false">
      <c r="A53" s="45" t="s">
        <v>96</v>
      </c>
      <c r="B53" s="46"/>
      <c r="C53" s="46"/>
      <c r="D53" s="47"/>
      <c r="E53" s="45" t="s">
        <v>97</v>
      </c>
      <c r="F53" s="45" t="s">
        <v>98</v>
      </c>
      <c r="G53" s="45" t="n">
        <v>-1000</v>
      </c>
      <c r="H53" s="45" t="n">
        <v>1000</v>
      </c>
      <c r="I53" s="45" t="s">
        <v>15</v>
      </c>
      <c r="J53" s="45" t="s">
        <v>99</v>
      </c>
      <c r="K53" s="45"/>
      <c r="L53" s="45"/>
      <c r="M53" s="45"/>
      <c r="N53" s="45"/>
      <c r="O53" s="45"/>
      <c r="P53" s="45"/>
      <c r="Q53" s="45"/>
    </row>
    <row r="54" s="48" customFormat="true" ht="13.8" hidden="false" customHeight="false" outlineLevel="0" collapsed="false">
      <c r="A54" s="45" t="s">
        <v>100</v>
      </c>
      <c r="B54" s="46"/>
      <c r="C54" s="46"/>
      <c r="D54" s="47"/>
      <c r="E54" s="45" t="s">
        <v>101</v>
      </c>
      <c r="F54" s="45" t="s">
        <v>102</v>
      </c>
      <c r="G54" s="45" t="n">
        <v>0</v>
      </c>
      <c r="H54" s="45" t="n">
        <v>1000</v>
      </c>
      <c r="I54" s="45" t="s">
        <v>15</v>
      </c>
      <c r="J54" s="45" t="s">
        <v>99</v>
      </c>
      <c r="K54" s="45"/>
      <c r="L54" s="45"/>
      <c r="M54" s="45"/>
      <c r="N54" s="45"/>
      <c r="O54" s="45"/>
      <c r="P54" s="45"/>
      <c r="Q54" s="45"/>
    </row>
    <row r="55" s="48" customFormat="true" ht="13.8" hidden="false" customHeight="false" outlineLevel="0" collapsed="false">
      <c r="A55" s="45" t="s">
        <v>103</v>
      </c>
      <c r="B55" s="46"/>
      <c r="C55" s="46"/>
      <c r="D55" s="47"/>
      <c r="E55" s="45" t="s">
        <v>104</v>
      </c>
      <c r="F55" s="45" t="s">
        <v>105</v>
      </c>
      <c r="G55" s="45" t="n">
        <v>0</v>
      </c>
      <c r="H55" s="45" t="n">
        <v>1000</v>
      </c>
      <c r="I55" s="45" t="s">
        <v>15</v>
      </c>
      <c r="J55" s="45" t="s">
        <v>106</v>
      </c>
      <c r="K55" s="45"/>
      <c r="L55" s="45"/>
      <c r="M55" s="45"/>
      <c r="N55" s="45"/>
      <c r="O55" s="45"/>
      <c r="P55" s="45"/>
      <c r="Q55" s="45"/>
    </row>
    <row r="56" s="48" customFormat="true" ht="13.8" hidden="false" customHeight="false" outlineLevel="0" collapsed="false">
      <c r="A56" s="49" t="s">
        <v>107</v>
      </c>
      <c r="B56" s="46"/>
      <c r="C56" s="46"/>
      <c r="D56" s="47"/>
      <c r="E56" s="45" t="s">
        <v>108</v>
      </c>
      <c r="F56" s="45" t="s">
        <v>109</v>
      </c>
      <c r="G56" s="49" t="n">
        <v>-1000</v>
      </c>
      <c r="H56" s="45" t="n">
        <v>1000</v>
      </c>
      <c r="I56" s="45" t="s">
        <v>15</v>
      </c>
      <c r="J56" s="45" t="s">
        <v>110</v>
      </c>
      <c r="K56" s="45"/>
      <c r="L56" s="45"/>
      <c r="M56" s="45"/>
      <c r="N56" s="45"/>
      <c r="O56" s="45"/>
      <c r="P56" s="45"/>
      <c r="Q56" s="45"/>
    </row>
    <row r="57" customFormat="false" ht="13.8" hidden="false" customHeight="false" outlineLevel="0" collapsed="false">
      <c r="A57" s="1" t="s">
        <v>111</v>
      </c>
      <c r="B57" s="2" t="n">
        <v>0</v>
      </c>
      <c r="C57" s="2" t="n">
        <v>0</v>
      </c>
      <c r="D57" s="3" t="s">
        <v>68</v>
      </c>
      <c r="E57" s="1" t="s">
        <v>112</v>
      </c>
      <c r="F57" s="1" t="s">
        <v>113</v>
      </c>
      <c r="G57" s="1" t="n">
        <v>0</v>
      </c>
      <c r="H57" s="1" t="n">
        <v>1000</v>
      </c>
      <c r="J57" s="1" t="s">
        <v>114</v>
      </c>
    </row>
    <row r="58" customFormat="false" ht="13.8" hidden="false" customHeight="false" outlineLevel="0" collapsed="false">
      <c r="A58" s="1" t="s">
        <v>115</v>
      </c>
      <c r="B58" s="2" t="n">
        <f aca="false">-4+1</f>
        <v>-3</v>
      </c>
      <c r="C58" s="2" t="n">
        <f aca="false">-3</f>
        <v>-3</v>
      </c>
      <c r="D58" s="3" t="s">
        <v>68</v>
      </c>
      <c r="E58" s="1" t="s">
        <v>116</v>
      </c>
      <c r="F58" s="1" t="s">
        <v>117</v>
      </c>
      <c r="G58" s="1" t="n">
        <v>-1000</v>
      </c>
      <c r="H58" s="1" t="n">
        <v>1000</v>
      </c>
      <c r="J58" s="1" t="s">
        <v>118</v>
      </c>
    </row>
    <row r="59" customFormat="false" ht="13.8" hidden="false" customHeight="false" outlineLevel="0" collapsed="false">
      <c r="A59" s="1" t="s">
        <v>119</v>
      </c>
      <c r="B59" s="2" t="n">
        <f aca="false">-2+1</f>
        <v>-1</v>
      </c>
      <c r="C59" s="2" t="n">
        <f aca="false">-1</f>
        <v>-1</v>
      </c>
      <c r="D59" s="3" t="s">
        <v>68</v>
      </c>
      <c r="E59" s="1" t="s">
        <v>120</v>
      </c>
      <c r="F59" s="1" t="s">
        <v>121</v>
      </c>
      <c r="G59" s="1" t="n">
        <v>-1000</v>
      </c>
      <c r="H59" s="1" t="n">
        <v>1000</v>
      </c>
      <c r="J59" s="1" t="s">
        <v>122</v>
      </c>
    </row>
    <row r="60" s="21" customFormat="true" ht="13.8" hidden="false" customHeight="false" outlineLevel="0" collapsed="false">
      <c r="A60" s="21" t="s">
        <v>123</v>
      </c>
      <c r="B60" s="37"/>
      <c r="C60" s="37"/>
      <c r="D60" s="38"/>
      <c r="E60" s="21" t="s">
        <v>124</v>
      </c>
      <c r="F60" s="21" t="s">
        <v>125</v>
      </c>
      <c r="G60" s="21" t="n">
        <v>-1000</v>
      </c>
      <c r="H60" s="21" t="n">
        <v>1000</v>
      </c>
      <c r="I60" s="39"/>
      <c r="J60" s="21" t="s">
        <v>126</v>
      </c>
    </row>
    <row r="61" s="21" customFormat="true" ht="13.8" hidden="false" customHeight="false" outlineLevel="0" collapsed="false">
      <c r="A61" s="21" t="s">
        <v>127</v>
      </c>
      <c r="B61" s="37"/>
      <c r="C61" s="37"/>
      <c r="D61" s="38"/>
      <c r="E61" s="21" t="s">
        <v>128</v>
      </c>
      <c r="F61" s="21" t="s">
        <v>129</v>
      </c>
      <c r="G61" s="21" t="n">
        <v>-1000</v>
      </c>
      <c r="H61" s="21" t="n">
        <v>1000</v>
      </c>
      <c r="J61" s="21" t="s">
        <v>130</v>
      </c>
    </row>
    <row r="62" s="21" customFormat="true" ht="13.8" hidden="false" customHeight="false" outlineLevel="0" collapsed="false">
      <c r="A62" s="21" t="s">
        <v>131</v>
      </c>
      <c r="B62" s="37"/>
      <c r="C62" s="37"/>
      <c r="D62" s="38"/>
      <c r="E62" s="21" t="s">
        <v>132</v>
      </c>
      <c r="F62" s="21" t="s">
        <v>133</v>
      </c>
      <c r="G62" s="21" t="n">
        <v>0</v>
      </c>
      <c r="H62" s="21" t="n">
        <v>1000</v>
      </c>
      <c r="J62" s="21" t="s">
        <v>134</v>
      </c>
    </row>
    <row r="63" s="21" customFormat="true" ht="13.8" hidden="false" customHeight="false" outlineLevel="0" collapsed="false">
      <c r="A63" s="21" t="s">
        <v>135</v>
      </c>
      <c r="B63" s="37"/>
      <c r="C63" s="37"/>
      <c r="D63" s="38"/>
    </row>
    <row r="64" customFormat="false" ht="13.8" hidden="false" customHeight="false" outlineLevel="0" collapsed="false">
      <c r="E64" s="0"/>
      <c r="F64" s="0"/>
    </row>
    <row r="65" customFormat="false" ht="13.8" hidden="false" customHeight="false" outlineLevel="0" collapsed="false">
      <c r="A65" s="1" t="s">
        <v>136</v>
      </c>
      <c r="B65" s="42"/>
      <c r="C65" s="42"/>
      <c r="D65" s="43"/>
      <c r="E65" s="10"/>
      <c r="F65" s="10"/>
      <c r="G65" s="10"/>
      <c r="H65" s="10"/>
      <c r="I65" s="10"/>
      <c r="J65" s="10"/>
      <c r="K65" s="10"/>
    </row>
    <row r="66" customFormat="false" ht="13.8" hidden="false" customHeight="false" outlineLevel="0" collapsed="false">
      <c r="A66" s="1" t="s">
        <v>137</v>
      </c>
      <c r="B66" s="42"/>
      <c r="C66" s="42"/>
      <c r="D66" s="43"/>
      <c r="E66" s="10"/>
      <c r="F66" s="10"/>
      <c r="G66" s="10"/>
      <c r="H66" s="10"/>
      <c r="I66" s="10"/>
      <c r="J66" s="10"/>
      <c r="K66" s="10"/>
    </row>
    <row r="67" customFormat="false" ht="13.8" hidden="false" customHeight="false" outlineLevel="0" collapsed="false">
      <c r="A67" s="16" t="s">
        <v>138</v>
      </c>
      <c r="B67" s="42"/>
      <c r="C67" s="42"/>
      <c r="D67" s="43"/>
      <c r="E67" s="10"/>
      <c r="F67" s="10"/>
      <c r="G67" s="10"/>
      <c r="H67" s="10"/>
      <c r="I67" s="10"/>
      <c r="J67" s="10"/>
      <c r="K67" s="10"/>
    </row>
    <row r="68" customFormat="false" ht="13.8" hidden="false" customHeight="false" outlineLevel="0" collapsed="false">
      <c r="A68" s="16" t="s">
        <v>139</v>
      </c>
      <c r="B68" s="42"/>
      <c r="C68" s="42"/>
      <c r="D68" s="43"/>
      <c r="E68" s="10"/>
      <c r="F68" s="10"/>
      <c r="G68" s="10"/>
      <c r="H68" s="10"/>
      <c r="I68" s="10"/>
      <c r="J68" s="10"/>
      <c r="K68" s="10"/>
    </row>
    <row r="70" customFormat="false" ht="14.25" hidden="false" customHeight="false" outlineLevel="0" collapsed="false">
      <c r="A70" s="6" t="s">
        <v>140</v>
      </c>
      <c r="B70" s="7" t="s">
        <v>10</v>
      </c>
      <c r="C70" s="8"/>
      <c r="D70" s="8"/>
      <c r="E70" s="8"/>
      <c r="F70" s="8"/>
      <c r="G70" s="8"/>
      <c r="H70" s="8"/>
      <c r="I70" s="8"/>
      <c r="J70" s="9" t="s">
        <v>141</v>
      </c>
      <c r="K70" s="9"/>
      <c r="L70" s="9"/>
      <c r="M70" s="10"/>
    </row>
    <row r="71" customFormat="false" ht="13.8" hidden="false" customHeight="false" outlineLevel="0" collapsed="false">
      <c r="A71" s="31" t="s">
        <v>142</v>
      </c>
      <c r="B71" s="32"/>
      <c r="C71" s="32"/>
      <c r="D71" s="50"/>
      <c r="E71" s="31"/>
      <c r="F71" s="31"/>
      <c r="G71" s="31"/>
      <c r="H71" s="31"/>
      <c r="I71" s="31"/>
      <c r="J71" s="31" t="s">
        <v>66</v>
      </c>
      <c r="K71" s="10"/>
      <c r="L71" s="10"/>
      <c r="M71" s="10"/>
    </row>
    <row r="72" customFormat="false" ht="13.8" hidden="false" customHeight="false" outlineLevel="0" collapsed="false">
      <c r="A72" s="16" t="s">
        <v>143</v>
      </c>
      <c r="B72" s="17"/>
      <c r="C72" s="17"/>
      <c r="D72" s="26"/>
      <c r="E72" s="19" t="s">
        <v>144</v>
      </c>
      <c r="F72" s="19" t="s">
        <v>145</v>
      </c>
      <c r="G72" s="10" t="n">
        <v>0</v>
      </c>
      <c r="H72" s="10" t="n">
        <v>1000</v>
      </c>
      <c r="I72" s="51"/>
      <c r="J72" s="10" t="s">
        <v>146</v>
      </c>
      <c r="K72" s="10"/>
      <c r="L72" s="10"/>
      <c r="M72" s="10"/>
    </row>
    <row r="73" customFormat="false" ht="13.8" hidden="false" customHeight="false" outlineLevel="0" collapsed="false">
      <c r="A73" s="45" t="s">
        <v>147</v>
      </c>
      <c r="B73" s="46"/>
      <c r="C73" s="46"/>
      <c r="D73" s="47"/>
      <c r="E73" s="45" t="s">
        <v>148</v>
      </c>
      <c r="F73" s="45" t="s">
        <v>149</v>
      </c>
      <c r="G73" s="52" t="n">
        <v>-1000</v>
      </c>
      <c r="H73" s="52" t="n">
        <v>1000</v>
      </c>
      <c r="I73" s="14" t="s">
        <v>15</v>
      </c>
      <c r="J73" s="45" t="s">
        <v>150</v>
      </c>
      <c r="K73" s="10"/>
      <c r="L73" s="10"/>
      <c r="M73" s="10"/>
    </row>
    <row r="74" customFormat="false" ht="13.8" hidden="false" customHeight="false" outlineLevel="0" collapsed="false">
      <c r="A74" s="16" t="s">
        <v>151</v>
      </c>
      <c r="B74" s="12"/>
      <c r="C74" s="12"/>
      <c r="E74" s="19" t="s">
        <v>152</v>
      </c>
      <c r="F74" s="19" t="s">
        <v>153</v>
      </c>
      <c r="G74" s="19" t="n">
        <v>0</v>
      </c>
      <c r="H74" s="19" t="n">
        <v>1000</v>
      </c>
      <c r="I74" s="14"/>
      <c r="J74" s="1" t="s">
        <v>154</v>
      </c>
      <c r="K74" s="10"/>
      <c r="L74" s="10"/>
      <c r="M74" s="10"/>
    </row>
    <row r="75" customFormat="false" ht="14.25" hidden="false" customHeight="false" outlineLevel="0" collapsed="false">
      <c r="A75" s="53" t="s">
        <v>155</v>
      </c>
      <c r="B75" s="2" t="n">
        <f aca="false">-1-4-4</f>
        <v>-9</v>
      </c>
      <c r="C75" s="2" t="n">
        <f aca="false">-4-3-2</f>
        <v>-9</v>
      </c>
      <c r="D75" s="3" t="s">
        <v>68</v>
      </c>
      <c r="E75" s="1" t="s">
        <v>156</v>
      </c>
      <c r="F75" s="1" t="s">
        <v>157</v>
      </c>
      <c r="G75" s="1" t="n">
        <v>0</v>
      </c>
      <c r="H75" s="1" t="n">
        <v>1000</v>
      </c>
      <c r="I75" s="36"/>
      <c r="J75" s="1" t="s">
        <v>158</v>
      </c>
      <c r="K75" s="10"/>
      <c r="L75" s="10"/>
      <c r="M75" s="10"/>
    </row>
    <row r="76" customFormat="false" ht="13.8" hidden="false" customHeight="false" outlineLevel="0" collapsed="false">
      <c r="A76" s="19" t="s">
        <v>159</v>
      </c>
      <c r="B76" s="1" t="n">
        <f aca="false">-4-2+1</f>
        <v>-5</v>
      </c>
      <c r="C76" s="1" t="n">
        <f aca="false">0 -1-4</f>
        <v>-5</v>
      </c>
      <c r="D76" s="1" t="s">
        <v>68</v>
      </c>
      <c r="E76" s="1" t="s">
        <v>160</v>
      </c>
      <c r="F76" s="1" t="s">
        <v>161</v>
      </c>
      <c r="G76" s="19" t="n">
        <v>0</v>
      </c>
      <c r="H76" s="19" t="n">
        <v>1000</v>
      </c>
      <c r="K76" s="10"/>
      <c r="L76" s="15"/>
      <c r="M76" s="15"/>
    </row>
    <row r="77" customFormat="false" ht="13.8" hidden="false" customHeight="false" outlineLevel="0" collapsed="false">
      <c r="A77" s="19" t="s">
        <v>162</v>
      </c>
      <c r="B77" s="1" t="n">
        <f aca="false">0-2+1</f>
        <v>-1</v>
      </c>
      <c r="C77" s="1" t="n">
        <f aca="false">0-1</f>
        <v>-1</v>
      </c>
      <c r="D77" s="1" t="s">
        <v>68</v>
      </c>
      <c r="E77" s="1" t="s">
        <v>163</v>
      </c>
      <c r="F77" s="1" t="s">
        <v>164</v>
      </c>
      <c r="G77" s="1" t="n">
        <v>0</v>
      </c>
      <c r="H77" s="1" t="n">
        <v>1000</v>
      </c>
      <c r="I77" s="36"/>
      <c r="K77" s="10"/>
      <c r="L77" s="15"/>
      <c r="M77" s="15"/>
    </row>
    <row r="78" s="1" customFormat="true" ht="14.25" hidden="false" customHeight="false" outlineLevel="0" collapsed="false">
      <c r="A78" s="21" t="s">
        <v>165</v>
      </c>
      <c r="E78" s="21" t="s">
        <v>166</v>
      </c>
      <c r="F78" s="21" t="s">
        <v>167</v>
      </c>
      <c r="G78" s="22" t="n">
        <v>-1000</v>
      </c>
      <c r="H78" s="22" t="n">
        <v>1000</v>
      </c>
      <c r="I78" s="23"/>
      <c r="J78" s="22" t="s">
        <v>32</v>
      </c>
      <c r="K78" s="10"/>
      <c r="L78" s="15"/>
      <c r="M78" s="15"/>
    </row>
    <row r="79" s="1" customFormat="true" ht="14.25" hidden="false" customHeight="false" outlineLevel="0" collapsed="false">
      <c r="A79" s="21" t="s">
        <v>168</v>
      </c>
      <c r="E79" s="21" t="s">
        <v>169</v>
      </c>
      <c r="F79" s="21" t="s">
        <v>170</v>
      </c>
      <c r="G79" s="22" t="n">
        <v>-1000</v>
      </c>
      <c r="H79" s="22" t="n">
        <v>1000</v>
      </c>
      <c r="I79" s="23"/>
      <c r="J79" s="22" t="s">
        <v>32</v>
      </c>
      <c r="K79" s="10"/>
      <c r="L79" s="15"/>
      <c r="M79" s="15"/>
    </row>
    <row r="80" s="1" customFormat="true" ht="14.25" hidden="false" customHeight="false" outlineLevel="0" collapsed="false">
      <c r="A80" s="21" t="s">
        <v>171</v>
      </c>
      <c r="E80" s="21" t="s">
        <v>172</v>
      </c>
      <c r="F80" s="21" t="s">
        <v>173</v>
      </c>
      <c r="G80" s="21" t="n">
        <v>0</v>
      </c>
      <c r="H80" s="21" t="n">
        <v>1000</v>
      </c>
      <c r="I80" s="36"/>
      <c r="J80" s="22" t="s">
        <v>32</v>
      </c>
      <c r="K80" s="10"/>
      <c r="L80" s="15"/>
      <c r="M80" s="15"/>
    </row>
    <row r="81" s="1" customFormat="true" ht="14.25" hidden="false" customHeight="false" outlineLevel="0" collapsed="false">
      <c r="A81" s="21" t="s">
        <v>40</v>
      </c>
      <c r="K81" s="10"/>
      <c r="L81" s="15"/>
      <c r="M81" s="15"/>
    </row>
    <row r="82" s="1" customFormat="true" ht="13.8" hidden="false" customHeight="false" outlineLevel="0" collapsed="false">
      <c r="A82" s="0"/>
      <c r="K82" s="10"/>
      <c r="L82" s="15"/>
      <c r="M82" s="15"/>
    </row>
    <row r="83" s="1" customFormat="true" ht="14.25" hidden="false" customHeight="false" outlineLevel="0" collapsed="false">
      <c r="A83" s="1" t="s">
        <v>174</v>
      </c>
      <c r="K83" s="10"/>
      <c r="L83" s="15"/>
      <c r="M83" s="15"/>
    </row>
    <row r="84" s="1" customFormat="true" ht="14.25" hidden="false" customHeight="false" outlineLevel="0" collapsed="false">
      <c r="A84" s="1" t="s">
        <v>175</v>
      </c>
      <c r="K84" s="10"/>
      <c r="L84" s="15"/>
      <c r="M84" s="15"/>
    </row>
    <row r="85" s="1" customFormat="true" ht="14.25" hidden="false" customHeight="false" outlineLevel="0" collapsed="false">
      <c r="A85" s="1" t="s">
        <v>176</v>
      </c>
      <c r="K85" s="10"/>
      <c r="L85" s="15"/>
      <c r="M85" s="15"/>
    </row>
    <row r="87" customFormat="false" ht="13.8" hidden="false" customHeight="false" outlineLevel="0" collapsed="false">
      <c r="A87" s="6" t="s">
        <v>177</v>
      </c>
      <c r="B87" s="54" t="s">
        <v>10</v>
      </c>
      <c r="C87" s="9"/>
      <c r="D87" s="9"/>
      <c r="E87" s="9"/>
      <c r="F87" s="9"/>
      <c r="G87" s="9"/>
      <c r="H87" s="9"/>
      <c r="I87" s="9"/>
      <c r="J87" s="9" t="s">
        <v>178</v>
      </c>
    </row>
    <row r="88" customFormat="false" ht="13.8" hidden="false" customHeight="false" outlineLevel="0" collapsed="false">
      <c r="A88" s="55" t="s">
        <v>179</v>
      </c>
      <c r="B88" s="55"/>
      <c r="C88" s="55"/>
      <c r="D88" s="55"/>
      <c r="E88" s="55" t="s">
        <v>180</v>
      </c>
      <c r="F88" s="55" t="s">
        <v>181</v>
      </c>
      <c r="G88" s="55" t="n">
        <v>0</v>
      </c>
      <c r="H88" s="55" t="n">
        <v>1000</v>
      </c>
      <c r="I88" s="56" t="s">
        <v>15</v>
      </c>
      <c r="J88" s="0"/>
    </row>
    <row r="89" customFormat="false" ht="13.8" hidden="false" customHeight="false" outlineLevel="0" collapsed="false">
      <c r="A89" s="55" t="s">
        <v>182</v>
      </c>
      <c r="B89" s="55"/>
      <c r="C89" s="55"/>
      <c r="D89" s="55"/>
      <c r="E89" s="55" t="s">
        <v>183</v>
      </c>
      <c r="F89" s="55" t="s">
        <v>184</v>
      </c>
      <c r="G89" s="55" t="n">
        <v>0</v>
      </c>
      <c r="H89" s="55" t="n">
        <v>1000</v>
      </c>
      <c r="I89" s="56" t="s">
        <v>15</v>
      </c>
      <c r="J89" s="0"/>
    </row>
    <row r="90" customFormat="false" ht="13.8" hidden="false" customHeight="false" outlineLevel="0" collapsed="false">
      <c r="A90" s="55" t="s">
        <v>185</v>
      </c>
      <c r="B90" s="55"/>
      <c r="C90" s="55"/>
      <c r="D90" s="55"/>
      <c r="E90" s="55" t="s">
        <v>186</v>
      </c>
      <c r="F90" s="55" t="s">
        <v>187</v>
      </c>
      <c r="G90" s="55" t="n">
        <v>-1000</v>
      </c>
      <c r="H90" s="55" t="n">
        <v>1000</v>
      </c>
      <c r="I90" s="55" t="s">
        <v>15</v>
      </c>
      <c r="J90" s="0"/>
    </row>
    <row r="91" customFormat="false" ht="13.8" hidden="false" customHeight="false" outlineLevel="0" collapsed="false">
      <c r="A91" s="19" t="s">
        <v>188</v>
      </c>
      <c r="B91" s="19"/>
      <c r="C91" s="19"/>
      <c r="D91" s="19"/>
      <c r="E91" s="19" t="s">
        <v>189</v>
      </c>
      <c r="F91" s="19" t="s">
        <v>190</v>
      </c>
      <c r="G91" s="19" t="n">
        <v>0</v>
      </c>
      <c r="H91" s="19" t="n">
        <v>1000</v>
      </c>
      <c r="I91" s="0"/>
      <c r="J91" s="19" t="s">
        <v>191</v>
      </c>
    </row>
    <row r="92" s="1" customFormat="true" ht="13.8" hidden="false" customHeight="false" outlineLevel="0" collapsed="false">
      <c r="A92" s="19" t="s">
        <v>192</v>
      </c>
      <c r="E92" s="1" t="s">
        <v>193</v>
      </c>
      <c r="F92" s="1" t="s">
        <v>194</v>
      </c>
      <c r="G92" s="1" t="n">
        <v>0</v>
      </c>
      <c r="H92" s="1" t="n">
        <v>1000</v>
      </c>
      <c r="I92" s="0"/>
      <c r="J92" s="19" t="s">
        <v>191</v>
      </c>
    </row>
    <row r="93" customFormat="false" ht="13.8" hidden="false" customHeight="false" outlineLevel="0" collapsed="false">
      <c r="A93" s="21" t="s">
        <v>195</v>
      </c>
      <c r="B93" s="21"/>
      <c r="C93" s="21"/>
      <c r="D93" s="21"/>
      <c r="E93" s="21" t="s">
        <v>196</v>
      </c>
      <c r="F93" s="21" t="s">
        <v>197</v>
      </c>
      <c r="G93" s="21" t="n">
        <v>-1000</v>
      </c>
      <c r="H93" s="21" t="n">
        <v>1000</v>
      </c>
      <c r="J93" s="21" t="s">
        <v>198</v>
      </c>
    </row>
    <row r="94" customFormat="false" ht="13.8" hidden="false" customHeight="false" outlineLevel="0" collapsed="false">
      <c r="A94" s="21" t="s">
        <v>199</v>
      </c>
      <c r="B94" s="21"/>
      <c r="C94" s="21"/>
      <c r="D94" s="21"/>
      <c r="E94" s="21" t="s">
        <v>200</v>
      </c>
      <c r="F94" s="21" t="s">
        <v>201</v>
      </c>
      <c r="G94" s="21" t="n">
        <v>-1000</v>
      </c>
      <c r="H94" s="21" t="n">
        <v>1000</v>
      </c>
      <c r="J94" s="21" t="s">
        <v>198</v>
      </c>
    </row>
    <row r="95" customFormat="false" ht="13.8" hidden="false" customHeight="false" outlineLevel="0" collapsed="false">
      <c r="A95" s="21" t="s">
        <v>202</v>
      </c>
      <c r="B95" s="21"/>
      <c r="C95" s="21"/>
      <c r="D95" s="21"/>
      <c r="E95" s="21" t="s">
        <v>203</v>
      </c>
      <c r="F95" s="21" t="s">
        <v>204</v>
      </c>
      <c r="G95" s="21" t="n">
        <v>0</v>
      </c>
      <c r="H95" s="21" t="n">
        <v>1000</v>
      </c>
      <c r="J95" s="21" t="s">
        <v>198</v>
      </c>
    </row>
    <row r="96" customFormat="false" ht="13.8" hidden="false" customHeight="false" outlineLevel="0" collapsed="false">
      <c r="A96" s="21" t="s">
        <v>205</v>
      </c>
      <c r="B96" s="21"/>
      <c r="C96" s="21"/>
      <c r="D96" s="21"/>
      <c r="E96" s="21"/>
      <c r="F96" s="21"/>
      <c r="G96" s="21"/>
      <c r="H96" s="21"/>
      <c r="J96" s="21"/>
    </row>
    <row r="97" s="1" customFormat="true" ht="13.8" hidden="false" customHeight="false" outlineLevel="0" collapsed="false">
      <c r="A97" s="19"/>
      <c r="J97" s="0"/>
    </row>
    <row r="98" s="1" customFormat="true" ht="13.8" hidden="false" customHeight="false" outlineLevel="0" collapsed="false">
      <c r="A98" s="56" t="s">
        <v>206</v>
      </c>
      <c r="J98" s="0"/>
    </row>
    <row r="99" s="1" customFormat="true" ht="13.8" hidden="false" customHeight="false" outlineLevel="0" collapsed="false">
      <c r="A99" s="56" t="s">
        <v>207</v>
      </c>
      <c r="J99" s="0"/>
    </row>
    <row r="100" s="1" customFormat="true" ht="13.8" hidden="false" customHeight="false" outlineLevel="0" collapsed="false">
      <c r="A100" s="56" t="s">
        <v>208</v>
      </c>
      <c r="J100" s="0"/>
    </row>
    <row r="101" s="1" customFormat="true" ht="13.8" hidden="false" customHeight="false" outlineLevel="0" collapsed="false">
      <c r="A101" s="56" t="s">
        <v>209</v>
      </c>
      <c r="J101" s="0"/>
    </row>
    <row r="102" customFormat="false" ht="13.8" hidden="false" customHeight="false" outlineLevel="0" collapsed="false">
      <c r="A102" s="57"/>
      <c r="B102" s="58"/>
      <c r="C102" s="58"/>
      <c r="D102" s="59"/>
      <c r="E102" s="57"/>
      <c r="F102" s="57"/>
      <c r="G102" s="57"/>
      <c r="H102" s="57"/>
      <c r="I102" s="57"/>
      <c r="J102" s="57"/>
    </row>
    <row r="103" customFormat="false" ht="13.8" hidden="false" customHeight="false" outlineLevel="0" collapsed="false">
      <c r="A103" s="6" t="s">
        <v>210</v>
      </c>
      <c r="B103" s="7" t="s">
        <v>10</v>
      </c>
      <c r="C103" s="42"/>
      <c r="D103" s="43"/>
      <c r="E103" s="10"/>
      <c r="F103" s="10"/>
      <c r="G103" s="10"/>
      <c r="H103" s="10"/>
      <c r="I103" s="10"/>
      <c r="J103" s="10" t="s">
        <v>211</v>
      </c>
    </row>
    <row r="104" customFormat="false" ht="13.8" hidden="false" customHeight="false" outlineLevel="0" collapsed="false">
      <c r="A104" s="31" t="s">
        <v>212</v>
      </c>
      <c r="B104" s="42"/>
      <c r="C104" s="42"/>
      <c r="D104" s="43"/>
      <c r="E104" s="10"/>
      <c r="F104" s="10"/>
      <c r="G104" s="10"/>
      <c r="H104" s="10"/>
      <c r="I104" s="10"/>
      <c r="J104" s="31" t="s">
        <v>213</v>
      </c>
    </row>
    <row r="105" customFormat="false" ht="13.8" hidden="false" customHeight="false" outlineLevel="0" collapsed="false">
      <c r="A105" s="60" t="s">
        <v>214</v>
      </c>
      <c r="B105" s="61"/>
      <c r="C105" s="61"/>
      <c r="D105" s="62"/>
      <c r="E105" s="60" t="s">
        <v>215</v>
      </c>
      <c r="F105" s="60" t="s">
        <v>216</v>
      </c>
      <c r="G105" s="60" t="n">
        <v>0</v>
      </c>
      <c r="H105" s="60" t="n">
        <v>1000</v>
      </c>
      <c r="I105" s="60" t="s">
        <v>15</v>
      </c>
      <c r="J105" s="60" t="s">
        <v>217</v>
      </c>
    </row>
    <row r="106" customFormat="false" ht="13.8" hidden="false" customHeight="false" outlineLevel="0" collapsed="false">
      <c r="A106" s="10" t="s">
        <v>218</v>
      </c>
      <c r="B106" s="42"/>
      <c r="C106" s="42"/>
      <c r="D106" s="43"/>
      <c r="E106" s="10" t="s">
        <v>219</v>
      </c>
      <c r="F106" s="10" t="s">
        <v>220</v>
      </c>
      <c r="G106" s="10" t="n">
        <v>0</v>
      </c>
      <c r="H106" s="10" t="n">
        <v>1000</v>
      </c>
      <c r="I106" s="63"/>
      <c r="J106" s="10" t="s">
        <v>221</v>
      </c>
    </row>
    <row r="107" s="1" customFormat="true" ht="13.8" hidden="false" customHeight="false" outlineLevel="0" collapsed="false">
      <c r="A107" s="19" t="s">
        <v>192</v>
      </c>
      <c r="E107" s="1" t="s">
        <v>193</v>
      </c>
      <c r="F107" s="1" t="s">
        <v>194</v>
      </c>
      <c r="G107" s="1" t="n">
        <v>0</v>
      </c>
      <c r="H107" s="1" t="n">
        <v>1000</v>
      </c>
      <c r="I107" s="0"/>
      <c r="J107" s="19" t="s">
        <v>222</v>
      </c>
    </row>
    <row r="108" customFormat="false" ht="13.8" hidden="false" customHeight="false" outlineLevel="0" collapsed="false">
      <c r="A108" s="21" t="s">
        <v>195</v>
      </c>
      <c r="B108" s="21"/>
      <c r="C108" s="21"/>
      <c r="D108" s="21"/>
      <c r="E108" s="21" t="s">
        <v>196</v>
      </c>
      <c r="F108" s="21" t="s">
        <v>197</v>
      </c>
      <c r="G108" s="21" t="n">
        <v>-1000</v>
      </c>
      <c r="H108" s="21" t="n">
        <v>1000</v>
      </c>
      <c r="J108" s="21" t="s">
        <v>198</v>
      </c>
    </row>
    <row r="109" customFormat="false" ht="13.8" hidden="false" customHeight="false" outlineLevel="0" collapsed="false">
      <c r="A109" s="21" t="s">
        <v>199</v>
      </c>
      <c r="B109" s="21"/>
      <c r="C109" s="21"/>
      <c r="D109" s="21"/>
      <c r="E109" s="21" t="s">
        <v>200</v>
      </c>
      <c r="F109" s="21" t="s">
        <v>201</v>
      </c>
      <c r="G109" s="21" t="n">
        <v>-1000</v>
      </c>
      <c r="H109" s="21" t="n">
        <v>1000</v>
      </c>
      <c r="J109" s="21" t="s">
        <v>198</v>
      </c>
    </row>
    <row r="110" customFormat="false" ht="13.8" hidden="false" customHeight="false" outlineLevel="0" collapsed="false">
      <c r="A110" s="21" t="s">
        <v>202</v>
      </c>
      <c r="B110" s="21"/>
      <c r="C110" s="21"/>
      <c r="D110" s="21"/>
      <c r="E110" s="21" t="s">
        <v>203</v>
      </c>
      <c r="F110" s="21" t="s">
        <v>204</v>
      </c>
      <c r="G110" s="21" t="n">
        <v>0</v>
      </c>
      <c r="H110" s="21" t="n">
        <v>1000</v>
      </c>
      <c r="J110" s="21" t="s">
        <v>198</v>
      </c>
    </row>
    <row r="111" customFormat="false" ht="13.8" hidden="false" customHeight="false" outlineLevel="0" collapsed="false">
      <c r="A111" s="21" t="s">
        <v>205</v>
      </c>
      <c r="B111" s="42"/>
      <c r="C111" s="42"/>
      <c r="D111" s="43"/>
      <c r="E111" s="10"/>
      <c r="F111" s="10"/>
      <c r="G111" s="10"/>
      <c r="H111" s="10"/>
      <c r="I111" s="10"/>
      <c r="J111" s="10"/>
    </row>
    <row r="112" customFormat="false" ht="13.8" hidden="false" customHeight="false" outlineLevel="0" collapsed="false">
      <c r="A112" s="10"/>
      <c r="B112" s="42"/>
      <c r="C112" s="42"/>
      <c r="D112" s="43"/>
      <c r="E112" s="10"/>
      <c r="F112" s="10"/>
      <c r="G112" s="10"/>
      <c r="H112" s="10"/>
      <c r="I112" s="10"/>
      <c r="J112" s="10"/>
    </row>
    <row r="113" customFormat="false" ht="13.8" hidden="false" customHeight="false" outlineLevel="0" collapsed="false">
      <c r="A113" s="10" t="s">
        <v>223</v>
      </c>
      <c r="B113" s="42"/>
      <c r="C113" s="42"/>
      <c r="D113" s="43"/>
      <c r="E113" s="10"/>
      <c r="F113" s="10"/>
      <c r="G113" s="10"/>
      <c r="H113" s="10"/>
      <c r="I113" s="10"/>
      <c r="J113" s="10"/>
    </row>
    <row r="114" customFormat="false" ht="13.8" hidden="false" customHeight="false" outlineLevel="0" collapsed="false">
      <c r="A114" s="10" t="s">
        <v>224</v>
      </c>
      <c r="B114" s="42"/>
      <c r="C114" s="42"/>
      <c r="D114" s="43"/>
      <c r="E114" s="10"/>
      <c r="F114" s="10"/>
      <c r="G114" s="10"/>
      <c r="H114" s="10"/>
      <c r="I114" s="10"/>
      <c r="J114" s="10"/>
    </row>
    <row r="115" customFormat="false" ht="13.8" hidden="false" customHeight="false" outlineLevel="0" collapsed="false">
      <c r="A115" s="10" t="s">
        <v>225</v>
      </c>
      <c r="B115" s="42"/>
      <c r="C115" s="42"/>
      <c r="D115" s="43"/>
      <c r="E115" s="10"/>
      <c r="F115" s="10"/>
      <c r="G115" s="10"/>
      <c r="H115" s="10"/>
      <c r="I115" s="10"/>
      <c r="J115" s="10"/>
    </row>
    <row r="116" customFormat="false" ht="13.8" hidden="false" customHeight="false" outlineLevel="0" collapsed="false">
      <c r="A116" s="1" t="s">
        <v>226</v>
      </c>
    </row>
    <row r="118" customFormat="false" ht="13.8" hidden="false" customHeight="false" outlineLevel="0" collapsed="false">
      <c r="A118" s="6" t="s">
        <v>227</v>
      </c>
      <c r="B118" s="7" t="s">
        <v>10</v>
      </c>
      <c r="C118" s="8"/>
      <c r="D118" s="8"/>
      <c r="E118" s="8"/>
      <c r="F118" s="8"/>
      <c r="G118" s="8"/>
      <c r="H118" s="8"/>
      <c r="I118" s="8"/>
      <c r="J118" s="9" t="s">
        <v>228</v>
      </c>
      <c r="K118" s="9"/>
      <c r="L118" s="9"/>
      <c r="M118" s="15"/>
    </row>
    <row r="119" customFormat="false" ht="13.8" hidden="false" customHeight="false" outlineLevel="0" collapsed="false">
      <c r="A119" s="56" t="s">
        <v>229</v>
      </c>
      <c r="B119" s="56"/>
      <c r="C119" s="56"/>
      <c r="D119" s="56"/>
      <c r="E119" s="56" t="s">
        <v>230</v>
      </c>
      <c r="F119" s="56" t="s">
        <v>231</v>
      </c>
      <c r="G119" s="56" t="n">
        <v>0</v>
      </c>
      <c r="H119" s="56" t="n">
        <v>1000</v>
      </c>
      <c r="I119" s="56" t="s">
        <v>15</v>
      </c>
      <c r="K119" s="10"/>
      <c r="L119" s="15"/>
      <c r="M119" s="15"/>
    </row>
    <row r="120" customFormat="false" ht="14.15" hidden="false" customHeight="false" outlineLevel="0" collapsed="false">
      <c r="A120" s="16" t="s">
        <v>232</v>
      </c>
      <c r="B120" s="17"/>
      <c r="C120" s="17"/>
      <c r="D120" s="18"/>
      <c r="E120" s="19" t="s">
        <v>233</v>
      </c>
      <c r="F120" s="19" t="s">
        <v>234</v>
      </c>
      <c r="G120" s="19" t="n">
        <v>0</v>
      </c>
      <c r="H120" s="19" t="n">
        <v>1000</v>
      </c>
      <c r="I120" s="19"/>
      <c r="J120" s="1" t="s">
        <v>235</v>
      </c>
      <c r="K120" s="10"/>
      <c r="L120" s="15"/>
      <c r="M120" s="15"/>
    </row>
    <row r="121" s="1" customFormat="true" ht="14.15" hidden="false" customHeight="false" outlineLevel="0" collapsed="false">
      <c r="A121" s="19" t="s">
        <v>236</v>
      </c>
      <c r="E121" s="1" t="s">
        <v>237</v>
      </c>
      <c r="F121" s="1" t="s">
        <v>238</v>
      </c>
      <c r="G121" s="1" t="n">
        <v>-1000</v>
      </c>
      <c r="H121" s="1" t="n">
        <v>1000</v>
      </c>
      <c r="I121" s="36"/>
      <c r="J121" s="1" t="s">
        <v>239</v>
      </c>
      <c r="K121" s="10"/>
      <c r="L121" s="15"/>
      <c r="M121" s="15"/>
    </row>
    <row r="122" s="1" customFormat="true" ht="14.15" hidden="false" customHeight="false" outlineLevel="0" collapsed="false">
      <c r="A122" s="21" t="s">
        <v>240</v>
      </c>
      <c r="E122" s="21" t="s">
        <v>241</v>
      </c>
      <c r="F122" s="21" t="s">
        <v>242</v>
      </c>
      <c r="G122" s="22" t="n">
        <v>-1000</v>
      </c>
      <c r="H122" s="22" t="n">
        <v>1000</v>
      </c>
      <c r="I122" s="23"/>
      <c r="J122" s="22" t="s">
        <v>32</v>
      </c>
      <c r="K122" s="10"/>
      <c r="L122" s="15"/>
      <c r="M122" s="15"/>
    </row>
    <row r="123" s="1" customFormat="true" ht="14.15" hidden="false" customHeight="false" outlineLevel="0" collapsed="false">
      <c r="A123" s="21" t="s">
        <v>243</v>
      </c>
      <c r="E123" s="21" t="s">
        <v>244</v>
      </c>
      <c r="F123" s="21" t="s">
        <v>245</v>
      </c>
      <c r="G123" s="22" t="n">
        <v>-1000</v>
      </c>
      <c r="H123" s="22" t="n">
        <v>1000</v>
      </c>
      <c r="I123" s="23"/>
      <c r="J123" s="22" t="s">
        <v>32</v>
      </c>
      <c r="K123" s="10"/>
      <c r="L123" s="15"/>
      <c r="M123" s="15"/>
    </row>
    <row r="124" s="1" customFormat="true" ht="14.15" hidden="false" customHeight="false" outlineLevel="0" collapsed="false">
      <c r="A124" s="21" t="s">
        <v>246</v>
      </c>
      <c r="E124" s="21" t="s">
        <v>247</v>
      </c>
      <c r="F124" s="21" t="s">
        <v>248</v>
      </c>
      <c r="G124" s="21" t="n">
        <v>0</v>
      </c>
      <c r="H124" s="21" t="n">
        <v>1000</v>
      </c>
      <c r="J124" s="1" t="s">
        <v>249</v>
      </c>
      <c r="K124" s="10"/>
      <c r="L124" s="15"/>
      <c r="M124" s="15"/>
    </row>
    <row r="125" s="1" customFormat="true" ht="14.15" hidden="false" customHeight="false" outlineLevel="0" collapsed="false">
      <c r="A125" s="21" t="s">
        <v>250</v>
      </c>
      <c r="K125" s="10"/>
      <c r="L125" s="15"/>
      <c r="M125" s="15"/>
    </row>
    <row r="126" s="1" customFormat="true" ht="13.8" hidden="false" customHeight="false" outlineLevel="0" collapsed="false">
      <c r="A126" s="0"/>
      <c r="K126" s="10"/>
      <c r="L126" s="15"/>
      <c r="M126" s="15"/>
    </row>
    <row r="127" s="1" customFormat="true" ht="14.15" hidden="false" customHeight="false" outlineLevel="0" collapsed="false">
      <c r="A127" s="1" t="s">
        <v>49</v>
      </c>
      <c r="K127" s="10"/>
      <c r="L127" s="15"/>
      <c r="M127" s="15"/>
    </row>
    <row r="128" s="1" customFormat="true" ht="14.15" hidden="false" customHeight="false" outlineLevel="0" collapsed="false">
      <c r="A128" s="1" t="s">
        <v>251</v>
      </c>
      <c r="K128" s="10"/>
      <c r="L128" s="15"/>
      <c r="M128" s="15"/>
    </row>
    <row r="129" s="1" customFormat="true" ht="14.15" hidden="false" customHeight="false" outlineLevel="0" collapsed="false">
      <c r="A129" s="1" t="s">
        <v>252</v>
      </c>
      <c r="K129" s="10"/>
      <c r="L129" s="15"/>
      <c r="M129" s="15"/>
    </row>
    <row r="131" customFormat="false" ht="13.8" hidden="false" customHeight="false" outlineLevel="0" collapsed="false">
      <c r="A131" s="6" t="s">
        <v>253</v>
      </c>
      <c r="B131" s="7" t="s">
        <v>10</v>
      </c>
      <c r="C131" s="28"/>
      <c r="D131" s="44"/>
      <c r="E131" s="9"/>
      <c r="F131" s="9"/>
      <c r="G131" s="9"/>
      <c r="H131" s="9"/>
      <c r="I131" s="9"/>
      <c r="J131" s="9" t="s">
        <v>254</v>
      </c>
      <c r="K131" s="9"/>
      <c r="L131" s="9"/>
      <c r="M131" s="9"/>
      <c r="N131" s="9"/>
      <c r="O131" s="9"/>
      <c r="P131" s="9"/>
      <c r="Q131" s="9"/>
    </row>
    <row r="132" customFormat="false" ht="26.55" hidden="false" customHeight="false" outlineLevel="0" collapsed="false">
      <c r="A132" s="64" t="s">
        <v>255</v>
      </c>
      <c r="B132" s="42"/>
      <c r="C132" s="42"/>
      <c r="D132" s="43"/>
      <c r="E132" s="10"/>
      <c r="F132" s="10"/>
      <c r="G132" s="10"/>
      <c r="H132" s="10"/>
      <c r="I132" s="10"/>
      <c r="J132" s="31" t="s">
        <v>256</v>
      </c>
      <c r="K132" s="10"/>
      <c r="L132" s="10"/>
      <c r="M132" s="10"/>
      <c r="N132" s="10"/>
      <c r="O132" s="10"/>
      <c r="P132" s="10"/>
      <c r="Q132" s="10"/>
    </row>
    <row r="133" customFormat="false" ht="13.8" hidden="false" customHeight="false" outlineLevel="0" collapsed="false">
      <c r="A133" s="1" t="s">
        <v>257</v>
      </c>
      <c r="E133" s="1" t="s">
        <v>258</v>
      </c>
      <c r="F133" s="1" t="s">
        <v>259</v>
      </c>
      <c r="G133" s="1" t="n">
        <v>0</v>
      </c>
      <c r="H133" s="1" t="n">
        <v>1000</v>
      </c>
      <c r="J133" s="1" t="s">
        <v>260</v>
      </c>
    </row>
    <row r="134" customFormat="false" ht="13.8" hidden="false" customHeight="false" outlineLevel="0" collapsed="false">
      <c r="A134" s="1" t="s">
        <v>261</v>
      </c>
      <c r="E134" s="1" t="s">
        <v>262</v>
      </c>
      <c r="F134" s="1" t="s">
        <v>263</v>
      </c>
      <c r="G134" s="1" t="n">
        <v>0</v>
      </c>
      <c r="H134" s="1" t="n">
        <v>1000</v>
      </c>
      <c r="J134" s="1" t="s">
        <v>260</v>
      </c>
    </row>
    <row r="135" customFormat="false" ht="13.8" hidden="false" customHeight="false" outlineLevel="0" collapsed="false">
      <c r="A135" s="1" t="s">
        <v>264</v>
      </c>
      <c r="E135" s="1" t="s">
        <v>265</v>
      </c>
      <c r="F135" s="1" t="s">
        <v>266</v>
      </c>
      <c r="G135" s="1" t="n">
        <v>0</v>
      </c>
      <c r="H135" s="1" t="n">
        <v>1000</v>
      </c>
      <c r="J135" s="1" t="s">
        <v>260</v>
      </c>
    </row>
    <row r="136" s="21" customFormat="true" ht="13.8" hidden="false" customHeight="false" outlineLevel="0" collapsed="false">
      <c r="A136" s="21" t="s">
        <v>267</v>
      </c>
      <c r="B136" s="37"/>
      <c r="C136" s="37"/>
      <c r="D136" s="38"/>
      <c r="E136" s="21" t="s">
        <v>268</v>
      </c>
      <c r="F136" s="21" t="s">
        <v>269</v>
      </c>
      <c r="G136" s="21" t="n">
        <v>-1000</v>
      </c>
      <c r="H136" s="21" t="n">
        <v>1000</v>
      </c>
      <c r="I136" s="39"/>
      <c r="J136" s="21" t="s">
        <v>270</v>
      </c>
    </row>
    <row r="137" s="21" customFormat="true" ht="13.8" hidden="false" customHeight="false" outlineLevel="0" collapsed="false">
      <c r="A137" s="21" t="s">
        <v>271</v>
      </c>
      <c r="B137" s="37"/>
      <c r="C137" s="37"/>
      <c r="D137" s="38"/>
      <c r="E137" s="21" t="s">
        <v>272</v>
      </c>
      <c r="F137" s="21" t="s">
        <v>273</v>
      </c>
      <c r="G137" s="21" t="n">
        <v>-1000</v>
      </c>
      <c r="H137" s="21" t="n">
        <v>1000</v>
      </c>
      <c r="I137" s="39"/>
      <c r="J137" s="21" t="s">
        <v>274</v>
      </c>
    </row>
    <row r="138" s="21" customFormat="true" ht="13.8" hidden="false" customHeight="false" outlineLevel="0" collapsed="false">
      <c r="A138" s="21" t="s">
        <v>275</v>
      </c>
      <c r="B138" s="37"/>
      <c r="C138" s="37"/>
      <c r="D138" s="38"/>
      <c r="E138" s="21" t="s">
        <v>276</v>
      </c>
      <c r="F138" s="21" t="s">
        <v>277</v>
      </c>
      <c r="G138" s="21" t="n">
        <v>0</v>
      </c>
      <c r="H138" s="21" t="n">
        <v>1000</v>
      </c>
      <c r="J138" s="21" t="s">
        <v>278</v>
      </c>
    </row>
    <row r="139" customFormat="false" ht="13.8" hidden="false" customHeight="false" outlineLevel="0" collapsed="false">
      <c r="A139" s="21" t="s">
        <v>279</v>
      </c>
    </row>
    <row r="141" customFormat="false" ht="13.8" hidden="false" customHeight="false" outlineLevel="0" collapsed="false">
      <c r="A141" s="41" t="s">
        <v>280</v>
      </c>
    </row>
    <row r="143" customFormat="false" ht="13.8" hidden="false" customHeight="false" outlineLevel="0" collapsed="false">
      <c r="A143" s="6" t="s">
        <v>281</v>
      </c>
      <c r="B143" s="7" t="s">
        <v>10</v>
      </c>
      <c r="C143" s="28"/>
      <c r="D143" s="44"/>
      <c r="E143" s="9"/>
      <c r="F143" s="9"/>
      <c r="G143" s="9"/>
      <c r="H143" s="9"/>
      <c r="I143" s="9"/>
      <c r="J143" s="9"/>
      <c r="K143" s="9"/>
      <c r="L143" s="9"/>
      <c r="M143" s="9"/>
      <c r="N143" s="9"/>
      <c r="O143" s="9"/>
      <c r="P143" s="9"/>
      <c r="Q143" s="9"/>
    </row>
    <row r="144" s="35" customFormat="true" ht="13.8" hidden="false" customHeight="false" outlineLevel="0" collapsed="false">
      <c r="A144" s="31" t="s">
        <v>282</v>
      </c>
      <c r="B144" s="32"/>
      <c r="C144" s="32"/>
      <c r="D144" s="50"/>
      <c r="E144" s="31"/>
      <c r="F144" s="31"/>
      <c r="G144" s="31"/>
      <c r="H144" s="31"/>
      <c r="I144" s="31"/>
      <c r="J144" s="31" t="s">
        <v>66</v>
      </c>
      <c r="K144" s="31"/>
      <c r="L144" s="31"/>
      <c r="M144" s="31"/>
      <c r="N144" s="31"/>
      <c r="O144" s="31"/>
      <c r="P144" s="31"/>
      <c r="Q144" s="31"/>
    </row>
    <row r="145" customFormat="false" ht="13.8" hidden="false" customHeight="false" outlineLevel="0" collapsed="false">
      <c r="A145" s="1" t="s">
        <v>283</v>
      </c>
      <c r="B145" s="2" t="n">
        <f aca="false">-1</f>
        <v>-1</v>
      </c>
      <c r="C145" s="2" t="n">
        <f aca="false">-1+0</f>
        <v>-1</v>
      </c>
      <c r="D145" s="3" t="s">
        <v>68</v>
      </c>
      <c r="E145" s="1" t="s">
        <v>284</v>
      </c>
      <c r="F145" s="1" t="s">
        <v>285</v>
      </c>
      <c r="G145" s="1" t="n">
        <v>0</v>
      </c>
      <c r="H145" s="1" t="n">
        <v>1000</v>
      </c>
      <c r="J145" s="1" t="s">
        <v>286</v>
      </c>
    </row>
    <row r="146" customFormat="false" ht="13.8" hidden="false" customHeight="false" outlineLevel="0" collapsed="false">
      <c r="A146" s="1" t="s">
        <v>287</v>
      </c>
      <c r="B146" s="2" t="n">
        <f aca="false">-1</f>
        <v>-1</v>
      </c>
      <c r="C146" s="2" t="n">
        <f aca="false">-2+1</f>
        <v>-1</v>
      </c>
      <c r="D146" s="3" t="s">
        <v>68</v>
      </c>
      <c r="E146" s="1" t="s">
        <v>288</v>
      </c>
      <c r="F146" s="1" t="s">
        <v>289</v>
      </c>
      <c r="G146" s="1" t="n">
        <v>0</v>
      </c>
      <c r="H146" s="1" t="n">
        <v>1000</v>
      </c>
      <c r="I146" s="36"/>
      <c r="J146" s="1" t="s">
        <v>290</v>
      </c>
    </row>
    <row r="147" customFormat="false" ht="13.8" hidden="false" customHeight="false" outlineLevel="0" collapsed="false">
      <c r="A147" s="1" t="s">
        <v>291</v>
      </c>
      <c r="B147" s="2" t="n">
        <f aca="false">-2-3</f>
        <v>-5</v>
      </c>
      <c r="C147" s="2" t="n">
        <f aca="false">-2-4+1</f>
        <v>-5</v>
      </c>
      <c r="D147" s="3" t="s">
        <v>68</v>
      </c>
      <c r="E147" s="1" t="s">
        <v>292</v>
      </c>
      <c r="F147" s="1" t="s">
        <v>293</v>
      </c>
      <c r="G147" s="1" t="n">
        <v>0</v>
      </c>
      <c r="H147" s="1" t="n">
        <v>1000</v>
      </c>
      <c r="I147" s="65"/>
      <c r="J147" s="1" t="s">
        <v>294</v>
      </c>
    </row>
    <row r="148" customFormat="false" ht="13.8" hidden="false" customHeight="false" outlineLevel="0" collapsed="false">
      <c r="A148" s="21" t="s">
        <v>295</v>
      </c>
      <c r="E148" s="21" t="s">
        <v>296</v>
      </c>
      <c r="F148" s="21" t="s">
        <v>297</v>
      </c>
      <c r="G148" s="21" t="n">
        <v>-1000</v>
      </c>
      <c r="H148" s="21" t="n">
        <v>1000</v>
      </c>
      <c r="I148" s="65"/>
      <c r="J148" s="21" t="s">
        <v>32</v>
      </c>
    </row>
    <row r="149" customFormat="false" ht="13.8" hidden="false" customHeight="false" outlineLevel="0" collapsed="false">
      <c r="A149" s="21" t="s">
        <v>298</v>
      </c>
      <c r="E149" s="21" t="s">
        <v>299</v>
      </c>
      <c r="F149" s="21" t="s">
        <v>300</v>
      </c>
      <c r="G149" s="21" t="n">
        <v>-1000</v>
      </c>
      <c r="H149" s="21" t="n">
        <v>1000</v>
      </c>
      <c r="I149" s="65"/>
      <c r="J149" s="21" t="s">
        <v>32</v>
      </c>
    </row>
    <row r="150" customFormat="false" ht="13.8" hidden="false" customHeight="false" outlineLevel="0" collapsed="false">
      <c r="A150" s="21" t="s">
        <v>301</v>
      </c>
      <c r="E150" s="21" t="s">
        <v>302</v>
      </c>
      <c r="F150" s="21" t="s">
        <v>303</v>
      </c>
      <c r="G150" s="21" t="n">
        <v>0</v>
      </c>
      <c r="H150" s="21" t="n">
        <v>1000</v>
      </c>
      <c r="I150" s="65"/>
      <c r="J150" s="21" t="s">
        <v>32</v>
      </c>
    </row>
    <row r="151" customFormat="false" ht="13.8" hidden="false" customHeight="false" outlineLevel="0" collapsed="false">
      <c r="A151" s="21" t="s">
        <v>304</v>
      </c>
      <c r="I151" s="0"/>
    </row>
    <row r="153" customFormat="false" ht="13.8" hidden="false" customHeight="false" outlineLevel="0" collapsed="false">
      <c r="A153" s="1" t="s">
        <v>305</v>
      </c>
      <c r="F153" s="21"/>
    </row>
    <row r="154" customFormat="false" ht="13.8" hidden="false" customHeight="false" outlineLevel="0" collapsed="false">
      <c r="A154" s="41" t="s">
        <v>306</v>
      </c>
    </row>
    <row r="155" customFormat="false" ht="13.8" hidden="false" customHeight="false" outlineLevel="0" collapsed="false">
      <c r="A155" s="0"/>
      <c r="B155" s="0"/>
      <c r="C155" s="0"/>
      <c r="D155" s="0"/>
      <c r="E155" s="0"/>
      <c r="F155" s="0"/>
      <c r="G155" s="0"/>
      <c r="H155" s="0"/>
      <c r="I155" s="0"/>
      <c r="J155" s="0"/>
      <c r="K155" s="0"/>
      <c r="L155" s="0"/>
      <c r="M155" s="0"/>
      <c r="N155" s="0"/>
      <c r="O155" s="0"/>
    </row>
    <row r="156" customFormat="false" ht="13.8" hidden="false" customHeight="false" outlineLevel="0" collapsed="false">
      <c r="A156" s="6" t="s">
        <v>307</v>
      </c>
      <c r="B156" s="7" t="s">
        <v>10</v>
      </c>
      <c r="C156" s="28"/>
      <c r="D156" s="44"/>
      <c r="E156" s="9"/>
      <c r="F156" s="9"/>
      <c r="G156" s="9"/>
      <c r="H156" s="9"/>
      <c r="I156" s="9"/>
      <c r="J156" s="9" t="s">
        <v>308</v>
      </c>
      <c r="K156" s="9"/>
      <c r="L156" s="9"/>
      <c r="M156" s="9"/>
      <c r="N156" s="9"/>
      <c r="O156" s="9"/>
      <c r="P156" s="9"/>
      <c r="Q156" s="9"/>
    </row>
    <row r="157" customFormat="false" ht="13.8" hidden="false" customHeight="false" outlineLevel="0" collapsed="false">
      <c r="A157" s="66" t="s">
        <v>309</v>
      </c>
      <c r="B157" s="42"/>
      <c r="C157" s="42"/>
      <c r="D157" s="43"/>
      <c r="E157" s="10"/>
      <c r="F157" s="10"/>
      <c r="G157" s="10"/>
      <c r="H157" s="10"/>
      <c r="I157" s="10"/>
      <c r="J157" s="31" t="s">
        <v>66</v>
      </c>
      <c r="K157" s="10"/>
      <c r="L157" s="10"/>
      <c r="M157" s="10"/>
      <c r="N157" s="10"/>
      <c r="O157" s="10"/>
      <c r="P157" s="10"/>
      <c r="Q157" s="10"/>
    </row>
    <row r="158" customFormat="false" ht="13.8" hidden="false" customHeight="false" outlineLevel="0" collapsed="false">
      <c r="A158" s="15" t="s">
        <v>310</v>
      </c>
      <c r="B158" s="42" t="n">
        <f aca="false">-1+-4</f>
        <v>-5</v>
      </c>
      <c r="C158" s="42" t="n">
        <f aca="false">-4-2+1</f>
        <v>-5</v>
      </c>
      <c r="D158" s="43" t="s">
        <v>68</v>
      </c>
      <c r="E158" s="10" t="s">
        <v>311</v>
      </c>
      <c r="F158" s="10" t="s">
        <v>312</v>
      </c>
      <c r="G158" s="10" t="n">
        <v>0</v>
      </c>
      <c r="H158" s="10" t="n">
        <v>1000</v>
      </c>
      <c r="I158" s="63"/>
      <c r="J158" s="10" t="s">
        <v>313</v>
      </c>
      <c r="K158" s="10"/>
      <c r="L158" s="10"/>
      <c r="M158" s="10"/>
      <c r="N158" s="10"/>
      <c r="O158" s="10"/>
      <c r="P158" s="10"/>
      <c r="Q158" s="10"/>
    </row>
    <row r="159" customFormat="false" ht="13.8" hidden="false" customHeight="false" outlineLevel="0" collapsed="false">
      <c r="A159" s="10" t="s">
        <v>314</v>
      </c>
      <c r="B159" s="42" t="n">
        <f aca="false">-2</f>
        <v>-2</v>
      </c>
      <c r="C159" s="42" t="n">
        <f aca="false">-2</f>
        <v>-2</v>
      </c>
      <c r="D159" s="43" t="s">
        <v>68</v>
      </c>
      <c r="E159" s="10" t="s">
        <v>315</v>
      </c>
      <c r="F159" s="10" t="s">
        <v>316</v>
      </c>
      <c r="G159" s="10" t="n">
        <v>-1000</v>
      </c>
      <c r="H159" s="10" t="n">
        <v>1000</v>
      </c>
      <c r="I159" s="63"/>
      <c r="J159" s="10" t="s">
        <v>317</v>
      </c>
      <c r="K159" s="10"/>
      <c r="L159" s="10"/>
      <c r="M159" s="10"/>
      <c r="N159" s="10"/>
      <c r="O159" s="10"/>
      <c r="P159" s="10"/>
      <c r="Q159" s="10"/>
    </row>
    <row r="160" customFormat="false" ht="14.25" hidden="false" customHeight="false" outlineLevel="0" collapsed="false">
      <c r="A160" s="10" t="s">
        <v>318</v>
      </c>
      <c r="B160" s="42" t="n">
        <f aca="false">-2</f>
        <v>-2</v>
      </c>
      <c r="C160" s="42" t="n">
        <f aca="false">-2</f>
        <v>-2</v>
      </c>
      <c r="D160" s="43" t="s">
        <v>68</v>
      </c>
      <c r="E160" s="10" t="s">
        <v>319</v>
      </c>
      <c r="F160" s="10" t="s">
        <v>320</v>
      </c>
      <c r="G160" s="10" t="n">
        <v>-1000</v>
      </c>
      <c r="H160" s="10" t="n">
        <v>1000</v>
      </c>
      <c r="I160" s="63"/>
      <c r="J160" s="10" t="s">
        <v>321</v>
      </c>
      <c r="K160" s="10"/>
      <c r="L160" s="10"/>
      <c r="M160" s="10"/>
      <c r="N160" s="10"/>
      <c r="O160" s="10"/>
      <c r="P160" s="10"/>
      <c r="Q160" s="10"/>
    </row>
    <row r="161" customFormat="false" ht="13.8" hidden="false" customHeight="false" outlineLevel="0" collapsed="false">
      <c r="A161" s="67" t="s">
        <v>322</v>
      </c>
      <c r="B161" s="42" t="n">
        <f aca="false">-2-1</f>
        <v>-3</v>
      </c>
      <c r="C161" s="42" t="n">
        <f aca="false">-2-2+1</f>
        <v>-3</v>
      </c>
      <c r="D161" s="43" t="s">
        <v>68</v>
      </c>
      <c r="E161" s="10" t="s">
        <v>323</v>
      </c>
      <c r="F161" s="10" t="s">
        <v>324</v>
      </c>
      <c r="G161" s="10" t="n">
        <v>0</v>
      </c>
      <c r="H161" s="10" t="n">
        <v>1000</v>
      </c>
      <c r="I161" s="63"/>
      <c r="J161" s="10" t="s">
        <v>325</v>
      </c>
      <c r="K161" s="10"/>
      <c r="L161" s="10"/>
      <c r="M161" s="10"/>
      <c r="N161" s="10"/>
      <c r="O161" s="10"/>
      <c r="P161" s="10"/>
      <c r="Q161" s="10"/>
    </row>
    <row r="162" customFormat="false" ht="13.8" hidden="false" customHeight="false" outlineLevel="0" collapsed="false">
      <c r="A162" s="67" t="s">
        <v>326</v>
      </c>
      <c r="B162" s="42" t="n">
        <f aca="false">-2+1</f>
        <v>-1</v>
      </c>
      <c r="C162" s="42" t="n">
        <f aca="false">-1</f>
        <v>-1</v>
      </c>
      <c r="D162" s="43" t="s">
        <v>68</v>
      </c>
      <c r="E162" s="10" t="s">
        <v>327</v>
      </c>
      <c r="F162" s="68" t="s">
        <v>328</v>
      </c>
      <c r="G162" s="10" t="n">
        <v>0</v>
      </c>
      <c r="H162" s="10" t="n">
        <v>1000</v>
      </c>
      <c r="I162" s="63"/>
      <c r="J162" s="10" t="s">
        <v>329</v>
      </c>
      <c r="K162" s="10"/>
      <c r="L162" s="10"/>
      <c r="M162" s="10"/>
      <c r="N162" s="10"/>
      <c r="O162" s="10"/>
      <c r="P162" s="10"/>
      <c r="Q162" s="10"/>
    </row>
    <row r="163" customFormat="false" ht="13.8" hidden="false" customHeight="false" outlineLevel="0" collapsed="false">
      <c r="A163" s="10" t="s">
        <v>330</v>
      </c>
      <c r="B163" s="42" t="n">
        <f aca="false">-1+1</f>
        <v>0</v>
      </c>
      <c r="C163" s="42" t="n">
        <f aca="false">0</f>
        <v>0</v>
      </c>
      <c r="D163" s="43" t="s">
        <v>68</v>
      </c>
      <c r="E163" s="10" t="s">
        <v>331</v>
      </c>
      <c r="F163" s="10" t="s">
        <v>332</v>
      </c>
      <c r="G163" s="10" t="n">
        <v>0</v>
      </c>
      <c r="H163" s="10" t="n">
        <v>1000</v>
      </c>
      <c r="I163" s="63"/>
      <c r="J163" s="10" t="s">
        <v>333</v>
      </c>
      <c r="K163" s="10"/>
      <c r="L163" s="10"/>
      <c r="M163" s="10"/>
      <c r="N163" s="10"/>
      <c r="O163" s="10"/>
      <c r="P163" s="10"/>
      <c r="Q163" s="10"/>
    </row>
    <row r="164" customFormat="false" ht="13.8" hidden="false" customHeight="false" outlineLevel="0" collapsed="false">
      <c r="A164" s="10" t="s">
        <v>334</v>
      </c>
      <c r="B164" s="42" t="n">
        <f aca="false">-4+1</f>
        <v>-3</v>
      </c>
      <c r="C164" s="42" t="n">
        <f aca="false">-3</f>
        <v>-3</v>
      </c>
      <c r="D164" s="43" t="s">
        <v>68</v>
      </c>
      <c r="E164" s="10" t="s">
        <v>335</v>
      </c>
      <c r="F164" s="10" t="s">
        <v>336</v>
      </c>
      <c r="G164" s="10" t="n">
        <v>0</v>
      </c>
      <c r="H164" s="10" t="n">
        <v>1000</v>
      </c>
      <c r="I164" s="63"/>
      <c r="J164" s="10" t="s">
        <v>337</v>
      </c>
      <c r="K164" s="10"/>
      <c r="L164" s="10"/>
      <c r="M164" s="10"/>
      <c r="N164" s="10"/>
      <c r="O164" s="10"/>
      <c r="P164" s="10"/>
      <c r="Q164" s="10"/>
    </row>
    <row r="165" customFormat="false" ht="13.8" hidden="false" customHeight="false" outlineLevel="0" collapsed="false">
      <c r="A165" s="21" t="s">
        <v>338</v>
      </c>
      <c r="E165" s="21" t="s">
        <v>339</v>
      </c>
      <c r="F165" s="21" t="s">
        <v>340</v>
      </c>
      <c r="G165" s="21" t="n">
        <v>-1000</v>
      </c>
      <c r="H165" s="21" t="n">
        <v>1000</v>
      </c>
      <c r="I165" s="65"/>
      <c r="J165" s="21" t="s">
        <v>32</v>
      </c>
      <c r="K165" s="10"/>
      <c r="L165" s="10"/>
      <c r="M165" s="10"/>
      <c r="N165" s="10"/>
      <c r="O165" s="10"/>
      <c r="P165" s="10"/>
      <c r="Q165" s="10"/>
    </row>
    <row r="166" customFormat="false" ht="13.8" hidden="false" customHeight="false" outlineLevel="0" collapsed="false">
      <c r="A166" s="21" t="s">
        <v>341</v>
      </c>
      <c r="E166" s="21" t="s">
        <v>342</v>
      </c>
      <c r="F166" s="21" t="s">
        <v>343</v>
      </c>
      <c r="G166" s="21" t="n">
        <v>-1000</v>
      </c>
      <c r="H166" s="21" t="n">
        <v>1000</v>
      </c>
      <c r="I166" s="65"/>
      <c r="J166" s="21" t="s">
        <v>32</v>
      </c>
      <c r="K166" s="10"/>
      <c r="L166" s="10"/>
      <c r="M166" s="10"/>
      <c r="N166" s="10"/>
      <c r="O166" s="10"/>
      <c r="P166" s="10"/>
      <c r="Q166" s="10"/>
    </row>
    <row r="167" customFormat="false" ht="13.8" hidden="false" customHeight="false" outlineLevel="0" collapsed="false">
      <c r="A167" s="21" t="s">
        <v>344</v>
      </c>
      <c r="E167" s="21" t="s">
        <v>345</v>
      </c>
      <c r="F167" s="21" t="s">
        <v>346</v>
      </c>
      <c r="G167" s="21" t="n">
        <v>0</v>
      </c>
      <c r="H167" s="21" t="n">
        <v>1000</v>
      </c>
      <c r="I167" s="65"/>
      <c r="J167" s="21" t="s">
        <v>32</v>
      </c>
      <c r="K167" s="10"/>
      <c r="L167" s="10"/>
      <c r="M167" s="10"/>
      <c r="N167" s="10"/>
      <c r="O167" s="10"/>
      <c r="P167" s="10"/>
      <c r="Q167" s="10"/>
    </row>
    <row r="168" customFormat="false" ht="13.8" hidden="false" customHeight="false" outlineLevel="0" collapsed="false">
      <c r="A168" s="22" t="s">
        <v>347</v>
      </c>
      <c r="B168" s="42"/>
      <c r="C168" s="42"/>
      <c r="D168" s="43"/>
      <c r="E168" s="10"/>
      <c r="F168" s="10"/>
      <c r="G168" s="10"/>
      <c r="H168" s="10"/>
      <c r="I168" s="10"/>
      <c r="J168" s="10"/>
      <c r="K168" s="10"/>
      <c r="L168" s="10"/>
      <c r="M168" s="10"/>
      <c r="N168" s="10"/>
      <c r="O168" s="10"/>
      <c r="P168" s="10"/>
      <c r="Q168" s="10"/>
    </row>
    <row r="170" customFormat="false" ht="13.8" hidden="false" customHeight="false" outlineLevel="0" collapsed="false">
      <c r="A170" s="41" t="s">
        <v>348</v>
      </c>
    </row>
    <row r="171" customFormat="false" ht="13.8" hidden="false" customHeight="false" outlineLevel="0" collapsed="false">
      <c r="A171" s="16" t="s">
        <v>349</v>
      </c>
    </row>
    <row r="172" customFormat="false" ht="13.8" hidden="false" customHeight="false" outlineLevel="0" collapsed="false">
      <c r="A172" s="1" t="s">
        <v>136</v>
      </c>
    </row>
    <row r="174" customFormat="false" ht="13.8" hidden="false" customHeight="false" outlineLevel="0" collapsed="false">
      <c r="A174" s="6" t="s">
        <v>350</v>
      </c>
      <c r="B174" s="7" t="s">
        <v>10</v>
      </c>
      <c r="C174" s="8"/>
      <c r="D174" s="8"/>
      <c r="E174" s="8"/>
      <c r="F174" s="8"/>
      <c r="G174" s="8"/>
      <c r="H174" s="8"/>
      <c r="I174" s="8"/>
      <c r="J174" s="9" t="s">
        <v>351</v>
      </c>
      <c r="K174" s="9"/>
      <c r="L174" s="9"/>
      <c r="M174" s="9"/>
      <c r="N174" s="9"/>
      <c r="O174" s="9"/>
      <c r="P174" s="9"/>
      <c r="Q174" s="9"/>
    </row>
    <row r="175" customFormat="false" ht="13.8" hidden="false" customHeight="false" outlineLevel="0" collapsed="false">
      <c r="A175" s="31" t="s">
        <v>352</v>
      </c>
      <c r="B175" s="69"/>
      <c r="C175" s="42"/>
      <c r="D175" s="43"/>
      <c r="E175" s="10"/>
      <c r="F175" s="10"/>
      <c r="G175" s="10"/>
      <c r="H175" s="10"/>
      <c r="I175" s="10"/>
      <c r="J175" s="31" t="s">
        <v>66</v>
      </c>
      <c r="K175" s="9"/>
      <c r="L175" s="9"/>
      <c r="M175" s="9"/>
      <c r="N175" s="9"/>
      <c r="O175" s="9"/>
      <c r="P175" s="9"/>
      <c r="Q175" s="9"/>
    </row>
    <row r="176" customFormat="false" ht="14.3" hidden="false" customHeight="false" outlineLevel="0" collapsed="false">
      <c r="A176" s="48" t="s">
        <v>353</v>
      </c>
      <c r="B176" s="48"/>
      <c r="C176" s="70"/>
      <c r="D176" s="70"/>
      <c r="E176" s="48" t="s">
        <v>354</v>
      </c>
      <c r="F176" s="48" t="s">
        <v>355</v>
      </c>
      <c r="G176" s="70" t="n">
        <v>0</v>
      </c>
      <c r="H176" s="70" t="n">
        <v>1000</v>
      </c>
      <c r="I176" s="56" t="s">
        <v>15</v>
      </c>
      <c r="J176" s="1" t="s">
        <v>356</v>
      </c>
    </row>
    <row r="177" customFormat="false" ht="14.3" hidden="false" customHeight="false" outlineLevel="0" collapsed="false">
      <c r="A177" s="48" t="s">
        <v>357</v>
      </c>
      <c r="B177" s="48"/>
      <c r="C177" s="70"/>
      <c r="D177" s="70"/>
      <c r="E177" s="48" t="s">
        <v>358</v>
      </c>
      <c r="F177" s="48" t="s">
        <v>359</v>
      </c>
      <c r="G177" s="70" t="n">
        <v>-1000</v>
      </c>
      <c r="H177" s="70" t="n">
        <v>1000</v>
      </c>
      <c r="I177" s="56" t="s">
        <v>15</v>
      </c>
      <c r="J177" s="1" t="s">
        <v>360</v>
      </c>
    </row>
    <row r="178" customFormat="false" ht="13.8" hidden="false" customHeight="false" outlineLevel="0" collapsed="false">
      <c r="A178" s="55" t="s">
        <v>361</v>
      </c>
      <c r="B178" s="48"/>
      <c r="C178" s="70"/>
      <c r="D178" s="70"/>
      <c r="E178" s="48" t="s">
        <v>362</v>
      </c>
      <c r="F178" s="48" t="s">
        <v>363</v>
      </c>
      <c r="G178" s="70" t="n">
        <v>0</v>
      </c>
      <c r="H178" s="70" t="n">
        <v>1000</v>
      </c>
      <c r="I178" s="56" t="s">
        <v>15</v>
      </c>
      <c r="J178" s="0"/>
    </row>
    <row r="179" customFormat="false" ht="13.8" hidden="false" customHeight="false" outlineLevel="0" collapsed="false">
      <c r="A179" s="48" t="s">
        <v>364</v>
      </c>
      <c r="B179" s="48"/>
      <c r="C179" s="70"/>
      <c r="D179" s="70"/>
      <c r="E179" s="48" t="s">
        <v>365</v>
      </c>
      <c r="F179" s="48" t="s">
        <v>366</v>
      </c>
      <c r="G179" s="70" t="n">
        <v>0</v>
      </c>
      <c r="H179" s="70" t="n">
        <v>1000</v>
      </c>
      <c r="I179" s="56" t="s">
        <v>15</v>
      </c>
      <c r="J179" s="0"/>
    </row>
    <row r="180" customFormat="false" ht="13.8" hidden="false" customHeight="false" outlineLevel="0" collapsed="false">
      <c r="A180" s="48" t="s">
        <v>367</v>
      </c>
      <c r="B180" s="48"/>
      <c r="C180" s="70"/>
      <c r="D180" s="70"/>
      <c r="E180" s="48" t="s">
        <v>368</v>
      </c>
      <c r="F180" s="48" t="s">
        <v>369</v>
      </c>
      <c r="G180" s="70" t="n">
        <v>0</v>
      </c>
      <c r="H180" s="70" t="n">
        <v>1000</v>
      </c>
      <c r="I180" s="56" t="s">
        <v>15</v>
      </c>
      <c r="J180" s="0"/>
    </row>
    <row r="181" customFormat="false" ht="13.8" hidden="false" customHeight="false" outlineLevel="0" collapsed="false">
      <c r="A181" s="71" t="s">
        <v>370</v>
      </c>
      <c r="B181" s="48"/>
      <c r="C181" s="70"/>
      <c r="D181" s="70"/>
      <c r="E181" s="48" t="s">
        <v>371</v>
      </c>
      <c r="F181" s="48" t="s">
        <v>372</v>
      </c>
      <c r="G181" s="70" t="n">
        <v>-1000</v>
      </c>
      <c r="H181" s="70" t="n">
        <v>1000</v>
      </c>
      <c r="I181" s="56" t="s">
        <v>15</v>
      </c>
      <c r="J181" s="0"/>
    </row>
    <row r="182" customFormat="false" ht="13.8" hidden="false" customHeight="false" outlineLevel="0" collapsed="false">
      <c r="A182" s="1" t="s">
        <v>373</v>
      </c>
      <c r="B182" s="2" t="n">
        <f aca="false">0+0</f>
        <v>0</v>
      </c>
      <c r="C182" s="2" t="n">
        <f aca="false">0-1+1</f>
        <v>0</v>
      </c>
      <c r="D182" s="3" t="s">
        <v>68</v>
      </c>
      <c r="E182" s="1" t="s">
        <v>374</v>
      </c>
      <c r="F182" s="1" t="s">
        <v>375</v>
      </c>
      <c r="G182" s="1" t="n">
        <v>0</v>
      </c>
      <c r="H182" s="1" t="n">
        <v>1000</v>
      </c>
      <c r="I182" s="36"/>
      <c r="J182" s="1" t="s">
        <v>376</v>
      </c>
    </row>
    <row r="183" customFormat="false" ht="13.8" hidden="false" customHeight="false" outlineLevel="0" collapsed="false">
      <c r="A183" s="1" t="s">
        <v>377</v>
      </c>
      <c r="B183" s="2" t="n">
        <f aca="false">-1+1</f>
        <v>0</v>
      </c>
      <c r="C183" s="2" t="n">
        <f aca="false">0+0</f>
        <v>0</v>
      </c>
      <c r="D183" s="3" t="s">
        <v>68</v>
      </c>
      <c r="E183" s="1" t="s">
        <v>378</v>
      </c>
      <c r="F183" s="1" t="s">
        <v>379</v>
      </c>
      <c r="G183" s="1" t="n">
        <v>0</v>
      </c>
      <c r="H183" s="1" t="n">
        <v>1000</v>
      </c>
      <c r="I183" s="36"/>
      <c r="J183" s="1" t="s">
        <v>380</v>
      </c>
    </row>
    <row r="184" customFormat="false" ht="13.8" hidden="false" customHeight="false" outlineLevel="0" collapsed="false">
      <c r="A184" s="21" t="s">
        <v>381</v>
      </c>
      <c r="B184" s="37"/>
      <c r="C184" s="37"/>
      <c r="D184" s="38"/>
      <c r="E184" s="21" t="s">
        <v>382</v>
      </c>
      <c r="F184" s="21" t="s">
        <v>383</v>
      </c>
      <c r="G184" s="22" t="n">
        <v>-1000</v>
      </c>
      <c r="H184" s="22" t="n">
        <v>1000</v>
      </c>
      <c r="I184" s="65"/>
      <c r="J184" s="10" t="s">
        <v>32</v>
      </c>
    </row>
    <row r="185" customFormat="false" ht="13.8" hidden="false" customHeight="false" outlineLevel="0" collapsed="false">
      <c r="A185" s="21" t="s">
        <v>384</v>
      </c>
      <c r="B185" s="37"/>
      <c r="C185" s="72"/>
      <c r="D185" s="38"/>
      <c r="E185" s="21" t="s">
        <v>385</v>
      </c>
      <c r="F185" s="21" t="s">
        <v>386</v>
      </c>
      <c r="G185" s="22" t="n">
        <v>-1000</v>
      </c>
      <c r="H185" s="22" t="n">
        <v>1000</v>
      </c>
      <c r="I185" s="65"/>
      <c r="J185" s="10" t="s">
        <v>32</v>
      </c>
    </row>
    <row r="186" customFormat="false" ht="13.8" hidden="false" customHeight="false" outlineLevel="0" collapsed="false">
      <c r="A186" s="21" t="s">
        <v>387</v>
      </c>
      <c r="B186" s="37"/>
      <c r="C186" s="37"/>
      <c r="D186" s="38"/>
      <c r="E186" s="21" t="s">
        <v>388</v>
      </c>
      <c r="F186" s="21" t="s">
        <v>389</v>
      </c>
      <c r="G186" s="21" t="n">
        <v>0</v>
      </c>
      <c r="H186" s="21" t="n">
        <v>1000</v>
      </c>
      <c r="I186" s="65"/>
      <c r="J186" s="10" t="s">
        <v>32</v>
      </c>
    </row>
    <row r="187" customFormat="false" ht="13.8" hidden="false" customHeight="false" outlineLevel="0" collapsed="false">
      <c r="A187" s="21" t="s">
        <v>390</v>
      </c>
      <c r="B187" s="17"/>
      <c r="C187" s="17"/>
      <c r="D187" s="18"/>
      <c r="E187" s="19"/>
      <c r="F187" s="19"/>
      <c r="G187" s="19"/>
      <c r="H187" s="19"/>
      <c r="I187" s="19"/>
      <c r="J187" s="19"/>
    </row>
    <row r="188" customFormat="false" ht="13.8" hidden="false" customHeight="false" outlineLevel="0" collapsed="false">
      <c r="A188" s="21"/>
      <c r="B188" s="17"/>
      <c r="C188" s="17"/>
      <c r="D188" s="18"/>
      <c r="E188" s="19"/>
      <c r="F188" s="19"/>
      <c r="G188" s="19"/>
      <c r="H188" s="19"/>
      <c r="I188" s="19"/>
      <c r="J188" s="19"/>
    </row>
    <row r="189" customFormat="false" ht="13.8" hidden="false" customHeight="false" outlineLevel="0" collapsed="false">
      <c r="A189" s="56" t="s">
        <v>391</v>
      </c>
      <c r="B189" s="17"/>
      <c r="C189" s="17"/>
      <c r="D189" s="18"/>
      <c r="E189" s="19"/>
      <c r="F189" s="19"/>
      <c r="G189" s="19"/>
      <c r="H189" s="19"/>
      <c r="I189" s="19"/>
      <c r="J189" s="19"/>
    </row>
    <row r="190" customFormat="false" ht="13.8" hidden="false" customHeight="false" outlineLevel="0" collapsed="false">
      <c r="A190" s="56" t="s">
        <v>392</v>
      </c>
      <c r="B190" s="17"/>
      <c r="C190" s="17"/>
      <c r="D190" s="18"/>
      <c r="E190" s="19"/>
      <c r="F190" s="19"/>
      <c r="G190" s="19"/>
      <c r="H190" s="19"/>
      <c r="I190" s="19"/>
      <c r="J190" s="19"/>
    </row>
    <row r="191" customFormat="false" ht="13.8" hidden="false" customHeight="false" outlineLevel="0" collapsed="false">
      <c r="A191" s="10" t="s">
        <v>393</v>
      </c>
      <c r="B191" s="42"/>
      <c r="C191" s="42"/>
      <c r="D191" s="43"/>
      <c r="E191" s="10"/>
      <c r="F191" s="10"/>
      <c r="G191" s="10"/>
      <c r="H191" s="10"/>
      <c r="I191" s="10"/>
      <c r="J191" s="10"/>
    </row>
    <row r="193" customFormat="false" ht="13.8" hidden="false" customHeight="false" outlineLevel="0" collapsed="false">
      <c r="A193" s="6" t="s">
        <v>394</v>
      </c>
      <c r="B193" s="7" t="s">
        <v>10</v>
      </c>
      <c r="C193" s="28"/>
      <c r="D193" s="44"/>
      <c r="E193" s="9"/>
      <c r="F193" s="9"/>
      <c r="G193" s="9"/>
      <c r="H193" s="9"/>
      <c r="I193" s="9"/>
      <c r="J193" s="9"/>
      <c r="K193" s="9"/>
      <c r="L193" s="9"/>
      <c r="M193" s="9"/>
      <c r="N193" s="9"/>
      <c r="O193" s="9"/>
      <c r="P193" s="9"/>
      <c r="Q193" s="9"/>
    </row>
    <row r="194" s="35" customFormat="true" ht="13.8" hidden="false" customHeight="false" outlineLevel="0" collapsed="false">
      <c r="A194" s="31" t="s">
        <v>395</v>
      </c>
      <c r="B194" s="32"/>
      <c r="C194" s="32"/>
      <c r="D194" s="50"/>
      <c r="E194" s="31"/>
      <c r="F194" s="31"/>
      <c r="G194" s="31"/>
      <c r="H194" s="31"/>
      <c r="I194" s="31"/>
      <c r="J194" s="31" t="s">
        <v>66</v>
      </c>
      <c r="K194" s="31"/>
      <c r="L194" s="31"/>
      <c r="M194" s="31"/>
      <c r="N194" s="31"/>
      <c r="O194" s="31"/>
      <c r="P194" s="31"/>
      <c r="Q194" s="31"/>
    </row>
    <row r="195" customFormat="false" ht="13.8" hidden="false" customHeight="false" outlineLevel="0" collapsed="false">
      <c r="A195" s="1" t="s">
        <v>396</v>
      </c>
      <c r="E195" s="1" t="s">
        <v>397</v>
      </c>
      <c r="F195" s="1" t="s">
        <v>398</v>
      </c>
      <c r="G195" s="1" t="n">
        <v>0</v>
      </c>
      <c r="H195" s="1" t="n">
        <v>1000</v>
      </c>
      <c r="J195" s="1" t="s">
        <v>399</v>
      </c>
    </row>
    <row r="196" customFormat="false" ht="13.8" hidden="false" customHeight="false" outlineLevel="0" collapsed="false">
      <c r="A196" s="1" t="s">
        <v>400</v>
      </c>
      <c r="E196" s="1" t="s">
        <v>401</v>
      </c>
      <c r="F196" s="1" t="s">
        <v>402</v>
      </c>
      <c r="G196" s="1" t="n">
        <v>0</v>
      </c>
      <c r="H196" s="1" t="n">
        <v>1000</v>
      </c>
      <c r="J196" s="1" t="s">
        <v>403</v>
      </c>
    </row>
    <row r="197" s="40" customFormat="true" ht="13.8" hidden="false" customHeight="false" outlineLevel="0" collapsed="false">
      <c r="A197" s="21" t="s">
        <v>404</v>
      </c>
      <c r="B197" s="37"/>
      <c r="C197" s="37"/>
      <c r="D197" s="38"/>
      <c r="E197" s="21" t="s">
        <v>405</v>
      </c>
      <c r="F197" s="21" t="s">
        <v>406</v>
      </c>
      <c r="G197" s="21" t="n">
        <v>-1000</v>
      </c>
      <c r="H197" s="21" t="n">
        <v>1000</v>
      </c>
      <c r="I197" s="65"/>
      <c r="J197" s="21" t="s">
        <v>407</v>
      </c>
    </row>
    <row r="198" s="40" customFormat="true" ht="13.8" hidden="false" customHeight="false" outlineLevel="0" collapsed="false">
      <c r="A198" s="21" t="s">
        <v>408</v>
      </c>
      <c r="B198" s="37"/>
      <c r="C198" s="37"/>
      <c r="D198" s="38"/>
      <c r="E198" s="21" t="s">
        <v>409</v>
      </c>
      <c r="F198" s="21" t="s">
        <v>410</v>
      </c>
      <c r="G198" s="21" t="n">
        <v>-1000</v>
      </c>
      <c r="H198" s="21" t="n">
        <v>1000</v>
      </c>
      <c r="I198" s="0"/>
      <c r="J198" s="21" t="s">
        <v>411</v>
      </c>
    </row>
    <row r="199" s="40" customFormat="true" ht="13.8" hidden="false" customHeight="false" outlineLevel="0" collapsed="false">
      <c r="A199" s="21" t="s">
        <v>412</v>
      </c>
      <c r="B199" s="37"/>
      <c r="C199" s="37"/>
      <c r="D199" s="38"/>
      <c r="E199" s="21" t="s">
        <v>413</v>
      </c>
      <c r="F199" s="21" t="s">
        <v>414</v>
      </c>
      <c r="G199" s="21" t="n">
        <v>0</v>
      </c>
      <c r="H199" s="21" t="n">
        <v>1000</v>
      </c>
      <c r="I199" s="0"/>
      <c r="J199" s="21" t="s">
        <v>411</v>
      </c>
    </row>
    <row r="200" customFormat="false" ht="13.8" hidden="false" customHeight="false" outlineLevel="0" collapsed="false">
      <c r="A200" s="21" t="s">
        <v>415</v>
      </c>
      <c r="B200" s="37"/>
      <c r="C200" s="37"/>
      <c r="D200" s="38"/>
      <c r="E200" s="21"/>
      <c r="F200" s="21"/>
      <c r="G200" s="21"/>
      <c r="H200" s="21"/>
      <c r="I200" s="21"/>
      <c r="J200" s="21"/>
    </row>
    <row r="202" customFormat="false" ht="13.8" hidden="false" customHeight="false" outlineLevel="0" collapsed="false">
      <c r="A202" s="1" t="s">
        <v>416</v>
      </c>
    </row>
    <row r="203" customFormat="false" ht="13.8" hidden="false" customHeight="false" outlineLevel="0" collapsed="false">
      <c r="A203" s="1" t="s">
        <v>136</v>
      </c>
    </row>
    <row r="204" customFormat="false" ht="13.8" hidden="false" customHeight="false" outlineLevel="0" collapsed="false">
      <c r="A204" s="1" t="s">
        <v>417</v>
      </c>
    </row>
    <row r="205" customFormat="false" ht="13.8" hidden="false" customHeight="false" outlineLevel="0" collapsed="false">
      <c r="A205" s="41"/>
    </row>
    <row r="206" customFormat="false" ht="13.8" hidden="false" customHeight="false" outlineLevel="0" collapsed="false">
      <c r="A206" s="6" t="s">
        <v>418</v>
      </c>
      <c r="B206" s="7" t="s">
        <v>10</v>
      </c>
      <c r="C206" s="28"/>
      <c r="D206" s="44"/>
      <c r="E206" s="9"/>
      <c r="F206" s="9"/>
      <c r="G206" s="9"/>
      <c r="H206" s="9"/>
      <c r="I206" s="9"/>
      <c r="J206" s="9"/>
      <c r="K206" s="9"/>
      <c r="L206" s="9"/>
      <c r="M206" s="9"/>
      <c r="N206" s="9"/>
      <c r="O206" s="9"/>
      <c r="P206" s="9"/>
      <c r="Q206" s="9"/>
    </row>
    <row r="207" s="48" customFormat="true" ht="13.8" hidden="false" customHeight="false" outlineLevel="0" collapsed="false">
      <c r="A207" s="45" t="s">
        <v>419</v>
      </c>
      <c r="B207" s="46"/>
      <c r="C207" s="46"/>
      <c r="D207" s="47"/>
      <c r="E207" s="45" t="s">
        <v>13</v>
      </c>
      <c r="F207" s="45" t="s">
        <v>420</v>
      </c>
      <c r="G207" s="45" t="n">
        <v>-1000</v>
      </c>
      <c r="H207" s="45" t="n">
        <v>1000</v>
      </c>
      <c r="I207" s="45" t="s">
        <v>15</v>
      </c>
      <c r="J207" s="45"/>
      <c r="K207" s="45"/>
      <c r="L207" s="45"/>
      <c r="M207" s="45"/>
      <c r="N207" s="45"/>
      <c r="O207" s="45"/>
      <c r="P207" s="45"/>
      <c r="Q207" s="45"/>
    </row>
    <row r="208" customFormat="false" ht="13.8" hidden="false" customHeight="false" outlineLevel="0" collapsed="false">
      <c r="A208" s="49" t="s">
        <v>421</v>
      </c>
      <c r="B208" s="46"/>
      <c r="C208" s="46"/>
      <c r="D208" s="47"/>
      <c r="E208" s="45" t="s">
        <v>422</v>
      </c>
      <c r="F208" s="45" t="s">
        <v>423</v>
      </c>
      <c r="G208" s="49" t="n">
        <v>-1000</v>
      </c>
      <c r="H208" s="45" t="n">
        <v>1000</v>
      </c>
      <c r="I208" s="45" t="s">
        <v>15</v>
      </c>
      <c r="J208" s="45" t="s">
        <v>424</v>
      </c>
      <c r="K208" s="10"/>
      <c r="L208" s="10"/>
      <c r="M208" s="10"/>
      <c r="N208" s="10"/>
      <c r="O208" s="10"/>
      <c r="P208" s="10"/>
      <c r="Q208" s="10"/>
    </row>
    <row r="209" customFormat="false" ht="13.8" hidden="false" customHeight="false" outlineLevel="0" collapsed="false">
      <c r="A209" s="1" t="s">
        <v>425</v>
      </c>
      <c r="B209" s="2" t="n">
        <f aca="false">-1+1</f>
        <v>0</v>
      </c>
      <c r="C209" s="2" t="n">
        <f aca="false">0</f>
        <v>0</v>
      </c>
      <c r="D209" s="3" t="s">
        <v>68</v>
      </c>
      <c r="E209" s="1" t="s">
        <v>426</v>
      </c>
      <c r="F209" s="1" t="s">
        <v>427</v>
      </c>
      <c r="G209" s="1" t="n">
        <v>0</v>
      </c>
      <c r="H209" s="1" t="n">
        <v>1000</v>
      </c>
      <c r="I209" s="36"/>
      <c r="J209" s="1" t="s">
        <v>428</v>
      </c>
    </row>
    <row r="210" customFormat="false" ht="13.8" hidden="false" customHeight="false" outlineLevel="0" collapsed="false">
      <c r="A210" s="21" t="s">
        <v>429</v>
      </c>
      <c r="B210" s="37"/>
      <c r="C210" s="37"/>
      <c r="D210" s="38"/>
      <c r="E210" s="21" t="s">
        <v>430</v>
      </c>
      <c r="F210" s="73" t="s">
        <v>431</v>
      </c>
      <c r="G210" s="21" t="n">
        <v>-1000</v>
      </c>
      <c r="H210" s="21" t="n">
        <v>1000</v>
      </c>
      <c r="I210" s="65"/>
      <c r="J210" s="21" t="s">
        <v>432</v>
      </c>
    </row>
    <row r="211" customFormat="false" ht="13.8" hidden="false" customHeight="false" outlineLevel="0" collapsed="false">
      <c r="A211" s="21" t="s">
        <v>433</v>
      </c>
      <c r="B211" s="37"/>
      <c r="C211" s="37"/>
      <c r="D211" s="38"/>
      <c r="E211" s="21" t="s">
        <v>434</v>
      </c>
      <c r="F211" s="21" t="s">
        <v>435</v>
      </c>
      <c r="G211" s="21" t="n">
        <v>-1000</v>
      </c>
      <c r="H211" s="21" t="n">
        <v>1000</v>
      </c>
      <c r="I211" s="65"/>
      <c r="J211" s="21" t="s">
        <v>32</v>
      </c>
    </row>
    <row r="212" customFormat="false" ht="13.8" hidden="false" customHeight="false" outlineLevel="0" collapsed="false">
      <c r="A212" s="21" t="s">
        <v>436</v>
      </c>
      <c r="B212" s="37"/>
      <c r="C212" s="37"/>
      <c r="D212" s="38"/>
      <c r="E212" s="21" t="s">
        <v>437</v>
      </c>
      <c r="F212" s="21" t="s">
        <v>438</v>
      </c>
      <c r="G212" s="21" t="n">
        <v>0</v>
      </c>
      <c r="H212" s="21" t="n">
        <v>1000</v>
      </c>
      <c r="I212" s="0"/>
      <c r="J212" s="21" t="s">
        <v>439</v>
      </c>
    </row>
    <row r="213" customFormat="false" ht="13.8" hidden="false" customHeight="false" outlineLevel="0" collapsed="false">
      <c r="A213" s="21" t="s">
        <v>440</v>
      </c>
      <c r="I213" s="36"/>
    </row>
    <row r="215" customFormat="false" ht="13.8" hidden="false" customHeight="false" outlineLevel="0" collapsed="false">
      <c r="A215" s="1" t="s">
        <v>441</v>
      </c>
    </row>
    <row r="216" customFormat="false" ht="13.8" hidden="false" customHeight="false" outlineLevel="0" collapsed="false">
      <c r="A216" s="16" t="s">
        <v>442</v>
      </c>
    </row>
    <row r="218" customFormat="false" ht="13.8" hidden="false" customHeight="false" outlineLevel="0" collapsed="false">
      <c r="A218" s="6" t="s">
        <v>443</v>
      </c>
      <c r="B218" s="7" t="s">
        <v>10</v>
      </c>
      <c r="C218" s="28"/>
      <c r="D218" s="44"/>
      <c r="E218" s="9"/>
      <c r="F218" s="9"/>
      <c r="G218" s="9"/>
      <c r="H218" s="9"/>
      <c r="I218" s="9"/>
      <c r="J218" s="9"/>
      <c r="K218" s="9"/>
      <c r="L218" s="9"/>
      <c r="M218" s="9"/>
      <c r="N218" s="9"/>
      <c r="O218" s="9"/>
      <c r="P218" s="9"/>
      <c r="Q218" s="9"/>
    </row>
    <row r="219" s="35" customFormat="true" ht="13.8" hidden="false" customHeight="false" outlineLevel="0" collapsed="false">
      <c r="A219" s="31" t="s">
        <v>444</v>
      </c>
      <c r="B219" s="32"/>
      <c r="C219" s="32"/>
      <c r="D219" s="50"/>
      <c r="E219" s="31"/>
      <c r="F219" s="31"/>
      <c r="G219" s="31"/>
      <c r="H219" s="31"/>
      <c r="I219" s="31"/>
      <c r="J219" s="31" t="s">
        <v>66</v>
      </c>
      <c r="K219" s="31"/>
      <c r="L219" s="31"/>
      <c r="M219" s="31"/>
      <c r="N219" s="31"/>
      <c r="O219" s="31"/>
      <c r="P219" s="31"/>
      <c r="Q219" s="31"/>
    </row>
    <row r="220" customFormat="false" ht="13.8" hidden="false" customHeight="false" outlineLevel="0" collapsed="false">
      <c r="A220" s="1" t="s">
        <v>111</v>
      </c>
      <c r="E220" s="1" t="s">
        <v>112</v>
      </c>
      <c r="F220" s="1" t="s">
        <v>113</v>
      </c>
      <c r="G220" s="1" t="n">
        <v>0</v>
      </c>
      <c r="H220" s="1" t="n">
        <v>1000</v>
      </c>
      <c r="J220" s="1" t="s">
        <v>445</v>
      </c>
    </row>
    <row r="221" customFormat="false" ht="13.8" hidden="false" customHeight="false" outlineLevel="0" collapsed="false">
      <c r="A221" s="1" t="s">
        <v>446</v>
      </c>
      <c r="E221" s="1" t="s">
        <v>447</v>
      </c>
      <c r="F221" s="1" t="s">
        <v>448</v>
      </c>
      <c r="G221" s="1" t="n">
        <v>0</v>
      </c>
      <c r="H221" s="1" t="n">
        <v>1000</v>
      </c>
      <c r="J221" s="1" t="s">
        <v>449</v>
      </c>
    </row>
    <row r="222" customFormat="false" ht="13.8" hidden="false" customHeight="false" outlineLevel="0" collapsed="false">
      <c r="A222" s="1" t="s">
        <v>450</v>
      </c>
      <c r="E222" s="1" t="s">
        <v>451</v>
      </c>
      <c r="F222" s="1" t="s">
        <v>452</v>
      </c>
      <c r="G222" s="1" t="n">
        <v>-1000</v>
      </c>
      <c r="H222" s="1" t="n">
        <v>1000</v>
      </c>
      <c r="I222" s="36"/>
      <c r="J222" s="1" t="s">
        <v>453</v>
      </c>
    </row>
    <row r="223" s="74" customFormat="true" ht="17.7" hidden="false" customHeight="true" outlineLevel="0" collapsed="false">
      <c r="A223" s="74" t="s">
        <v>454</v>
      </c>
      <c r="B223" s="2"/>
      <c r="C223" s="2"/>
      <c r="D223" s="2"/>
      <c r="E223" s="74" t="s">
        <v>455</v>
      </c>
      <c r="F223" s="74" t="s">
        <v>456</v>
      </c>
      <c r="G223" s="74" t="n">
        <v>0</v>
      </c>
      <c r="H223" s="74" t="n">
        <v>1000</v>
      </c>
      <c r="I223" s="75"/>
      <c r="J223" s="3" t="s">
        <v>457</v>
      </c>
    </row>
    <row r="224" customFormat="false" ht="13.8" hidden="false" customHeight="false" outlineLevel="0" collapsed="false">
      <c r="A224" s="1" t="s">
        <v>458</v>
      </c>
      <c r="E224" s="1" t="s">
        <v>459</v>
      </c>
      <c r="F224" s="1" t="s">
        <v>460</v>
      </c>
      <c r="G224" s="1" t="n">
        <v>0</v>
      </c>
      <c r="H224" s="1" t="n">
        <v>1000</v>
      </c>
      <c r="I224" s="36"/>
      <c r="J224" s="1" t="s">
        <v>461</v>
      </c>
    </row>
    <row r="225" customFormat="false" ht="13.8" hidden="false" customHeight="false" outlineLevel="0" collapsed="false">
      <c r="A225" s="21" t="s">
        <v>462</v>
      </c>
      <c r="E225" s="21" t="s">
        <v>463</v>
      </c>
      <c r="F225" s="73" t="s">
        <v>464</v>
      </c>
      <c r="G225" s="21" t="n">
        <v>-1000</v>
      </c>
      <c r="H225" s="21" t="n">
        <v>1000</v>
      </c>
      <c r="I225" s="65"/>
      <c r="J225" s="21" t="s">
        <v>32</v>
      </c>
    </row>
    <row r="226" customFormat="false" ht="13.8" hidden="false" customHeight="false" outlineLevel="0" collapsed="false">
      <c r="A226" s="21" t="s">
        <v>465</v>
      </c>
      <c r="E226" s="21" t="s">
        <v>466</v>
      </c>
      <c r="F226" s="21" t="s">
        <v>467</v>
      </c>
      <c r="G226" s="21" t="n">
        <v>-1000</v>
      </c>
      <c r="H226" s="21" t="n">
        <v>1000</v>
      </c>
      <c r="I226" s="65"/>
      <c r="J226" s="21" t="s">
        <v>32</v>
      </c>
    </row>
    <row r="227" customFormat="false" ht="13.8" hidden="false" customHeight="false" outlineLevel="0" collapsed="false">
      <c r="A227" s="21" t="s">
        <v>468</v>
      </c>
      <c r="E227" s="21" t="s">
        <v>469</v>
      </c>
      <c r="F227" s="21" t="s">
        <v>470</v>
      </c>
      <c r="G227" s="21" t="n">
        <v>0</v>
      </c>
      <c r="H227" s="21" t="n">
        <v>1000</v>
      </c>
      <c r="I227" s="65"/>
      <c r="J227" s="21" t="s">
        <v>32</v>
      </c>
    </row>
    <row r="228" customFormat="false" ht="13.8" hidden="false" customHeight="false" outlineLevel="0" collapsed="false">
      <c r="A228" s="21" t="s">
        <v>471</v>
      </c>
    </row>
    <row r="230" customFormat="false" ht="13.8" hidden="false" customHeight="false" outlineLevel="0" collapsed="false">
      <c r="A230" s="1" t="s">
        <v>472</v>
      </c>
    </row>
    <row r="231" customFormat="false" ht="13.8" hidden="false" customHeight="false" outlineLevel="0" collapsed="false">
      <c r="A231" s="1" t="s">
        <v>473</v>
      </c>
    </row>
    <row r="232" customFormat="false" ht="13.8" hidden="false" customHeight="false" outlineLevel="0" collapsed="false">
      <c r="A232" s="41" t="s">
        <v>474</v>
      </c>
    </row>
    <row r="234" customFormat="false" ht="13.8" hidden="false" customHeight="false" outlineLevel="0" collapsed="false">
      <c r="A234" s="6" t="s">
        <v>475</v>
      </c>
      <c r="B234" s="7" t="s">
        <v>10</v>
      </c>
      <c r="C234" s="28"/>
      <c r="D234" s="44"/>
      <c r="E234" s="9"/>
      <c r="F234" s="9"/>
      <c r="G234" s="9"/>
      <c r="H234" s="9"/>
      <c r="I234" s="9"/>
      <c r="J234" s="9" t="s">
        <v>476</v>
      </c>
      <c r="K234" s="9"/>
      <c r="L234" s="9"/>
      <c r="M234" s="9"/>
      <c r="N234" s="9"/>
      <c r="O234" s="9"/>
      <c r="P234" s="9"/>
      <c r="Q234" s="9"/>
    </row>
    <row r="235" s="48" customFormat="true" ht="13.8" hidden="false" customHeight="false" outlineLevel="0" collapsed="false">
      <c r="A235" s="45" t="s">
        <v>477</v>
      </c>
      <c r="B235" s="46"/>
      <c r="C235" s="46"/>
      <c r="D235" s="47"/>
      <c r="E235" s="45" t="s">
        <v>478</v>
      </c>
      <c r="F235" s="45" t="s">
        <v>479</v>
      </c>
      <c r="G235" s="45" t="n">
        <v>-1000</v>
      </c>
      <c r="H235" s="45" t="n">
        <v>1000</v>
      </c>
      <c r="I235" s="45" t="s">
        <v>15</v>
      </c>
      <c r="J235" s="45" t="s">
        <v>480</v>
      </c>
      <c r="K235" s="45"/>
      <c r="L235" s="45"/>
      <c r="M235" s="45"/>
      <c r="N235" s="45"/>
      <c r="O235" s="45"/>
      <c r="P235" s="45"/>
      <c r="Q235" s="45"/>
    </row>
    <row r="236" customFormat="false" ht="13.8" hidden="false" customHeight="false" outlineLevel="0" collapsed="false">
      <c r="A236" s="1" t="s">
        <v>481</v>
      </c>
      <c r="E236" s="1" t="s">
        <v>482</v>
      </c>
      <c r="F236" s="1" t="s">
        <v>483</v>
      </c>
      <c r="G236" s="1" t="n">
        <v>0</v>
      </c>
      <c r="H236" s="1" t="n">
        <v>1000</v>
      </c>
      <c r="I236" s="36"/>
      <c r="J236" s="1" t="s">
        <v>484</v>
      </c>
    </row>
    <row r="237" s="48" customFormat="true" ht="13.8" hidden="false" customHeight="false" outlineLevel="0" collapsed="false">
      <c r="A237" s="48" t="s">
        <v>485</v>
      </c>
      <c r="B237" s="76"/>
      <c r="C237" s="76"/>
      <c r="D237" s="77"/>
      <c r="E237" s="48" t="s">
        <v>486</v>
      </c>
      <c r="F237" s="48" t="s">
        <v>487</v>
      </c>
      <c r="G237" s="48" t="n">
        <v>0</v>
      </c>
      <c r="H237" s="48" t="n">
        <v>1000</v>
      </c>
      <c r="I237" s="48" t="s">
        <v>15</v>
      </c>
      <c r="J237" s="48" t="s">
        <v>488</v>
      </c>
    </row>
    <row r="238" customFormat="false" ht="13.8" hidden="false" customHeight="false" outlineLevel="0" collapsed="false">
      <c r="A238" s="1" t="s">
        <v>489</v>
      </c>
      <c r="E238" s="1" t="s">
        <v>490</v>
      </c>
      <c r="F238" s="1" t="s">
        <v>491</v>
      </c>
      <c r="G238" s="1" t="n">
        <v>0</v>
      </c>
      <c r="H238" s="1" t="n">
        <v>1000</v>
      </c>
      <c r="J238" s="1" t="s">
        <v>492</v>
      </c>
    </row>
    <row r="239" customFormat="false" ht="13.8" hidden="false" customHeight="false" outlineLevel="0" collapsed="false">
      <c r="A239" s="1" t="s">
        <v>458</v>
      </c>
      <c r="E239" s="1" t="s">
        <v>459</v>
      </c>
      <c r="F239" s="1" t="s">
        <v>460</v>
      </c>
      <c r="G239" s="1" t="n">
        <v>0</v>
      </c>
      <c r="H239" s="1" t="n">
        <v>1000</v>
      </c>
      <c r="I239" s="36"/>
      <c r="J239" s="1" t="s">
        <v>461</v>
      </c>
    </row>
    <row r="240" customFormat="false" ht="13.8" hidden="false" customHeight="false" outlineLevel="0" collapsed="false">
      <c r="A240" s="21" t="s">
        <v>462</v>
      </c>
      <c r="E240" s="21" t="s">
        <v>463</v>
      </c>
      <c r="F240" s="73" t="s">
        <v>464</v>
      </c>
      <c r="G240" s="21" t="n">
        <v>-1000</v>
      </c>
      <c r="H240" s="21" t="n">
        <v>1000</v>
      </c>
      <c r="I240" s="65"/>
      <c r="J240" s="21" t="s">
        <v>32</v>
      </c>
    </row>
    <row r="241" customFormat="false" ht="13.8" hidden="false" customHeight="false" outlineLevel="0" collapsed="false">
      <c r="A241" s="21" t="s">
        <v>465</v>
      </c>
      <c r="E241" s="21" t="s">
        <v>466</v>
      </c>
      <c r="F241" s="21" t="s">
        <v>467</v>
      </c>
      <c r="G241" s="21" t="n">
        <v>-1000</v>
      </c>
      <c r="H241" s="21" t="n">
        <v>1000</v>
      </c>
      <c r="I241" s="65"/>
      <c r="J241" s="21" t="s">
        <v>32</v>
      </c>
    </row>
    <row r="242" customFormat="false" ht="13.8" hidden="false" customHeight="false" outlineLevel="0" collapsed="false">
      <c r="A242" s="21" t="s">
        <v>468</v>
      </c>
      <c r="E242" s="21" t="s">
        <v>469</v>
      </c>
      <c r="F242" s="21" t="s">
        <v>470</v>
      </c>
      <c r="G242" s="21" t="n">
        <v>0</v>
      </c>
      <c r="H242" s="21" t="n">
        <v>1000</v>
      </c>
      <c r="I242" s="65"/>
      <c r="J242" s="21" t="s">
        <v>32</v>
      </c>
    </row>
    <row r="243" customFormat="false" ht="13.8" hidden="false" customHeight="false" outlineLevel="0" collapsed="false">
      <c r="A243" s="21" t="s">
        <v>471</v>
      </c>
      <c r="I243" s="36"/>
    </row>
    <row r="245" customFormat="false" ht="13.8" hidden="false" customHeight="false" outlineLevel="0" collapsed="false">
      <c r="A245" s="1" t="s">
        <v>493</v>
      </c>
    </row>
    <row r="246" customFormat="false" ht="13.8" hidden="false" customHeight="false" outlineLevel="0" collapsed="false">
      <c r="A246" s="1" t="s">
        <v>494</v>
      </c>
    </row>
    <row r="247" customFormat="false" ht="13.8" hidden="false" customHeight="false" outlineLevel="0" collapsed="false">
      <c r="A247" s="1" t="s">
        <v>473</v>
      </c>
    </row>
    <row r="248" customFormat="false" ht="13.8" hidden="false" customHeight="false" outlineLevel="0" collapsed="false">
      <c r="A248" s="1" t="s">
        <v>472</v>
      </c>
    </row>
    <row r="250" customFormat="false" ht="13.8" hidden="false" customHeight="false" outlineLevel="0" collapsed="false">
      <c r="A250" s="6" t="s">
        <v>495</v>
      </c>
      <c r="B250" s="54" t="s">
        <v>10</v>
      </c>
      <c r="C250" s="28"/>
      <c r="D250" s="44"/>
      <c r="E250" s="9"/>
      <c r="F250" s="9"/>
      <c r="G250" s="9"/>
      <c r="H250" s="9"/>
      <c r="I250" s="9"/>
      <c r="J250" s="9"/>
    </row>
    <row r="251" customFormat="false" ht="13.8" hidden="false" customHeight="false" outlineLevel="0" collapsed="false">
      <c r="A251" s="31" t="s">
        <v>282</v>
      </c>
      <c r="B251" s="69"/>
      <c r="C251" s="42"/>
      <c r="D251" s="43"/>
      <c r="E251" s="10"/>
      <c r="F251" s="10"/>
      <c r="G251" s="10"/>
      <c r="H251" s="10"/>
      <c r="I251" s="10"/>
      <c r="J251" s="31" t="s">
        <v>66</v>
      </c>
    </row>
    <row r="252" customFormat="false" ht="13.8" hidden="false" customHeight="false" outlineLevel="0" collapsed="false">
      <c r="A252" s="1" t="s">
        <v>283</v>
      </c>
      <c r="B252" s="2" t="n">
        <f aca="false">-1</f>
        <v>-1</v>
      </c>
      <c r="C252" s="2" t="n">
        <f aca="false">-1+0</f>
        <v>-1</v>
      </c>
      <c r="D252" s="3" t="s">
        <v>68</v>
      </c>
      <c r="E252" s="1" t="s">
        <v>496</v>
      </c>
      <c r="F252" s="1" t="s">
        <v>285</v>
      </c>
      <c r="G252" s="1" t="n">
        <v>0</v>
      </c>
      <c r="H252" s="1" t="n">
        <v>1000</v>
      </c>
      <c r="J252" s="1" t="s">
        <v>497</v>
      </c>
    </row>
    <row r="253" customFormat="false" ht="13.8" hidden="false" customHeight="false" outlineLevel="0" collapsed="false">
      <c r="A253" s="1" t="s">
        <v>498</v>
      </c>
      <c r="B253" s="2" t="n">
        <f aca="false">-1+1</f>
        <v>0</v>
      </c>
      <c r="C253" s="2" t="n">
        <f aca="false">0</f>
        <v>0</v>
      </c>
      <c r="D253" s="3" t="s">
        <v>68</v>
      </c>
      <c r="E253" s="1" t="s">
        <v>499</v>
      </c>
      <c r="F253" s="1" t="s">
        <v>500</v>
      </c>
      <c r="G253" s="1" t="n">
        <v>0</v>
      </c>
      <c r="H253" s="1" t="n">
        <v>1000</v>
      </c>
      <c r="J253" s="1" t="s">
        <v>32</v>
      </c>
    </row>
    <row r="254" customFormat="false" ht="13.8" hidden="false" customHeight="false" outlineLevel="0" collapsed="false">
      <c r="A254" s="1" t="s">
        <v>501</v>
      </c>
      <c r="B254" s="2" t="n">
        <v>0</v>
      </c>
      <c r="C254" s="2" t="n">
        <f aca="false">-2+2</f>
        <v>0</v>
      </c>
      <c r="D254" s="3" t="s">
        <v>68</v>
      </c>
      <c r="E254" s="1" t="s">
        <v>502</v>
      </c>
      <c r="F254" s="1" t="s">
        <v>503</v>
      </c>
      <c r="G254" s="1" t="n">
        <v>0</v>
      </c>
      <c r="H254" s="1" t="n">
        <v>1000</v>
      </c>
      <c r="J254" s="1" t="s">
        <v>504</v>
      </c>
    </row>
    <row r="255" customFormat="false" ht="13.8" hidden="false" customHeight="false" outlineLevel="0" collapsed="false">
      <c r="A255" s="1" t="s">
        <v>505</v>
      </c>
      <c r="E255" s="1" t="s">
        <v>506</v>
      </c>
      <c r="F255" s="1" t="s">
        <v>507</v>
      </c>
      <c r="G255" s="1" t="n">
        <v>0</v>
      </c>
      <c r="H255" s="1" t="n">
        <v>1000</v>
      </c>
      <c r="I255" s="36"/>
      <c r="J255" s="1" t="s">
        <v>508</v>
      </c>
    </row>
    <row r="256" customFormat="false" ht="13.8" hidden="false" customHeight="false" outlineLevel="0" collapsed="false">
      <c r="A256" s="78" t="s">
        <v>509</v>
      </c>
      <c r="C256" s="79"/>
      <c r="E256" s="21" t="s">
        <v>510</v>
      </c>
      <c r="F256" s="21" t="s">
        <v>511</v>
      </c>
      <c r="G256" s="21" t="n">
        <v>-1000</v>
      </c>
      <c r="H256" s="21" t="n">
        <v>1000</v>
      </c>
      <c r="I256" s="39"/>
      <c r="J256" s="21" t="s">
        <v>512</v>
      </c>
    </row>
    <row r="257" customFormat="false" ht="13.8" hidden="false" customHeight="false" outlineLevel="0" collapsed="false">
      <c r="A257" s="78" t="s">
        <v>513</v>
      </c>
      <c r="C257" s="79"/>
      <c r="E257" s="21" t="s">
        <v>514</v>
      </c>
      <c r="F257" s="21" t="s">
        <v>515</v>
      </c>
      <c r="G257" s="21" t="n">
        <v>-1000</v>
      </c>
      <c r="H257" s="21" t="n">
        <v>1000</v>
      </c>
      <c r="I257" s="39"/>
      <c r="J257" s="21" t="s">
        <v>512</v>
      </c>
    </row>
    <row r="258" customFormat="false" ht="13.8" hidden="false" customHeight="false" outlineLevel="0" collapsed="false">
      <c r="A258" s="21" t="s">
        <v>516</v>
      </c>
      <c r="B258" s="37"/>
      <c r="C258" s="37"/>
      <c r="D258" s="38"/>
      <c r="E258" s="21" t="s">
        <v>517</v>
      </c>
      <c r="F258" s="21" t="s">
        <v>518</v>
      </c>
      <c r="G258" s="21" t="n">
        <v>0</v>
      </c>
      <c r="H258" s="21" t="n">
        <v>1000</v>
      </c>
      <c r="I258" s="39"/>
      <c r="J258" s="21" t="s">
        <v>512</v>
      </c>
    </row>
    <row r="259" customFormat="false" ht="13.8" hidden="false" customHeight="false" outlineLevel="0" collapsed="false">
      <c r="A259" s="21" t="s">
        <v>519</v>
      </c>
    </row>
    <row r="261" customFormat="false" ht="13.8" hidden="false" customHeight="false" outlineLevel="0" collapsed="false">
      <c r="A261" s="1" t="s">
        <v>520</v>
      </c>
    </row>
    <row r="262" customFormat="false" ht="13.8" hidden="false" customHeight="false" outlineLevel="0" collapsed="false">
      <c r="A262" s="1" t="s">
        <v>521</v>
      </c>
    </row>
    <row r="263" customFormat="false" ht="13.8" hidden="false" customHeight="false" outlineLevel="0" collapsed="false">
      <c r="A263" s="1" t="s">
        <v>522</v>
      </c>
    </row>
    <row r="264" customFormat="false" ht="13.8" hidden="false" customHeight="false" outlineLevel="0" collapsed="false">
      <c r="A264" s="1" t="s">
        <v>136</v>
      </c>
    </row>
    <row r="265" customFormat="false" ht="13.8" hidden="false" customHeight="false" outlineLevel="0" collapsed="false">
      <c r="A265" s="1" t="s">
        <v>523</v>
      </c>
    </row>
    <row r="267" customFormat="false" ht="13.8" hidden="false" customHeight="false" outlineLevel="0" collapsed="false">
      <c r="A267" s="6" t="s">
        <v>524</v>
      </c>
      <c r="B267" s="7" t="s">
        <v>10</v>
      </c>
      <c r="C267" s="28"/>
      <c r="D267" s="44"/>
      <c r="E267" s="9"/>
      <c r="F267" s="9"/>
      <c r="G267" s="9"/>
      <c r="H267" s="9"/>
      <c r="I267" s="9"/>
      <c r="J267" s="9" t="s">
        <v>525</v>
      </c>
      <c r="K267" s="9"/>
      <c r="L267" s="9"/>
      <c r="M267" s="9"/>
      <c r="N267" s="9"/>
      <c r="O267" s="9"/>
      <c r="P267" s="9"/>
      <c r="Q267" s="9"/>
    </row>
    <row r="268" s="35" customFormat="true" ht="13.8" hidden="false" customHeight="false" outlineLevel="0" collapsed="false">
      <c r="A268" s="31" t="s">
        <v>526</v>
      </c>
      <c r="B268" s="32"/>
      <c r="C268" s="32"/>
      <c r="D268" s="50"/>
      <c r="E268" s="31"/>
      <c r="F268" s="31"/>
      <c r="G268" s="31"/>
      <c r="H268" s="31"/>
      <c r="I268" s="31"/>
      <c r="J268" s="31" t="s">
        <v>66</v>
      </c>
      <c r="K268" s="31"/>
      <c r="L268" s="31"/>
      <c r="M268" s="31"/>
      <c r="N268" s="31"/>
      <c r="O268" s="31"/>
      <c r="P268" s="31"/>
      <c r="Q268" s="31"/>
    </row>
    <row r="269" s="81" customFormat="true" ht="13.8" hidden="false" customHeight="false" outlineLevel="0" collapsed="false">
      <c r="A269" s="45" t="s">
        <v>527</v>
      </c>
      <c r="B269" s="46"/>
      <c r="C269" s="46"/>
      <c r="D269" s="47"/>
      <c r="E269" s="45" t="s">
        <v>528</v>
      </c>
      <c r="F269" s="45" t="s">
        <v>529</v>
      </c>
      <c r="G269" s="45" t="n">
        <v>-1000</v>
      </c>
      <c r="H269" s="45" t="n">
        <v>1000</v>
      </c>
      <c r="I269" s="48" t="s">
        <v>15</v>
      </c>
      <c r="J269" s="45" t="s">
        <v>530</v>
      </c>
      <c r="K269" s="45"/>
      <c r="L269" s="80"/>
      <c r="M269" s="80"/>
      <c r="N269" s="80"/>
      <c r="O269" s="80"/>
      <c r="P269" s="80"/>
      <c r="Q269" s="80"/>
    </row>
    <row r="270" customFormat="false" ht="13.8" hidden="false" customHeight="false" outlineLevel="0" collapsed="false">
      <c r="A270" s="1" t="s">
        <v>531</v>
      </c>
      <c r="E270" s="1" t="s">
        <v>532</v>
      </c>
      <c r="F270" s="1" t="s">
        <v>533</v>
      </c>
      <c r="G270" s="1" t="n">
        <v>0</v>
      </c>
      <c r="H270" s="1" t="n">
        <v>1000</v>
      </c>
      <c r="I270" s="36"/>
      <c r="J270" s="1" t="s">
        <v>534</v>
      </c>
    </row>
    <row r="271" customFormat="false" ht="13.8" hidden="false" customHeight="false" outlineLevel="0" collapsed="false">
      <c r="A271" s="1" t="s">
        <v>535</v>
      </c>
      <c r="E271" s="1" t="s">
        <v>536</v>
      </c>
      <c r="F271" s="1" t="s">
        <v>537</v>
      </c>
      <c r="G271" s="1" t="n">
        <v>0</v>
      </c>
      <c r="H271" s="1" t="n">
        <v>1000</v>
      </c>
      <c r="I271" s="36"/>
      <c r="J271" s="1" t="s">
        <v>534</v>
      </c>
    </row>
    <row r="272" customFormat="false" ht="13.8" hidden="false" customHeight="false" outlineLevel="0" collapsed="false">
      <c r="A272" s="1" t="s">
        <v>538</v>
      </c>
      <c r="E272" s="1" t="s">
        <v>539</v>
      </c>
      <c r="F272" s="1" t="s">
        <v>540</v>
      </c>
      <c r="G272" s="1" t="n">
        <v>0</v>
      </c>
      <c r="H272" s="1" t="n">
        <v>1000</v>
      </c>
      <c r="I272" s="36"/>
      <c r="J272" s="1" t="s">
        <v>534</v>
      </c>
    </row>
    <row r="273" customFormat="false" ht="13.8" hidden="false" customHeight="false" outlineLevel="0" collapsed="false">
      <c r="A273" s="1" t="s">
        <v>541</v>
      </c>
      <c r="E273" s="1" t="s">
        <v>542</v>
      </c>
      <c r="F273" s="1" t="s">
        <v>543</v>
      </c>
      <c r="G273" s="1" t="n">
        <v>0</v>
      </c>
      <c r="H273" s="1" t="n">
        <v>1000</v>
      </c>
      <c r="J273" s="1" t="s">
        <v>544</v>
      </c>
    </row>
    <row r="274" customFormat="false" ht="13.8" hidden="false" customHeight="false" outlineLevel="0" collapsed="false">
      <c r="A274" s="21" t="s">
        <v>545</v>
      </c>
      <c r="B274" s="37"/>
      <c r="C274" s="37"/>
      <c r="D274" s="38"/>
      <c r="E274" s="21" t="s">
        <v>546</v>
      </c>
      <c r="F274" s="21" t="s">
        <v>547</v>
      </c>
      <c r="G274" s="21" t="n">
        <v>-1000</v>
      </c>
      <c r="H274" s="21" t="n">
        <v>1000</v>
      </c>
      <c r="I274" s="21"/>
      <c r="J274" s="21" t="s">
        <v>548</v>
      </c>
    </row>
    <row r="275" customFormat="false" ht="13.8" hidden="false" customHeight="false" outlineLevel="0" collapsed="false">
      <c r="A275" s="21" t="s">
        <v>549</v>
      </c>
      <c r="B275" s="37"/>
      <c r="C275" s="37"/>
      <c r="D275" s="38"/>
      <c r="E275" s="21" t="s">
        <v>550</v>
      </c>
      <c r="F275" s="21" t="s">
        <v>551</v>
      </c>
      <c r="G275" s="21" t="n">
        <v>-1000</v>
      </c>
      <c r="H275" s="21" t="n">
        <v>1000</v>
      </c>
      <c r="I275" s="21"/>
      <c r="J275" s="21" t="s">
        <v>548</v>
      </c>
    </row>
    <row r="276" customFormat="false" ht="13.8" hidden="false" customHeight="false" outlineLevel="0" collapsed="false">
      <c r="A276" s="21" t="s">
        <v>552</v>
      </c>
      <c r="B276" s="37"/>
      <c r="C276" s="37"/>
      <c r="D276" s="38"/>
      <c r="E276" s="21" t="s">
        <v>553</v>
      </c>
      <c r="F276" s="21" t="s">
        <v>554</v>
      </c>
      <c r="G276" s="21" t="n">
        <v>0</v>
      </c>
      <c r="H276" s="21" t="n">
        <v>1000</v>
      </c>
      <c r="I276" s="21"/>
      <c r="J276" s="21" t="s">
        <v>548</v>
      </c>
    </row>
    <row r="277" customFormat="false" ht="13.8" hidden="false" customHeight="false" outlineLevel="0" collapsed="false">
      <c r="A277" s="21" t="s">
        <v>555</v>
      </c>
    </row>
    <row r="279" customFormat="false" ht="13.8" hidden="false" customHeight="false" outlineLevel="0" collapsed="false">
      <c r="A279" s="1" t="s">
        <v>392</v>
      </c>
    </row>
    <row r="280" customFormat="false" ht="13.8" hidden="false" customHeight="false" outlineLevel="0" collapsed="false">
      <c r="A280" s="1" t="s">
        <v>556</v>
      </c>
    </row>
    <row r="281" customFormat="false" ht="13.8" hidden="false" customHeight="false" outlineLevel="0" collapsed="false">
      <c r="A281" s="41" t="s">
        <v>557</v>
      </c>
    </row>
    <row r="282" customFormat="false" ht="13.8" hidden="false" customHeight="false" outlineLevel="0" collapsed="false">
      <c r="A282" s="41" t="s">
        <v>558</v>
      </c>
    </row>
    <row r="283" customFormat="false" ht="13.8" hidden="false" customHeight="false" outlineLevel="0" collapsed="false">
      <c r="A283" s="41" t="s">
        <v>559</v>
      </c>
    </row>
    <row r="284" customFormat="false" ht="13.8" hidden="false" customHeight="false" outlineLevel="0" collapsed="false">
      <c r="A284" s="41" t="s">
        <v>560</v>
      </c>
    </row>
    <row r="285" customFormat="false" ht="13.8" hidden="false" customHeight="false" outlineLevel="0" collapsed="false">
      <c r="A285" s="41"/>
    </row>
    <row r="286" customFormat="false" ht="13.8" hidden="false" customHeight="false" outlineLevel="0" collapsed="false">
      <c r="A286" s="6" t="s">
        <v>561</v>
      </c>
      <c r="B286" s="7" t="s">
        <v>10</v>
      </c>
      <c r="C286" s="28"/>
      <c r="D286" s="44"/>
      <c r="E286" s="9"/>
      <c r="F286" s="9"/>
      <c r="G286" s="9"/>
      <c r="H286" s="9"/>
      <c r="I286" s="9"/>
      <c r="J286" s="9" t="s">
        <v>562</v>
      </c>
    </row>
    <row r="287" customFormat="false" ht="13.8" hidden="false" customHeight="false" outlineLevel="0" collapsed="false">
      <c r="A287" s="31" t="s">
        <v>526</v>
      </c>
      <c r="B287" s="69"/>
      <c r="C287" s="42"/>
      <c r="D287" s="43"/>
      <c r="E287" s="10"/>
      <c r="F287" s="10"/>
      <c r="G287" s="10"/>
      <c r="H287" s="10"/>
      <c r="I287" s="10"/>
      <c r="J287" s="31" t="s">
        <v>66</v>
      </c>
    </row>
    <row r="288" customFormat="false" ht="13.8" hidden="false" customHeight="false" outlineLevel="0" collapsed="false">
      <c r="A288" s="45" t="s">
        <v>563</v>
      </c>
      <c r="B288" s="46"/>
      <c r="C288" s="46"/>
      <c r="D288" s="47"/>
      <c r="E288" s="45" t="s">
        <v>528</v>
      </c>
      <c r="F288" s="45" t="s">
        <v>529</v>
      </c>
      <c r="G288" s="45" t="n">
        <v>-1000</v>
      </c>
      <c r="H288" s="45" t="n">
        <v>1000</v>
      </c>
      <c r="I288" s="48" t="s">
        <v>15</v>
      </c>
      <c r="J288" s="45" t="s">
        <v>530</v>
      </c>
    </row>
    <row r="289" customFormat="false" ht="13.8" hidden="false" customHeight="false" outlineLevel="0" collapsed="false">
      <c r="A289" s="19" t="s">
        <v>531</v>
      </c>
      <c r="B289" s="2" t="n">
        <f aca="false">0</f>
        <v>0</v>
      </c>
      <c r="C289" s="2" t="n">
        <f aca="false">-1+1</f>
        <v>0</v>
      </c>
      <c r="D289" s="3" t="s">
        <v>68</v>
      </c>
      <c r="E289" s="1" t="s">
        <v>532</v>
      </c>
      <c r="F289" s="1" t="s">
        <v>533</v>
      </c>
      <c r="G289" s="1" t="n">
        <v>0</v>
      </c>
      <c r="H289" s="1" t="n">
        <v>1000</v>
      </c>
      <c r="J289" s="1" t="s">
        <v>534</v>
      </c>
    </row>
    <row r="290" customFormat="false" ht="13.8" hidden="false" customHeight="false" outlineLevel="0" collapsed="false">
      <c r="A290" s="82" t="s">
        <v>564</v>
      </c>
      <c r="B290" s="2" t="n">
        <f aca="false">-1+-4+-4</f>
        <v>-9</v>
      </c>
      <c r="C290" s="2" t="n">
        <f aca="false">-4-2-3</f>
        <v>-9</v>
      </c>
      <c r="D290" s="3" t="s">
        <v>68</v>
      </c>
      <c r="E290" s="1" t="s">
        <v>565</v>
      </c>
      <c r="F290" s="1" t="s">
        <v>566</v>
      </c>
      <c r="G290" s="1" t="n">
        <v>0</v>
      </c>
      <c r="H290" s="1" t="n">
        <v>1000</v>
      </c>
      <c r="I290" s="36"/>
      <c r="J290" s="1" t="s">
        <v>567</v>
      </c>
    </row>
    <row r="291" customFormat="false" ht="13.8" hidden="false" customHeight="false" outlineLevel="0" collapsed="false">
      <c r="A291" s="82" t="s">
        <v>568</v>
      </c>
      <c r="B291" s="2" t="n">
        <f aca="false">-4</f>
        <v>-4</v>
      </c>
      <c r="C291" s="2" t="n">
        <f aca="false">-4</f>
        <v>-4</v>
      </c>
      <c r="D291" s="3" t="s">
        <v>68</v>
      </c>
      <c r="E291" s="1" t="s">
        <v>569</v>
      </c>
      <c r="F291" s="1" t="s">
        <v>570</v>
      </c>
      <c r="G291" s="1" t="n">
        <v>0</v>
      </c>
      <c r="H291" s="1" t="n">
        <v>1000</v>
      </c>
      <c r="I291" s="36"/>
      <c r="J291" s="1" t="s">
        <v>567</v>
      </c>
    </row>
    <row r="292" customFormat="false" ht="13.8" hidden="false" customHeight="false" outlineLevel="0" collapsed="false">
      <c r="A292" s="82" t="s">
        <v>571</v>
      </c>
      <c r="B292" s="2" t="n">
        <f aca="false">-4-1</f>
        <v>-5</v>
      </c>
      <c r="C292" s="2" t="n">
        <f aca="false">-4-2+1</f>
        <v>-5</v>
      </c>
      <c r="D292" s="3" t="s">
        <v>68</v>
      </c>
      <c r="E292" s="1" t="s">
        <v>572</v>
      </c>
      <c r="F292" s="1" t="s">
        <v>570</v>
      </c>
      <c r="G292" s="1" t="n">
        <v>0</v>
      </c>
      <c r="H292" s="1" t="n">
        <v>1000</v>
      </c>
      <c r="I292" s="36"/>
      <c r="J292" s="1" t="s">
        <v>567</v>
      </c>
    </row>
    <row r="293" customFormat="false" ht="13.8" hidden="false" customHeight="false" outlineLevel="0" collapsed="false">
      <c r="A293" s="82" t="s">
        <v>573</v>
      </c>
      <c r="B293" s="2" t="n">
        <f aca="false">-4-4</f>
        <v>-8</v>
      </c>
      <c r="C293" s="2" t="n">
        <f aca="false">-4-4</f>
        <v>-8</v>
      </c>
      <c r="D293" s="3" t="s">
        <v>68</v>
      </c>
      <c r="E293" s="1" t="s">
        <v>574</v>
      </c>
      <c r="F293" s="1" t="s">
        <v>575</v>
      </c>
      <c r="G293" s="1" t="n">
        <v>0</v>
      </c>
      <c r="H293" s="1" t="n">
        <v>1000</v>
      </c>
      <c r="I293" s="36"/>
      <c r="J293" s="1" t="s">
        <v>576</v>
      </c>
    </row>
    <row r="294" customFormat="false" ht="13.8" hidden="false" customHeight="false" outlineLevel="0" collapsed="false">
      <c r="A294" s="16" t="s">
        <v>577</v>
      </c>
      <c r="B294" s="2" t="n">
        <f aca="false">-4</f>
        <v>-4</v>
      </c>
      <c r="C294" s="2" t="n">
        <f aca="false">-1-4+1</f>
        <v>-4</v>
      </c>
      <c r="D294" s="3" t="s">
        <v>68</v>
      </c>
      <c r="E294" s="1" t="s">
        <v>578</v>
      </c>
      <c r="F294" s="1" t="s">
        <v>579</v>
      </c>
      <c r="G294" s="1" t="n">
        <v>0</v>
      </c>
      <c r="H294" s="1" t="n">
        <v>1000</v>
      </c>
      <c r="I294" s="36"/>
      <c r="J294" s="1" t="s">
        <v>567</v>
      </c>
    </row>
    <row r="295" customFormat="false" ht="13.8" hidden="false" customHeight="false" outlineLevel="0" collapsed="false">
      <c r="A295" s="25" t="s">
        <v>580</v>
      </c>
      <c r="B295" s="2" t="n">
        <f aca="false">-4</f>
        <v>-4</v>
      </c>
      <c r="C295" s="2" t="n">
        <f aca="false">-1-4+1</f>
        <v>-4</v>
      </c>
      <c r="D295" s="3" t="s">
        <v>68</v>
      </c>
      <c r="E295" s="1" t="s">
        <v>581</v>
      </c>
      <c r="F295" s="1" t="s">
        <v>582</v>
      </c>
      <c r="G295" s="1" t="n">
        <v>0</v>
      </c>
      <c r="H295" s="1" t="n">
        <v>1000</v>
      </c>
      <c r="I295" s="36"/>
      <c r="J295" s="1" t="s">
        <v>583</v>
      </c>
    </row>
    <row r="296" customFormat="false" ht="13.8" hidden="false" customHeight="false" outlineLevel="0" collapsed="false">
      <c r="A296" s="21" t="s">
        <v>545</v>
      </c>
      <c r="B296" s="37"/>
      <c r="C296" s="37"/>
      <c r="D296" s="38"/>
      <c r="E296" s="21" t="s">
        <v>546</v>
      </c>
      <c r="F296" s="21" t="s">
        <v>584</v>
      </c>
      <c r="G296" s="21" t="n">
        <v>-1000</v>
      </c>
      <c r="H296" s="21" t="n">
        <v>1000</v>
      </c>
      <c r="I296" s="21"/>
      <c r="J296" s="21" t="s">
        <v>548</v>
      </c>
    </row>
    <row r="297" customFormat="false" ht="13.8" hidden="false" customHeight="false" outlineLevel="0" collapsed="false">
      <c r="A297" s="21" t="s">
        <v>549</v>
      </c>
      <c r="B297" s="37"/>
      <c r="C297" s="37"/>
      <c r="D297" s="38"/>
      <c r="E297" s="21" t="s">
        <v>550</v>
      </c>
      <c r="F297" s="21" t="s">
        <v>551</v>
      </c>
      <c r="G297" s="21" t="n">
        <v>-1000</v>
      </c>
      <c r="H297" s="21" t="n">
        <v>1000</v>
      </c>
      <c r="I297" s="21"/>
      <c r="J297" s="21" t="s">
        <v>548</v>
      </c>
    </row>
    <row r="298" customFormat="false" ht="13.8" hidden="false" customHeight="false" outlineLevel="0" collapsed="false">
      <c r="A298" s="21" t="s">
        <v>552</v>
      </c>
      <c r="B298" s="37"/>
      <c r="C298" s="37"/>
      <c r="D298" s="38"/>
      <c r="E298" s="21" t="s">
        <v>553</v>
      </c>
      <c r="F298" s="21" t="s">
        <v>554</v>
      </c>
      <c r="G298" s="21" t="n">
        <v>0</v>
      </c>
      <c r="H298" s="21" t="n">
        <v>1000</v>
      </c>
      <c r="I298" s="21"/>
      <c r="J298" s="21" t="s">
        <v>548</v>
      </c>
    </row>
    <row r="299" customFormat="false" ht="13.8" hidden="false" customHeight="false" outlineLevel="0" collapsed="false">
      <c r="A299" s="21" t="s">
        <v>555</v>
      </c>
    </row>
    <row r="300" customFormat="false" ht="13.8" hidden="false" customHeight="false" outlineLevel="0" collapsed="false">
      <c r="A300" s="41"/>
    </row>
    <row r="301" customFormat="false" ht="13.8" hidden="false" customHeight="false" outlineLevel="0" collapsed="false">
      <c r="A301" s="1" t="s">
        <v>392</v>
      </c>
    </row>
    <row r="302" customFormat="false" ht="16.35" hidden="false" customHeight="false" outlineLevel="0" collapsed="false">
      <c r="A302" s="1" t="s">
        <v>585</v>
      </c>
    </row>
    <row r="303" customFormat="false" ht="13.8" hidden="false" customHeight="false" outlineLevel="0" collapsed="false">
      <c r="A303" s="41" t="s">
        <v>557</v>
      </c>
    </row>
    <row r="304" customFormat="false" ht="13.8" hidden="false" customHeight="false" outlineLevel="0" collapsed="false">
      <c r="A304" s="41" t="s">
        <v>558</v>
      </c>
    </row>
    <row r="305" customFormat="false" ht="13.8" hidden="false" customHeight="false" outlineLevel="0" collapsed="false">
      <c r="A305" s="41" t="s">
        <v>586</v>
      </c>
    </row>
    <row r="306" customFormat="false" ht="13.8" hidden="false" customHeight="false" outlineLevel="0" collapsed="false">
      <c r="A306" s="41" t="s">
        <v>559</v>
      </c>
    </row>
    <row r="307" customFormat="false" ht="13.8" hidden="false" customHeight="false" outlineLevel="0" collapsed="false">
      <c r="A307" s="41" t="s">
        <v>587</v>
      </c>
    </row>
    <row r="308" customFormat="false" ht="13.8" hidden="false" customHeight="false" outlineLevel="0" collapsed="false">
      <c r="A308" s="41" t="s">
        <v>588</v>
      </c>
    </row>
    <row r="310" customFormat="false" ht="13.8" hidden="false" customHeight="false" outlineLevel="0" collapsed="false">
      <c r="A310" s="6" t="s">
        <v>589</v>
      </c>
      <c r="B310" s="7" t="s">
        <v>10</v>
      </c>
      <c r="C310" s="28"/>
      <c r="D310" s="44"/>
      <c r="E310" s="9"/>
      <c r="F310" s="9"/>
      <c r="G310" s="9"/>
      <c r="H310" s="9"/>
      <c r="I310" s="9"/>
      <c r="J310" s="9" t="s">
        <v>590</v>
      </c>
    </row>
    <row r="311" customFormat="false" ht="13.8" hidden="false" customHeight="false" outlineLevel="0" collapsed="false">
      <c r="A311" s="31" t="s">
        <v>591</v>
      </c>
      <c r="B311" s="32"/>
      <c r="C311" s="32"/>
      <c r="D311" s="50"/>
      <c r="E311" s="31"/>
      <c r="F311" s="31"/>
      <c r="G311" s="31"/>
      <c r="H311" s="31"/>
      <c r="I311" s="31"/>
      <c r="J311" s="31" t="s">
        <v>66</v>
      </c>
    </row>
    <row r="312" customFormat="false" ht="14.25" hidden="false" customHeight="false" outlineLevel="0" collapsed="false">
      <c r="A312" s="45" t="s">
        <v>527</v>
      </c>
      <c r="B312" s="46"/>
      <c r="C312" s="46"/>
      <c r="D312" s="47"/>
      <c r="E312" s="45" t="s">
        <v>528</v>
      </c>
      <c r="F312" s="45" t="s">
        <v>529</v>
      </c>
      <c r="G312" s="45" t="n">
        <v>-1000</v>
      </c>
      <c r="H312" s="45" t="n">
        <v>1000</v>
      </c>
      <c r="I312" s="48" t="s">
        <v>15</v>
      </c>
      <c r="J312" s="45" t="s">
        <v>592</v>
      </c>
    </row>
    <row r="313" customFormat="false" ht="13.8" hidden="false" customHeight="false" outlineLevel="0" collapsed="false">
      <c r="A313" s="1" t="s">
        <v>593</v>
      </c>
      <c r="E313" s="1" t="s">
        <v>594</v>
      </c>
      <c r="F313" s="1" t="s">
        <v>595</v>
      </c>
      <c r="G313" s="1" t="n">
        <v>0</v>
      </c>
      <c r="H313" s="1" t="n">
        <v>1000</v>
      </c>
      <c r="I313" s="36"/>
      <c r="J313" s="1" t="s">
        <v>596</v>
      </c>
    </row>
    <row r="314" customFormat="false" ht="13.8" hidden="false" customHeight="false" outlineLevel="0" collapsed="false">
      <c r="A314" s="1" t="s">
        <v>597</v>
      </c>
      <c r="E314" s="1" t="s">
        <v>598</v>
      </c>
      <c r="F314" s="1" t="s">
        <v>599</v>
      </c>
      <c r="G314" s="1" t="n">
        <v>0</v>
      </c>
      <c r="H314" s="1" t="n">
        <v>1000</v>
      </c>
      <c r="I314" s="36"/>
      <c r="J314" s="1" t="s">
        <v>600</v>
      </c>
    </row>
    <row r="315" customFormat="false" ht="14.25" hidden="false" customHeight="false" outlineLevel="0" collapsed="false">
      <c r="A315" s="1" t="s">
        <v>601</v>
      </c>
      <c r="E315" s="1" t="s">
        <v>602</v>
      </c>
      <c r="F315" s="1" t="s">
        <v>603</v>
      </c>
      <c r="G315" s="1" t="n">
        <v>0</v>
      </c>
      <c r="H315" s="1" t="n">
        <v>1000</v>
      </c>
      <c r="I315" s="36"/>
      <c r="J315" s="1" t="s">
        <v>600</v>
      </c>
    </row>
    <row r="316" customFormat="false" ht="13.8" hidden="false" customHeight="false" outlineLevel="0" collapsed="false">
      <c r="A316" s="19" t="s">
        <v>604</v>
      </c>
      <c r="E316" s="1" t="s">
        <v>605</v>
      </c>
      <c r="F316" s="1" t="s">
        <v>606</v>
      </c>
      <c r="G316" s="1" t="n">
        <v>-1000</v>
      </c>
      <c r="H316" s="1" t="n">
        <v>1000</v>
      </c>
      <c r="J316" s="1" t="s">
        <v>607</v>
      </c>
    </row>
    <row r="317" customFormat="false" ht="14.25" hidden="false" customHeight="false" outlineLevel="0" collapsed="false">
      <c r="A317" s="21" t="s">
        <v>608</v>
      </c>
      <c r="B317" s="37"/>
      <c r="C317" s="37"/>
      <c r="D317" s="38"/>
      <c r="E317" s="21" t="s">
        <v>609</v>
      </c>
      <c r="F317" s="21" t="s">
        <v>610</v>
      </c>
      <c r="G317" s="83" t="n">
        <v>-1000</v>
      </c>
      <c r="H317" s="21" t="n">
        <v>1000</v>
      </c>
      <c r="I317" s="21"/>
      <c r="J317" s="1" t="s">
        <v>611</v>
      </c>
    </row>
    <row r="318" customFormat="false" ht="14.25" hidden="false" customHeight="false" outlineLevel="0" collapsed="false">
      <c r="A318" s="21" t="s">
        <v>612</v>
      </c>
      <c r="B318" s="37"/>
      <c r="C318" s="37"/>
      <c r="D318" s="38"/>
      <c r="E318" s="21" t="s">
        <v>613</v>
      </c>
      <c r="F318" s="21" t="s">
        <v>614</v>
      </c>
      <c r="G318" s="21" t="n">
        <v>-1000</v>
      </c>
      <c r="H318" s="21" t="n">
        <v>1000</v>
      </c>
      <c r="I318" s="21"/>
      <c r="J318" s="1" t="s">
        <v>615</v>
      </c>
    </row>
    <row r="319" customFormat="false" ht="14.25" hidden="false" customHeight="false" outlineLevel="0" collapsed="false">
      <c r="A319" s="21" t="s">
        <v>616</v>
      </c>
      <c r="B319" s="37"/>
      <c r="C319" s="37"/>
      <c r="D319" s="38"/>
      <c r="E319" s="21" t="s">
        <v>617</v>
      </c>
      <c r="F319" s="21" t="s">
        <v>618</v>
      </c>
      <c r="G319" s="21" t="n">
        <v>0</v>
      </c>
      <c r="H319" s="21" t="n">
        <v>1000</v>
      </c>
      <c r="I319" s="21"/>
      <c r="J319" s="1" t="s">
        <v>615</v>
      </c>
    </row>
    <row r="320" customFormat="false" ht="13.8" hidden="false" customHeight="false" outlineLevel="0" collapsed="false">
      <c r="A320" s="21" t="s">
        <v>619</v>
      </c>
    </row>
    <row r="322" customFormat="false" ht="14.15" hidden="false" customHeight="false" outlineLevel="0" collapsed="false">
      <c r="A322" s="1" t="s">
        <v>620</v>
      </c>
    </row>
    <row r="323" customFormat="false" ht="14.25" hidden="false" customHeight="false" outlineLevel="0" collapsed="false">
      <c r="A323" s="1" t="s">
        <v>621</v>
      </c>
    </row>
    <row r="325" customFormat="false" ht="14.25" hidden="false" customHeight="false" outlineLevel="0" collapsed="false">
      <c r="A325" s="6" t="s">
        <v>622</v>
      </c>
      <c r="B325" s="7" t="s">
        <v>10</v>
      </c>
      <c r="C325" s="84"/>
      <c r="D325" s="44"/>
      <c r="E325" s="9"/>
      <c r="F325" s="9"/>
      <c r="G325" s="9"/>
      <c r="H325" s="9"/>
      <c r="I325" s="9"/>
      <c r="J325" s="9" t="s">
        <v>623</v>
      </c>
      <c r="K325" s="9"/>
      <c r="L325" s="9"/>
      <c r="M325" s="9"/>
      <c r="N325" s="30"/>
      <c r="O325" s="9"/>
      <c r="P325" s="9"/>
      <c r="Q325" s="9"/>
    </row>
    <row r="326" customFormat="false" ht="13.8" hidden="false" customHeight="false" outlineLevel="0" collapsed="false">
      <c r="A326" s="45" t="s">
        <v>624</v>
      </c>
      <c r="B326" s="46"/>
      <c r="C326" s="46"/>
      <c r="D326" s="47"/>
      <c r="E326" s="45" t="s">
        <v>13</v>
      </c>
      <c r="F326" s="45" t="s">
        <v>420</v>
      </c>
      <c r="G326" s="45" t="n">
        <v>-1000</v>
      </c>
      <c r="H326" s="45" t="n">
        <v>1000</v>
      </c>
      <c r="I326" s="45" t="s">
        <v>15</v>
      </c>
      <c r="J326" s="85" t="s">
        <v>625</v>
      </c>
      <c r="K326" s="10"/>
      <c r="L326" s="10"/>
      <c r="M326" s="10"/>
      <c r="N326" s="86"/>
      <c r="O326" s="10"/>
      <c r="P326" s="10"/>
      <c r="Q326" s="10"/>
    </row>
    <row r="327" customFormat="false" ht="13.8" hidden="false" customHeight="false" outlineLevel="0" collapsed="false">
      <c r="A327" s="1" t="s">
        <v>626</v>
      </c>
      <c r="B327" s="42" t="n">
        <f aca="false">-4*2</f>
        <v>-8</v>
      </c>
      <c r="C327" s="42" t="n">
        <f aca="false">-5+-4+1</f>
        <v>-8</v>
      </c>
      <c r="D327" s="43" t="s">
        <v>68</v>
      </c>
      <c r="E327" s="10" t="s">
        <v>627</v>
      </c>
      <c r="F327" s="10" t="s">
        <v>628</v>
      </c>
      <c r="G327" s="10" t="n">
        <v>-1000</v>
      </c>
      <c r="H327" s="10" t="n">
        <v>1000</v>
      </c>
      <c r="I327" s="0"/>
      <c r="J327" s="10" t="s">
        <v>629</v>
      </c>
      <c r="K327" s="10"/>
      <c r="L327" s="10"/>
      <c r="M327" s="10"/>
      <c r="N327" s="41"/>
      <c r="O327" s="10"/>
      <c r="P327" s="10"/>
      <c r="Q327" s="10"/>
    </row>
    <row r="328" customFormat="false" ht="13.8" hidden="false" customHeight="false" outlineLevel="0" collapsed="false">
      <c r="A328" s="1" t="s">
        <v>630</v>
      </c>
      <c r="B328" s="42"/>
      <c r="C328" s="42"/>
      <c r="D328" s="43"/>
      <c r="E328" s="10" t="s">
        <v>631</v>
      </c>
      <c r="F328" s="10" t="s">
        <v>632</v>
      </c>
      <c r="G328" s="10" t="n">
        <v>-1000</v>
      </c>
      <c r="H328" s="10" t="n">
        <v>1000</v>
      </c>
      <c r="I328" s="10"/>
      <c r="J328" s="10" t="s">
        <v>633</v>
      </c>
      <c r="K328" s="10"/>
      <c r="L328" s="10"/>
      <c r="M328" s="10"/>
      <c r="N328" s="41"/>
      <c r="O328" s="10"/>
      <c r="P328" s="10"/>
      <c r="Q328" s="10"/>
    </row>
    <row r="329" customFormat="false" ht="13.8" hidden="false" customHeight="false" outlineLevel="0" collapsed="false">
      <c r="A329" s="1" t="s">
        <v>634</v>
      </c>
      <c r="B329" s="42"/>
      <c r="C329" s="42"/>
      <c r="D329" s="43"/>
      <c r="E329" s="10" t="s">
        <v>635</v>
      </c>
      <c r="F329" s="10" t="s">
        <v>636</v>
      </c>
      <c r="G329" s="10" t="n">
        <v>0</v>
      </c>
      <c r="H329" s="10" t="n">
        <v>1000</v>
      </c>
      <c r="I329" s="10"/>
      <c r="J329" s="10" t="s">
        <v>637</v>
      </c>
      <c r="K329" s="10"/>
      <c r="L329" s="10"/>
      <c r="M329" s="10"/>
      <c r="N329" s="41"/>
      <c r="O329" s="10"/>
      <c r="P329" s="10"/>
      <c r="Q329" s="10"/>
    </row>
    <row r="330" customFormat="false" ht="13.8" hidden="false" customHeight="false" outlineLevel="0" collapsed="false">
      <c r="A330" s="1" t="s">
        <v>638</v>
      </c>
      <c r="B330" s="42"/>
      <c r="C330" s="42"/>
      <c r="D330" s="43"/>
      <c r="E330" s="10" t="s">
        <v>639</v>
      </c>
      <c r="F330" s="10" t="s">
        <v>640</v>
      </c>
      <c r="G330" s="10" t="n">
        <v>0</v>
      </c>
      <c r="H330" s="10" t="n">
        <v>1000</v>
      </c>
      <c r="I330" s="10"/>
      <c r="J330" s="10" t="s">
        <v>629</v>
      </c>
      <c r="K330" s="10"/>
      <c r="L330" s="10"/>
      <c r="M330" s="10"/>
      <c r="N330" s="41"/>
      <c r="O330" s="10"/>
      <c r="P330" s="10"/>
      <c r="Q330" s="10"/>
    </row>
    <row r="331" customFormat="false" ht="13.8" hidden="false" customHeight="false" outlineLevel="0" collapsed="false">
      <c r="A331" s="1" t="s">
        <v>641</v>
      </c>
      <c r="B331" s="42"/>
      <c r="C331" s="42"/>
      <c r="D331" s="43"/>
      <c r="E331" s="10" t="s">
        <v>642</v>
      </c>
      <c r="F331" s="10" t="s">
        <v>643</v>
      </c>
      <c r="G331" s="10" t="n">
        <v>0</v>
      </c>
      <c r="H331" s="10" t="n">
        <v>1000</v>
      </c>
      <c r="I331" s="10"/>
      <c r="J331" s="10" t="s">
        <v>629</v>
      </c>
      <c r="K331" s="10"/>
      <c r="L331" s="10"/>
      <c r="M331" s="10"/>
      <c r="N331" s="41"/>
      <c r="O331" s="10"/>
      <c r="P331" s="10"/>
      <c r="Q331" s="10"/>
    </row>
    <row r="332" customFormat="false" ht="13.8" hidden="false" customHeight="false" outlineLevel="0" collapsed="false">
      <c r="A332" s="14" t="s">
        <v>644</v>
      </c>
      <c r="B332" s="87"/>
      <c r="C332" s="87"/>
      <c r="D332" s="88"/>
      <c r="E332" s="52" t="s">
        <v>645</v>
      </c>
      <c r="F332" s="52" t="s">
        <v>646</v>
      </c>
      <c r="G332" s="52" t="n">
        <v>-1000</v>
      </c>
      <c r="H332" s="52" t="n">
        <v>1000</v>
      </c>
      <c r="I332" s="14" t="s">
        <v>15</v>
      </c>
      <c r="J332" s="10"/>
      <c r="K332" s="10"/>
      <c r="L332" s="10"/>
      <c r="M332" s="10"/>
      <c r="N332" s="41"/>
      <c r="O332" s="10"/>
      <c r="P332" s="10"/>
      <c r="Q332" s="10"/>
    </row>
    <row r="333" customFormat="false" ht="13.8" hidden="false" customHeight="false" outlineLevel="0" collapsed="false">
      <c r="A333" s="14" t="s">
        <v>647</v>
      </c>
      <c r="B333" s="87"/>
      <c r="C333" s="87"/>
      <c r="D333" s="88"/>
      <c r="E333" s="52" t="s">
        <v>648</v>
      </c>
      <c r="F333" s="52" t="s">
        <v>649</v>
      </c>
      <c r="G333" s="14" t="n">
        <v>0</v>
      </c>
      <c r="H333" s="14" t="n">
        <v>1000</v>
      </c>
      <c r="I333" s="14" t="s">
        <v>15</v>
      </c>
      <c r="J333" s="10"/>
      <c r="K333" s="10"/>
      <c r="L333" s="10"/>
      <c r="M333" s="10"/>
      <c r="N333" s="41"/>
      <c r="O333" s="10"/>
      <c r="P333" s="10"/>
      <c r="Q333" s="10"/>
    </row>
    <row r="334" customFormat="false" ht="13.8" hidden="false" customHeight="false" outlineLevel="0" collapsed="false">
      <c r="A334" s="14" t="s">
        <v>650</v>
      </c>
      <c r="B334" s="12" t="n">
        <f aca="false">-3-3</f>
        <v>-6</v>
      </c>
      <c r="C334" s="12" t="n">
        <f aca="false">-3-3</f>
        <v>-6</v>
      </c>
      <c r="D334" s="89" t="s">
        <v>68</v>
      </c>
      <c r="E334" s="14" t="s">
        <v>651</v>
      </c>
      <c r="F334" s="14" t="s">
        <v>652</v>
      </c>
      <c r="G334" s="14" t="n">
        <v>0</v>
      </c>
      <c r="H334" s="14" t="n">
        <v>1000</v>
      </c>
      <c r="I334" s="14" t="s">
        <v>15</v>
      </c>
      <c r="L334" s="10"/>
      <c r="M334" s="10"/>
      <c r="N334" s="41"/>
      <c r="O334" s="10"/>
      <c r="P334" s="10"/>
      <c r="Q334" s="10"/>
    </row>
    <row r="335" customFormat="false" ht="13.8" hidden="false" customHeight="false" outlineLevel="0" collapsed="false">
      <c r="A335" s="1" t="s">
        <v>653</v>
      </c>
      <c r="B335" s="2" t="n">
        <f aca="false">-3*2</f>
        <v>-6</v>
      </c>
      <c r="C335" s="2" t="n">
        <f aca="false">-3*2</f>
        <v>-6</v>
      </c>
      <c r="D335" s="3" t="s">
        <v>68</v>
      </c>
      <c r="E335" s="1" t="s">
        <v>654</v>
      </c>
      <c r="F335" s="1" t="s">
        <v>655</v>
      </c>
      <c r="G335" s="1" t="n">
        <v>0</v>
      </c>
      <c r="H335" s="1" t="n">
        <v>1000</v>
      </c>
      <c r="J335" s="1" t="s">
        <v>656</v>
      </c>
    </row>
    <row r="336" customFormat="false" ht="13.8" hidden="false" customHeight="false" outlineLevel="0" collapsed="false">
      <c r="A336" s="1" t="s">
        <v>657</v>
      </c>
      <c r="B336" s="2" t="n">
        <f aca="false">-3*2</f>
        <v>-6</v>
      </c>
      <c r="C336" s="2" t="n">
        <f aca="false">-3*2</f>
        <v>-6</v>
      </c>
      <c r="D336" s="3" t="s">
        <v>68</v>
      </c>
      <c r="E336" s="1" t="s">
        <v>658</v>
      </c>
      <c r="F336" s="1" t="s">
        <v>659</v>
      </c>
      <c r="G336" s="1" t="n">
        <v>0</v>
      </c>
      <c r="H336" s="1" t="n">
        <v>1000</v>
      </c>
      <c r="J336" s="1" t="s">
        <v>660</v>
      </c>
    </row>
    <row r="337" customFormat="false" ht="13.8" hidden="false" customHeight="false" outlineLevel="0" collapsed="false">
      <c r="A337" s="1" t="s">
        <v>661</v>
      </c>
      <c r="B337" s="2" t="n">
        <f aca="false">-2*4</f>
        <v>-8</v>
      </c>
      <c r="C337" s="2" t="n">
        <f aca="false">-2*4</f>
        <v>-8</v>
      </c>
      <c r="D337" s="3" t="s">
        <v>68</v>
      </c>
      <c r="E337" s="1" t="s">
        <v>662</v>
      </c>
      <c r="F337" s="1" t="s">
        <v>663</v>
      </c>
      <c r="G337" s="1" t="n">
        <v>0</v>
      </c>
      <c r="H337" s="1" t="n">
        <v>1000</v>
      </c>
      <c r="J337" s="1" t="s">
        <v>664</v>
      </c>
      <c r="M337" s="0"/>
      <c r="N337" s="0"/>
      <c r="S337" s="1" t="s">
        <v>665</v>
      </c>
    </row>
    <row r="338" customFormat="false" ht="13.8" hidden="false" customHeight="false" outlineLevel="0" collapsed="false">
      <c r="A338" s="1" t="s">
        <v>666</v>
      </c>
      <c r="B338" s="2" t="n">
        <v>0</v>
      </c>
      <c r="C338" s="2" t="n">
        <v>0</v>
      </c>
      <c r="D338" s="3" t="s">
        <v>68</v>
      </c>
      <c r="E338" s="1" t="s">
        <v>667</v>
      </c>
      <c r="F338" s="1" t="s">
        <v>668</v>
      </c>
      <c r="G338" s="1" t="n">
        <v>-1000</v>
      </c>
      <c r="H338" s="1" t="n">
        <v>1000</v>
      </c>
      <c r="J338" s="1" t="s">
        <v>669</v>
      </c>
      <c r="M338" s="0"/>
      <c r="N338" s="0"/>
    </row>
    <row r="339" customFormat="false" ht="13.8" hidden="false" customHeight="false" outlineLevel="0" collapsed="false">
      <c r="A339" s="1" t="s">
        <v>670</v>
      </c>
      <c r="B339" s="2" t="n">
        <v>0</v>
      </c>
      <c r="C339" s="2" t="n">
        <v>0</v>
      </c>
      <c r="D339" s="3" t="s">
        <v>68</v>
      </c>
      <c r="E339" s="1" t="s">
        <v>671</v>
      </c>
      <c r="F339" s="1" t="s">
        <v>672</v>
      </c>
      <c r="G339" s="1" t="n">
        <v>-1000</v>
      </c>
      <c r="H339" s="1" t="n">
        <v>1000</v>
      </c>
      <c r="J339" s="1" t="s">
        <v>669</v>
      </c>
    </row>
    <row r="340" customFormat="false" ht="13.8" hidden="false" customHeight="false" outlineLevel="0" collapsed="false">
      <c r="A340" s="21" t="s">
        <v>673</v>
      </c>
      <c r="E340" s="21" t="s">
        <v>674</v>
      </c>
      <c r="F340" s="21" t="s">
        <v>675</v>
      </c>
      <c r="G340" s="21" t="n">
        <v>-1000</v>
      </c>
      <c r="H340" s="21" t="n">
        <v>0</v>
      </c>
      <c r="I340" s="36"/>
      <c r="J340" s="21" t="s">
        <v>676</v>
      </c>
    </row>
    <row r="341" customFormat="false" ht="14.25" hidden="false" customHeight="false" outlineLevel="0" collapsed="false">
      <c r="A341" s="21" t="s">
        <v>677</v>
      </c>
      <c r="E341" s="21" t="s">
        <v>678</v>
      </c>
      <c r="F341" s="21" t="s">
        <v>679</v>
      </c>
      <c r="G341" s="21" t="n">
        <v>0</v>
      </c>
      <c r="H341" s="21" t="n">
        <v>1000</v>
      </c>
      <c r="I341" s="21"/>
      <c r="J341" s="21" t="s">
        <v>680</v>
      </c>
    </row>
    <row r="342" customFormat="false" ht="13.8" hidden="false" customHeight="false" outlineLevel="0" collapsed="false">
      <c r="A342" s="21" t="s">
        <v>681</v>
      </c>
    </row>
    <row r="344" customFormat="false" ht="13.8" hidden="false" customHeight="false" outlineLevel="0" collapsed="false">
      <c r="A344" s="1" t="s">
        <v>682</v>
      </c>
    </row>
    <row r="345" customFormat="false" ht="13.8" hidden="false" customHeight="false" outlineLevel="0" collapsed="false">
      <c r="A345" s="1" t="s">
        <v>683</v>
      </c>
    </row>
    <row r="346" customFormat="false" ht="13.8" hidden="false" customHeight="false" outlineLevel="0" collapsed="false">
      <c r="A346" s="1" t="s">
        <v>684</v>
      </c>
    </row>
    <row r="347" customFormat="false" ht="13.8" hidden="false" customHeight="false" outlineLevel="0" collapsed="false">
      <c r="A347" s="1" t="s">
        <v>685</v>
      </c>
    </row>
    <row r="348" customFormat="false" ht="13.8" hidden="false" customHeight="false" outlineLevel="0" collapsed="false">
      <c r="A348" s="1" t="s">
        <v>686</v>
      </c>
    </row>
    <row r="349" customFormat="false" ht="13.8" hidden="false" customHeight="false" outlineLevel="0" collapsed="false">
      <c r="A349" s="1" t="s">
        <v>687</v>
      </c>
    </row>
    <row r="350" customFormat="false" ht="13.8" hidden="false" customHeight="false" outlineLevel="0" collapsed="false">
      <c r="A350" s="41" t="s">
        <v>688</v>
      </c>
    </row>
    <row r="351" customFormat="false" ht="13.8" hidden="false" customHeight="false" outlineLevel="0" collapsed="false">
      <c r="A351" s="41" t="s">
        <v>689</v>
      </c>
    </row>
    <row r="352" customFormat="false" ht="14.25" hidden="false" customHeight="false" outlineLevel="0" collapsed="false">
      <c r="A352" s="41" t="s">
        <v>690</v>
      </c>
    </row>
    <row r="353" customFormat="false" ht="14.25" hidden="false" customHeight="false" outlineLevel="0" collapsed="false">
      <c r="A353" s="41" t="s">
        <v>691</v>
      </c>
    </row>
    <row r="354" customFormat="false" ht="13.8" hidden="false" customHeight="false" outlineLevel="0" collapsed="false">
      <c r="A354" s="41"/>
    </row>
    <row r="355" customFormat="false" ht="13.8" hidden="false" customHeight="false" outlineLevel="0" collapsed="false">
      <c r="A355" s="6" t="s">
        <v>692</v>
      </c>
      <c r="B355" s="54" t="s">
        <v>10</v>
      </c>
      <c r="C355" s="84"/>
      <c r="D355" s="44"/>
      <c r="E355" s="9"/>
      <c r="F355" s="9"/>
      <c r="G355" s="9"/>
      <c r="H355" s="9"/>
      <c r="I355" s="9"/>
      <c r="J355" s="9" t="s">
        <v>693</v>
      </c>
      <c r="K355" s="9"/>
      <c r="L355" s="9"/>
      <c r="M355" s="9"/>
      <c r="N355" s="30"/>
    </row>
    <row r="356" s="14" customFormat="true" ht="13.8" hidden="false" customHeight="false" outlineLevel="0" collapsed="false">
      <c r="A356" s="11" t="s">
        <v>694</v>
      </c>
      <c r="B356" s="90"/>
      <c r="C356" s="91"/>
      <c r="D356" s="88"/>
      <c r="E356" s="52" t="s">
        <v>695</v>
      </c>
      <c r="F356" s="52" t="s">
        <v>696</v>
      </c>
      <c r="G356" s="14" t="n">
        <v>0</v>
      </c>
      <c r="H356" s="14" t="n">
        <v>1000</v>
      </c>
      <c r="I356" s="14" t="s">
        <v>15</v>
      </c>
      <c r="J356" s="52"/>
      <c r="K356" s="52"/>
      <c r="L356" s="52"/>
      <c r="M356" s="52"/>
      <c r="N356" s="92"/>
    </row>
    <row r="357" s="14" customFormat="true" ht="13.8" hidden="false" customHeight="false" outlineLevel="0" collapsed="false">
      <c r="A357" s="11" t="s">
        <v>697</v>
      </c>
      <c r="B357" s="12"/>
      <c r="C357" s="12"/>
      <c r="D357" s="89"/>
      <c r="E357" s="14" t="s">
        <v>698</v>
      </c>
      <c r="F357" s="14" t="s">
        <v>699</v>
      </c>
      <c r="G357" s="14" t="n">
        <v>0</v>
      </c>
      <c r="H357" s="14" t="n">
        <v>1000</v>
      </c>
      <c r="I357" s="14" t="s">
        <v>15</v>
      </c>
    </row>
    <row r="358" s="14" customFormat="true" ht="13.8" hidden="false" customHeight="false" outlineLevel="0" collapsed="false">
      <c r="A358" s="93" t="s">
        <v>700</v>
      </c>
      <c r="B358" s="12"/>
      <c r="C358" s="12"/>
      <c r="D358" s="89"/>
    </row>
    <row r="359" customFormat="false" ht="14.3" hidden="false" customHeight="false" outlineLevel="0" collapsed="false">
      <c r="A359" s="16" t="s">
        <v>701</v>
      </c>
      <c r="B359" s="2" t="n">
        <f aca="false">-4-4</f>
        <v>-8</v>
      </c>
      <c r="C359" s="2" t="n">
        <f aca="false">-4-4</f>
        <v>-8</v>
      </c>
      <c r="D359" s="94" t="s">
        <v>68</v>
      </c>
      <c r="E359" s="1" t="s">
        <v>702</v>
      </c>
      <c r="F359" s="1" t="s">
        <v>703</v>
      </c>
      <c r="G359" s="1" t="n">
        <v>-1000</v>
      </c>
      <c r="H359" s="1" t="n">
        <v>1000</v>
      </c>
      <c r="I359" s="36"/>
      <c r="J359" s="1" t="s">
        <v>704</v>
      </c>
    </row>
    <row r="360" customFormat="false" ht="14.3" hidden="false" customHeight="false" outlineLevel="0" collapsed="false">
      <c r="A360" s="16" t="s">
        <v>705</v>
      </c>
      <c r="B360" s="2" t="n">
        <f aca="false">-4-2+1</f>
        <v>-5</v>
      </c>
      <c r="C360" s="2" t="n">
        <f aca="false">-4-1</f>
        <v>-5</v>
      </c>
      <c r="D360" s="94" t="s">
        <v>68</v>
      </c>
      <c r="E360" s="1" t="s">
        <v>706</v>
      </c>
      <c r="F360" s="1" t="s">
        <v>707</v>
      </c>
      <c r="G360" s="1" t="n">
        <v>-1000</v>
      </c>
      <c r="H360" s="1" t="n">
        <v>1000</v>
      </c>
      <c r="I360" s="36"/>
      <c r="J360" s="1" t="s">
        <v>708</v>
      </c>
    </row>
    <row r="361" customFormat="false" ht="14.3" hidden="false" customHeight="false" outlineLevel="0" collapsed="false">
      <c r="A361" s="16" t="s">
        <v>709</v>
      </c>
      <c r="B361" s="2" t="n">
        <f aca="false">-4</f>
        <v>-4</v>
      </c>
      <c r="C361" s="2" t="n">
        <f aca="false">-4</f>
        <v>-4</v>
      </c>
      <c r="D361" s="94" t="s">
        <v>68</v>
      </c>
      <c r="E361" s="1" t="s">
        <v>710</v>
      </c>
      <c r="F361" s="1" t="s">
        <v>711</v>
      </c>
      <c r="G361" s="1" t="n">
        <v>-1000</v>
      </c>
      <c r="H361" s="1" t="n">
        <v>1000</v>
      </c>
      <c r="J361" s="1" t="s">
        <v>712</v>
      </c>
    </row>
    <row r="362" customFormat="false" ht="14.3" hidden="false" customHeight="false" outlineLevel="0" collapsed="false">
      <c r="A362" s="16" t="s">
        <v>713</v>
      </c>
      <c r="B362" s="2" t="n">
        <f aca="false">-4-2+1</f>
        <v>-5</v>
      </c>
      <c r="C362" s="2" t="n">
        <f aca="false">-4-1</f>
        <v>-5</v>
      </c>
      <c r="D362" s="94" t="s">
        <v>68</v>
      </c>
      <c r="E362" s="1" t="s">
        <v>714</v>
      </c>
      <c r="F362" s="1" t="s">
        <v>715</v>
      </c>
      <c r="G362" s="1" t="n">
        <v>0</v>
      </c>
      <c r="H362" s="1" t="n">
        <v>1000</v>
      </c>
      <c r="I362" s="36"/>
      <c r="J362" s="1" t="s">
        <v>716</v>
      </c>
    </row>
    <row r="363" customFormat="false" ht="13.8" hidden="false" customHeight="false" outlineLevel="0" collapsed="false">
      <c r="A363" s="93" t="s">
        <v>717</v>
      </c>
      <c r="D363" s="94"/>
      <c r="I363" s="36"/>
    </row>
    <row r="364" customFormat="false" ht="14.3" hidden="false" customHeight="false" outlineLevel="0" collapsed="false">
      <c r="A364" s="16" t="s">
        <v>718</v>
      </c>
      <c r="B364" s="2" t="n">
        <f aca="false">-4</f>
        <v>-4</v>
      </c>
      <c r="C364" s="2" t="n">
        <f aca="false">-1-4+1</f>
        <v>-4</v>
      </c>
      <c r="D364" s="94" t="s">
        <v>68</v>
      </c>
      <c r="E364" s="1" t="s">
        <v>719</v>
      </c>
      <c r="F364" s="1" t="s">
        <v>720</v>
      </c>
      <c r="G364" s="1" t="n">
        <v>0</v>
      </c>
      <c r="H364" s="1" t="n">
        <v>1000</v>
      </c>
      <c r="J364" s="1" t="s">
        <v>721</v>
      </c>
    </row>
    <row r="365" customFormat="false" ht="13.8" hidden="false" customHeight="false" outlineLevel="0" collapsed="false">
      <c r="A365" s="16" t="s">
        <v>722</v>
      </c>
      <c r="B365" s="2" t="n">
        <f aca="false">-1-4-4+1</f>
        <v>-8</v>
      </c>
      <c r="C365" s="79" t="n">
        <f aca="false">0-3-2-3</f>
        <v>-8</v>
      </c>
      <c r="D365" s="3" t="s">
        <v>68</v>
      </c>
      <c r="E365" s="1" t="s">
        <v>723</v>
      </c>
      <c r="F365" s="1" t="s">
        <v>724</v>
      </c>
      <c r="G365" s="1" t="n">
        <v>0</v>
      </c>
      <c r="H365" s="1" t="n">
        <v>1000</v>
      </c>
      <c r="I365" s="36"/>
      <c r="J365" s="1" t="s">
        <v>725</v>
      </c>
    </row>
    <row r="366" customFormat="false" ht="13.8" hidden="false" customHeight="false" outlineLevel="0" collapsed="false">
      <c r="A366" s="25" t="s">
        <v>726</v>
      </c>
      <c r="B366" s="2" t="n">
        <f aca="false">-4-2+1</f>
        <v>-5</v>
      </c>
      <c r="C366" s="79" t="n">
        <f aca="false">0-4-1</f>
        <v>-5</v>
      </c>
      <c r="D366" s="3" t="s">
        <v>68</v>
      </c>
      <c r="E366" s="1" t="s">
        <v>727</v>
      </c>
      <c r="F366" s="1" t="s">
        <v>728</v>
      </c>
      <c r="G366" s="1" t="n">
        <v>0</v>
      </c>
      <c r="H366" s="1" t="n">
        <v>1000</v>
      </c>
      <c r="I366" s="36"/>
      <c r="J366" s="1" t="s">
        <v>729</v>
      </c>
    </row>
    <row r="367" customFormat="false" ht="13.8" hidden="false" customHeight="false" outlineLevel="0" collapsed="false">
      <c r="A367" s="16" t="s">
        <v>730</v>
      </c>
      <c r="B367" s="2" t="n">
        <f aca="false">0</f>
        <v>0</v>
      </c>
      <c r="C367" s="79" t="n">
        <f aca="false">-1+1</f>
        <v>0</v>
      </c>
      <c r="D367" s="3" t="s">
        <v>68</v>
      </c>
      <c r="E367" s="1" t="s">
        <v>731</v>
      </c>
      <c r="F367" s="1" t="s">
        <v>732</v>
      </c>
      <c r="G367" s="1" t="n">
        <v>0</v>
      </c>
      <c r="H367" s="1" t="n">
        <v>1000</v>
      </c>
      <c r="I367" s="36"/>
      <c r="J367" s="1" t="s">
        <v>733</v>
      </c>
    </row>
    <row r="368" customFormat="false" ht="13.8" hidden="false" customHeight="false" outlineLevel="0" collapsed="false">
      <c r="A368" s="78" t="s">
        <v>734</v>
      </c>
      <c r="C368" s="79"/>
      <c r="E368" s="21" t="s">
        <v>735</v>
      </c>
      <c r="F368" s="21" t="s">
        <v>736</v>
      </c>
      <c r="G368" s="21" t="n">
        <v>-1000</v>
      </c>
      <c r="H368" s="21" t="n">
        <v>1000</v>
      </c>
      <c r="I368" s="39"/>
      <c r="J368" s="21" t="s">
        <v>737</v>
      </c>
    </row>
    <row r="369" customFormat="false" ht="13.8" hidden="false" customHeight="false" outlineLevel="0" collapsed="false">
      <c r="A369" s="78" t="s">
        <v>738</v>
      </c>
      <c r="C369" s="79"/>
      <c r="E369" s="21" t="s">
        <v>739</v>
      </c>
      <c r="F369" s="21" t="s">
        <v>740</v>
      </c>
      <c r="G369" s="21" t="n">
        <v>-1000</v>
      </c>
      <c r="H369" s="21" t="n">
        <v>1000</v>
      </c>
      <c r="I369" s="39"/>
      <c r="J369" s="21" t="s">
        <v>737</v>
      </c>
    </row>
    <row r="370" customFormat="false" ht="13.8" hidden="false" customHeight="false" outlineLevel="0" collapsed="false">
      <c r="A370" s="21" t="s">
        <v>741</v>
      </c>
      <c r="B370" s="37"/>
      <c r="C370" s="37"/>
      <c r="D370" s="38"/>
      <c r="E370" s="21" t="s">
        <v>742</v>
      </c>
      <c r="F370" s="21" t="s">
        <v>743</v>
      </c>
      <c r="G370" s="21" t="n">
        <v>0</v>
      </c>
      <c r="H370" s="21" t="n">
        <v>1000</v>
      </c>
      <c r="I370" s="39"/>
      <c r="J370" s="21" t="s">
        <v>737</v>
      </c>
    </row>
    <row r="371" customFormat="false" ht="13.8" hidden="false" customHeight="false" outlineLevel="0" collapsed="false">
      <c r="A371" s="78" t="s">
        <v>744</v>
      </c>
      <c r="C371" s="79"/>
      <c r="I371" s="36"/>
    </row>
    <row r="372" customFormat="false" ht="13.8" hidden="false" customHeight="false" outlineLevel="0" collapsed="false">
      <c r="A372" s="41"/>
    </row>
    <row r="373" customFormat="false" ht="13.8" hidden="false" customHeight="false" outlineLevel="0" collapsed="false">
      <c r="A373" s="41" t="s">
        <v>745</v>
      </c>
    </row>
    <row r="374" customFormat="false" ht="13.8" hidden="false" customHeight="false" outlineLevel="0" collapsed="false">
      <c r="A374" s="41" t="s">
        <v>746</v>
      </c>
    </row>
    <row r="375" customFormat="false" ht="13.8" hidden="false" customHeight="false" outlineLevel="0" collapsed="false">
      <c r="A375" s="41" t="s">
        <v>747</v>
      </c>
    </row>
    <row r="376" customFormat="false" ht="13.8" hidden="false" customHeight="false" outlineLevel="0" collapsed="false">
      <c r="A376" s="41" t="s">
        <v>748</v>
      </c>
    </row>
    <row r="377" customFormat="false" ht="13.8" hidden="false" customHeight="false" outlineLevel="0" collapsed="false">
      <c r="A377" s="41"/>
    </row>
    <row r="378" customFormat="false" ht="13.8" hidden="false" customHeight="false" outlineLevel="0" collapsed="false">
      <c r="A378" s="95" t="s">
        <v>749</v>
      </c>
      <c r="B378" s="54" t="s">
        <v>10</v>
      </c>
      <c r="C378" s="96"/>
      <c r="D378" s="97"/>
      <c r="E378" s="98"/>
      <c r="F378" s="98"/>
      <c r="G378" s="98"/>
      <c r="H378" s="98"/>
      <c r="I378" s="98"/>
      <c r="J378" s="98" t="s">
        <v>750</v>
      </c>
      <c r="K378" s="98"/>
      <c r="L378" s="98"/>
      <c r="M378" s="98"/>
      <c r="N378" s="98"/>
      <c r="O378" s="98"/>
      <c r="P378" s="98"/>
      <c r="Q378" s="98"/>
      <c r="R378" s="98"/>
      <c r="S378" s="98"/>
      <c r="T378" s="98"/>
      <c r="U378" s="98"/>
      <c r="V378" s="19"/>
      <c r="W378" s="19"/>
      <c r="X378" s="19"/>
      <c r="Y378" s="19"/>
    </row>
    <row r="379" customFormat="false" ht="13.8" hidden="false" customHeight="false" outlineLevel="0" collapsed="false">
      <c r="A379" s="45" t="s">
        <v>751</v>
      </c>
      <c r="B379" s="46"/>
      <c r="C379" s="46"/>
      <c r="D379" s="47"/>
      <c r="E379" s="45" t="s">
        <v>13</v>
      </c>
      <c r="F379" s="45" t="s">
        <v>752</v>
      </c>
      <c r="G379" s="45" t="n">
        <v>-1000</v>
      </c>
      <c r="H379" s="45" t="n">
        <v>1000</v>
      </c>
      <c r="I379" s="45" t="s">
        <v>15</v>
      </c>
      <c r="J379" s="45" t="s">
        <v>530</v>
      </c>
      <c r="K379" s="10"/>
      <c r="L379" s="19"/>
      <c r="M379" s="19"/>
      <c r="N379" s="19"/>
      <c r="O379" s="19"/>
      <c r="P379" s="19"/>
      <c r="Q379" s="19"/>
      <c r="R379" s="19"/>
      <c r="S379" s="19"/>
      <c r="T379" s="19"/>
      <c r="U379" s="19"/>
      <c r="V379" s="19"/>
      <c r="W379" s="19"/>
      <c r="X379" s="19"/>
      <c r="Y379" s="19"/>
    </row>
    <row r="380" customFormat="false" ht="13.8" hidden="false" customHeight="false" outlineLevel="0" collapsed="false">
      <c r="A380" s="45" t="s">
        <v>753</v>
      </c>
      <c r="B380" s="46"/>
      <c r="C380" s="46"/>
      <c r="D380" s="47"/>
      <c r="E380" s="45" t="s">
        <v>42</v>
      </c>
      <c r="F380" s="45" t="s">
        <v>43</v>
      </c>
      <c r="G380" s="45" t="n">
        <v>-1000</v>
      </c>
      <c r="H380" s="45" t="n">
        <v>1000</v>
      </c>
      <c r="I380" s="45" t="s">
        <v>15</v>
      </c>
      <c r="J380" s="45" t="s">
        <v>530</v>
      </c>
      <c r="K380" s="10"/>
      <c r="L380" s="19"/>
      <c r="M380" s="19"/>
      <c r="N380" s="19"/>
      <c r="O380" s="19"/>
      <c r="P380" s="19"/>
      <c r="Q380" s="19"/>
      <c r="R380" s="19"/>
      <c r="S380" s="19"/>
      <c r="T380" s="19"/>
      <c r="U380" s="19"/>
      <c r="V380" s="19"/>
      <c r="W380" s="19"/>
      <c r="X380" s="19"/>
      <c r="Y380" s="19"/>
    </row>
    <row r="381" customFormat="false" ht="13.8" hidden="false" customHeight="false" outlineLevel="0" collapsed="false">
      <c r="A381" s="45" t="s">
        <v>754</v>
      </c>
      <c r="B381" s="46"/>
      <c r="C381" s="46"/>
      <c r="D381" s="47"/>
      <c r="E381" s="45" t="s">
        <v>755</v>
      </c>
      <c r="F381" s="45" t="s">
        <v>756</v>
      </c>
      <c r="G381" s="45" t="n">
        <v>-1000</v>
      </c>
      <c r="H381" s="45" t="n">
        <v>1000</v>
      </c>
      <c r="I381" s="45" t="s">
        <v>15</v>
      </c>
      <c r="J381" s="45" t="s">
        <v>530</v>
      </c>
      <c r="K381" s="10"/>
      <c r="L381" s="19"/>
      <c r="M381" s="19"/>
      <c r="N381" s="19"/>
      <c r="O381" s="19"/>
      <c r="P381" s="19"/>
      <c r="Q381" s="19"/>
      <c r="R381" s="19"/>
      <c r="S381" s="19"/>
      <c r="T381" s="19"/>
      <c r="U381" s="19"/>
      <c r="V381" s="19"/>
      <c r="W381" s="19"/>
      <c r="X381" s="19"/>
      <c r="Y381" s="19"/>
    </row>
    <row r="382" customFormat="false" ht="13.8" hidden="false" customHeight="false" outlineLevel="0" collapsed="false">
      <c r="A382" s="16" t="s">
        <v>757</v>
      </c>
      <c r="B382" s="2" t="n">
        <f aca="false">-4-2+1</f>
        <v>-5</v>
      </c>
      <c r="C382" s="2" t="n">
        <f aca="false">-4-1</f>
        <v>-5</v>
      </c>
      <c r="D382" s="3" t="s">
        <v>68</v>
      </c>
      <c r="E382" s="1" t="s">
        <v>758</v>
      </c>
      <c r="F382" s="1" t="s">
        <v>759</v>
      </c>
      <c r="G382" s="1" t="n">
        <v>0</v>
      </c>
      <c r="H382" s="1" t="n">
        <v>1000</v>
      </c>
      <c r="J382" s="1" t="s">
        <v>760</v>
      </c>
      <c r="K382" s="10"/>
      <c r="L382" s="19"/>
      <c r="M382" s="19"/>
      <c r="N382" s="19"/>
      <c r="O382" s="19"/>
      <c r="P382" s="19"/>
      <c r="Q382" s="19"/>
      <c r="R382" s="19"/>
      <c r="S382" s="19"/>
      <c r="T382" s="19"/>
      <c r="U382" s="19"/>
      <c r="V382" s="19"/>
      <c r="W382" s="19"/>
      <c r="X382" s="19"/>
      <c r="Y382" s="19"/>
    </row>
    <row r="383" customFormat="false" ht="14.15" hidden="false" customHeight="false" outlineLevel="0" collapsed="false">
      <c r="A383" s="16" t="s">
        <v>761</v>
      </c>
      <c r="B383" s="17" t="n">
        <f aca="false">-4</f>
        <v>-4</v>
      </c>
      <c r="C383" s="17" t="n">
        <f aca="false">-1+-4+1</f>
        <v>-4</v>
      </c>
      <c r="D383" s="18" t="s">
        <v>68</v>
      </c>
      <c r="E383" s="19" t="s">
        <v>762</v>
      </c>
      <c r="F383" s="19" t="s">
        <v>763</v>
      </c>
      <c r="G383" s="19" t="n">
        <v>0</v>
      </c>
      <c r="H383" s="19" t="n">
        <v>1000</v>
      </c>
      <c r="I383" s="19"/>
      <c r="J383" s="1" t="s">
        <v>764</v>
      </c>
      <c r="K383" s="10"/>
      <c r="L383" s="19"/>
      <c r="M383" s="19"/>
      <c r="N383" s="19"/>
      <c r="O383" s="19"/>
      <c r="P383" s="19"/>
      <c r="Q383" s="19"/>
      <c r="R383" s="19"/>
      <c r="S383" s="19"/>
      <c r="T383" s="19"/>
      <c r="U383" s="19"/>
      <c r="V383" s="19"/>
      <c r="W383" s="19"/>
      <c r="X383" s="19"/>
      <c r="Y383" s="19"/>
    </row>
    <row r="384" customFormat="false" ht="13.8" hidden="false" customHeight="false" outlineLevel="0" collapsed="false">
      <c r="A384" s="16" t="s">
        <v>765</v>
      </c>
      <c r="B384" s="2" t="n">
        <f aca="false">-1-4-4+1</f>
        <v>-8</v>
      </c>
      <c r="C384" s="2" t="n">
        <f aca="false">-3-2-3</f>
        <v>-8</v>
      </c>
      <c r="D384" s="3" t="s">
        <v>68</v>
      </c>
      <c r="E384" s="1" t="s">
        <v>766</v>
      </c>
      <c r="F384" s="1" t="s">
        <v>767</v>
      </c>
      <c r="G384" s="1" t="n">
        <v>0</v>
      </c>
      <c r="H384" s="1" t="n">
        <v>1000</v>
      </c>
      <c r="I384" s="36"/>
      <c r="J384" s="1" t="s">
        <v>725</v>
      </c>
      <c r="K384" s="10"/>
      <c r="L384" s="19"/>
      <c r="M384" s="19"/>
      <c r="N384" s="19"/>
      <c r="O384" s="19"/>
      <c r="P384" s="19"/>
      <c r="Q384" s="19"/>
      <c r="R384" s="19"/>
      <c r="S384" s="19"/>
      <c r="T384" s="19"/>
      <c r="U384" s="19"/>
      <c r="V384" s="19"/>
      <c r="W384" s="19"/>
      <c r="X384" s="19"/>
      <c r="Y384" s="19"/>
    </row>
    <row r="385" customFormat="false" ht="13.8" hidden="false" customHeight="false" outlineLevel="0" collapsed="false">
      <c r="A385" s="25" t="s">
        <v>768</v>
      </c>
      <c r="B385" s="99" t="n">
        <f aca="false">-4-2+1</f>
        <v>-5</v>
      </c>
      <c r="C385" s="99" t="n">
        <f aca="false">-4-1</f>
        <v>-5</v>
      </c>
      <c r="D385" s="100" t="s">
        <v>68</v>
      </c>
      <c r="E385" s="53" t="s">
        <v>769</v>
      </c>
      <c r="F385" s="53" t="s">
        <v>770</v>
      </c>
      <c r="G385" s="1" t="n">
        <v>0</v>
      </c>
      <c r="H385" s="1" t="n">
        <v>1000</v>
      </c>
      <c r="I385" s="36"/>
      <c r="J385" s="1" t="s">
        <v>771</v>
      </c>
      <c r="K385" s="10"/>
      <c r="L385" s="19"/>
      <c r="M385" s="19"/>
      <c r="N385" s="19"/>
      <c r="O385" s="19"/>
      <c r="P385" s="19"/>
      <c r="Q385" s="19"/>
      <c r="R385" s="19"/>
      <c r="S385" s="19"/>
      <c r="T385" s="19"/>
      <c r="U385" s="19"/>
      <c r="V385" s="19"/>
      <c r="W385" s="19"/>
      <c r="X385" s="19"/>
      <c r="Y385" s="19"/>
    </row>
    <row r="386" customFormat="false" ht="13.8" hidden="false" customHeight="false" outlineLevel="0" collapsed="false">
      <c r="A386" s="1" t="s">
        <v>772</v>
      </c>
      <c r="B386" s="17"/>
      <c r="C386" s="17"/>
      <c r="D386" s="18"/>
      <c r="E386" s="19" t="s">
        <v>773</v>
      </c>
      <c r="F386" s="19" t="s">
        <v>774</v>
      </c>
      <c r="G386" s="19" t="n">
        <v>-1000</v>
      </c>
      <c r="H386" s="19" t="n">
        <v>1000</v>
      </c>
      <c r="I386" s="2"/>
      <c r="J386" s="1" t="s">
        <v>775</v>
      </c>
      <c r="K386" s="10"/>
      <c r="L386" s="19"/>
      <c r="M386" s="19"/>
      <c r="N386" s="19"/>
      <c r="O386" s="19"/>
      <c r="P386" s="19"/>
      <c r="Q386" s="19"/>
      <c r="R386" s="19"/>
      <c r="S386" s="19"/>
      <c r="T386" s="19"/>
      <c r="U386" s="19"/>
      <c r="V386" s="19"/>
      <c r="W386" s="19"/>
      <c r="X386" s="19"/>
      <c r="Y386" s="19"/>
    </row>
    <row r="387" customFormat="false" ht="13.8" hidden="false" customHeight="false" outlineLevel="0" collapsed="false">
      <c r="A387" s="21" t="s">
        <v>776</v>
      </c>
      <c r="B387" s="37"/>
      <c r="C387" s="37"/>
      <c r="D387" s="38"/>
      <c r="E387" s="21" t="s">
        <v>777</v>
      </c>
      <c r="F387" s="21" t="s">
        <v>778</v>
      </c>
      <c r="G387" s="22" t="n">
        <v>-1000</v>
      </c>
      <c r="H387" s="22" t="n">
        <v>1000</v>
      </c>
      <c r="I387" s="22"/>
      <c r="J387" s="22" t="s">
        <v>779</v>
      </c>
      <c r="L387" s="19"/>
      <c r="M387" s="19"/>
      <c r="N387" s="19"/>
      <c r="O387" s="19"/>
      <c r="P387" s="19"/>
      <c r="Q387" s="19"/>
      <c r="R387" s="19"/>
      <c r="S387" s="19"/>
      <c r="T387" s="19"/>
      <c r="U387" s="19"/>
      <c r="V387" s="19"/>
      <c r="W387" s="19"/>
      <c r="X387" s="19"/>
      <c r="Y387" s="19"/>
    </row>
    <row r="388" customFormat="false" ht="13.8" hidden="true" customHeight="false" outlineLevel="0" collapsed="false">
      <c r="A388" s="21" t="s">
        <v>780</v>
      </c>
      <c r="B388" s="37"/>
      <c r="C388" s="37"/>
      <c r="D388" s="38"/>
      <c r="E388" s="21" t="s">
        <v>781</v>
      </c>
      <c r="F388" s="21" t="s">
        <v>782</v>
      </c>
      <c r="G388" s="22" t="n">
        <v>-1000</v>
      </c>
      <c r="H388" s="22" t="n">
        <v>1000</v>
      </c>
      <c r="I388" s="22"/>
      <c r="J388" s="22" t="s">
        <v>779</v>
      </c>
      <c r="K388" s="19"/>
      <c r="L388" s="19"/>
      <c r="M388" s="19"/>
      <c r="N388" s="19"/>
      <c r="O388" s="19"/>
      <c r="P388" s="19"/>
      <c r="Q388" s="19"/>
      <c r="R388" s="19"/>
      <c r="S388" s="19"/>
      <c r="T388" s="19"/>
      <c r="U388" s="19"/>
      <c r="V388" s="19"/>
      <c r="W388" s="19"/>
      <c r="X388" s="19"/>
      <c r="Y388" s="19"/>
    </row>
    <row r="389" customFormat="false" ht="14.15" hidden="false" customHeight="false" outlineLevel="0" collapsed="false">
      <c r="A389" s="21" t="s">
        <v>783</v>
      </c>
      <c r="B389" s="37"/>
      <c r="C389" s="37"/>
      <c r="D389" s="38"/>
      <c r="E389" s="21" t="s">
        <v>784</v>
      </c>
      <c r="F389" s="21" t="s">
        <v>785</v>
      </c>
      <c r="G389" s="21" t="n">
        <v>0</v>
      </c>
      <c r="H389" s="21" t="n">
        <v>1000</v>
      </c>
      <c r="I389" s="22"/>
      <c r="J389" s="22"/>
      <c r="K389" s="19"/>
      <c r="L389" s="19"/>
      <c r="M389" s="19"/>
      <c r="N389" s="19"/>
      <c r="O389" s="19"/>
      <c r="P389" s="19"/>
      <c r="Q389" s="19"/>
      <c r="R389" s="19"/>
      <c r="S389" s="19"/>
      <c r="T389" s="19"/>
      <c r="U389" s="19"/>
      <c r="V389" s="19"/>
      <c r="W389" s="19"/>
      <c r="X389" s="19"/>
      <c r="Y389" s="19"/>
    </row>
    <row r="390" customFormat="false" ht="13.8" hidden="false" customHeight="false" outlineLevel="0" collapsed="false">
      <c r="A390" s="21" t="s">
        <v>786</v>
      </c>
      <c r="B390" s="17"/>
      <c r="C390" s="17"/>
      <c r="D390" s="18"/>
      <c r="E390" s="19"/>
      <c r="F390" s="19"/>
      <c r="G390" s="19"/>
      <c r="H390" s="19"/>
      <c r="I390" s="19"/>
      <c r="J390" s="19"/>
      <c r="K390" s="19"/>
      <c r="L390" s="19"/>
      <c r="M390" s="19"/>
      <c r="N390" s="19"/>
      <c r="O390" s="19"/>
      <c r="P390" s="19"/>
      <c r="Q390" s="19"/>
      <c r="R390" s="19"/>
      <c r="S390" s="19"/>
      <c r="T390" s="19"/>
      <c r="U390" s="19"/>
      <c r="V390" s="19"/>
      <c r="W390" s="19"/>
      <c r="X390" s="19"/>
      <c r="Y390" s="19"/>
    </row>
    <row r="391" customFormat="false" ht="13.8" hidden="false" customHeight="false" outlineLevel="0" collapsed="false">
      <c r="A391" s="16"/>
      <c r="B391" s="17"/>
      <c r="C391" s="17"/>
      <c r="D391" s="18"/>
      <c r="E391" s="19"/>
      <c r="F391" s="19"/>
      <c r="G391" s="19"/>
      <c r="H391" s="19"/>
      <c r="I391" s="19"/>
      <c r="J391" s="19"/>
      <c r="K391" s="19"/>
      <c r="L391" s="19"/>
      <c r="M391" s="19"/>
      <c r="N391" s="19"/>
      <c r="O391" s="19"/>
      <c r="P391" s="19"/>
      <c r="Q391" s="19"/>
      <c r="R391" s="19"/>
      <c r="S391" s="19"/>
      <c r="T391" s="19"/>
      <c r="U391" s="19"/>
      <c r="V391" s="19"/>
      <c r="W391" s="19"/>
      <c r="X391" s="19"/>
      <c r="Y391" s="19"/>
    </row>
    <row r="392" customFormat="false" ht="13.8" hidden="false" customHeight="false" outlineLevel="0" collapsed="false">
      <c r="A392" s="41" t="s">
        <v>787</v>
      </c>
      <c r="B392" s="17"/>
      <c r="C392" s="17"/>
      <c r="D392" s="18"/>
      <c r="E392" s="19"/>
      <c r="F392" s="19"/>
      <c r="G392" s="19"/>
      <c r="H392" s="19"/>
      <c r="I392" s="19"/>
      <c r="J392" s="19"/>
      <c r="K392" s="19"/>
      <c r="L392" s="19"/>
      <c r="M392" s="19"/>
      <c r="N392" s="19"/>
      <c r="O392" s="19"/>
      <c r="P392" s="19"/>
      <c r="Q392" s="19"/>
      <c r="R392" s="19"/>
      <c r="S392" s="19"/>
      <c r="T392" s="19"/>
      <c r="U392" s="19"/>
      <c r="V392" s="19"/>
      <c r="W392" s="19"/>
      <c r="X392" s="19"/>
      <c r="Y392" s="19"/>
    </row>
    <row r="393" customFormat="false" ht="13.8" hidden="false" customHeight="false" outlineLevel="0" collapsed="false">
      <c r="A393" s="41" t="s">
        <v>788</v>
      </c>
      <c r="B393" s="17"/>
      <c r="C393" s="17"/>
      <c r="D393" s="18"/>
      <c r="E393" s="19"/>
      <c r="F393" s="19"/>
      <c r="G393" s="19"/>
      <c r="H393" s="19"/>
      <c r="I393" s="19"/>
      <c r="J393" s="19"/>
      <c r="K393" s="19"/>
      <c r="L393" s="19"/>
      <c r="M393" s="19"/>
      <c r="N393" s="19"/>
      <c r="O393" s="19"/>
      <c r="P393" s="19"/>
      <c r="Q393" s="19"/>
      <c r="R393" s="19"/>
      <c r="S393" s="19"/>
      <c r="T393" s="19"/>
      <c r="U393" s="19"/>
      <c r="V393" s="19"/>
      <c r="W393" s="19"/>
      <c r="X393" s="19"/>
      <c r="Y393" s="19"/>
    </row>
    <row r="394" customFormat="false" ht="13.8" hidden="false" customHeight="false" outlineLevel="0" collapsed="false">
      <c r="A394" s="41" t="s">
        <v>789</v>
      </c>
      <c r="B394" s="17"/>
      <c r="C394" s="17"/>
      <c r="D394" s="18"/>
      <c r="E394" s="19"/>
      <c r="F394" s="19"/>
      <c r="G394" s="19"/>
      <c r="H394" s="19"/>
      <c r="I394" s="19"/>
      <c r="J394" s="19"/>
      <c r="K394" s="19"/>
      <c r="L394" s="19"/>
      <c r="M394" s="19"/>
      <c r="N394" s="19"/>
      <c r="O394" s="19"/>
      <c r="P394" s="19"/>
      <c r="Q394" s="19"/>
      <c r="R394" s="19"/>
      <c r="S394" s="19"/>
      <c r="T394" s="19"/>
      <c r="U394" s="19"/>
      <c r="V394" s="19"/>
      <c r="W394" s="19"/>
      <c r="X394" s="19"/>
      <c r="Y394" s="19"/>
    </row>
    <row r="395" customFormat="false" ht="13.8" hidden="false" customHeight="false" outlineLevel="0" collapsed="false">
      <c r="A395" s="16"/>
      <c r="B395" s="17"/>
      <c r="C395" s="17"/>
      <c r="D395" s="18"/>
      <c r="E395" s="19"/>
      <c r="F395" s="19"/>
      <c r="G395" s="19"/>
      <c r="H395" s="19"/>
      <c r="I395" s="19"/>
      <c r="J395" s="19"/>
      <c r="K395" s="19"/>
      <c r="L395" s="19"/>
      <c r="M395" s="19"/>
      <c r="N395" s="19"/>
      <c r="O395" s="19"/>
      <c r="P395" s="19"/>
      <c r="Q395" s="19"/>
      <c r="R395" s="19"/>
      <c r="S395" s="19"/>
      <c r="T395" s="19"/>
      <c r="U395" s="19"/>
      <c r="V395" s="19"/>
      <c r="W395" s="19"/>
      <c r="X395" s="19"/>
      <c r="Y395" s="19"/>
    </row>
    <row r="396" customFormat="false" ht="13.8" hidden="false" customHeight="false" outlineLevel="0" collapsed="false">
      <c r="A396" s="95" t="s">
        <v>790</v>
      </c>
      <c r="B396" s="54" t="s">
        <v>10</v>
      </c>
      <c r="C396" s="96"/>
      <c r="D396" s="97"/>
      <c r="E396" s="98"/>
      <c r="F396" s="98"/>
      <c r="G396" s="98"/>
      <c r="H396" s="98"/>
      <c r="I396" s="98"/>
      <c r="J396" s="98" t="s">
        <v>791</v>
      </c>
      <c r="K396" s="98"/>
      <c r="L396" s="98"/>
      <c r="M396" s="98"/>
      <c r="N396" s="98"/>
      <c r="O396" s="98"/>
      <c r="P396" s="98"/>
      <c r="Q396" s="98"/>
      <c r="R396" s="98"/>
      <c r="S396" s="98"/>
      <c r="T396" s="98"/>
      <c r="U396" s="98"/>
      <c r="V396" s="19"/>
      <c r="W396" s="19"/>
      <c r="X396" s="19"/>
      <c r="Y396" s="19"/>
    </row>
    <row r="397" customFormat="false" ht="13.8" hidden="false" customHeight="false" outlineLevel="0" collapsed="false">
      <c r="A397" s="31" t="s">
        <v>212</v>
      </c>
      <c r="B397" s="42"/>
      <c r="C397" s="42"/>
      <c r="D397" s="43"/>
      <c r="E397" s="10"/>
      <c r="F397" s="10"/>
      <c r="G397" s="10"/>
      <c r="H397" s="10"/>
      <c r="I397" s="10"/>
      <c r="J397" s="31" t="s">
        <v>213</v>
      </c>
      <c r="K397" s="19"/>
      <c r="L397" s="19"/>
      <c r="M397" s="19"/>
      <c r="N397" s="19"/>
      <c r="O397" s="19"/>
      <c r="P397" s="19"/>
      <c r="Q397" s="19"/>
      <c r="R397" s="19"/>
      <c r="S397" s="19"/>
      <c r="T397" s="19"/>
      <c r="U397" s="19"/>
      <c r="V397" s="19"/>
      <c r="W397" s="19"/>
      <c r="X397" s="19"/>
      <c r="Y397" s="19"/>
    </row>
    <row r="398" customFormat="false" ht="13.8" hidden="false" customHeight="false" outlineLevel="0" collapsed="false">
      <c r="A398" s="60" t="s">
        <v>214</v>
      </c>
      <c r="B398" s="61"/>
      <c r="C398" s="61"/>
      <c r="D398" s="62"/>
      <c r="E398" s="60" t="s">
        <v>215</v>
      </c>
      <c r="F398" s="60" t="s">
        <v>216</v>
      </c>
      <c r="G398" s="60" t="n">
        <v>0</v>
      </c>
      <c r="H398" s="60" t="n">
        <v>1000</v>
      </c>
      <c r="I398" s="60" t="s">
        <v>15</v>
      </c>
      <c r="J398" s="60" t="s">
        <v>217</v>
      </c>
      <c r="K398" s="19"/>
      <c r="L398" s="19"/>
      <c r="M398" s="19"/>
      <c r="N398" s="19"/>
      <c r="O398" s="19"/>
      <c r="P398" s="19"/>
      <c r="Q398" s="19"/>
      <c r="R398" s="19"/>
      <c r="S398" s="19"/>
      <c r="T398" s="19"/>
      <c r="U398" s="19"/>
      <c r="V398" s="19"/>
      <c r="W398" s="19"/>
      <c r="X398" s="19"/>
      <c r="Y398" s="19"/>
    </row>
    <row r="399" customFormat="false" ht="13.8" hidden="false" customHeight="false" outlineLevel="0" collapsed="false">
      <c r="A399" s="10" t="s">
        <v>792</v>
      </c>
      <c r="B399" s="42"/>
      <c r="C399" s="42"/>
      <c r="D399" s="43"/>
      <c r="E399" s="10" t="s">
        <v>793</v>
      </c>
      <c r="F399" s="10" t="s">
        <v>794</v>
      </c>
      <c r="G399" s="10" t="n">
        <v>0</v>
      </c>
      <c r="H399" s="10" t="n">
        <v>1000</v>
      </c>
      <c r="I399" s="63"/>
      <c r="J399" s="10"/>
      <c r="K399" s="19"/>
      <c r="L399" s="19"/>
      <c r="M399" s="19"/>
      <c r="N399" s="19"/>
      <c r="O399" s="19"/>
      <c r="P399" s="19"/>
      <c r="Q399" s="19"/>
      <c r="R399" s="19"/>
      <c r="S399" s="19"/>
      <c r="T399" s="19"/>
      <c r="U399" s="19"/>
      <c r="V399" s="19"/>
      <c r="W399" s="19"/>
      <c r="X399" s="19"/>
      <c r="Y399" s="19"/>
    </row>
    <row r="400" customFormat="false" ht="13.8" hidden="false" customHeight="false" outlineLevel="0" collapsed="false">
      <c r="A400" s="16" t="s">
        <v>795</v>
      </c>
      <c r="B400" s="17"/>
      <c r="C400" s="17"/>
      <c r="D400" s="18"/>
      <c r="E400" s="19" t="s">
        <v>796</v>
      </c>
      <c r="F400" s="19" t="s">
        <v>797</v>
      </c>
      <c r="G400" s="19" t="n">
        <v>0</v>
      </c>
      <c r="H400" s="19" t="n">
        <v>1000</v>
      </c>
      <c r="I400" s="63"/>
      <c r="J400" s="19" t="s">
        <v>798</v>
      </c>
      <c r="K400" s="19"/>
      <c r="L400" s="19"/>
      <c r="M400" s="19"/>
      <c r="N400" s="19"/>
      <c r="O400" s="19"/>
      <c r="P400" s="19"/>
      <c r="Q400" s="19"/>
      <c r="R400" s="19"/>
      <c r="S400" s="19"/>
      <c r="T400" s="19"/>
      <c r="U400" s="19"/>
      <c r="V400" s="19"/>
      <c r="W400" s="19"/>
      <c r="X400" s="19"/>
      <c r="Y400" s="19"/>
    </row>
    <row r="401" customFormat="false" ht="13.8" hidden="false" customHeight="false" outlineLevel="0" collapsed="false">
      <c r="A401" s="16" t="s">
        <v>799</v>
      </c>
      <c r="B401" s="17"/>
      <c r="C401" s="17"/>
      <c r="D401" s="18"/>
      <c r="E401" s="19" t="s">
        <v>800</v>
      </c>
      <c r="F401" s="19" t="s">
        <v>801</v>
      </c>
      <c r="G401" s="19" t="n">
        <v>0</v>
      </c>
      <c r="H401" s="19" t="n">
        <v>1000</v>
      </c>
      <c r="I401" s="63"/>
      <c r="J401" s="19" t="s">
        <v>802</v>
      </c>
      <c r="K401" s="19"/>
      <c r="L401" s="19"/>
      <c r="M401" s="19"/>
      <c r="N401" s="19"/>
      <c r="O401" s="19"/>
      <c r="P401" s="19"/>
      <c r="Q401" s="19"/>
      <c r="R401" s="19"/>
      <c r="S401" s="19"/>
      <c r="T401" s="19"/>
      <c r="U401" s="19"/>
      <c r="V401" s="19"/>
      <c r="W401" s="19"/>
      <c r="X401" s="19"/>
      <c r="Y401" s="19"/>
    </row>
    <row r="402" customFormat="false" ht="13.8" hidden="false" customHeight="false" outlineLevel="0" collapsed="false">
      <c r="A402" s="16" t="s">
        <v>803</v>
      </c>
      <c r="B402" s="17"/>
      <c r="C402" s="17"/>
      <c r="D402" s="18"/>
      <c r="E402" s="19" t="s">
        <v>804</v>
      </c>
      <c r="F402" s="10" t="s">
        <v>805</v>
      </c>
      <c r="G402" s="10" t="n">
        <v>0</v>
      </c>
      <c r="H402" s="10" t="n">
        <v>1000</v>
      </c>
      <c r="I402" s="63"/>
      <c r="J402" s="10" t="s">
        <v>221</v>
      </c>
      <c r="K402" s="19"/>
      <c r="L402" s="19"/>
      <c r="M402" s="19"/>
      <c r="N402" s="19"/>
      <c r="O402" s="19"/>
      <c r="P402" s="19"/>
      <c r="Q402" s="19"/>
      <c r="R402" s="19"/>
      <c r="S402" s="19"/>
      <c r="T402" s="19"/>
      <c r="U402" s="19"/>
      <c r="V402" s="19"/>
      <c r="W402" s="19"/>
      <c r="X402" s="19"/>
      <c r="Y402" s="19"/>
    </row>
    <row r="403" customFormat="false" ht="13.8" hidden="false" customHeight="false" outlineLevel="0" collapsed="false">
      <c r="A403" s="16" t="s">
        <v>772</v>
      </c>
      <c r="B403" s="17"/>
      <c r="C403" s="17"/>
      <c r="D403" s="18"/>
      <c r="E403" s="19" t="s">
        <v>773</v>
      </c>
      <c r="F403" s="19" t="s">
        <v>774</v>
      </c>
      <c r="G403" s="1" t="n">
        <v>0</v>
      </c>
      <c r="H403" s="1" t="n">
        <v>1000</v>
      </c>
      <c r="I403" s="0"/>
      <c r="J403" s="19" t="s">
        <v>806</v>
      </c>
      <c r="K403" s="19"/>
      <c r="L403" s="19"/>
      <c r="M403" s="19"/>
      <c r="N403" s="19"/>
      <c r="O403" s="19"/>
      <c r="P403" s="19"/>
      <c r="Q403" s="19"/>
      <c r="R403" s="19"/>
      <c r="S403" s="19"/>
      <c r="T403" s="19"/>
      <c r="U403" s="19"/>
      <c r="V403" s="19"/>
      <c r="W403" s="19"/>
      <c r="X403" s="19"/>
      <c r="Y403" s="19"/>
    </row>
    <row r="404" customFormat="false" ht="13.8" hidden="false" customHeight="false" outlineLevel="0" collapsed="false">
      <c r="A404" s="21" t="s">
        <v>776</v>
      </c>
      <c r="B404" s="37"/>
      <c r="C404" s="37"/>
      <c r="D404" s="38"/>
      <c r="E404" s="21" t="s">
        <v>777</v>
      </c>
      <c r="F404" s="21" t="s">
        <v>778</v>
      </c>
      <c r="G404" s="22" t="n">
        <v>-1000</v>
      </c>
      <c r="H404" s="22" t="n">
        <v>1000</v>
      </c>
      <c r="I404" s="22"/>
      <c r="J404" s="22" t="s">
        <v>779</v>
      </c>
      <c r="K404" s="19"/>
      <c r="L404" s="19"/>
      <c r="M404" s="19"/>
      <c r="N404" s="19"/>
      <c r="O404" s="19"/>
      <c r="P404" s="19"/>
      <c r="Q404" s="19"/>
      <c r="R404" s="19"/>
      <c r="S404" s="19"/>
      <c r="T404" s="19"/>
      <c r="U404" s="19"/>
      <c r="V404" s="19"/>
      <c r="W404" s="19"/>
      <c r="X404" s="19"/>
      <c r="Y404" s="19"/>
    </row>
    <row r="405" customFormat="false" ht="13.8" hidden="false" customHeight="false" outlineLevel="0" collapsed="false">
      <c r="A405" s="21" t="s">
        <v>780</v>
      </c>
      <c r="B405" s="37"/>
      <c r="C405" s="37"/>
      <c r="D405" s="38"/>
      <c r="E405" s="21" t="s">
        <v>781</v>
      </c>
      <c r="F405" s="21" t="s">
        <v>782</v>
      </c>
      <c r="G405" s="22" t="n">
        <v>-1000</v>
      </c>
      <c r="H405" s="22" t="n">
        <v>1000</v>
      </c>
      <c r="I405" s="22"/>
      <c r="J405" s="22" t="s">
        <v>779</v>
      </c>
      <c r="K405" s="19"/>
      <c r="L405" s="19"/>
      <c r="M405" s="19"/>
      <c r="N405" s="19"/>
      <c r="O405" s="19"/>
      <c r="P405" s="19"/>
      <c r="Q405" s="19"/>
      <c r="R405" s="19"/>
      <c r="S405" s="19"/>
      <c r="T405" s="19"/>
      <c r="U405" s="19"/>
      <c r="V405" s="19"/>
      <c r="W405" s="19"/>
      <c r="X405" s="19"/>
      <c r="Y405" s="19"/>
    </row>
    <row r="406" customFormat="false" ht="13.8" hidden="false" customHeight="false" outlineLevel="0" collapsed="false">
      <c r="A406" s="21" t="s">
        <v>783</v>
      </c>
      <c r="B406" s="37"/>
      <c r="C406" s="37"/>
      <c r="D406" s="38"/>
      <c r="E406" s="21" t="s">
        <v>784</v>
      </c>
      <c r="F406" s="21" t="s">
        <v>785</v>
      </c>
      <c r="G406" s="21" t="n">
        <v>0</v>
      </c>
      <c r="H406" s="21" t="n">
        <v>1000</v>
      </c>
      <c r="I406" s="22"/>
      <c r="J406" s="22" t="s">
        <v>779</v>
      </c>
      <c r="K406" s="19"/>
      <c r="L406" s="19"/>
      <c r="M406" s="19"/>
      <c r="N406" s="19"/>
      <c r="O406" s="19"/>
      <c r="P406" s="19"/>
      <c r="Q406" s="19"/>
      <c r="R406" s="19"/>
      <c r="S406" s="19"/>
      <c r="T406" s="19"/>
      <c r="U406" s="19"/>
      <c r="V406" s="19"/>
      <c r="W406" s="19"/>
      <c r="X406" s="19"/>
      <c r="Y406" s="19"/>
    </row>
    <row r="407" customFormat="false" ht="13.8" hidden="false" customHeight="false" outlineLevel="0" collapsed="false">
      <c r="A407" s="21" t="s">
        <v>786</v>
      </c>
      <c r="B407" s="17"/>
      <c r="C407" s="17"/>
      <c r="D407" s="18"/>
      <c r="E407" s="19"/>
      <c r="F407" s="19"/>
      <c r="G407" s="19"/>
      <c r="H407" s="19"/>
      <c r="I407" s="19"/>
      <c r="J407" s="19"/>
      <c r="K407" s="19"/>
      <c r="L407" s="19"/>
      <c r="M407" s="19"/>
      <c r="N407" s="19"/>
      <c r="O407" s="19"/>
      <c r="P407" s="19"/>
      <c r="Q407" s="19"/>
      <c r="R407" s="19"/>
      <c r="S407" s="19"/>
      <c r="T407" s="19"/>
      <c r="U407" s="19"/>
      <c r="V407" s="19"/>
      <c r="W407" s="19"/>
      <c r="X407" s="19"/>
      <c r="Y407" s="19"/>
    </row>
    <row r="408" customFormat="false" ht="13.8" hidden="false" customHeight="false" outlineLevel="0" collapsed="false">
      <c r="A408" s="16"/>
      <c r="B408" s="17"/>
      <c r="C408" s="17"/>
      <c r="D408" s="18"/>
      <c r="E408" s="19"/>
      <c r="F408" s="19"/>
      <c r="G408" s="19"/>
      <c r="H408" s="19"/>
      <c r="I408" s="19"/>
      <c r="J408" s="19"/>
      <c r="K408" s="19"/>
      <c r="L408" s="19"/>
      <c r="M408" s="19"/>
      <c r="N408" s="19"/>
      <c r="O408" s="19"/>
      <c r="P408" s="19"/>
      <c r="Q408" s="19"/>
      <c r="R408" s="19"/>
      <c r="S408" s="19"/>
      <c r="T408" s="19"/>
      <c r="U408" s="19"/>
      <c r="V408" s="19"/>
      <c r="W408" s="19"/>
      <c r="X408" s="19"/>
      <c r="Y408" s="19"/>
    </row>
    <row r="409" customFormat="false" ht="13.8" hidden="false" customHeight="false" outlineLevel="0" collapsed="false">
      <c r="A409" s="41" t="s">
        <v>807</v>
      </c>
      <c r="B409" s="17"/>
      <c r="C409" s="17"/>
      <c r="D409" s="18"/>
      <c r="E409" s="19"/>
      <c r="F409" s="19"/>
      <c r="G409" s="19"/>
      <c r="H409" s="19"/>
      <c r="I409" s="19"/>
      <c r="J409" s="19"/>
      <c r="K409" s="19"/>
      <c r="L409" s="19"/>
      <c r="M409" s="19"/>
      <c r="N409" s="19"/>
      <c r="O409" s="19"/>
      <c r="P409" s="19"/>
      <c r="Q409" s="19"/>
      <c r="R409" s="19"/>
      <c r="S409" s="19"/>
      <c r="T409" s="19"/>
      <c r="U409" s="19"/>
      <c r="V409" s="19"/>
      <c r="W409" s="19"/>
      <c r="X409" s="19"/>
      <c r="Y409" s="19"/>
    </row>
    <row r="410" customFormat="false" ht="13.8" hidden="false" customHeight="false" outlineLevel="0" collapsed="false">
      <c r="A410" s="41" t="s">
        <v>226</v>
      </c>
      <c r="B410" s="17"/>
      <c r="C410" s="17"/>
      <c r="D410" s="18"/>
      <c r="E410" s="19"/>
      <c r="F410" s="19"/>
      <c r="G410" s="19"/>
      <c r="H410" s="19"/>
      <c r="I410" s="19"/>
      <c r="J410" s="19"/>
      <c r="K410" s="19"/>
      <c r="L410" s="19"/>
      <c r="M410" s="19"/>
      <c r="N410" s="19"/>
      <c r="O410" s="19"/>
      <c r="P410" s="19"/>
      <c r="Q410" s="19"/>
      <c r="R410" s="19"/>
      <c r="S410" s="19"/>
      <c r="T410" s="19"/>
      <c r="U410" s="19"/>
      <c r="V410" s="19"/>
      <c r="W410" s="19"/>
      <c r="X410" s="19"/>
      <c r="Y410" s="19"/>
    </row>
    <row r="411" customFormat="false" ht="13.8" hidden="false" customHeight="false" outlineLevel="0" collapsed="false">
      <c r="A411" s="41" t="s">
        <v>808</v>
      </c>
      <c r="B411" s="17"/>
      <c r="C411" s="17"/>
      <c r="D411" s="18"/>
      <c r="E411" s="19"/>
      <c r="F411" s="19"/>
      <c r="G411" s="19"/>
      <c r="H411" s="19"/>
      <c r="I411" s="19"/>
      <c r="J411" s="19"/>
      <c r="K411" s="19"/>
      <c r="L411" s="19"/>
      <c r="M411" s="19"/>
      <c r="N411" s="19"/>
      <c r="O411" s="19"/>
      <c r="P411" s="19"/>
      <c r="Q411" s="19"/>
      <c r="R411" s="19"/>
      <c r="S411" s="19"/>
      <c r="T411" s="19"/>
      <c r="U411" s="19"/>
      <c r="V411" s="19"/>
      <c r="W411" s="19"/>
      <c r="X411" s="19"/>
      <c r="Y411" s="19"/>
    </row>
    <row r="412" customFormat="false" ht="13.8" hidden="false" customHeight="false" outlineLevel="0" collapsed="false">
      <c r="A412" s="41"/>
    </row>
    <row r="413" s="9" customFormat="true" ht="13.8" hidden="false" customHeight="false" outlineLevel="0" collapsed="false">
      <c r="A413" s="6" t="s">
        <v>809</v>
      </c>
      <c r="B413" s="54" t="s">
        <v>10</v>
      </c>
      <c r="C413" s="101"/>
      <c r="D413" s="102"/>
      <c r="E413" s="8"/>
      <c r="F413" s="8"/>
      <c r="J413" s="9" t="s">
        <v>810</v>
      </c>
    </row>
    <row r="414" s="10" customFormat="true" ht="13.8" hidden="false" customHeight="false" outlineLevel="0" collapsed="false">
      <c r="A414" s="45" t="s">
        <v>624</v>
      </c>
      <c r="B414" s="46"/>
      <c r="C414" s="46"/>
      <c r="D414" s="47"/>
      <c r="E414" s="45" t="s">
        <v>13</v>
      </c>
      <c r="F414" s="45" t="s">
        <v>420</v>
      </c>
      <c r="G414" s="45" t="n">
        <v>-1000</v>
      </c>
      <c r="H414" s="45" t="n">
        <v>1000</v>
      </c>
      <c r="I414" s="45" t="s">
        <v>15</v>
      </c>
      <c r="J414" s="45" t="s">
        <v>530</v>
      </c>
    </row>
    <row r="415" s="10" customFormat="true" ht="13.8" hidden="false" customHeight="false" outlineLevel="0" collapsed="false">
      <c r="A415" s="45" t="s">
        <v>753</v>
      </c>
      <c r="B415" s="46"/>
      <c r="C415" s="46"/>
      <c r="D415" s="47"/>
      <c r="E415" s="45" t="s">
        <v>42</v>
      </c>
      <c r="F415" s="45" t="s">
        <v>43</v>
      </c>
      <c r="G415" s="45" t="n">
        <v>-1000</v>
      </c>
      <c r="H415" s="45" t="n">
        <v>1000</v>
      </c>
      <c r="I415" s="45" t="s">
        <v>15</v>
      </c>
      <c r="J415" s="45" t="s">
        <v>530</v>
      </c>
    </row>
    <row r="416" s="10" customFormat="true" ht="13.8" hidden="false" customHeight="false" outlineLevel="0" collapsed="false">
      <c r="A416" s="45" t="s">
        <v>754</v>
      </c>
      <c r="B416" s="46"/>
      <c r="C416" s="46"/>
      <c r="D416" s="47"/>
      <c r="E416" s="45" t="s">
        <v>755</v>
      </c>
      <c r="F416" s="45" t="s">
        <v>756</v>
      </c>
      <c r="G416" s="45" t="n">
        <v>-1000</v>
      </c>
      <c r="H416" s="45" t="n">
        <v>1000</v>
      </c>
      <c r="I416" s="45" t="s">
        <v>15</v>
      </c>
      <c r="J416" s="45" t="s">
        <v>530</v>
      </c>
    </row>
    <row r="417" s="10" customFormat="true" ht="13.8" hidden="false" customHeight="false" outlineLevel="0" collapsed="false">
      <c r="A417" s="45" t="s">
        <v>811</v>
      </c>
      <c r="B417" s="46"/>
      <c r="C417" s="46"/>
      <c r="D417" s="47"/>
      <c r="E417" s="45" t="s">
        <v>812</v>
      </c>
      <c r="F417" s="45" t="s">
        <v>759</v>
      </c>
      <c r="G417" s="45" t="n">
        <v>-1000</v>
      </c>
      <c r="H417" s="45" t="n">
        <v>1000</v>
      </c>
      <c r="I417" s="45" t="s">
        <v>15</v>
      </c>
      <c r="J417" s="45" t="s">
        <v>530</v>
      </c>
    </row>
    <row r="418" s="10" customFormat="true" ht="13.8" hidden="false" customHeight="false" outlineLevel="0" collapsed="false">
      <c r="A418" s="16" t="s">
        <v>757</v>
      </c>
      <c r="B418" s="2" t="n">
        <f aca="false">-4-2+1</f>
        <v>-5</v>
      </c>
      <c r="C418" s="2" t="n">
        <f aca="false">-4-1</f>
        <v>-5</v>
      </c>
      <c r="D418" s="3" t="s">
        <v>68</v>
      </c>
      <c r="E418" s="1" t="s">
        <v>758</v>
      </c>
      <c r="F418" s="1" t="s">
        <v>759</v>
      </c>
      <c r="G418" s="1" t="n">
        <v>0</v>
      </c>
      <c r="H418" s="1" t="n">
        <v>1000</v>
      </c>
      <c r="I418" s="1"/>
      <c r="J418" s="1" t="s">
        <v>760</v>
      </c>
    </row>
    <row r="419" s="10" customFormat="true" ht="13.8" hidden="false" customHeight="false" outlineLevel="0" collapsed="false">
      <c r="A419" s="103" t="s">
        <v>813</v>
      </c>
      <c r="B419" s="104"/>
      <c r="C419" s="104"/>
      <c r="D419" s="105"/>
      <c r="E419" s="70" t="s">
        <v>814</v>
      </c>
      <c r="F419" s="48" t="s">
        <v>815</v>
      </c>
      <c r="G419" s="103" t="n">
        <v>-1000</v>
      </c>
      <c r="H419" s="48" t="n">
        <v>1000</v>
      </c>
      <c r="I419" s="45" t="s">
        <v>15</v>
      </c>
      <c r="J419" s="48" t="s">
        <v>816</v>
      </c>
      <c r="K419" s="1"/>
      <c r="L419" s="1"/>
      <c r="M419" s="1"/>
      <c r="N419" s="1"/>
      <c r="O419" s="1"/>
      <c r="P419" s="1"/>
      <c r="Q419" s="1"/>
      <c r="R419" s="1"/>
    </row>
    <row r="420" customFormat="false" ht="14.3" hidden="false" customHeight="false" outlineLevel="0" collapsed="false">
      <c r="A420" s="1" t="s">
        <v>817</v>
      </c>
      <c r="B420" s="79" t="n">
        <f aca="false">-4</f>
        <v>-4</v>
      </c>
      <c r="C420" s="79" t="n">
        <f aca="false">-1+-4+1</f>
        <v>-4</v>
      </c>
      <c r="D420" s="94" t="s">
        <v>68</v>
      </c>
      <c r="E420" s="0" t="s">
        <v>818</v>
      </c>
      <c r="F420" s="1" t="s">
        <v>819</v>
      </c>
      <c r="G420" s="1" t="n">
        <v>0</v>
      </c>
      <c r="H420" s="1" t="n">
        <v>1000</v>
      </c>
      <c r="I420" s="36"/>
      <c r="J420" s="1" t="s">
        <v>820</v>
      </c>
    </row>
    <row r="421" s="106" customFormat="true" ht="13.8" hidden="false" customHeight="false" outlineLevel="0" collapsed="false">
      <c r="A421" s="21" t="s">
        <v>821</v>
      </c>
      <c r="B421" s="37"/>
      <c r="C421" s="37"/>
      <c r="D421" s="38"/>
      <c r="E421" s="21" t="s">
        <v>822</v>
      </c>
      <c r="F421" s="21" t="s">
        <v>823</v>
      </c>
      <c r="G421" s="22" t="n">
        <v>-1000</v>
      </c>
      <c r="H421" s="22" t="n">
        <v>1000</v>
      </c>
      <c r="I421" s="22" t="s">
        <v>15</v>
      </c>
      <c r="J421" s="22" t="s">
        <v>530</v>
      </c>
      <c r="K421" s="21"/>
    </row>
    <row r="422" s="106" customFormat="true" ht="13.8" hidden="false" customHeight="false" outlineLevel="0" collapsed="false">
      <c r="A422" s="21" t="s">
        <v>824</v>
      </c>
      <c r="B422" s="37"/>
      <c r="C422" s="37"/>
      <c r="D422" s="38"/>
      <c r="E422" s="21" t="s">
        <v>825</v>
      </c>
      <c r="F422" s="21" t="s">
        <v>826</v>
      </c>
      <c r="G422" s="22" t="n">
        <v>-1000</v>
      </c>
      <c r="H422" s="22" t="n">
        <v>1000</v>
      </c>
      <c r="I422" s="22" t="s">
        <v>15</v>
      </c>
      <c r="J422" s="22" t="s">
        <v>530</v>
      </c>
      <c r="K422" s="21"/>
    </row>
    <row r="423" s="106" customFormat="true" ht="13.8" hidden="false" customHeight="false" outlineLevel="0" collapsed="false">
      <c r="A423" s="21" t="s">
        <v>827</v>
      </c>
      <c r="B423" s="37"/>
      <c r="C423" s="37"/>
      <c r="D423" s="38"/>
      <c r="E423" s="21" t="s">
        <v>828</v>
      </c>
      <c r="F423" s="21" t="s">
        <v>829</v>
      </c>
      <c r="G423" s="21" t="n">
        <v>0</v>
      </c>
      <c r="H423" s="21" t="n">
        <v>1000</v>
      </c>
      <c r="I423" s="22" t="s">
        <v>15</v>
      </c>
      <c r="J423" s="22" t="s">
        <v>530</v>
      </c>
      <c r="K423" s="21"/>
    </row>
    <row r="424" customFormat="false" ht="13.8" hidden="false" customHeight="false" outlineLevel="0" collapsed="false">
      <c r="A424" s="21" t="s">
        <v>830</v>
      </c>
      <c r="B424" s="79"/>
      <c r="C424" s="79"/>
      <c r="D424" s="94"/>
      <c r="E424" s="0"/>
    </row>
    <row r="425" customFormat="false" ht="13.8" hidden="false" customHeight="false" outlineLevel="0" collapsed="false">
      <c r="B425" s="79"/>
      <c r="C425" s="79"/>
      <c r="D425" s="94"/>
      <c r="E425" s="0"/>
      <c r="F425" s="0"/>
    </row>
    <row r="426" customFormat="false" ht="13.8" hidden="false" customHeight="false" outlineLevel="0" collapsed="false">
      <c r="A426" s="1" t="s">
        <v>831</v>
      </c>
      <c r="B426" s="79"/>
      <c r="C426" s="79"/>
      <c r="D426" s="94"/>
      <c r="E426" s="0"/>
      <c r="F426" s="0"/>
    </row>
    <row r="427" customFormat="false" ht="13.8" hidden="false" customHeight="false" outlineLevel="0" collapsed="false">
      <c r="A427" s="16" t="s">
        <v>832</v>
      </c>
    </row>
    <row r="428" customFormat="false" ht="13.8" hidden="false" customHeight="false" outlineLevel="0" collapsed="false">
      <c r="A428" s="16" t="s">
        <v>833</v>
      </c>
    </row>
    <row r="429" customFormat="false" ht="13.8" hidden="false" customHeight="false" outlineLevel="0" collapsed="false">
      <c r="A429" s="16" t="s">
        <v>834</v>
      </c>
    </row>
    <row r="430" customFormat="false" ht="13.8" hidden="false" customHeight="false" outlineLevel="0" collapsed="false">
      <c r="A430" s="16"/>
    </row>
    <row r="431" customFormat="false" ht="13.8" hidden="false" customHeight="false" outlineLevel="0" collapsed="false">
      <c r="A431" s="6" t="s">
        <v>835</v>
      </c>
      <c r="B431" s="54" t="s">
        <v>10</v>
      </c>
      <c r="C431" s="28"/>
      <c r="D431" s="44"/>
      <c r="E431" s="9"/>
      <c r="F431" s="9"/>
      <c r="G431" s="9"/>
      <c r="H431" s="9"/>
      <c r="I431" s="9"/>
      <c r="J431" s="9"/>
      <c r="K431" s="9"/>
      <c r="L431" s="9"/>
      <c r="M431" s="9"/>
      <c r="N431" s="9"/>
      <c r="O431" s="9"/>
      <c r="P431" s="9"/>
      <c r="Q431" s="9"/>
    </row>
    <row r="432" customFormat="false" ht="13.8" hidden="false" customHeight="false" outlineLevel="0" collapsed="false">
      <c r="A432" s="31" t="s">
        <v>282</v>
      </c>
      <c r="B432" s="69"/>
      <c r="C432" s="42"/>
      <c r="D432" s="43"/>
      <c r="E432" s="10"/>
      <c r="F432" s="10"/>
      <c r="G432" s="10"/>
      <c r="H432" s="10"/>
      <c r="I432" s="10"/>
      <c r="J432" s="31" t="s">
        <v>66</v>
      </c>
      <c r="K432" s="10"/>
      <c r="L432" s="10"/>
      <c r="M432" s="10"/>
      <c r="N432" s="10"/>
      <c r="O432" s="10"/>
      <c r="P432" s="10"/>
      <c r="Q432" s="10"/>
    </row>
    <row r="433" customFormat="false" ht="13.8" hidden="false" customHeight="false" outlineLevel="0" collapsed="false">
      <c r="A433" s="1" t="s">
        <v>283</v>
      </c>
      <c r="B433" s="2" t="n">
        <f aca="false">-1</f>
        <v>-1</v>
      </c>
      <c r="C433" s="2" t="n">
        <f aca="false">-1+0</f>
        <v>-1</v>
      </c>
      <c r="D433" s="3" t="s">
        <v>68</v>
      </c>
      <c r="E433" s="1" t="s">
        <v>496</v>
      </c>
      <c r="F433" s="1" t="s">
        <v>285</v>
      </c>
      <c r="G433" s="1" t="n">
        <v>0</v>
      </c>
      <c r="H433" s="1" t="n">
        <v>1000</v>
      </c>
      <c r="J433" s="1" t="s">
        <v>497</v>
      </c>
    </row>
    <row r="434" customFormat="false" ht="13.8" hidden="false" customHeight="false" outlineLevel="0" collapsed="false">
      <c r="A434" s="1" t="s">
        <v>498</v>
      </c>
      <c r="B434" s="2" t="n">
        <f aca="false">-1+1</f>
        <v>0</v>
      </c>
      <c r="C434" s="2" t="n">
        <f aca="false">0</f>
        <v>0</v>
      </c>
      <c r="D434" s="3" t="s">
        <v>68</v>
      </c>
      <c r="E434" s="1" t="s">
        <v>499</v>
      </c>
      <c r="F434" s="1" t="s">
        <v>500</v>
      </c>
      <c r="G434" s="1" t="n">
        <v>0</v>
      </c>
      <c r="H434" s="1" t="n">
        <v>1000</v>
      </c>
      <c r="J434" s="1" t="s">
        <v>836</v>
      </c>
    </row>
    <row r="435" customFormat="false" ht="13.8" hidden="false" customHeight="false" outlineLevel="0" collapsed="false">
      <c r="A435" s="78" t="s">
        <v>837</v>
      </c>
      <c r="C435" s="79"/>
      <c r="E435" s="21" t="s">
        <v>838</v>
      </c>
      <c r="F435" s="21" t="s">
        <v>839</v>
      </c>
      <c r="G435" s="21" t="n">
        <v>-1000</v>
      </c>
      <c r="H435" s="21" t="n">
        <v>1000</v>
      </c>
      <c r="I435" s="39"/>
      <c r="J435" s="21" t="s">
        <v>840</v>
      </c>
    </row>
    <row r="436" customFormat="false" ht="13.8" hidden="false" customHeight="false" outlineLevel="0" collapsed="false">
      <c r="A436" s="78" t="s">
        <v>841</v>
      </c>
      <c r="C436" s="79"/>
      <c r="E436" s="21" t="s">
        <v>842</v>
      </c>
      <c r="F436" s="21" t="s">
        <v>843</v>
      </c>
      <c r="G436" s="21" t="n">
        <v>-1000</v>
      </c>
      <c r="H436" s="21" t="n">
        <v>1000</v>
      </c>
      <c r="I436" s="21"/>
      <c r="J436" s="21" t="s">
        <v>844</v>
      </c>
    </row>
    <row r="437" customFormat="false" ht="13.8" hidden="false" customHeight="false" outlineLevel="0" collapsed="false">
      <c r="A437" s="21" t="s">
        <v>845</v>
      </c>
      <c r="B437" s="37"/>
      <c r="C437" s="37"/>
      <c r="D437" s="38"/>
      <c r="E437" s="21" t="s">
        <v>846</v>
      </c>
      <c r="F437" s="21" t="s">
        <v>847</v>
      </c>
      <c r="G437" s="21" t="n">
        <v>0</v>
      </c>
      <c r="H437" s="21" t="n">
        <v>1000</v>
      </c>
      <c r="I437" s="21"/>
      <c r="J437" s="21" t="s">
        <v>844</v>
      </c>
    </row>
    <row r="438" customFormat="false" ht="13.8" hidden="false" customHeight="false" outlineLevel="0" collapsed="false">
      <c r="A438" s="21" t="s">
        <v>848</v>
      </c>
    </row>
    <row r="440" customFormat="false" ht="13.8" hidden="false" customHeight="false" outlineLevel="0" collapsed="false">
      <c r="A440" s="1" t="s">
        <v>520</v>
      </c>
    </row>
    <row r="441" customFormat="false" ht="13.8" hidden="false" customHeight="false" outlineLevel="0" collapsed="false">
      <c r="A441" s="1" t="s">
        <v>521</v>
      </c>
    </row>
    <row r="442" customFormat="false" ht="13.8" hidden="false" customHeight="false" outlineLevel="0" collapsed="false">
      <c r="A442" s="1" t="s">
        <v>522</v>
      </c>
    </row>
    <row r="443" customFormat="false" ht="13.8" hidden="false" customHeight="false" outlineLevel="0" collapsed="false">
      <c r="A443" s="1" t="s">
        <v>136</v>
      </c>
    </row>
    <row r="444" customFormat="false" ht="13.8" hidden="false" customHeight="false" outlineLevel="0" collapsed="false">
      <c r="A444" s="1" t="s">
        <v>523</v>
      </c>
    </row>
    <row r="445" customFormat="false" ht="13.8" hidden="false" customHeight="false" outlineLevel="0" collapsed="false">
      <c r="A445" s="41"/>
    </row>
    <row r="446" customFormat="false" ht="13.8" hidden="false" customHeight="false" outlineLevel="0" collapsed="false">
      <c r="A446" s="6" t="s">
        <v>849</v>
      </c>
      <c r="B446" s="54" t="s">
        <v>10</v>
      </c>
      <c r="C446" s="28"/>
      <c r="D446" s="44"/>
      <c r="E446" s="9"/>
      <c r="F446" s="9"/>
      <c r="G446" s="9"/>
      <c r="H446" s="9"/>
      <c r="I446" s="9"/>
      <c r="J446" s="9"/>
      <c r="K446" s="9"/>
      <c r="L446" s="9"/>
      <c r="M446" s="9"/>
      <c r="N446" s="9"/>
      <c r="O446" s="9"/>
      <c r="P446" s="9"/>
      <c r="Q446" s="9"/>
    </row>
    <row r="447" customFormat="false" ht="13.8" hidden="false" customHeight="false" outlineLevel="0" collapsed="false">
      <c r="A447" s="31" t="s">
        <v>282</v>
      </c>
      <c r="B447" s="69"/>
      <c r="C447" s="42"/>
      <c r="D447" s="43"/>
      <c r="E447" s="10"/>
      <c r="F447" s="10"/>
      <c r="G447" s="10"/>
      <c r="H447" s="10"/>
      <c r="I447" s="10"/>
      <c r="J447" s="31" t="s">
        <v>66</v>
      </c>
      <c r="K447" s="10"/>
      <c r="L447" s="10"/>
      <c r="M447" s="10"/>
      <c r="N447" s="10"/>
      <c r="O447" s="10"/>
      <c r="P447" s="10"/>
      <c r="Q447" s="10"/>
    </row>
    <row r="448" customFormat="false" ht="13.8" hidden="false" customHeight="false" outlineLevel="0" collapsed="false">
      <c r="A448" s="1" t="s">
        <v>283</v>
      </c>
      <c r="B448" s="2" t="n">
        <f aca="false">-1</f>
        <v>-1</v>
      </c>
      <c r="C448" s="2" t="n">
        <f aca="false">-1+0</f>
        <v>-1</v>
      </c>
      <c r="D448" s="3" t="s">
        <v>68</v>
      </c>
      <c r="E448" s="1" t="s">
        <v>496</v>
      </c>
      <c r="F448" s="1" t="s">
        <v>285</v>
      </c>
      <c r="G448" s="1" t="n">
        <v>0</v>
      </c>
      <c r="H448" s="1" t="n">
        <v>1000</v>
      </c>
      <c r="J448" s="1" t="s">
        <v>497</v>
      </c>
    </row>
    <row r="449" customFormat="false" ht="14.15" hidden="false" customHeight="false" outlineLevel="0" collapsed="false">
      <c r="A449" s="1" t="s">
        <v>498</v>
      </c>
      <c r="B449" s="2" t="n">
        <f aca="false">-1+1</f>
        <v>0</v>
      </c>
      <c r="C449" s="2" t="n">
        <f aca="false">0</f>
        <v>0</v>
      </c>
      <c r="D449" s="3" t="s">
        <v>68</v>
      </c>
      <c r="E449" s="1" t="s">
        <v>499</v>
      </c>
      <c r="F449" s="1" t="s">
        <v>500</v>
      </c>
      <c r="G449" s="1" t="n">
        <v>0</v>
      </c>
      <c r="H449" s="1" t="n">
        <v>1000</v>
      </c>
      <c r="J449" s="1" t="s">
        <v>32</v>
      </c>
    </row>
    <row r="450" customFormat="false" ht="13.8" hidden="false" customHeight="false" outlineLevel="0" collapsed="false">
      <c r="A450" s="1" t="s">
        <v>501</v>
      </c>
      <c r="B450" s="2" t="n">
        <v>0</v>
      </c>
      <c r="C450" s="2" t="n">
        <f aca="false">-2+2</f>
        <v>0</v>
      </c>
      <c r="D450" s="3" t="s">
        <v>68</v>
      </c>
      <c r="E450" s="1" t="s">
        <v>502</v>
      </c>
      <c r="F450" s="1" t="s">
        <v>503</v>
      </c>
      <c r="G450" s="1" t="n">
        <v>0</v>
      </c>
      <c r="H450" s="1" t="n">
        <v>1000</v>
      </c>
      <c r="J450" s="1" t="s">
        <v>504</v>
      </c>
    </row>
    <row r="451" customFormat="false" ht="13.8" hidden="false" customHeight="false" outlineLevel="0" collapsed="false">
      <c r="A451" s="78" t="s">
        <v>850</v>
      </c>
      <c r="C451" s="79"/>
      <c r="E451" s="21" t="s">
        <v>851</v>
      </c>
      <c r="F451" s="21" t="s">
        <v>852</v>
      </c>
      <c r="G451" s="21" t="n">
        <v>-1000</v>
      </c>
      <c r="H451" s="21" t="n">
        <v>1000</v>
      </c>
      <c r="I451" s="39"/>
      <c r="J451" s="21" t="s">
        <v>512</v>
      </c>
    </row>
    <row r="452" customFormat="false" ht="13.8" hidden="false" customHeight="false" outlineLevel="0" collapsed="false">
      <c r="A452" s="78" t="s">
        <v>853</v>
      </c>
      <c r="C452" s="79"/>
      <c r="E452" s="21" t="s">
        <v>854</v>
      </c>
      <c r="F452" s="21" t="s">
        <v>855</v>
      </c>
      <c r="G452" s="21" t="n">
        <v>-1000</v>
      </c>
      <c r="H452" s="21" t="n">
        <v>1000</v>
      </c>
      <c r="I452" s="39"/>
      <c r="J452" s="21" t="s">
        <v>512</v>
      </c>
    </row>
    <row r="453" customFormat="false" ht="13.8" hidden="false" customHeight="false" outlineLevel="0" collapsed="false">
      <c r="A453" s="21" t="s">
        <v>856</v>
      </c>
      <c r="B453" s="37"/>
      <c r="C453" s="37"/>
      <c r="D453" s="38"/>
      <c r="E453" s="21" t="s">
        <v>857</v>
      </c>
      <c r="F453" s="21" t="s">
        <v>858</v>
      </c>
      <c r="G453" s="21" t="n">
        <v>0</v>
      </c>
      <c r="H453" s="21" t="n">
        <v>1000</v>
      </c>
      <c r="I453" s="39"/>
      <c r="J453" s="21" t="s">
        <v>512</v>
      </c>
    </row>
    <row r="454" customFormat="false" ht="13.8" hidden="false" customHeight="false" outlineLevel="0" collapsed="false">
      <c r="A454" s="21" t="s">
        <v>859</v>
      </c>
    </row>
    <row r="456" customFormat="false" ht="13.8" hidden="false" customHeight="false" outlineLevel="0" collapsed="false">
      <c r="A456" s="1" t="s">
        <v>520</v>
      </c>
    </row>
    <row r="457" customFormat="false" ht="13.8" hidden="false" customHeight="false" outlineLevel="0" collapsed="false">
      <c r="A457" s="1" t="s">
        <v>521</v>
      </c>
    </row>
    <row r="458" customFormat="false" ht="13.8" hidden="false" customHeight="false" outlineLevel="0" collapsed="false">
      <c r="A458" s="1" t="s">
        <v>522</v>
      </c>
    </row>
    <row r="459" customFormat="false" ht="13.8" hidden="false" customHeight="false" outlineLevel="0" collapsed="false">
      <c r="A459" s="1" t="s">
        <v>136</v>
      </c>
    </row>
    <row r="460" customFormat="false" ht="13.8" hidden="false" customHeight="false" outlineLevel="0" collapsed="false">
      <c r="A460" s="1" t="s">
        <v>523</v>
      </c>
    </row>
    <row r="462" customFormat="false" ht="13.8" hidden="false" customHeight="false" outlineLevel="0" collapsed="false">
      <c r="A462" s="6" t="s">
        <v>860</v>
      </c>
      <c r="B462" s="7" t="s">
        <v>10</v>
      </c>
      <c r="C462" s="8"/>
      <c r="D462" s="8"/>
      <c r="E462" s="8"/>
      <c r="F462" s="8"/>
      <c r="G462" s="8"/>
      <c r="H462" s="8"/>
      <c r="I462" s="8"/>
      <c r="J462" s="9" t="s">
        <v>861</v>
      </c>
    </row>
    <row r="463" customFormat="false" ht="13.8" hidden="false" customHeight="false" outlineLevel="0" collapsed="false">
      <c r="A463" s="31" t="s">
        <v>352</v>
      </c>
      <c r="B463" s="69"/>
      <c r="C463" s="42"/>
      <c r="D463" s="43"/>
      <c r="E463" s="10"/>
      <c r="F463" s="10"/>
      <c r="G463" s="10"/>
      <c r="H463" s="10"/>
      <c r="I463" s="10"/>
      <c r="J463" s="31" t="s">
        <v>66</v>
      </c>
    </row>
    <row r="464" customFormat="false" ht="14.3" hidden="false" customHeight="false" outlineLevel="0" collapsed="false">
      <c r="A464" s="48" t="s">
        <v>353</v>
      </c>
      <c r="B464" s="48"/>
      <c r="C464" s="70"/>
      <c r="D464" s="70"/>
      <c r="E464" s="48" t="s">
        <v>354</v>
      </c>
      <c r="F464" s="48" t="s">
        <v>355</v>
      </c>
      <c r="G464" s="70" t="n">
        <v>0</v>
      </c>
      <c r="H464" s="70" t="n">
        <v>1000</v>
      </c>
      <c r="I464" s="56" t="s">
        <v>15</v>
      </c>
      <c r="J464" s="1" t="s">
        <v>356</v>
      </c>
    </row>
    <row r="465" customFormat="false" ht="14.3" hidden="false" customHeight="false" outlineLevel="0" collapsed="false">
      <c r="A465" s="48" t="s">
        <v>357</v>
      </c>
      <c r="B465" s="48"/>
      <c r="C465" s="70"/>
      <c r="D465" s="70"/>
      <c r="E465" s="48" t="s">
        <v>358</v>
      </c>
      <c r="F465" s="48" t="s">
        <v>359</v>
      </c>
      <c r="G465" s="70" t="n">
        <v>-1000</v>
      </c>
      <c r="H465" s="70" t="n">
        <v>1000</v>
      </c>
      <c r="I465" s="56" t="s">
        <v>15</v>
      </c>
      <c r="J465" s="1" t="s">
        <v>360</v>
      </c>
    </row>
    <row r="466" customFormat="false" ht="13.8" hidden="false" customHeight="false" outlineLevel="0" collapsed="false">
      <c r="A466" s="55" t="s">
        <v>361</v>
      </c>
      <c r="B466" s="48"/>
      <c r="C466" s="70"/>
      <c r="D466" s="70"/>
      <c r="E466" s="48" t="s">
        <v>362</v>
      </c>
      <c r="F466" s="48" t="s">
        <v>363</v>
      </c>
      <c r="G466" s="70" t="n">
        <v>0</v>
      </c>
      <c r="H466" s="70" t="n">
        <v>1000</v>
      </c>
      <c r="I466" s="56" t="s">
        <v>15</v>
      </c>
      <c r="J466" s="0"/>
    </row>
    <row r="467" customFormat="false" ht="13.8" hidden="false" customHeight="false" outlineLevel="0" collapsed="false">
      <c r="A467" s="48" t="s">
        <v>364</v>
      </c>
      <c r="B467" s="48"/>
      <c r="C467" s="70"/>
      <c r="D467" s="70"/>
      <c r="E467" s="48" t="s">
        <v>365</v>
      </c>
      <c r="F467" s="48" t="s">
        <v>366</v>
      </c>
      <c r="G467" s="70" t="n">
        <v>0</v>
      </c>
      <c r="H467" s="70" t="n">
        <v>1000</v>
      </c>
      <c r="I467" s="56" t="s">
        <v>15</v>
      </c>
      <c r="J467" s="0"/>
    </row>
    <row r="468" customFormat="false" ht="13.8" hidden="false" customHeight="false" outlineLevel="0" collapsed="false">
      <c r="A468" s="48" t="s">
        <v>367</v>
      </c>
      <c r="B468" s="48"/>
      <c r="C468" s="70"/>
      <c r="D468" s="70"/>
      <c r="E468" s="48" t="s">
        <v>368</v>
      </c>
      <c r="F468" s="48" t="s">
        <v>369</v>
      </c>
      <c r="G468" s="70" t="n">
        <v>0</v>
      </c>
      <c r="H468" s="70" t="n">
        <v>1000</v>
      </c>
      <c r="I468" s="56" t="s">
        <v>15</v>
      </c>
      <c r="J468" s="0"/>
    </row>
    <row r="469" customFormat="false" ht="13.8" hidden="false" customHeight="false" outlineLevel="0" collapsed="false">
      <c r="A469" s="71" t="s">
        <v>370</v>
      </c>
      <c r="B469" s="48"/>
      <c r="C469" s="70"/>
      <c r="D469" s="70"/>
      <c r="E469" s="48" t="s">
        <v>371</v>
      </c>
      <c r="F469" s="48" t="s">
        <v>372</v>
      </c>
      <c r="G469" s="70" t="n">
        <v>-1000</v>
      </c>
      <c r="H469" s="70" t="n">
        <v>1000</v>
      </c>
      <c r="I469" s="56" t="s">
        <v>15</v>
      </c>
      <c r="J469" s="0"/>
    </row>
    <row r="470" customFormat="false" ht="13.8" hidden="false" customHeight="false" outlineLevel="0" collapsed="false">
      <c r="A470" s="1" t="s">
        <v>373</v>
      </c>
      <c r="B470" s="2" t="n">
        <f aca="false">0+0</f>
        <v>0</v>
      </c>
      <c r="C470" s="2" t="n">
        <f aca="false">0-1+1</f>
        <v>0</v>
      </c>
      <c r="D470" s="3" t="s">
        <v>68</v>
      </c>
      <c r="E470" s="1" t="s">
        <v>374</v>
      </c>
      <c r="F470" s="1" t="s">
        <v>375</v>
      </c>
      <c r="G470" s="1" t="n">
        <v>0</v>
      </c>
      <c r="H470" s="1" t="n">
        <v>1000</v>
      </c>
      <c r="I470" s="36"/>
      <c r="J470" s="1" t="s">
        <v>376</v>
      </c>
    </row>
    <row r="471" customFormat="false" ht="13.8" hidden="false" customHeight="false" outlineLevel="0" collapsed="false">
      <c r="A471" s="21" t="s">
        <v>862</v>
      </c>
      <c r="B471" s="37"/>
      <c r="C471" s="37"/>
      <c r="D471" s="38"/>
      <c r="E471" s="21" t="s">
        <v>863</v>
      </c>
      <c r="F471" s="21" t="s">
        <v>864</v>
      </c>
      <c r="G471" s="22" t="n">
        <v>-1000</v>
      </c>
      <c r="H471" s="22" t="n">
        <v>1000</v>
      </c>
      <c r="I471" s="0"/>
      <c r="J471" s="10" t="s">
        <v>865</v>
      </c>
    </row>
    <row r="472" customFormat="false" ht="13.8" hidden="false" customHeight="false" outlineLevel="0" collapsed="false">
      <c r="A472" s="21" t="s">
        <v>866</v>
      </c>
      <c r="B472" s="37"/>
      <c r="C472" s="72"/>
      <c r="D472" s="38"/>
      <c r="E472" s="21" t="s">
        <v>867</v>
      </c>
      <c r="F472" s="21" t="s">
        <v>868</v>
      </c>
      <c r="G472" s="22" t="n">
        <v>-1000</v>
      </c>
      <c r="H472" s="22" t="n">
        <v>1000</v>
      </c>
      <c r="I472" s="0"/>
      <c r="J472" s="10" t="s">
        <v>869</v>
      </c>
    </row>
    <row r="473" customFormat="false" ht="13.8" hidden="false" customHeight="false" outlineLevel="0" collapsed="false">
      <c r="A473" s="21" t="s">
        <v>870</v>
      </c>
      <c r="B473" s="37"/>
      <c r="C473" s="37"/>
      <c r="D473" s="38"/>
      <c r="E473" s="21" t="s">
        <v>871</v>
      </c>
      <c r="F473" s="21" t="s">
        <v>872</v>
      </c>
      <c r="G473" s="21" t="n">
        <v>0</v>
      </c>
      <c r="H473" s="21" t="n">
        <v>1000</v>
      </c>
      <c r="I473" s="0"/>
      <c r="J473" s="10" t="s">
        <v>869</v>
      </c>
    </row>
    <row r="474" customFormat="false" ht="13.8" hidden="false" customHeight="false" outlineLevel="0" collapsed="false">
      <c r="A474" s="21" t="s">
        <v>873</v>
      </c>
      <c r="B474" s="17"/>
      <c r="C474" s="17"/>
      <c r="D474" s="18"/>
      <c r="E474" s="19"/>
      <c r="F474" s="19"/>
      <c r="G474" s="19"/>
      <c r="H474" s="19"/>
      <c r="I474" s="19"/>
      <c r="J474" s="19"/>
    </row>
    <row r="475" customFormat="false" ht="13.8" hidden="false" customHeight="false" outlineLevel="0" collapsed="false">
      <c r="A475" s="21"/>
      <c r="B475" s="17"/>
      <c r="C475" s="17"/>
      <c r="D475" s="18"/>
      <c r="E475" s="19"/>
      <c r="F475" s="19"/>
      <c r="G475" s="19"/>
      <c r="H475" s="19"/>
      <c r="I475" s="19"/>
      <c r="J475" s="19"/>
    </row>
    <row r="476" customFormat="false" ht="13.8" hidden="false" customHeight="false" outlineLevel="0" collapsed="false">
      <c r="A476" s="56" t="s">
        <v>391</v>
      </c>
      <c r="B476" s="17"/>
      <c r="C476" s="17"/>
      <c r="D476" s="18"/>
      <c r="E476" s="19"/>
      <c r="F476" s="19"/>
      <c r="G476" s="19"/>
      <c r="H476" s="19"/>
      <c r="I476" s="19"/>
      <c r="J476" s="19"/>
    </row>
    <row r="477" customFormat="false" ht="13.8" hidden="false" customHeight="false" outlineLevel="0" collapsed="false">
      <c r="A477" s="56" t="s">
        <v>392</v>
      </c>
      <c r="B477" s="17"/>
      <c r="C477" s="17"/>
      <c r="D477" s="18"/>
      <c r="E477" s="19"/>
      <c r="F477" s="19"/>
      <c r="G477" s="19"/>
      <c r="H477" s="19"/>
      <c r="I477" s="19"/>
      <c r="J477" s="19"/>
    </row>
    <row r="479" customFormat="false" ht="13.8" hidden="false" customHeight="false" outlineLevel="0" collapsed="false">
      <c r="A479" s="6" t="s">
        <v>874</v>
      </c>
      <c r="B479" s="7" t="s">
        <v>10</v>
      </c>
      <c r="C479" s="8"/>
      <c r="D479" s="8"/>
      <c r="E479" s="8"/>
      <c r="F479" s="8"/>
      <c r="G479" s="8"/>
      <c r="H479" s="8"/>
      <c r="I479" s="8"/>
      <c r="J479" s="9" t="s">
        <v>875</v>
      </c>
      <c r="K479" s="9"/>
      <c r="L479" s="9"/>
      <c r="M479" s="15"/>
      <c r="N479" s="15"/>
      <c r="O479" s="15"/>
      <c r="P479" s="15"/>
    </row>
    <row r="480" customFormat="false" ht="13.8" hidden="false" customHeight="false" outlineLevel="0" collapsed="false">
      <c r="A480" s="48" t="s">
        <v>876</v>
      </c>
      <c r="B480" s="76"/>
      <c r="C480" s="76"/>
      <c r="D480" s="105"/>
      <c r="E480" s="70" t="s">
        <v>877</v>
      </c>
      <c r="F480" s="48" t="s">
        <v>878</v>
      </c>
      <c r="G480" s="48" t="n">
        <v>-1000</v>
      </c>
      <c r="H480" s="48" t="n">
        <v>1000</v>
      </c>
      <c r="I480" s="48" t="s">
        <v>15</v>
      </c>
      <c r="J480" s="1" t="s">
        <v>879</v>
      </c>
      <c r="K480" s="10"/>
      <c r="L480" s="15"/>
      <c r="M480" s="15"/>
      <c r="N480" s="15"/>
      <c r="O480" s="15"/>
      <c r="P480" s="15"/>
    </row>
    <row r="481" customFormat="false" ht="13.8" hidden="false" customHeight="false" outlineLevel="0" collapsed="false">
      <c r="A481" s="48" t="s">
        <v>880</v>
      </c>
      <c r="B481" s="48"/>
      <c r="C481" s="48"/>
      <c r="D481" s="48"/>
      <c r="E481" s="48" t="s">
        <v>881</v>
      </c>
      <c r="F481" s="48" t="s">
        <v>882</v>
      </c>
      <c r="G481" s="48" t="n">
        <v>-1000</v>
      </c>
      <c r="H481" s="48" t="n">
        <v>1000</v>
      </c>
      <c r="I481" s="48" t="s">
        <v>15</v>
      </c>
      <c r="J481" s="1" t="s">
        <v>879</v>
      </c>
      <c r="K481" s="10"/>
      <c r="L481" s="15"/>
      <c r="M481" s="15"/>
      <c r="N481" s="15"/>
      <c r="O481" s="15"/>
      <c r="P481" s="15"/>
    </row>
    <row r="482" customFormat="false" ht="13.8" hidden="false" customHeight="false" outlineLevel="0" collapsed="false">
      <c r="A482" s="16" t="s">
        <v>883</v>
      </c>
      <c r="B482" s="19"/>
      <c r="C482" s="19"/>
      <c r="D482" s="19"/>
      <c r="E482" s="19" t="s">
        <v>884</v>
      </c>
      <c r="F482" s="19" t="s">
        <v>885</v>
      </c>
      <c r="G482" s="19" t="n">
        <v>0</v>
      </c>
      <c r="H482" s="19" t="n">
        <v>1000</v>
      </c>
      <c r="I482" s="19"/>
      <c r="J482" s="19" t="s">
        <v>886</v>
      </c>
      <c r="K482" s="10"/>
      <c r="L482" s="15"/>
      <c r="M482" s="15"/>
      <c r="N482" s="15"/>
      <c r="O482" s="15"/>
      <c r="P482" s="15"/>
    </row>
    <row r="483" customFormat="false" ht="13.8" hidden="false" customHeight="false" outlineLevel="0" collapsed="false">
      <c r="A483" s="21" t="s">
        <v>887</v>
      </c>
      <c r="B483" s="19"/>
      <c r="C483" s="19"/>
      <c r="D483" s="19"/>
      <c r="E483" s="21" t="s">
        <v>888</v>
      </c>
      <c r="F483" s="21" t="s">
        <v>889</v>
      </c>
      <c r="G483" s="22" t="n">
        <v>-1000</v>
      </c>
      <c r="H483" s="22" t="n">
        <v>1000</v>
      </c>
      <c r="I483" s="36"/>
      <c r="J483" s="22" t="s">
        <v>32</v>
      </c>
      <c r="K483" s="10"/>
      <c r="L483" s="15"/>
      <c r="M483" s="15"/>
      <c r="N483" s="15"/>
      <c r="O483" s="15"/>
      <c r="P483" s="15"/>
    </row>
    <row r="484" customFormat="false" ht="13.8" hidden="false" customHeight="false" outlineLevel="0" collapsed="false">
      <c r="A484" s="21" t="s">
        <v>890</v>
      </c>
      <c r="B484" s="19"/>
      <c r="C484" s="19"/>
      <c r="D484" s="19"/>
      <c r="E484" s="21" t="s">
        <v>891</v>
      </c>
      <c r="F484" s="21" t="s">
        <v>892</v>
      </c>
      <c r="G484" s="22" t="n">
        <v>-1000</v>
      </c>
      <c r="H484" s="22" t="n">
        <v>1000</v>
      </c>
      <c r="I484" s="23"/>
      <c r="J484" s="22" t="s">
        <v>32</v>
      </c>
      <c r="K484" s="10"/>
      <c r="L484" s="15"/>
      <c r="M484" s="15"/>
      <c r="N484" s="15"/>
      <c r="O484" s="15"/>
      <c r="P484" s="15"/>
    </row>
    <row r="485" customFormat="false" ht="13.8" hidden="false" customHeight="false" outlineLevel="0" collapsed="false">
      <c r="A485" s="21" t="s">
        <v>890</v>
      </c>
      <c r="B485" s="19"/>
      <c r="C485" s="19"/>
      <c r="D485" s="19"/>
      <c r="E485" s="21" t="s">
        <v>893</v>
      </c>
      <c r="F485" s="21" t="s">
        <v>894</v>
      </c>
      <c r="G485" s="21" t="n">
        <v>0</v>
      </c>
      <c r="H485" s="21" t="n">
        <v>1000</v>
      </c>
      <c r="I485" s="22"/>
      <c r="J485" s="21" t="s">
        <v>886</v>
      </c>
      <c r="K485" s="10"/>
      <c r="L485" s="15"/>
      <c r="M485" s="15"/>
      <c r="N485" s="15"/>
      <c r="O485" s="15"/>
      <c r="P485" s="15"/>
    </row>
    <row r="486" s="1" customFormat="true" ht="13.8" hidden="false" customHeight="false" outlineLevel="0" collapsed="false">
      <c r="A486" s="21" t="s">
        <v>895</v>
      </c>
      <c r="K486" s="10"/>
      <c r="L486" s="15"/>
      <c r="M486" s="15"/>
      <c r="N486" s="15"/>
      <c r="O486" s="15"/>
      <c r="P486" s="15"/>
    </row>
    <row r="487" s="1" customFormat="true" ht="13.8" hidden="false" customHeight="false" outlineLevel="0" collapsed="false">
      <c r="K487" s="10"/>
      <c r="L487" s="15"/>
      <c r="M487" s="15"/>
      <c r="N487" s="15"/>
      <c r="O487" s="15"/>
      <c r="P487" s="15"/>
    </row>
    <row r="488" s="1" customFormat="true" ht="13.8" hidden="false" customHeight="false" outlineLevel="0" collapsed="false">
      <c r="A488" s="1" t="s">
        <v>896</v>
      </c>
      <c r="K488" s="10"/>
      <c r="L488" s="15"/>
      <c r="M488" s="15"/>
      <c r="N488" s="15"/>
      <c r="O488" s="15"/>
      <c r="P488" s="15"/>
    </row>
    <row r="489" s="1" customFormat="true" ht="13.8" hidden="false" customHeight="false" outlineLevel="0" collapsed="false">
      <c r="A489" s="1" t="s">
        <v>897</v>
      </c>
      <c r="K489" s="10"/>
      <c r="L489" s="15"/>
      <c r="M489" s="15"/>
      <c r="N489" s="15"/>
      <c r="O489" s="15"/>
      <c r="P489" s="15"/>
    </row>
    <row r="490" s="1" customFormat="true" ht="13.8" hidden="false" customHeight="false" outlineLevel="0" collapsed="false">
      <c r="A490" s="1" t="s">
        <v>898</v>
      </c>
      <c r="K490" s="10"/>
      <c r="L490" s="15"/>
      <c r="M490" s="15"/>
      <c r="N490" s="15"/>
      <c r="O490" s="15"/>
      <c r="P490" s="15"/>
    </row>
    <row r="492" customFormat="false" ht="14.25" hidden="false" customHeight="false" outlineLevel="0" collapsed="false">
      <c r="A492" s="6" t="s">
        <v>899</v>
      </c>
      <c r="B492" s="54" t="s">
        <v>10</v>
      </c>
      <c r="C492" s="28"/>
      <c r="D492" s="44"/>
      <c r="E492" s="9"/>
      <c r="F492" s="9"/>
      <c r="G492" s="9"/>
      <c r="H492" s="9"/>
      <c r="I492" s="9"/>
      <c r="J492" s="9" t="s">
        <v>900</v>
      </c>
      <c r="K492" s="9"/>
      <c r="L492" s="9"/>
      <c r="M492" s="9"/>
      <c r="N492" s="9"/>
      <c r="O492" s="9"/>
      <c r="P492" s="9"/>
      <c r="Q492" s="9"/>
    </row>
    <row r="493" customFormat="false" ht="13.8" hidden="false" customHeight="false" outlineLevel="0" collapsed="false">
      <c r="A493" s="45" t="s">
        <v>624</v>
      </c>
      <c r="B493" s="46"/>
      <c r="C493" s="46"/>
      <c r="D493" s="47"/>
      <c r="E493" s="45" t="s">
        <v>13</v>
      </c>
      <c r="F493" s="45" t="s">
        <v>420</v>
      </c>
      <c r="G493" s="45" t="n">
        <v>-1000</v>
      </c>
      <c r="H493" s="45" t="n">
        <v>1000</v>
      </c>
      <c r="I493" s="45" t="s">
        <v>15</v>
      </c>
      <c r="J493" s="45" t="s">
        <v>530</v>
      </c>
      <c r="K493" s="9"/>
      <c r="L493" s="9"/>
      <c r="M493" s="9"/>
      <c r="N493" s="9"/>
      <c r="O493" s="9"/>
      <c r="P493" s="9"/>
      <c r="Q493" s="9"/>
    </row>
    <row r="494" customFormat="false" ht="13.8" hidden="false" customHeight="false" outlineLevel="0" collapsed="false">
      <c r="A494" s="1" t="s">
        <v>626</v>
      </c>
      <c r="B494" s="42" t="n">
        <f aca="false">-4*2</f>
        <v>-8</v>
      </c>
      <c r="C494" s="42" t="n">
        <f aca="false">-5+-4+1</f>
        <v>-8</v>
      </c>
      <c r="D494" s="43" t="s">
        <v>68</v>
      </c>
      <c r="E494" s="10" t="s">
        <v>627</v>
      </c>
      <c r="F494" s="10" t="s">
        <v>628</v>
      </c>
      <c r="G494" s="10" t="n">
        <v>-1000</v>
      </c>
      <c r="H494" s="10" t="n">
        <v>1000</v>
      </c>
      <c r="I494" s="0"/>
      <c r="J494" s="10" t="s">
        <v>629</v>
      </c>
      <c r="K494" s="10"/>
      <c r="L494" s="10"/>
      <c r="M494" s="10"/>
      <c r="N494" s="10"/>
      <c r="O494" s="10"/>
      <c r="P494" s="10"/>
      <c r="Q494" s="10"/>
    </row>
    <row r="495" customFormat="false" ht="13.8" hidden="false" customHeight="false" outlineLevel="0" collapsed="false">
      <c r="A495" s="1" t="s">
        <v>630</v>
      </c>
      <c r="B495" s="42"/>
      <c r="C495" s="42"/>
      <c r="D495" s="43"/>
      <c r="E495" s="10" t="s">
        <v>631</v>
      </c>
      <c r="F495" s="10" t="s">
        <v>632</v>
      </c>
      <c r="G495" s="10" t="n">
        <v>-1000</v>
      </c>
      <c r="H495" s="10" t="n">
        <v>1000</v>
      </c>
      <c r="I495" s="10"/>
      <c r="J495" s="10" t="s">
        <v>633</v>
      </c>
      <c r="K495" s="10"/>
      <c r="L495" s="10"/>
      <c r="M495" s="10"/>
      <c r="N495" s="10"/>
      <c r="O495" s="10"/>
      <c r="P495" s="10"/>
      <c r="Q495" s="10"/>
    </row>
    <row r="496" customFormat="false" ht="13.8" hidden="false" customHeight="false" outlineLevel="0" collapsed="false">
      <c r="A496" s="1" t="s">
        <v>634</v>
      </c>
      <c r="B496" s="42"/>
      <c r="C496" s="42"/>
      <c r="D496" s="43"/>
      <c r="E496" s="10" t="s">
        <v>635</v>
      </c>
      <c r="F496" s="10" t="s">
        <v>636</v>
      </c>
      <c r="G496" s="10" t="n">
        <v>0</v>
      </c>
      <c r="H496" s="10" t="n">
        <v>1000</v>
      </c>
      <c r="I496" s="10"/>
      <c r="J496" s="10" t="s">
        <v>637</v>
      </c>
      <c r="K496" s="10"/>
      <c r="L496" s="10"/>
      <c r="M496" s="10"/>
      <c r="N496" s="10"/>
      <c r="O496" s="10"/>
      <c r="P496" s="10"/>
      <c r="Q496" s="10"/>
    </row>
    <row r="497" customFormat="false" ht="13.8" hidden="false" customHeight="false" outlineLevel="0" collapsed="false">
      <c r="A497" s="1" t="s">
        <v>638</v>
      </c>
      <c r="B497" s="42"/>
      <c r="C497" s="42"/>
      <c r="D497" s="43"/>
      <c r="E497" s="10" t="s">
        <v>639</v>
      </c>
      <c r="F497" s="10" t="s">
        <v>640</v>
      </c>
      <c r="G497" s="10" t="n">
        <v>0</v>
      </c>
      <c r="H497" s="10" t="n">
        <v>1000</v>
      </c>
      <c r="I497" s="10"/>
      <c r="J497" s="10" t="s">
        <v>629</v>
      </c>
      <c r="K497" s="10"/>
      <c r="L497" s="10"/>
      <c r="M497" s="10"/>
      <c r="N497" s="10"/>
      <c r="O497" s="10"/>
      <c r="P497" s="10"/>
      <c r="Q497" s="10"/>
    </row>
    <row r="498" customFormat="false" ht="13.8" hidden="false" customHeight="false" outlineLevel="0" collapsed="false">
      <c r="A498" s="1" t="s">
        <v>641</v>
      </c>
      <c r="B498" s="42"/>
      <c r="C498" s="42"/>
      <c r="D498" s="43"/>
      <c r="E498" s="10" t="s">
        <v>642</v>
      </c>
      <c r="F498" s="10" t="s">
        <v>643</v>
      </c>
      <c r="G498" s="10" t="n">
        <v>0</v>
      </c>
      <c r="H498" s="10" t="n">
        <v>1000</v>
      </c>
      <c r="I498" s="10"/>
      <c r="J498" s="10" t="s">
        <v>629</v>
      </c>
      <c r="K498" s="10"/>
      <c r="L498" s="10"/>
      <c r="M498" s="10"/>
      <c r="N498" s="10"/>
      <c r="O498" s="10"/>
      <c r="P498" s="10"/>
      <c r="Q498" s="10"/>
    </row>
    <row r="499" customFormat="false" ht="13.8" hidden="false" customHeight="false" outlineLevel="0" collapsed="false">
      <c r="A499" s="14" t="s">
        <v>644</v>
      </c>
      <c r="B499" s="87"/>
      <c r="C499" s="87"/>
      <c r="D499" s="88"/>
      <c r="E499" s="52" t="s">
        <v>645</v>
      </c>
      <c r="F499" s="52" t="s">
        <v>646</v>
      </c>
      <c r="G499" s="52" t="n">
        <v>-1000</v>
      </c>
      <c r="H499" s="52" t="n">
        <v>1000</v>
      </c>
      <c r="I499" s="14" t="s">
        <v>15</v>
      </c>
      <c r="J499" s="10"/>
      <c r="K499" s="10"/>
      <c r="L499" s="10"/>
      <c r="M499" s="10"/>
      <c r="N499" s="10"/>
      <c r="O499" s="10"/>
      <c r="P499" s="10"/>
      <c r="Q499" s="10"/>
    </row>
    <row r="500" customFormat="false" ht="13.8" hidden="false" customHeight="false" outlineLevel="0" collapsed="false">
      <c r="A500" s="14" t="s">
        <v>901</v>
      </c>
      <c r="B500" s="87"/>
      <c r="C500" s="87"/>
      <c r="D500" s="88"/>
      <c r="E500" s="52" t="s">
        <v>648</v>
      </c>
      <c r="F500" s="52" t="s">
        <v>649</v>
      </c>
      <c r="G500" s="14" t="n">
        <v>0</v>
      </c>
      <c r="H500" s="14" t="n">
        <v>1000</v>
      </c>
      <c r="I500" s="14" t="s">
        <v>15</v>
      </c>
      <c r="J500" s="10"/>
      <c r="K500" s="10"/>
      <c r="L500" s="10"/>
      <c r="M500" s="10"/>
      <c r="N500" s="10"/>
      <c r="O500" s="10"/>
      <c r="P500" s="10"/>
      <c r="Q500" s="10"/>
    </row>
    <row r="501" customFormat="false" ht="13.8" hidden="false" customHeight="false" outlineLevel="0" collapsed="false">
      <c r="A501" s="14" t="s">
        <v>650</v>
      </c>
      <c r="B501" s="12"/>
      <c r="C501" s="12"/>
      <c r="D501" s="89"/>
      <c r="E501" s="14" t="s">
        <v>651</v>
      </c>
      <c r="F501" s="14" t="s">
        <v>652</v>
      </c>
      <c r="G501" s="14" t="n">
        <v>0</v>
      </c>
      <c r="H501" s="14" t="n">
        <v>1000</v>
      </c>
      <c r="I501" s="14" t="s">
        <v>15</v>
      </c>
    </row>
    <row r="502" customFormat="false" ht="13.8" hidden="false" customHeight="false" outlineLevel="0" collapsed="false">
      <c r="A502" s="1" t="s">
        <v>902</v>
      </c>
      <c r="B502" s="42"/>
      <c r="C502" s="42"/>
      <c r="D502" s="43"/>
      <c r="E502" s="10" t="s">
        <v>903</v>
      </c>
      <c r="F502" s="10" t="s">
        <v>904</v>
      </c>
      <c r="G502" s="10" t="n">
        <v>0</v>
      </c>
      <c r="H502" s="10" t="n">
        <v>1000</v>
      </c>
      <c r="I502" s="63"/>
      <c r="J502" s="10" t="s">
        <v>905</v>
      </c>
      <c r="K502" s="10"/>
      <c r="L502" s="10"/>
      <c r="M502" s="10"/>
      <c r="N502" s="10"/>
      <c r="O502" s="10"/>
      <c r="P502" s="10"/>
      <c r="Q502" s="10"/>
    </row>
    <row r="503" customFormat="false" ht="13.8" hidden="false" customHeight="false" outlineLevel="0" collapsed="false">
      <c r="A503" s="107" t="s">
        <v>906</v>
      </c>
      <c r="C503" s="79"/>
      <c r="E503" s="21" t="s">
        <v>907</v>
      </c>
      <c r="F503" s="21" t="s">
        <v>908</v>
      </c>
      <c r="G503" s="21" t="n">
        <v>-1000</v>
      </c>
      <c r="H503" s="21" t="n">
        <v>1000</v>
      </c>
      <c r="I503" s="39"/>
      <c r="J503" s="21" t="s">
        <v>512</v>
      </c>
      <c r="K503" s="10"/>
      <c r="L503" s="10"/>
      <c r="M503" s="10"/>
      <c r="N503" s="10"/>
      <c r="O503" s="10"/>
      <c r="P503" s="10"/>
      <c r="Q503" s="10"/>
    </row>
    <row r="504" customFormat="false" ht="13.8" hidden="false" customHeight="false" outlineLevel="0" collapsed="false">
      <c r="A504" s="78" t="s">
        <v>909</v>
      </c>
      <c r="C504" s="79"/>
      <c r="E504" s="21" t="s">
        <v>910</v>
      </c>
      <c r="F504" s="21" t="s">
        <v>911</v>
      </c>
      <c r="G504" s="21" t="n">
        <v>-1000</v>
      </c>
      <c r="H504" s="21" t="n">
        <v>1000</v>
      </c>
      <c r="I504" s="39"/>
      <c r="J504" s="21" t="s">
        <v>512</v>
      </c>
      <c r="K504" s="10"/>
      <c r="L504" s="10"/>
      <c r="M504" s="10"/>
      <c r="N504" s="10"/>
      <c r="O504" s="10"/>
      <c r="P504" s="10"/>
      <c r="Q504" s="10"/>
    </row>
    <row r="505" customFormat="false" ht="13.8" hidden="false" customHeight="false" outlineLevel="0" collapsed="false">
      <c r="A505" s="21" t="s">
        <v>912</v>
      </c>
      <c r="B505" s="37"/>
      <c r="C505" s="37"/>
      <c r="D505" s="38"/>
      <c r="E505" s="21" t="s">
        <v>913</v>
      </c>
      <c r="F505" s="21" t="s">
        <v>914</v>
      </c>
      <c r="G505" s="21" t="n">
        <v>0</v>
      </c>
      <c r="H505" s="21" t="n">
        <v>1000</v>
      </c>
      <c r="I505" s="39"/>
      <c r="J505" s="21" t="s">
        <v>512</v>
      </c>
      <c r="K505" s="10"/>
      <c r="L505" s="10"/>
      <c r="M505" s="10"/>
      <c r="N505" s="10"/>
      <c r="O505" s="10"/>
      <c r="P505" s="10"/>
      <c r="Q505" s="10"/>
    </row>
    <row r="506" customFormat="false" ht="13.8" hidden="false" customHeight="false" outlineLevel="0" collapsed="false">
      <c r="A506" s="21" t="s">
        <v>915</v>
      </c>
      <c r="B506" s="42"/>
      <c r="C506" s="42"/>
      <c r="D506" s="43"/>
      <c r="E506" s="10"/>
      <c r="F506" s="10"/>
      <c r="G506" s="10"/>
      <c r="H506" s="10"/>
      <c r="I506" s="10"/>
      <c r="J506" s="10"/>
      <c r="K506" s="10"/>
      <c r="L506" s="10"/>
      <c r="M506" s="10"/>
      <c r="N506" s="10"/>
      <c r="O506" s="10"/>
      <c r="P506" s="10"/>
      <c r="Q506" s="10"/>
    </row>
    <row r="507" customFormat="false" ht="13.8" hidden="false" customHeight="false" outlineLevel="0" collapsed="false">
      <c r="B507" s="42"/>
      <c r="C507" s="42"/>
      <c r="D507" s="43"/>
      <c r="E507" s="10"/>
      <c r="F507" s="10"/>
      <c r="G507" s="10"/>
      <c r="H507" s="10"/>
      <c r="I507" s="10"/>
      <c r="J507" s="10"/>
      <c r="K507" s="10"/>
      <c r="L507" s="10"/>
      <c r="M507" s="10"/>
      <c r="N507" s="10"/>
      <c r="O507" s="10"/>
      <c r="P507" s="10"/>
      <c r="Q507" s="10"/>
    </row>
    <row r="508" customFormat="false" ht="13.8" hidden="false" customHeight="false" outlineLevel="0" collapsed="false">
      <c r="A508" s="1" t="s">
        <v>916</v>
      </c>
      <c r="B508" s="42"/>
      <c r="C508" s="42"/>
      <c r="D508" s="43"/>
      <c r="E508" s="10"/>
      <c r="F508" s="10"/>
      <c r="G508" s="10"/>
      <c r="H508" s="10"/>
      <c r="I508" s="10"/>
      <c r="J508" s="10"/>
      <c r="K508" s="10"/>
      <c r="L508" s="10"/>
      <c r="M508" s="10"/>
      <c r="N508" s="10"/>
      <c r="O508" s="10"/>
      <c r="P508" s="10"/>
      <c r="Q508" s="10"/>
    </row>
    <row r="509" customFormat="false" ht="13.8" hidden="false" customHeight="false" outlineLevel="0" collapsed="false">
      <c r="A509" s="1" t="s">
        <v>682</v>
      </c>
      <c r="B509" s="42"/>
      <c r="C509" s="42"/>
      <c r="D509" s="43"/>
      <c r="E509" s="10"/>
      <c r="F509" s="10"/>
      <c r="G509" s="10"/>
      <c r="H509" s="10"/>
      <c r="I509" s="10"/>
      <c r="J509" s="10"/>
      <c r="K509" s="10"/>
      <c r="L509" s="10"/>
      <c r="M509" s="10"/>
      <c r="N509" s="10"/>
      <c r="O509" s="10"/>
      <c r="P509" s="10"/>
      <c r="Q509" s="10"/>
    </row>
    <row r="510" customFormat="false" ht="13.8" hidden="false" customHeight="false" outlineLevel="0" collapsed="false">
      <c r="A510" s="1" t="s">
        <v>917</v>
      </c>
      <c r="B510" s="42"/>
      <c r="C510" s="42"/>
      <c r="D510" s="43"/>
      <c r="E510" s="10"/>
      <c r="F510" s="10"/>
      <c r="G510" s="10"/>
      <c r="H510" s="10"/>
      <c r="I510" s="10"/>
      <c r="J510" s="10"/>
      <c r="K510" s="10"/>
      <c r="L510" s="10"/>
      <c r="M510" s="10"/>
      <c r="N510" s="10"/>
      <c r="O510" s="10"/>
      <c r="P510" s="10"/>
      <c r="Q510" s="10"/>
    </row>
    <row r="511" customFormat="false" ht="13.8" hidden="false" customHeight="false" outlineLevel="0" collapsed="false">
      <c r="A511" s="1" t="s">
        <v>918</v>
      </c>
      <c r="B511" s="42"/>
      <c r="C511" s="42"/>
      <c r="D511" s="43"/>
      <c r="E511" s="10"/>
      <c r="F511" s="10"/>
      <c r="G511" s="10"/>
      <c r="H511" s="10"/>
      <c r="I511" s="10"/>
      <c r="J511" s="10"/>
      <c r="K511" s="10"/>
      <c r="L511" s="10"/>
      <c r="M511" s="10"/>
      <c r="N511" s="10"/>
      <c r="O511" s="10"/>
      <c r="P511" s="10"/>
      <c r="Q511" s="10"/>
    </row>
    <row r="513" customFormat="false" ht="13.8" hidden="false" customHeight="false" outlineLevel="0" collapsed="false">
      <c r="A513" s="6" t="s">
        <v>919</v>
      </c>
      <c r="B513" s="54" t="s">
        <v>10</v>
      </c>
      <c r="C513" s="28"/>
      <c r="D513" s="44"/>
      <c r="E513" s="9"/>
      <c r="F513" s="9"/>
      <c r="G513" s="9"/>
      <c r="H513" s="9"/>
      <c r="I513" s="9"/>
      <c r="J513" s="9"/>
      <c r="K513" s="9"/>
      <c r="L513" s="9"/>
      <c r="M513" s="9"/>
      <c r="N513" s="9"/>
      <c r="O513" s="9"/>
      <c r="P513" s="9"/>
      <c r="Q513" s="9"/>
    </row>
    <row r="514" s="35" customFormat="true" ht="13.8" hidden="false" customHeight="false" outlineLevel="0" collapsed="false">
      <c r="A514" s="31" t="s">
        <v>142</v>
      </c>
      <c r="B514" s="32"/>
      <c r="C514" s="32"/>
      <c r="D514" s="50"/>
      <c r="E514" s="31"/>
      <c r="F514" s="31"/>
      <c r="G514" s="31"/>
      <c r="H514" s="31"/>
      <c r="I514" s="31"/>
      <c r="J514" s="31" t="s">
        <v>66</v>
      </c>
      <c r="K514" s="31"/>
      <c r="L514" s="31"/>
      <c r="M514" s="31"/>
      <c r="N514" s="31"/>
      <c r="O514" s="31"/>
      <c r="P514" s="31"/>
      <c r="Q514" s="31"/>
    </row>
    <row r="515" s="48" customFormat="true" ht="13.8" hidden="false" customHeight="false" outlineLevel="0" collapsed="false">
      <c r="A515" s="45" t="s">
        <v>147</v>
      </c>
      <c r="B515" s="46"/>
      <c r="C515" s="46"/>
      <c r="D515" s="47"/>
      <c r="E515" s="45" t="s">
        <v>148</v>
      </c>
      <c r="F515" s="45" t="s">
        <v>149</v>
      </c>
      <c r="G515" s="52" t="n">
        <v>-1000</v>
      </c>
      <c r="H515" s="52" t="n">
        <v>1000</v>
      </c>
      <c r="I515" s="14" t="s">
        <v>15</v>
      </c>
      <c r="J515" s="45" t="s">
        <v>920</v>
      </c>
      <c r="K515" s="45"/>
      <c r="L515" s="45"/>
      <c r="M515" s="45"/>
      <c r="N515" s="45"/>
      <c r="O515" s="45"/>
      <c r="P515" s="45"/>
      <c r="Q515" s="45"/>
    </row>
    <row r="516" customFormat="false" ht="13.8" hidden="false" customHeight="false" outlineLevel="0" collapsed="false">
      <c r="A516" s="1" t="s">
        <v>921</v>
      </c>
      <c r="B516" s="2" t="n">
        <f aca="false">-1-4-4</f>
        <v>-9</v>
      </c>
      <c r="C516" s="2" t="n">
        <f aca="false">-4-3-2</f>
        <v>-9</v>
      </c>
      <c r="D516" s="3" t="s">
        <v>68</v>
      </c>
      <c r="E516" s="1" t="s">
        <v>156</v>
      </c>
      <c r="F516" s="1" t="s">
        <v>157</v>
      </c>
      <c r="G516" s="1" t="n">
        <v>0</v>
      </c>
      <c r="H516" s="1" t="n">
        <v>1000</v>
      </c>
      <c r="I516" s="36"/>
      <c r="J516" s="1" t="s">
        <v>922</v>
      </c>
    </row>
    <row r="517" customFormat="false" ht="13.8" hidden="false" customHeight="false" outlineLevel="0" collapsed="false">
      <c r="A517" s="1" t="s">
        <v>923</v>
      </c>
      <c r="B517" s="2" t="n">
        <f aca="false">-4</f>
        <v>-4</v>
      </c>
      <c r="C517" s="2" t="n">
        <f aca="false">0-4</f>
        <v>-4</v>
      </c>
      <c r="D517" s="3" t="s">
        <v>68</v>
      </c>
      <c r="E517" s="1" t="s">
        <v>924</v>
      </c>
      <c r="F517" s="1" t="s">
        <v>925</v>
      </c>
      <c r="G517" s="1" t="n">
        <v>0</v>
      </c>
      <c r="H517" s="1" t="n">
        <v>1000</v>
      </c>
      <c r="I517" s="36"/>
      <c r="J517" s="1" t="s">
        <v>926</v>
      </c>
    </row>
    <row r="518" customFormat="false" ht="13.8" hidden="false" customHeight="false" outlineLevel="0" collapsed="false">
      <c r="A518" s="107" t="s">
        <v>927</v>
      </c>
      <c r="C518" s="79"/>
      <c r="E518" s="21" t="s">
        <v>928</v>
      </c>
      <c r="F518" s="21" t="s">
        <v>929</v>
      </c>
      <c r="G518" s="21" t="n">
        <v>-1000</v>
      </c>
      <c r="H518" s="21" t="n">
        <v>1000</v>
      </c>
      <c r="I518" s="39"/>
      <c r="J518" s="21" t="s">
        <v>512</v>
      </c>
    </row>
    <row r="519" customFormat="false" ht="13.8" hidden="false" customHeight="false" outlineLevel="0" collapsed="false">
      <c r="A519" s="78" t="s">
        <v>930</v>
      </c>
      <c r="C519" s="79"/>
      <c r="E519" s="21" t="s">
        <v>931</v>
      </c>
      <c r="F519" s="21" t="s">
        <v>932</v>
      </c>
      <c r="G519" s="21" t="n">
        <v>-1000</v>
      </c>
      <c r="H519" s="21" t="n">
        <v>1000</v>
      </c>
      <c r="I519" s="39"/>
      <c r="J519" s="21" t="s">
        <v>512</v>
      </c>
    </row>
    <row r="520" customFormat="false" ht="13.8" hidden="false" customHeight="false" outlineLevel="0" collapsed="false">
      <c r="A520" s="21" t="s">
        <v>933</v>
      </c>
      <c r="B520" s="37"/>
      <c r="C520" s="37"/>
      <c r="D520" s="38"/>
      <c r="E520" s="21" t="s">
        <v>934</v>
      </c>
      <c r="F520" s="21" t="s">
        <v>935</v>
      </c>
      <c r="G520" s="21" t="n">
        <v>0</v>
      </c>
      <c r="H520" s="21" t="n">
        <v>1000</v>
      </c>
      <c r="I520" s="39"/>
      <c r="J520" s="21" t="s">
        <v>512</v>
      </c>
    </row>
    <row r="521" customFormat="false" ht="13.8" hidden="false" customHeight="false" outlineLevel="0" collapsed="false">
      <c r="A521" s="21" t="s">
        <v>936</v>
      </c>
    </row>
    <row r="523" customFormat="false" ht="13.8" hidden="false" customHeight="false" outlineLevel="0" collapsed="false">
      <c r="A523" s="1" t="s">
        <v>937</v>
      </c>
    </row>
    <row r="524" customFormat="false" ht="13.8" hidden="false" customHeight="false" outlineLevel="0" collapsed="false">
      <c r="A524" s="1" t="s">
        <v>136</v>
      </c>
    </row>
    <row r="525" customFormat="false" ht="13.8" hidden="false" customHeight="false" outlineLevel="0" collapsed="false">
      <c r="A525" s="16" t="s">
        <v>938</v>
      </c>
    </row>
    <row r="527" customFormat="false" ht="13.8" hidden="false" customHeight="false" outlineLevel="0" collapsed="false">
      <c r="A527" s="6" t="s">
        <v>939</v>
      </c>
      <c r="B527" s="54" t="s">
        <v>10</v>
      </c>
      <c r="C527" s="28"/>
      <c r="D527" s="44"/>
      <c r="E527" s="9"/>
      <c r="F527" s="9"/>
      <c r="G527" s="9"/>
      <c r="H527" s="9"/>
      <c r="I527" s="9"/>
      <c r="J527" s="9"/>
      <c r="K527" s="9"/>
      <c r="L527" s="9"/>
      <c r="M527" s="9"/>
      <c r="N527" s="9"/>
      <c r="O527" s="9"/>
      <c r="P527" s="9"/>
      <c r="Q527" s="9"/>
    </row>
    <row r="528" customFormat="false" ht="13.8" hidden="false" customHeight="false" outlineLevel="0" collapsed="false">
      <c r="A528" s="31" t="s">
        <v>395</v>
      </c>
      <c r="B528" s="69"/>
      <c r="C528" s="42"/>
      <c r="D528" s="43"/>
      <c r="E528" s="10"/>
      <c r="F528" s="10"/>
      <c r="G528" s="10"/>
      <c r="H528" s="10"/>
      <c r="I528" s="10"/>
      <c r="J528" s="10"/>
      <c r="K528" s="10"/>
      <c r="L528" s="10"/>
      <c r="M528" s="10"/>
      <c r="N528" s="10"/>
      <c r="O528" s="10"/>
      <c r="P528" s="10"/>
      <c r="Q528" s="10"/>
    </row>
    <row r="529" customFormat="false" ht="13.8" hidden="false" customHeight="false" outlineLevel="0" collapsed="false">
      <c r="A529" s="1" t="s">
        <v>396</v>
      </c>
      <c r="E529" s="1" t="s">
        <v>397</v>
      </c>
      <c r="F529" s="1" t="s">
        <v>398</v>
      </c>
      <c r="G529" s="1" t="n">
        <v>0</v>
      </c>
      <c r="H529" s="1" t="n">
        <v>1000</v>
      </c>
      <c r="J529" s="1" t="s">
        <v>399</v>
      </c>
    </row>
    <row r="530" customFormat="false" ht="13.8" hidden="false" customHeight="false" outlineLevel="0" collapsed="false">
      <c r="A530" s="1" t="s">
        <v>400</v>
      </c>
      <c r="E530" s="1" t="s">
        <v>401</v>
      </c>
      <c r="F530" s="1" t="s">
        <v>402</v>
      </c>
      <c r="G530" s="1" t="n">
        <v>0</v>
      </c>
      <c r="H530" s="1" t="n">
        <v>1000</v>
      </c>
      <c r="J530" s="1" t="s">
        <v>403</v>
      </c>
    </row>
    <row r="531" customFormat="false" ht="13.8" hidden="false" customHeight="false" outlineLevel="0" collapsed="false">
      <c r="A531" s="1" t="s">
        <v>940</v>
      </c>
      <c r="E531" s="1" t="s">
        <v>941</v>
      </c>
      <c r="F531" s="1" t="s">
        <v>942</v>
      </c>
      <c r="G531" s="1" t="n">
        <v>-1000</v>
      </c>
      <c r="H531" s="1" t="n">
        <v>1000</v>
      </c>
      <c r="J531" s="1" t="s">
        <v>943</v>
      </c>
    </row>
    <row r="532" customFormat="false" ht="13.8" hidden="false" customHeight="false" outlineLevel="0" collapsed="false">
      <c r="A532" s="1" t="s">
        <v>944</v>
      </c>
      <c r="B532" s="2" t="n">
        <f aca="false">-1-1</f>
        <v>-2</v>
      </c>
      <c r="C532" s="2" t="n">
        <f aca="false">-2+-2+2</f>
        <v>-2</v>
      </c>
      <c r="D532" s="3" t="s">
        <v>68</v>
      </c>
      <c r="E532" s="1" t="s">
        <v>945</v>
      </c>
      <c r="F532" s="1" t="s">
        <v>946</v>
      </c>
      <c r="G532" s="1" t="n">
        <v>-1000</v>
      </c>
      <c r="H532" s="1" t="n">
        <v>1000</v>
      </c>
      <c r="J532" s="1" t="s">
        <v>947</v>
      </c>
    </row>
    <row r="533" customFormat="false" ht="13.8" hidden="false" customHeight="false" outlineLevel="0" collapsed="false">
      <c r="A533" s="21" t="s">
        <v>948</v>
      </c>
      <c r="B533" s="37"/>
      <c r="C533" s="37"/>
      <c r="D533" s="38"/>
      <c r="E533" s="21" t="s">
        <v>949</v>
      </c>
      <c r="F533" s="21" t="s">
        <v>950</v>
      </c>
      <c r="G533" s="21" t="n">
        <v>-1000</v>
      </c>
      <c r="H533" s="21" t="n">
        <v>1000</v>
      </c>
      <c r="I533" s="21"/>
      <c r="J533" s="21" t="s">
        <v>951</v>
      </c>
    </row>
    <row r="534" customFormat="false" ht="13.8" hidden="false" customHeight="false" outlineLevel="0" collapsed="false">
      <c r="A534" s="21" t="s">
        <v>952</v>
      </c>
      <c r="B534" s="37"/>
      <c r="C534" s="37"/>
      <c r="D534" s="38"/>
      <c r="E534" s="21" t="s">
        <v>953</v>
      </c>
      <c r="F534" s="21" t="s">
        <v>954</v>
      </c>
      <c r="G534" s="21" t="n">
        <v>-1000</v>
      </c>
      <c r="H534" s="21" t="n">
        <v>1000</v>
      </c>
      <c r="I534" s="21"/>
      <c r="J534" s="21" t="s">
        <v>951</v>
      </c>
    </row>
    <row r="535" customFormat="false" ht="13.8" hidden="false" customHeight="false" outlineLevel="0" collapsed="false">
      <c r="A535" s="21" t="s">
        <v>955</v>
      </c>
      <c r="B535" s="37"/>
      <c r="C535" s="37"/>
      <c r="D535" s="38"/>
      <c r="E535" s="21" t="s">
        <v>956</v>
      </c>
      <c r="F535" s="21" t="s">
        <v>957</v>
      </c>
      <c r="G535" s="21" t="n">
        <v>0</v>
      </c>
      <c r="H535" s="21" t="n">
        <v>1000</v>
      </c>
      <c r="I535" s="21"/>
      <c r="J535" s="21" t="s">
        <v>951</v>
      </c>
    </row>
    <row r="536" customFormat="false" ht="13.8" hidden="false" customHeight="false" outlineLevel="0" collapsed="false">
      <c r="A536" s="21" t="s">
        <v>958</v>
      </c>
      <c r="B536" s="37"/>
      <c r="C536" s="37"/>
      <c r="D536" s="38"/>
      <c r="E536" s="21"/>
      <c r="F536" s="21"/>
      <c r="G536" s="21"/>
      <c r="H536" s="21"/>
      <c r="I536" s="21"/>
      <c r="J536" s="21"/>
    </row>
    <row r="537" customFormat="false" ht="13.8" hidden="false" customHeight="false" outlineLevel="0" collapsed="false">
      <c r="A537" s="21"/>
      <c r="B537" s="37"/>
      <c r="C537" s="37"/>
      <c r="D537" s="38"/>
      <c r="E537" s="21"/>
      <c r="F537" s="21"/>
      <c r="G537" s="21"/>
      <c r="H537" s="21"/>
      <c r="I537" s="21"/>
      <c r="J537" s="21"/>
    </row>
    <row r="538" customFormat="false" ht="13.8" hidden="false" customHeight="false" outlineLevel="0" collapsed="false">
      <c r="A538" s="1" t="s">
        <v>416</v>
      </c>
    </row>
    <row r="539" customFormat="false" ht="13.8" hidden="false" customHeight="false" outlineLevel="0" collapsed="false">
      <c r="A539" s="1" t="s">
        <v>136</v>
      </c>
    </row>
    <row r="540" customFormat="false" ht="13.8" hidden="false" customHeight="false" outlineLevel="0" collapsed="false">
      <c r="A540" s="41" t="s">
        <v>959</v>
      </c>
    </row>
    <row r="541" customFormat="false" ht="13.8" hidden="false" customHeight="false" outlineLevel="0" collapsed="false">
      <c r="A541" s="41"/>
    </row>
    <row r="542" customFormat="false" ht="13.8" hidden="false" customHeight="false" outlineLevel="0" collapsed="false">
      <c r="A542" s="6" t="s">
        <v>960</v>
      </c>
      <c r="B542" s="54" t="s">
        <v>10</v>
      </c>
      <c r="C542" s="84"/>
      <c r="D542" s="44"/>
      <c r="E542" s="9"/>
      <c r="F542" s="9"/>
      <c r="G542" s="9"/>
      <c r="H542" s="9"/>
      <c r="I542" s="9"/>
      <c r="J542" s="9" t="s">
        <v>961</v>
      </c>
    </row>
    <row r="543" customFormat="false" ht="13.8" hidden="false" customHeight="false" outlineLevel="0" collapsed="false">
      <c r="A543" s="93" t="s">
        <v>700</v>
      </c>
      <c r="B543" s="69"/>
      <c r="C543" s="108"/>
      <c r="D543" s="43"/>
      <c r="E543" s="10"/>
      <c r="F543" s="10"/>
      <c r="G543" s="10"/>
      <c r="H543" s="10"/>
      <c r="I543" s="10"/>
      <c r="J543" s="10"/>
    </row>
    <row r="544" customFormat="false" ht="13.8" hidden="false" customHeight="false" outlineLevel="0" collapsed="false">
      <c r="A544" s="11" t="s">
        <v>12</v>
      </c>
      <c r="B544" s="12"/>
      <c r="C544" s="12"/>
      <c r="D544" s="13"/>
      <c r="E544" s="14" t="s">
        <v>13</v>
      </c>
      <c r="F544" s="14" t="s">
        <v>14</v>
      </c>
      <c r="G544" s="14" t="n">
        <v>-1000</v>
      </c>
      <c r="H544" s="14" t="n">
        <v>1000</v>
      </c>
      <c r="I544" s="14" t="s">
        <v>15</v>
      </c>
    </row>
    <row r="545" customFormat="false" ht="13.8" hidden="false" customHeight="false" outlineLevel="0" collapsed="false">
      <c r="A545" s="109" t="s">
        <v>962</v>
      </c>
      <c r="B545" s="12"/>
      <c r="C545" s="12"/>
      <c r="E545" s="14" t="s">
        <v>42</v>
      </c>
      <c r="F545" s="14" t="s">
        <v>43</v>
      </c>
      <c r="G545" s="14" t="n">
        <v>-1000</v>
      </c>
      <c r="H545" s="14" t="n">
        <v>1000</v>
      </c>
      <c r="I545" s="14" t="s">
        <v>15</v>
      </c>
    </row>
    <row r="546" customFormat="false" ht="13.8" hidden="false" customHeight="false" outlineLevel="0" collapsed="false">
      <c r="A546" s="11" t="s">
        <v>963</v>
      </c>
      <c r="B546" s="12"/>
      <c r="C546" s="12"/>
      <c r="E546" s="14" t="s">
        <v>755</v>
      </c>
      <c r="F546" s="14" t="s">
        <v>756</v>
      </c>
      <c r="G546" s="14" t="n">
        <v>-1000</v>
      </c>
      <c r="H546" s="14" t="n">
        <v>1000</v>
      </c>
      <c r="I546" s="14" t="s">
        <v>15</v>
      </c>
    </row>
    <row r="547" customFormat="false" ht="13.8" hidden="false" customHeight="false" outlineLevel="0" collapsed="false">
      <c r="A547" s="16" t="s">
        <v>757</v>
      </c>
      <c r="B547" s="2" t="n">
        <f aca="false">-4-2+1</f>
        <v>-5</v>
      </c>
      <c r="C547" s="2" t="n">
        <f aca="false">-4-1</f>
        <v>-5</v>
      </c>
      <c r="D547" s="3" t="s">
        <v>68</v>
      </c>
      <c r="E547" s="1" t="s">
        <v>758</v>
      </c>
      <c r="F547" s="1" t="s">
        <v>759</v>
      </c>
      <c r="G547" s="1" t="n">
        <v>0</v>
      </c>
      <c r="H547" s="1" t="n">
        <v>1000</v>
      </c>
      <c r="J547" s="1" t="s">
        <v>760</v>
      </c>
    </row>
    <row r="548" customFormat="false" ht="13.8" hidden="false" customHeight="false" outlineLevel="0" collapsed="false">
      <c r="A548" s="93" t="s">
        <v>964</v>
      </c>
    </row>
    <row r="549" customFormat="false" ht="13.8" hidden="false" customHeight="false" outlineLevel="0" collapsed="false">
      <c r="A549" s="11" t="s">
        <v>965</v>
      </c>
      <c r="B549" s="12"/>
      <c r="C549" s="12"/>
      <c r="E549" s="14" t="s">
        <v>966</v>
      </c>
      <c r="F549" s="14" t="s">
        <v>967</v>
      </c>
      <c r="G549" s="14" t="n">
        <v>-1000</v>
      </c>
      <c r="H549" s="14" t="n">
        <v>1000</v>
      </c>
      <c r="I549" s="14" t="s">
        <v>15</v>
      </c>
    </row>
    <row r="550" customFormat="false" ht="13.8" hidden="false" customHeight="false" outlineLevel="0" collapsed="false">
      <c r="A550" s="11" t="s">
        <v>968</v>
      </c>
      <c r="B550" s="12"/>
      <c r="C550" s="12"/>
      <c r="E550" s="14" t="s">
        <v>969</v>
      </c>
      <c r="F550" s="14" t="s">
        <v>970</v>
      </c>
      <c r="G550" s="14" t="n">
        <v>-1000</v>
      </c>
      <c r="H550" s="14" t="n">
        <v>1000</v>
      </c>
      <c r="I550" s="14" t="s">
        <v>15</v>
      </c>
      <c r="J550" s="14"/>
    </row>
    <row r="551" customFormat="false" ht="13.8" hidden="false" customHeight="false" outlineLevel="0" collapsed="false">
      <c r="A551" s="11" t="s">
        <v>971</v>
      </c>
      <c r="B551" s="12"/>
      <c r="C551" s="12"/>
      <c r="E551" s="14" t="s">
        <v>972</v>
      </c>
      <c r="F551" s="14" t="s">
        <v>973</v>
      </c>
      <c r="G551" s="14" t="n">
        <v>-1000</v>
      </c>
      <c r="H551" s="14" t="n">
        <v>1000</v>
      </c>
      <c r="I551" s="14" t="s">
        <v>15</v>
      </c>
      <c r="J551" s="1" t="s">
        <v>974</v>
      </c>
    </row>
    <row r="552" customFormat="false" ht="13.8" hidden="false" customHeight="false" outlineLevel="0" collapsed="false">
      <c r="A552" s="16" t="s">
        <v>975</v>
      </c>
      <c r="B552" s="2" t="n">
        <f aca="false">-4-2+1</f>
        <v>-5</v>
      </c>
      <c r="C552" s="2" t="n">
        <f aca="false">-4-1</f>
        <v>-5</v>
      </c>
      <c r="D552" s="3" t="s">
        <v>68</v>
      </c>
      <c r="E552" s="1" t="s">
        <v>976</v>
      </c>
      <c r="F552" s="1" t="s">
        <v>977</v>
      </c>
      <c r="G552" s="1" t="n">
        <v>0</v>
      </c>
      <c r="H552" s="1" t="n">
        <v>1000</v>
      </c>
      <c r="J552" s="1" t="s">
        <v>978</v>
      </c>
    </row>
    <row r="553" customFormat="false" ht="13.8" hidden="false" customHeight="false" outlineLevel="0" collapsed="false">
      <c r="A553" s="93" t="s">
        <v>979</v>
      </c>
    </row>
    <row r="554" customFormat="false" ht="13.8" hidden="false" customHeight="false" outlineLevel="0" collapsed="false">
      <c r="A554" s="11" t="s">
        <v>980</v>
      </c>
      <c r="E554" s="14" t="s">
        <v>981</v>
      </c>
      <c r="F554" s="14" t="s">
        <v>982</v>
      </c>
      <c r="G554" s="14" t="n">
        <v>-1000</v>
      </c>
      <c r="H554" s="14" t="n">
        <v>1000</v>
      </c>
      <c r="I554" s="14" t="s">
        <v>15</v>
      </c>
    </row>
    <row r="555" customFormat="false" ht="13.8" hidden="false" customHeight="false" outlineLevel="0" collapsed="false">
      <c r="A555" s="11" t="s">
        <v>983</v>
      </c>
      <c r="E555" s="14" t="s">
        <v>984</v>
      </c>
      <c r="F555" s="14" t="s">
        <v>985</v>
      </c>
      <c r="G555" s="14" t="n">
        <v>-1000</v>
      </c>
      <c r="H555" s="14" t="n">
        <v>1000</v>
      </c>
      <c r="I555" s="14" t="s">
        <v>15</v>
      </c>
    </row>
    <row r="556" customFormat="false" ht="13.8" hidden="false" customHeight="false" outlineLevel="0" collapsed="false">
      <c r="A556" s="11" t="s">
        <v>986</v>
      </c>
      <c r="E556" s="14" t="s">
        <v>987</v>
      </c>
      <c r="F556" s="14" t="s">
        <v>973</v>
      </c>
      <c r="G556" s="14" t="n">
        <v>-1000</v>
      </c>
      <c r="H556" s="14" t="n">
        <v>1000</v>
      </c>
      <c r="I556" s="14" t="s">
        <v>15</v>
      </c>
    </row>
    <row r="557" customFormat="false" ht="13.8" hidden="false" customHeight="false" outlineLevel="0" collapsed="false">
      <c r="A557" s="16" t="s">
        <v>988</v>
      </c>
      <c r="B557" s="2" t="n">
        <f aca="false">-4-2+1</f>
        <v>-5</v>
      </c>
      <c r="C557" s="2" t="n">
        <f aca="false">-4-1</f>
        <v>-5</v>
      </c>
      <c r="D557" s="3" t="s">
        <v>68</v>
      </c>
      <c r="E557" s="1" t="s">
        <v>989</v>
      </c>
      <c r="F557" s="1" t="s">
        <v>990</v>
      </c>
      <c r="G557" s="1" t="n">
        <v>0</v>
      </c>
      <c r="H557" s="1" t="n">
        <v>1000</v>
      </c>
      <c r="J557" s="1" t="s">
        <v>991</v>
      </c>
    </row>
    <row r="558" customFormat="false" ht="13.8" hidden="false" customHeight="false" outlineLevel="0" collapsed="false">
      <c r="A558" s="93" t="s">
        <v>717</v>
      </c>
    </row>
    <row r="559" customFormat="false" ht="13.8" hidden="false" customHeight="false" outlineLevel="0" collapsed="false">
      <c r="A559" s="110" t="s">
        <v>992</v>
      </c>
      <c r="B559" s="12"/>
      <c r="C559" s="12"/>
      <c r="D559" s="89"/>
      <c r="E559" s="14" t="s">
        <v>993</v>
      </c>
      <c r="F559" s="14" t="s">
        <v>994</v>
      </c>
      <c r="G559" s="14" t="n">
        <v>0</v>
      </c>
      <c r="H559" s="14" t="n">
        <v>1000</v>
      </c>
      <c r="I559" s="14" t="s">
        <v>15</v>
      </c>
      <c r="J559" s="14" t="s">
        <v>995</v>
      </c>
    </row>
    <row r="560" customFormat="false" ht="13.8" hidden="false" customHeight="false" outlineLevel="0" collapsed="false">
      <c r="A560" s="25" t="s">
        <v>996</v>
      </c>
      <c r="B560" s="2" t="n">
        <f aca="false">-1-4-4+1</f>
        <v>-8</v>
      </c>
      <c r="C560" s="2" t="n">
        <f aca="false">-3-2-3</f>
        <v>-8</v>
      </c>
      <c r="D560" s="3" t="s">
        <v>68</v>
      </c>
      <c r="E560" s="1" t="s">
        <v>997</v>
      </c>
      <c r="F560" s="1" t="s">
        <v>998</v>
      </c>
      <c r="G560" s="1" t="n">
        <v>0</v>
      </c>
      <c r="H560" s="1" t="n">
        <v>1000</v>
      </c>
      <c r="I560" s="36"/>
      <c r="J560" s="1" t="s">
        <v>725</v>
      </c>
    </row>
    <row r="561" customFormat="false" ht="13.8" hidden="false" customHeight="false" outlineLevel="0" collapsed="false">
      <c r="A561" s="16" t="s">
        <v>999</v>
      </c>
      <c r="B561" s="2" t="n">
        <f aca="false">-4-2+1</f>
        <v>-5</v>
      </c>
      <c r="C561" s="2" t="n">
        <f aca="false">-4-1</f>
        <v>-5</v>
      </c>
      <c r="D561" s="3" t="s">
        <v>68</v>
      </c>
      <c r="E561" s="1" t="s">
        <v>1000</v>
      </c>
      <c r="F561" s="1" t="s">
        <v>1001</v>
      </c>
      <c r="G561" s="1" t="n">
        <v>0</v>
      </c>
      <c r="H561" s="1" t="n">
        <v>1000</v>
      </c>
      <c r="I561" s="36"/>
      <c r="J561" s="1" t="s">
        <v>729</v>
      </c>
    </row>
    <row r="562" customFormat="false" ht="13.8" hidden="false" customHeight="false" outlineLevel="0" collapsed="false">
      <c r="A562" s="16" t="s">
        <v>1002</v>
      </c>
      <c r="B562" s="2" t="n">
        <f aca="false">0</f>
        <v>0</v>
      </c>
      <c r="C562" s="2" t="n">
        <f aca="false">-1+1</f>
        <v>0</v>
      </c>
      <c r="D562" s="3" t="s">
        <v>68</v>
      </c>
      <c r="E562" s="1" t="s">
        <v>1003</v>
      </c>
      <c r="F562" s="1" t="s">
        <v>1004</v>
      </c>
      <c r="G562" s="1" t="n">
        <v>0</v>
      </c>
      <c r="H562" s="1" t="n">
        <v>1000</v>
      </c>
      <c r="I562" s="36"/>
      <c r="J562" s="1" t="s">
        <v>733</v>
      </c>
    </row>
    <row r="563" customFormat="false" ht="13.8" hidden="false" customHeight="false" outlineLevel="0" collapsed="false">
      <c r="A563" s="78" t="s">
        <v>1005</v>
      </c>
      <c r="E563" s="21" t="s">
        <v>1006</v>
      </c>
      <c r="F563" s="21" t="s">
        <v>1007</v>
      </c>
      <c r="G563" s="21" t="n">
        <v>-1000</v>
      </c>
      <c r="H563" s="21" t="n">
        <v>1000</v>
      </c>
      <c r="J563" s="21" t="s">
        <v>1008</v>
      </c>
    </row>
    <row r="564" customFormat="false" ht="13.8" hidden="false" customHeight="false" outlineLevel="0" collapsed="false">
      <c r="A564" s="78" t="s">
        <v>1009</v>
      </c>
      <c r="C564" s="79"/>
      <c r="E564" s="21" t="s">
        <v>1010</v>
      </c>
      <c r="F564" s="21" t="s">
        <v>1011</v>
      </c>
      <c r="G564" s="21" t="n">
        <v>-1000</v>
      </c>
      <c r="H564" s="21" t="n">
        <v>1000</v>
      </c>
      <c r="J564" s="21" t="s">
        <v>1008</v>
      </c>
    </row>
    <row r="565" customFormat="false" ht="13.8" hidden="false" customHeight="false" outlineLevel="0" collapsed="false">
      <c r="A565" s="21" t="s">
        <v>1012</v>
      </c>
      <c r="B565" s="37"/>
      <c r="C565" s="37"/>
      <c r="D565" s="38"/>
      <c r="E565" s="21" t="s">
        <v>1013</v>
      </c>
      <c r="F565" s="21" t="s">
        <v>1014</v>
      </c>
      <c r="G565" s="21" t="n">
        <v>0</v>
      </c>
      <c r="H565" s="21" t="n">
        <v>1000</v>
      </c>
      <c r="I565" s="21"/>
      <c r="J565" s="21" t="s">
        <v>1008</v>
      </c>
    </row>
    <row r="566" customFormat="false" ht="13.8" hidden="false" customHeight="false" outlineLevel="0" collapsed="false">
      <c r="A566" s="78" t="s">
        <v>1015</v>
      </c>
      <c r="I566" s="36"/>
    </row>
    <row r="567" customFormat="false" ht="13.8" hidden="false" customHeight="false" outlineLevel="0" collapsed="false">
      <c r="A567" s="41"/>
    </row>
    <row r="568" customFormat="false" ht="13.8" hidden="false" customHeight="false" outlineLevel="0" collapsed="false">
      <c r="A568" s="41" t="s">
        <v>745</v>
      </c>
      <c r="B568" s="17"/>
      <c r="C568" s="17"/>
      <c r="D568" s="18"/>
      <c r="E568" s="19"/>
      <c r="F568" s="19"/>
      <c r="G568" s="19"/>
      <c r="H568" s="19"/>
      <c r="I568" s="19"/>
      <c r="J568" s="19"/>
    </row>
    <row r="569" customFormat="false" ht="13.8" hidden="false" customHeight="false" outlineLevel="0" collapsed="false">
      <c r="A569" s="41" t="s">
        <v>747</v>
      </c>
    </row>
    <row r="570" customFormat="false" ht="13.8" hidden="false" customHeight="false" outlineLevel="0" collapsed="false">
      <c r="A570" s="41" t="s">
        <v>746</v>
      </c>
      <c r="B570" s="17"/>
      <c r="C570" s="17"/>
      <c r="D570" s="18"/>
      <c r="E570" s="19"/>
      <c r="F570" s="19"/>
      <c r="G570" s="19"/>
      <c r="H570" s="19"/>
      <c r="I570" s="19"/>
      <c r="J570" s="19"/>
    </row>
    <row r="571" customFormat="false" ht="13.8" hidden="false" customHeight="false" outlineLevel="0" collapsed="false">
      <c r="A571" s="41" t="s">
        <v>748</v>
      </c>
    </row>
    <row r="572" customFormat="false" ht="13.8" hidden="false" customHeight="false" outlineLevel="0" collapsed="false">
      <c r="A572" s="41"/>
    </row>
    <row r="573" customFormat="false" ht="13.8" hidden="false" customHeight="false" outlineLevel="0" collapsed="false">
      <c r="A573" s="6" t="s">
        <v>1016</v>
      </c>
      <c r="B573" s="54" t="s">
        <v>10</v>
      </c>
      <c r="C573" s="84"/>
      <c r="D573" s="44"/>
      <c r="E573" s="9"/>
      <c r="F573" s="9"/>
      <c r="G573" s="9"/>
      <c r="H573" s="9"/>
      <c r="I573" s="9"/>
      <c r="J573" s="9" t="s">
        <v>1017</v>
      </c>
    </row>
    <row r="574" customFormat="false" ht="13.8" hidden="false" customHeight="false" outlineLevel="0" collapsed="false">
      <c r="A574" s="11" t="s">
        <v>694</v>
      </c>
      <c r="B574" s="90"/>
      <c r="C574" s="91"/>
      <c r="D574" s="88"/>
      <c r="E574" s="52" t="s">
        <v>695</v>
      </c>
      <c r="F574" s="52" t="s">
        <v>696</v>
      </c>
      <c r="G574" s="14" t="n">
        <v>0</v>
      </c>
      <c r="H574" s="14" t="n">
        <v>1000</v>
      </c>
      <c r="I574" s="14" t="s">
        <v>15</v>
      </c>
      <c r="J574" s="52"/>
    </row>
    <row r="575" customFormat="false" ht="13.8" hidden="false" customHeight="false" outlineLevel="0" collapsed="false">
      <c r="A575" s="11" t="s">
        <v>697</v>
      </c>
      <c r="B575" s="12"/>
      <c r="C575" s="12"/>
      <c r="D575" s="89"/>
      <c r="E575" s="14" t="s">
        <v>698</v>
      </c>
      <c r="F575" s="14" t="s">
        <v>699</v>
      </c>
      <c r="G575" s="14" t="n">
        <v>0</v>
      </c>
      <c r="H575" s="14" t="n">
        <v>1000</v>
      </c>
      <c r="I575" s="14" t="s">
        <v>15</v>
      </c>
      <c r="J575" s="14"/>
    </row>
    <row r="576" customFormat="false" ht="13.8" hidden="false" customHeight="false" outlineLevel="0" collapsed="false">
      <c r="A576" s="93" t="s">
        <v>700</v>
      </c>
      <c r="B576" s="12"/>
      <c r="C576" s="12"/>
      <c r="D576" s="89"/>
      <c r="E576" s="14"/>
      <c r="F576" s="14"/>
      <c r="G576" s="14"/>
      <c r="H576" s="14"/>
      <c r="I576" s="14"/>
      <c r="J576" s="14"/>
    </row>
    <row r="577" customFormat="false" ht="13.8" hidden="false" customHeight="false" outlineLevel="0" collapsed="false">
      <c r="A577" s="16" t="s">
        <v>701</v>
      </c>
      <c r="B577" s="2" t="n">
        <f aca="false">-4-4</f>
        <v>-8</v>
      </c>
      <c r="C577" s="2" t="n">
        <f aca="false">-4-4</f>
        <v>-8</v>
      </c>
      <c r="D577" s="3" t="s">
        <v>68</v>
      </c>
      <c r="E577" s="1" t="s">
        <v>702</v>
      </c>
      <c r="F577" s="1" t="s">
        <v>703</v>
      </c>
      <c r="G577" s="1" t="n">
        <v>-1000</v>
      </c>
      <c r="H577" s="1" t="n">
        <v>1000</v>
      </c>
      <c r="I577" s="36"/>
      <c r="J577" s="1" t="s">
        <v>704</v>
      </c>
    </row>
    <row r="578" customFormat="false" ht="13.8" hidden="false" customHeight="false" outlineLevel="0" collapsed="false">
      <c r="A578" s="16" t="s">
        <v>705</v>
      </c>
      <c r="B578" s="2" t="n">
        <f aca="false">-4-2+1</f>
        <v>-5</v>
      </c>
      <c r="C578" s="2" t="n">
        <f aca="false">-4-1</f>
        <v>-5</v>
      </c>
      <c r="D578" s="3" t="s">
        <v>68</v>
      </c>
      <c r="E578" s="1" t="s">
        <v>706</v>
      </c>
      <c r="F578" s="1" t="s">
        <v>707</v>
      </c>
      <c r="G578" s="1" t="n">
        <v>-1000</v>
      </c>
      <c r="H578" s="1" t="n">
        <v>1000</v>
      </c>
      <c r="I578" s="36"/>
      <c r="J578" s="1" t="s">
        <v>708</v>
      </c>
    </row>
    <row r="579" customFormat="false" ht="13.8" hidden="false" customHeight="false" outlineLevel="0" collapsed="false">
      <c r="A579" s="16" t="s">
        <v>709</v>
      </c>
      <c r="B579" s="2" t="n">
        <f aca="false">-4</f>
        <v>-4</v>
      </c>
      <c r="C579" s="2" t="n">
        <f aca="false">-4</f>
        <v>-4</v>
      </c>
      <c r="D579" s="3" t="s">
        <v>68</v>
      </c>
      <c r="E579" s="1" t="s">
        <v>710</v>
      </c>
      <c r="F579" s="1" t="s">
        <v>711</v>
      </c>
      <c r="G579" s="1" t="n">
        <v>-1000</v>
      </c>
      <c r="H579" s="1" t="n">
        <v>1000</v>
      </c>
      <c r="J579" s="1" t="s">
        <v>712</v>
      </c>
    </row>
    <row r="580" customFormat="false" ht="13.8" hidden="false" customHeight="false" outlineLevel="0" collapsed="false">
      <c r="A580" s="16" t="s">
        <v>713</v>
      </c>
      <c r="B580" s="2" t="n">
        <f aca="false">-4-2+1</f>
        <v>-5</v>
      </c>
      <c r="C580" s="2" t="n">
        <f aca="false">-4-1</f>
        <v>-5</v>
      </c>
      <c r="D580" s="3" t="s">
        <v>68</v>
      </c>
      <c r="E580" s="1" t="s">
        <v>714</v>
      </c>
      <c r="F580" s="1" t="s">
        <v>715</v>
      </c>
      <c r="G580" s="1" t="n">
        <v>0</v>
      </c>
      <c r="H580" s="1" t="n">
        <v>1000</v>
      </c>
      <c r="I580" s="36"/>
      <c r="J580" s="1" t="s">
        <v>1018</v>
      </c>
    </row>
    <row r="581" customFormat="false" ht="13.8" hidden="false" customHeight="false" outlineLevel="0" collapsed="false">
      <c r="A581" s="93" t="s">
        <v>964</v>
      </c>
      <c r="B581" s="0"/>
    </row>
    <row r="582" customFormat="false" ht="14.25" hidden="false" customHeight="false" outlineLevel="0" collapsed="false">
      <c r="A582" s="16" t="s">
        <v>1019</v>
      </c>
      <c r="B582" s="2" t="n">
        <f aca="false">-4-4</f>
        <v>-8</v>
      </c>
      <c r="C582" s="2" t="n">
        <f aca="false">-4-4</f>
        <v>-8</v>
      </c>
      <c r="D582" s="3" t="s">
        <v>68</v>
      </c>
      <c r="E582" s="1" t="s">
        <v>1020</v>
      </c>
      <c r="F582" s="1" t="s">
        <v>1021</v>
      </c>
      <c r="G582" s="1" t="n">
        <v>-1000</v>
      </c>
      <c r="H582" s="1" t="n">
        <v>1000</v>
      </c>
      <c r="J582" s="1" t="s">
        <v>1022</v>
      </c>
    </row>
    <row r="583" customFormat="false" ht="14.25" hidden="false" customHeight="false" outlineLevel="0" collapsed="false">
      <c r="A583" s="16" t="s">
        <v>1023</v>
      </c>
      <c r="B583" s="2" t="n">
        <f aca="false">-4-1</f>
        <v>-5</v>
      </c>
      <c r="C583" s="2" t="n">
        <f aca="false">-4-2+1</f>
        <v>-5</v>
      </c>
      <c r="D583" s="3" t="s">
        <v>68</v>
      </c>
      <c r="E583" s="1" t="s">
        <v>1024</v>
      </c>
      <c r="F583" s="1" t="s">
        <v>1025</v>
      </c>
      <c r="G583" s="1" t="n">
        <v>-1000</v>
      </c>
      <c r="H583" s="1" t="n">
        <v>1000</v>
      </c>
      <c r="J583" s="1" t="s">
        <v>1026</v>
      </c>
    </row>
    <row r="584" customFormat="false" ht="13.8" hidden="false" customHeight="false" outlineLevel="0" collapsed="false">
      <c r="A584" s="16" t="s">
        <v>1027</v>
      </c>
      <c r="B584" s="2" t="n">
        <f aca="false">-4</f>
        <v>-4</v>
      </c>
      <c r="C584" s="2" t="n">
        <f aca="false">-4</f>
        <v>-4</v>
      </c>
      <c r="D584" s="3" t="s">
        <v>68</v>
      </c>
      <c r="E584" s="1" t="s">
        <v>1028</v>
      </c>
      <c r="F584" s="1" t="s">
        <v>1029</v>
      </c>
      <c r="G584" s="1" t="n">
        <v>-1000</v>
      </c>
      <c r="H584" s="1" t="n">
        <v>1000</v>
      </c>
      <c r="J584" s="53" t="s">
        <v>1030</v>
      </c>
    </row>
    <row r="585" customFormat="false" ht="13.8" hidden="false" customHeight="false" outlineLevel="0" collapsed="false">
      <c r="A585" s="16" t="s">
        <v>1031</v>
      </c>
      <c r="B585" s="2" t="n">
        <f aca="false">-4-2+1</f>
        <v>-5</v>
      </c>
      <c r="C585" s="2" t="n">
        <f aca="false">-4-1</f>
        <v>-5</v>
      </c>
      <c r="D585" s="3" t="s">
        <v>68</v>
      </c>
      <c r="E585" s="1" t="s">
        <v>1032</v>
      </c>
      <c r="F585" s="1" t="s">
        <v>1033</v>
      </c>
      <c r="G585" s="1" t="n">
        <v>0</v>
      </c>
      <c r="H585" s="1" t="n">
        <v>1000</v>
      </c>
      <c r="I585" s="36"/>
      <c r="J585" s="1" t="s">
        <v>1034</v>
      </c>
    </row>
    <row r="586" customFormat="false" ht="13.8" hidden="false" customHeight="false" outlineLevel="0" collapsed="false">
      <c r="A586" s="93" t="s">
        <v>717</v>
      </c>
    </row>
    <row r="587" customFormat="false" ht="13.8" hidden="false" customHeight="false" outlineLevel="0" collapsed="false">
      <c r="A587" s="16" t="s">
        <v>1035</v>
      </c>
      <c r="B587" s="2" t="n">
        <f aca="false">-4</f>
        <v>-4</v>
      </c>
      <c r="C587" s="2" t="n">
        <f aca="false">-1-4+1</f>
        <v>-4</v>
      </c>
      <c r="D587" s="3" t="s">
        <v>68</v>
      </c>
      <c r="E587" s="1" t="s">
        <v>1036</v>
      </c>
      <c r="F587" s="1" t="s">
        <v>1037</v>
      </c>
      <c r="G587" s="1" t="n">
        <v>0</v>
      </c>
      <c r="H587" s="1" t="n">
        <v>1000</v>
      </c>
      <c r="J587" s="1" t="s">
        <v>721</v>
      </c>
    </row>
    <row r="588" customFormat="false" ht="13.8" hidden="false" customHeight="false" outlineLevel="0" collapsed="false">
      <c r="A588" s="16" t="s">
        <v>1038</v>
      </c>
      <c r="B588" s="2" t="n">
        <f aca="false">-1-4-4+1</f>
        <v>-8</v>
      </c>
      <c r="C588" s="2" t="n">
        <f aca="false">0-3-2-3</f>
        <v>-8</v>
      </c>
      <c r="D588" s="3" t="s">
        <v>68</v>
      </c>
      <c r="E588" s="1" t="s">
        <v>1039</v>
      </c>
      <c r="F588" s="1" t="s">
        <v>1040</v>
      </c>
      <c r="G588" s="1" t="n">
        <v>0</v>
      </c>
      <c r="H588" s="1" t="n">
        <v>1000</v>
      </c>
      <c r="I588" s="36"/>
      <c r="J588" s="1" t="s">
        <v>725</v>
      </c>
    </row>
    <row r="589" customFormat="false" ht="13.8" hidden="false" customHeight="false" outlineLevel="0" collapsed="false">
      <c r="A589" s="25" t="s">
        <v>1041</v>
      </c>
      <c r="B589" s="2" t="n">
        <f aca="false">-4-2+1</f>
        <v>-5</v>
      </c>
      <c r="C589" s="2" t="n">
        <f aca="false">0-4-1</f>
        <v>-5</v>
      </c>
      <c r="D589" s="3" t="s">
        <v>68</v>
      </c>
      <c r="E589" s="1" t="s">
        <v>1042</v>
      </c>
      <c r="F589" s="1" t="s">
        <v>1043</v>
      </c>
      <c r="G589" s="1" t="n">
        <v>0</v>
      </c>
      <c r="H589" s="1" t="n">
        <v>1000</v>
      </c>
      <c r="I589" s="36"/>
      <c r="J589" s="1" t="s">
        <v>729</v>
      </c>
    </row>
    <row r="590" customFormat="false" ht="13.8" hidden="false" customHeight="false" outlineLevel="0" collapsed="false">
      <c r="A590" s="16" t="s">
        <v>1044</v>
      </c>
      <c r="B590" s="2" t="n">
        <f aca="false">0</f>
        <v>0</v>
      </c>
      <c r="C590" s="2" t="n">
        <f aca="false">-1+1</f>
        <v>0</v>
      </c>
      <c r="D590" s="3" t="s">
        <v>68</v>
      </c>
      <c r="E590" s="1" t="s">
        <v>1045</v>
      </c>
      <c r="F590" s="1" t="s">
        <v>1046</v>
      </c>
      <c r="G590" s="1" t="n">
        <v>0</v>
      </c>
      <c r="H590" s="1" t="n">
        <v>1000</v>
      </c>
      <c r="I590" s="36"/>
      <c r="J590" s="1" t="s">
        <v>733</v>
      </c>
    </row>
    <row r="591" customFormat="false" ht="13.8" hidden="false" customHeight="false" outlineLevel="0" collapsed="false">
      <c r="A591" s="78" t="s">
        <v>1047</v>
      </c>
      <c r="E591" s="21" t="s">
        <v>1048</v>
      </c>
      <c r="F591" s="21" t="s">
        <v>1049</v>
      </c>
      <c r="G591" s="21" t="n">
        <v>-1000</v>
      </c>
      <c r="H591" s="21" t="n">
        <v>1000</v>
      </c>
      <c r="J591" s="21" t="s">
        <v>1008</v>
      </c>
    </row>
    <row r="592" customFormat="false" ht="13.8" hidden="false" customHeight="false" outlineLevel="0" collapsed="false">
      <c r="A592" s="78" t="s">
        <v>1050</v>
      </c>
      <c r="C592" s="79"/>
      <c r="E592" s="21" t="s">
        <v>1051</v>
      </c>
      <c r="F592" s="21" t="s">
        <v>1052</v>
      </c>
      <c r="G592" s="21" t="n">
        <v>-1000</v>
      </c>
      <c r="H592" s="21" t="n">
        <v>1000</v>
      </c>
      <c r="J592" s="21" t="s">
        <v>1008</v>
      </c>
    </row>
    <row r="593" customFormat="false" ht="13.8" hidden="false" customHeight="false" outlineLevel="0" collapsed="false">
      <c r="A593" s="21" t="s">
        <v>1053</v>
      </c>
      <c r="B593" s="37"/>
      <c r="C593" s="37"/>
      <c r="D593" s="38"/>
      <c r="E593" s="21" t="s">
        <v>1054</v>
      </c>
      <c r="F593" s="21" t="s">
        <v>1055</v>
      </c>
      <c r="G593" s="21" t="n">
        <v>0</v>
      </c>
      <c r="H593" s="21" t="n">
        <v>1000</v>
      </c>
      <c r="I593" s="21"/>
      <c r="J593" s="21" t="s">
        <v>725</v>
      </c>
    </row>
    <row r="594" customFormat="false" ht="13.8" hidden="false" customHeight="false" outlineLevel="0" collapsed="false">
      <c r="A594" s="78" t="s">
        <v>1056</v>
      </c>
      <c r="C594" s="79"/>
    </row>
    <row r="595" customFormat="false" ht="13.8" hidden="false" customHeight="false" outlineLevel="0" collapsed="false">
      <c r="A595" s="41"/>
    </row>
    <row r="596" customFormat="false" ht="15" hidden="false" customHeight="false" outlineLevel="0" collapsed="false">
      <c r="A596" s="41" t="s">
        <v>745</v>
      </c>
    </row>
    <row r="597" customFormat="false" ht="14.15" hidden="false" customHeight="false" outlineLevel="0" collapsed="false">
      <c r="A597" s="41" t="s">
        <v>746</v>
      </c>
      <c r="F597" s="0"/>
    </row>
    <row r="598" customFormat="false" ht="14.15" hidden="false" customHeight="false" outlineLevel="0" collapsed="false">
      <c r="A598" s="41" t="s">
        <v>747</v>
      </c>
      <c r="F598" s="0"/>
    </row>
    <row r="599" customFormat="false" ht="14.15" hidden="false" customHeight="false" outlineLevel="0" collapsed="false">
      <c r="A599" s="41" t="s">
        <v>748</v>
      </c>
      <c r="F599" s="0"/>
    </row>
    <row r="601" customFormat="false" ht="13.8" hidden="false" customHeight="false" outlineLevel="0" collapsed="false">
      <c r="A601" s="6" t="s">
        <v>1057</v>
      </c>
      <c r="B601" s="54" t="s">
        <v>10</v>
      </c>
      <c r="C601" s="8"/>
      <c r="D601" s="8"/>
      <c r="E601" s="8"/>
      <c r="F601" s="8"/>
      <c r="G601" s="8"/>
      <c r="H601" s="8"/>
      <c r="I601" s="8"/>
      <c r="J601" s="8"/>
      <c r="K601" s="9"/>
      <c r="L601" s="9"/>
      <c r="M601" s="10"/>
      <c r="N601" s="10"/>
      <c r="O601" s="10"/>
    </row>
    <row r="602" customFormat="false" ht="13.8" hidden="false" customHeight="false" outlineLevel="0" collapsed="false">
      <c r="A602" s="56" t="s">
        <v>229</v>
      </c>
      <c r="B602" s="56"/>
      <c r="C602" s="56"/>
      <c r="D602" s="56"/>
      <c r="E602" s="56" t="s">
        <v>230</v>
      </c>
      <c r="F602" s="56" t="s">
        <v>1058</v>
      </c>
      <c r="G602" s="56" t="n">
        <v>0</v>
      </c>
      <c r="H602" s="56" t="n">
        <v>1000</v>
      </c>
      <c r="I602" s="56" t="s">
        <v>15</v>
      </c>
      <c r="J602" s="0"/>
      <c r="K602" s="10"/>
      <c r="L602" s="10"/>
      <c r="M602" s="10"/>
      <c r="N602" s="10"/>
      <c r="O602" s="10"/>
    </row>
    <row r="603" customFormat="false" ht="13.8" hidden="false" customHeight="false" outlineLevel="0" collapsed="false">
      <c r="A603" s="56" t="s">
        <v>1059</v>
      </c>
      <c r="B603" s="56"/>
      <c r="C603" s="56"/>
      <c r="D603" s="56"/>
      <c r="E603" s="56" t="s">
        <v>1060</v>
      </c>
      <c r="F603" s="56" t="s">
        <v>1061</v>
      </c>
      <c r="G603" s="56" t="n">
        <v>-1000</v>
      </c>
      <c r="H603" s="56" t="n">
        <v>1000</v>
      </c>
      <c r="I603" s="56" t="s">
        <v>15</v>
      </c>
      <c r="J603" s="0"/>
      <c r="K603" s="10"/>
      <c r="L603" s="10"/>
      <c r="M603" s="10"/>
      <c r="N603" s="10"/>
      <c r="O603" s="10"/>
    </row>
    <row r="604" customFormat="false" ht="13.8" hidden="false" customHeight="false" outlineLevel="0" collapsed="false">
      <c r="A604" s="56" t="s">
        <v>1062</v>
      </c>
      <c r="B604" s="56"/>
      <c r="C604" s="56"/>
      <c r="D604" s="56"/>
      <c r="E604" s="56" t="s">
        <v>1063</v>
      </c>
      <c r="F604" s="56" t="s">
        <v>1064</v>
      </c>
      <c r="G604" s="56" t="n">
        <v>0</v>
      </c>
      <c r="H604" s="56" t="n">
        <v>1000</v>
      </c>
      <c r="I604" s="56" t="s">
        <v>15</v>
      </c>
      <c r="J604" s="0"/>
      <c r="K604" s="10"/>
      <c r="L604" s="10"/>
      <c r="M604" s="10"/>
      <c r="N604" s="10"/>
      <c r="O604" s="10"/>
    </row>
    <row r="605" s="1" customFormat="true" ht="13.8" hidden="false" customHeight="false" outlineLevel="0" collapsed="false">
      <c r="A605" s="1" t="s">
        <v>1065</v>
      </c>
      <c r="E605" s="1" t="s">
        <v>1066</v>
      </c>
      <c r="F605" s="1" t="s">
        <v>1067</v>
      </c>
      <c r="G605" s="1" t="n">
        <v>0</v>
      </c>
      <c r="H605" s="1" t="n">
        <v>1000</v>
      </c>
      <c r="J605" s="1" t="s">
        <v>1068</v>
      </c>
      <c r="K605" s="10"/>
      <c r="L605" s="10"/>
      <c r="M605" s="10"/>
      <c r="N605" s="10"/>
      <c r="O605" s="10"/>
    </row>
    <row r="606" s="1" customFormat="true" ht="13.8" hidden="false" customHeight="false" outlineLevel="0" collapsed="false">
      <c r="A606" s="1" t="s">
        <v>1069</v>
      </c>
      <c r="E606" s="1" t="s">
        <v>1070</v>
      </c>
      <c r="F606" s="1" t="s">
        <v>1071</v>
      </c>
      <c r="G606" s="1" t="n">
        <v>0</v>
      </c>
      <c r="H606" s="1" t="n">
        <v>1000</v>
      </c>
      <c r="J606" s="1" t="s">
        <v>1068</v>
      </c>
      <c r="K606" s="10"/>
      <c r="L606" s="10"/>
      <c r="M606" s="10"/>
      <c r="N606" s="10"/>
      <c r="O606" s="10"/>
    </row>
    <row r="607" customFormat="false" ht="13.8" hidden="false" customHeight="false" outlineLevel="0" collapsed="false">
      <c r="A607" s="21" t="s">
        <v>1072</v>
      </c>
      <c r="B607" s="21"/>
      <c r="C607" s="21"/>
      <c r="D607" s="21"/>
      <c r="E607" s="21" t="s">
        <v>1073</v>
      </c>
      <c r="F607" s="21" t="s">
        <v>1074</v>
      </c>
      <c r="G607" s="21" t="n">
        <v>-1000</v>
      </c>
      <c r="H607" s="21" t="n">
        <v>1000</v>
      </c>
      <c r="I607" s="36"/>
      <c r="J607" s="21" t="s">
        <v>1075</v>
      </c>
      <c r="K607" s="10"/>
      <c r="L607" s="10"/>
      <c r="M607" s="10"/>
      <c r="N607" s="10"/>
      <c r="O607" s="10"/>
    </row>
    <row r="608" customFormat="false" ht="13.8" hidden="false" customHeight="false" outlineLevel="0" collapsed="false">
      <c r="A608" s="21" t="s">
        <v>1076</v>
      </c>
      <c r="B608" s="21"/>
      <c r="C608" s="21"/>
      <c r="D608" s="21"/>
      <c r="E608" s="21" t="s">
        <v>1077</v>
      </c>
      <c r="F608" s="21" t="s">
        <v>1078</v>
      </c>
      <c r="G608" s="21" t="n">
        <v>-1000</v>
      </c>
      <c r="H608" s="21" t="n">
        <v>1000</v>
      </c>
      <c r="I608" s="36"/>
      <c r="J608" s="21" t="s">
        <v>1079</v>
      </c>
      <c r="K608" s="10"/>
      <c r="L608" s="10"/>
      <c r="M608" s="10"/>
      <c r="N608" s="10"/>
      <c r="O608" s="10"/>
    </row>
    <row r="609" customFormat="false" ht="13.8" hidden="false" customHeight="false" outlineLevel="0" collapsed="false">
      <c r="A609" s="21" t="s">
        <v>1080</v>
      </c>
      <c r="B609" s="21"/>
      <c r="C609" s="21"/>
      <c r="D609" s="21"/>
      <c r="E609" s="21" t="s">
        <v>1081</v>
      </c>
      <c r="F609" s="21" t="s">
        <v>1082</v>
      </c>
      <c r="G609" s="21" t="n">
        <v>0</v>
      </c>
      <c r="H609" s="21" t="n">
        <v>1000</v>
      </c>
      <c r="J609" s="21" t="s">
        <v>1083</v>
      </c>
      <c r="K609" s="10"/>
      <c r="L609" s="10"/>
      <c r="M609" s="10"/>
      <c r="N609" s="10"/>
      <c r="O609" s="10"/>
    </row>
    <row r="610" s="1" customFormat="true" ht="13.8" hidden="false" customHeight="false" outlineLevel="0" collapsed="false">
      <c r="A610" s="21" t="s">
        <v>1084</v>
      </c>
      <c r="J610" s="0"/>
      <c r="K610" s="10"/>
      <c r="L610" s="10"/>
      <c r="M610" s="10"/>
      <c r="N610" s="10"/>
      <c r="O610" s="10"/>
    </row>
    <row r="611" s="1" customFormat="true" ht="13.8" hidden="false" customHeight="false" outlineLevel="0" collapsed="false">
      <c r="J611" s="0"/>
      <c r="K611" s="10"/>
      <c r="L611" s="10"/>
      <c r="M611" s="10"/>
      <c r="N611" s="10"/>
      <c r="O611" s="10"/>
    </row>
    <row r="612" s="1" customFormat="true" ht="14.15" hidden="false" customHeight="false" outlineLevel="0" collapsed="false">
      <c r="A612" s="1" t="s">
        <v>831</v>
      </c>
      <c r="J612" s="0"/>
      <c r="K612" s="10"/>
      <c r="L612" s="10"/>
      <c r="M612" s="10"/>
      <c r="N612" s="10"/>
      <c r="O612" s="10"/>
    </row>
    <row r="614" customFormat="false" ht="13.8" hidden="false" customHeight="false" outlineLevel="0" collapsed="false">
      <c r="A614" s="6" t="s">
        <v>1085</v>
      </c>
      <c r="B614" s="54" t="s">
        <v>10</v>
      </c>
      <c r="C614" s="28"/>
      <c r="D614" s="44"/>
      <c r="E614" s="9"/>
      <c r="F614" s="9"/>
      <c r="G614" s="9"/>
      <c r="H614" s="9"/>
      <c r="I614" s="9"/>
      <c r="J614" s="9"/>
      <c r="K614" s="9"/>
      <c r="L614" s="9"/>
      <c r="M614" s="9"/>
      <c r="N614" s="9"/>
      <c r="O614" s="9"/>
      <c r="P614" s="9"/>
      <c r="Q614" s="9"/>
    </row>
    <row r="615" s="35" customFormat="true" ht="13.8" hidden="false" customHeight="false" outlineLevel="0" collapsed="false">
      <c r="A615" s="31" t="s">
        <v>1086</v>
      </c>
      <c r="B615" s="32"/>
      <c r="C615" s="32"/>
      <c r="D615" s="50"/>
      <c r="E615" s="31"/>
      <c r="F615" s="31"/>
      <c r="G615" s="31"/>
      <c r="H615" s="31"/>
      <c r="I615" s="31"/>
      <c r="J615" s="31" t="s">
        <v>1087</v>
      </c>
      <c r="K615" s="31"/>
      <c r="L615" s="31"/>
      <c r="M615" s="31"/>
      <c r="N615" s="31"/>
      <c r="O615" s="31"/>
      <c r="P615" s="31"/>
      <c r="Q615" s="31"/>
    </row>
    <row r="616" customFormat="false" ht="13.8" hidden="false" customHeight="false" outlineLevel="0" collapsed="false">
      <c r="A616" s="1" t="s">
        <v>1088</v>
      </c>
      <c r="B616" s="2" t="n">
        <f aca="false">-1+2*0+-4</f>
        <v>-5</v>
      </c>
      <c r="C616" s="2" t="n">
        <f aca="false">-4+2*-1+1</f>
        <v>-5</v>
      </c>
      <c r="D616" s="3" t="s">
        <v>68</v>
      </c>
      <c r="E616" s="1" t="s">
        <v>1089</v>
      </c>
      <c r="F616" s="1" t="s">
        <v>1090</v>
      </c>
      <c r="G616" s="1" t="n">
        <v>-1000</v>
      </c>
      <c r="H616" s="1" t="n">
        <v>1000</v>
      </c>
      <c r="J616" s="1" t="s">
        <v>1091</v>
      </c>
      <c r="N616" s="0"/>
      <c r="O616" s="0"/>
    </row>
    <row r="617" customFormat="false" ht="13.8" hidden="false" customHeight="false" outlineLevel="0" collapsed="false">
      <c r="A617" s="1" t="s">
        <v>1092</v>
      </c>
      <c r="B617" s="2" t="n">
        <f aca="false">-4</f>
        <v>-4</v>
      </c>
      <c r="C617" s="2" t="n">
        <f aca="false">-1+-4+1</f>
        <v>-4</v>
      </c>
      <c r="D617" s="3" t="s">
        <v>68</v>
      </c>
      <c r="E617" s="1" t="s">
        <v>1093</v>
      </c>
      <c r="F617" s="1" t="s">
        <v>1094</v>
      </c>
      <c r="G617" s="1" t="n">
        <v>0</v>
      </c>
      <c r="H617" s="1" t="n">
        <v>1000</v>
      </c>
      <c r="I617" s="36"/>
      <c r="J617" s="1" t="s">
        <v>1095</v>
      </c>
    </row>
    <row r="618" customFormat="false" ht="14.15" hidden="false" customHeight="false" outlineLevel="0" collapsed="false">
      <c r="A618" s="1" t="s">
        <v>1096</v>
      </c>
      <c r="B618" s="2" t="n">
        <f aca="false">2*-1+-3+1</f>
        <v>-4</v>
      </c>
      <c r="C618" s="2" t="n">
        <f aca="false">2*0-4</f>
        <v>-4</v>
      </c>
      <c r="D618" s="3" t="s">
        <v>68</v>
      </c>
      <c r="E618" s="1" t="s">
        <v>1097</v>
      </c>
      <c r="F618" s="1" t="s">
        <v>1098</v>
      </c>
      <c r="G618" s="1" t="n">
        <v>-1000</v>
      </c>
      <c r="H618" s="1" t="n">
        <v>1000</v>
      </c>
      <c r="I618" s="36"/>
      <c r="J618" s="1" t="s">
        <v>1099</v>
      </c>
    </row>
    <row r="619" customFormat="false" ht="14.15" hidden="false" customHeight="false" outlineLevel="0" collapsed="false">
      <c r="A619" s="1" t="s">
        <v>1100</v>
      </c>
      <c r="B619" s="2" t="n">
        <f aca="false">-4+2*-1+1</f>
        <v>-5</v>
      </c>
      <c r="C619" s="2" t="n">
        <f aca="false">-1-4+2*0</f>
        <v>-5</v>
      </c>
      <c r="D619" s="3" t="s">
        <v>68</v>
      </c>
      <c r="E619" s="1" t="s">
        <v>1101</v>
      </c>
      <c r="F619" s="1" t="s">
        <v>1102</v>
      </c>
      <c r="G619" s="1" t="n">
        <v>-1000</v>
      </c>
      <c r="H619" s="1" t="n">
        <v>1000</v>
      </c>
      <c r="I619" s="36"/>
      <c r="J619" s="1" t="s">
        <v>1103</v>
      </c>
    </row>
    <row r="620" customFormat="false" ht="13.8" hidden="false" customHeight="false" outlineLevel="0" collapsed="false">
      <c r="A620" s="21" t="s">
        <v>1104</v>
      </c>
      <c r="E620" s="21" t="s">
        <v>1105</v>
      </c>
      <c r="F620" s="21" t="s">
        <v>1106</v>
      </c>
      <c r="G620" s="21" t="n">
        <v>-1000</v>
      </c>
      <c r="H620" s="21" t="n">
        <v>1000</v>
      </c>
      <c r="I620" s="36"/>
      <c r="J620" s="21" t="s">
        <v>512</v>
      </c>
    </row>
    <row r="621" customFormat="false" ht="13.8" hidden="false" customHeight="false" outlineLevel="0" collapsed="false">
      <c r="A621" s="21" t="s">
        <v>1107</v>
      </c>
      <c r="E621" s="21" t="s">
        <v>1108</v>
      </c>
      <c r="F621" s="21" t="s">
        <v>1109</v>
      </c>
      <c r="G621" s="21" t="n">
        <v>-1000</v>
      </c>
      <c r="H621" s="21" t="n">
        <v>1000</v>
      </c>
      <c r="J621" s="21" t="s">
        <v>1110</v>
      </c>
    </row>
    <row r="622" customFormat="false" ht="13.8" hidden="false" customHeight="false" outlineLevel="0" collapsed="false">
      <c r="A622" s="21" t="s">
        <v>1111</v>
      </c>
      <c r="E622" s="21" t="s">
        <v>1112</v>
      </c>
      <c r="F622" s="21" t="s">
        <v>1113</v>
      </c>
      <c r="G622" s="21" t="n">
        <v>0</v>
      </c>
      <c r="H622" s="21" t="n">
        <v>1000</v>
      </c>
      <c r="J622" s="21" t="s">
        <v>1110</v>
      </c>
    </row>
    <row r="623" customFormat="false" ht="13.8" hidden="false" customHeight="false" outlineLevel="0" collapsed="false">
      <c r="A623" s="21" t="s">
        <v>1114</v>
      </c>
      <c r="I623" s="36"/>
    </row>
    <row r="625" customFormat="false" ht="13.8" hidden="false" customHeight="false" outlineLevel="0" collapsed="false">
      <c r="A625" s="1" t="s">
        <v>136</v>
      </c>
    </row>
    <row r="626" customFormat="false" ht="13.8" hidden="false" customHeight="false" outlineLevel="0" collapsed="false">
      <c r="A626" s="1" t="s">
        <v>1115</v>
      </c>
    </row>
    <row r="627" customFormat="false" ht="13.8" hidden="false" customHeight="false" outlineLevel="0" collapsed="false">
      <c r="A627" s="16" t="s">
        <v>1116</v>
      </c>
    </row>
    <row r="628" customFormat="false" ht="13.8" hidden="false" customHeight="false" outlineLevel="0" collapsed="false">
      <c r="A628" s="41" t="s">
        <v>1117</v>
      </c>
    </row>
    <row r="629" customFormat="false" ht="13.8" hidden="false" customHeight="false" outlineLevel="0" collapsed="false">
      <c r="A629" s="41" t="s">
        <v>1118</v>
      </c>
    </row>
    <row r="630" customFormat="false" ht="13.8" hidden="false" customHeight="false" outlineLevel="0" collapsed="false">
      <c r="A630" s="41" t="s">
        <v>1119</v>
      </c>
    </row>
    <row r="632" customFormat="false" ht="14.25" hidden="false" customHeight="false" outlineLevel="0" collapsed="false">
      <c r="A632" s="6" t="s">
        <v>1120</v>
      </c>
      <c r="B632" s="7" t="s">
        <v>10</v>
      </c>
      <c r="C632" s="28"/>
      <c r="D632" s="44"/>
      <c r="E632" s="9"/>
      <c r="F632" s="9"/>
      <c r="G632" s="9"/>
      <c r="H632" s="9"/>
      <c r="I632" s="9"/>
      <c r="J632" s="9" t="s">
        <v>1121</v>
      </c>
    </row>
    <row r="633" customFormat="false" ht="13.8" hidden="false" customHeight="false" outlineLevel="0" collapsed="false">
      <c r="A633" s="45" t="s">
        <v>624</v>
      </c>
      <c r="B633" s="46"/>
      <c r="C633" s="46"/>
      <c r="D633" s="47"/>
      <c r="E633" s="45" t="s">
        <v>13</v>
      </c>
      <c r="F633" s="45" t="s">
        <v>420</v>
      </c>
      <c r="G633" s="45" t="n">
        <v>-1000</v>
      </c>
      <c r="H633" s="45" t="n">
        <v>1000</v>
      </c>
      <c r="I633" s="45" t="s">
        <v>15</v>
      </c>
      <c r="J633" s="45" t="s">
        <v>530</v>
      </c>
    </row>
    <row r="634" customFormat="false" ht="13.8" hidden="false" customHeight="false" outlineLevel="0" collapsed="false">
      <c r="A634" s="1" t="s">
        <v>626</v>
      </c>
      <c r="B634" s="42" t="n">
        <f aca="false">-4*2</f>
        <v>-8</v>
      </c>
      <c r="C634" s="42" t="n">
        <f aca="false">-5+-4+1</f>
        <v>-8</v>
      </c>
      <c r="D634" s="43" t="s">
        <v>68</v>
      </c>
      <c r="E634" s="10" t="s">
        <v>627</v>
      </c>
      <c r="F634" s="10" t="s">
        <v>628</v>
      </c>
      <c r="G634" s="10" t="n">
        <v>-1000</v>
      </c>
      <c r="H634" s="10" t="n">
        <v>1000</v>
      </c>
      <c r="I634" s="0"/>
      <c r="J634" s="10" t="s">
        <v>629</v>
      </c>
    </row>
    <row r="635" customFormat="false" ht="13.8" hidden="false" customHeight="false" outlineLevel="0" collapsed="false">
      <c r="A635" s="1" t="s">
        <v>630</v>
      </c>
      <c r="B635" s="42"/>
      <c r="C635" s="42"/>
      <c r="D635" s="43"/>
      <c r="E635" s="10" t="s">
        <v>631</v>
      </c>
      <c r="F635" s="10" t="s">
        <v>632</v>
      </c>
      <c r="G635" s="10" t="n">
        <v>-1000</v>
      </c>
      <c r="H635" s="10" t="n">
        <v>1000</v>
      </c>
      <c r="I635" s="10"/>
      <c r="J635" s="10" t="s">
        <v>633</v>
      </c>
    </row>
    <row r="636" customFormat="false" ht="13.8" hidden="false" customHeight="false" outlineLevel="0" collapsed="false">
      <c r="A636" s="1" t="s">
        <v>634</v>
      </c>
      <c r="B636" s="42"/>
      <c r="C636" s="42"/>
      <c r="D636" s="43"/>
      <c r="E636" s="10" t="s">
        <v>635</v>
      </c>
      <c r="F636" s="10" t="s">
        <v>636</v>
      </c>
      <c r="G636" s="10" t="n">
        <v>0</v>
      </c>
      <c r="H636" s="10" t="n">
        <v>1000</v>
      </c>
      <c r="I636" s="10"/>
      <c r="J636" s="10" t="s">
        <v>637</v>
      </c>
    </row>
    <row r="637" customFormat="false" ht="13.8" hidden="false" customHeight="false" outlineLevel="0" collapsed="false">
      <c r="A637" s="1" t="s">
        <v>638</v>
      </c>
      <c r="B637" s="42"/>
      <c r="C637" s="42"/>
      <c r="D637" s="43"/>
      <c r="E637" s="10" t="s">
        <v>639</v>
      </c>
      <c r="F637" s="10" t="s">
        <v>640</v>
      </c>
      <c r="G637" s="10" t="n">
        <v>0</v>
      </c>
      <c r="H637" s="10" t="n">
        <v>1000</v>
      </c>
      <c r="I637" s="10"/>
      <c r="J637" s="10" t="s">
        <v>629</v>
      </c>
    </row>
    <row r="638" customFormat="false" ht="13.8" hidden="false" customHeight="false" outlineLevel="0" collapsed="false">
      <c r="A638" s="1" t="s">
        <v>641</v>
      </c>
      <c r="B638" s="42"/>
      <c r="C638" s="42"/>
      <c r="D638" s="43"/>
      <c r="E638" s="10" t="s">
        <v>642</v>
      </c>
      <c r="F638" s="10" t="s">
        <v>643</v>
      </c>
      <c r="G638" s="10" t="n">
        <v>0</v>
      </c>
      <c r="H638" s="10" t="n">
        <v>1000</v>
      </c>
      <c r="I638" s="10"/>
      <c r="J638" s="10" t="s">
        <v>629</v>
      </c>
    </row>
    <row r="639" customFormat="false" ht="13.8" hidden="false" customHeight="false" outlineLevel="0" collapsed="false">
      <c r="A639" s="14" t="s">
        <v>1122</v>
      </c>
      <c r="B639" s="87"/>
      <c r="C639" s="87"/>
      <c r="D639" s="88"/>
      <c r="E639" s="52" t="s">
        <v>645</v>
      </c>
      <c r="F639" s="52" t="s">
        <v>646</v>
      </c>
      <c r="G639" s="52" t="n">
        <v>-1000</v>
      </c>
      <c r="H639" s="52" t="n">
        <v>1000</v>
      </c>
      <c r="I639" s="14" t="s">
        <v>15</v>
      </c>
      <c r="J639" s="10"/>
    </row>
    <row r="640" customFormat="false" ht="13.8" hidden="false" customHeight="false" outlineLevel="0" collapsed="false">
      <c r="A640" s="1" t="s">
        <v>1123</v>
      </c>
      <c r="B640" s="42"/>
      <c r="C640" s="42"/>
      <c r="D640" s="43"/>
      <c r="E640" s="10" t="s">
        <v>1124</v>
      </c>
      <c r="F640" s="10" t="s">
        <v>1125</v>
      </c>
      <c r="G640" s="1" t="n">
        <v>0</v>
      </c>
      <c r="H640" s="1" t="n">
        <v>1000</v>
      </c>
      <c r="I640" s="39"/>
      <c r="J640" s="10" t="s">
        <v>725</v>
      </c>
    </row>
    <row r="641" customFormat="false" ht="13.8" hidden="false" customHeight="false" outlineLevel="0" collapsed="false">
      <c r="A641" s="78" t="s">
        <v>1126</v>
      </c>
      <c r="B641" s="37"/>
      <c r="C641" s="111"/>
      <c r="D641" s="38"/>
      <c r="E641" s="21" t="s">
        <v>1127</v>
      </c>
      <c r="F641" s="21" t="s">
        <v>1128</v>
      </c>
      <c r="G641" s="21" t="n">
        <v>-1000</v>
      </c>
      <c r="H641" s="21" t="n">
        <v>1000</v>
      </c>
      <c r="I641" s="39"/>
      <c r="J641" s="21" t="s">
        <v>512</v>
      </c>
    </row>
    <row r="642" customFormat="false" ht="13.8" hidden="false" customHeight="false" outlineLevel="0" collapsed="false">
      <c r="A642" s="78" t="s">
        <v>1129</v>
      </c>
      <c r="B642" s="37"/>
      <c r="C642" s="111"/>
      <c r="D642" s="38"/>
      <c r="E642" s="21" t="s">
        <v>1130</v>
      </c>
      <c r="F642" s="21" t="s">
        <v>1131</v>
      </c>
      <c r="G642" s="21" t="n">
        <v>-1000</v>
      </c>
      <c r="H642" s="21" t="n">
        <v>1000</v>
      </c>
      <c r="I642" s="39"/>
      <c r="J642" s="21" t="s">
        <v>512</v>
      </c>
    </row>
    <row r="643" customFormat="false" ht="13.8" hidden="false" customHeight="false" outlineLevel="0" collapsed="false">
      <c r="A643" s="21" t="s">
        <v>1132</v>
      </c>
      <c r="B643" s="37"/>
      <c r="C643" s="37"/>
      <c r="D643" s="38"/>
      <c r="E643" s="21" t="s">
        <v>1133</v>
      </c>
      <c r="F643" s="21" t="s">
        <v>1134</v>
      </c>
      <c r="G643" s="21" t="n">
        <v>0</v>
      </c>
      <c r="H643" s="21" t="n">
        <v>1000</v>
      </c>
      <c r="I643" s="39"/>
      <c r="J643" s="21" t="s">
        <v>512</v>
      </c>
    </row>
    <row r="644" customFormat="false" ht="13.8" hidden="false" customHeight="false" outlineLevel="0" collapsed="false">
      <c r="A644" s="21" t="s">
        <v>1135</v>
      </c>
      <c r="B644" s="42"/>
      <c r="C644" s="42"/>
      <c r="D644" s="43"/>
      <c r="E644" s="10"/>
      <c r="F644" s="10"/>
      <c r="G644" s="10"/>
      <c r="H644" s="10"/>
      <c r="I644" s="10"/>
      <c r="J644" s="10"/>
    </row>
    <row r="645" customFormat="false" ht="13.8" hidden="false" customHeight="false" outlineLevel="0" collapsed="false">
      <c r="B645" s="42"/>
      <c r="C645" s="42"/>
      <c r="D645" s="43"/>
      <c r="E645" s="10"/>
      <c r="F645" s="10"/>
      <c r="G645" s="10"/>
      <c r="H645" s="10"/>
      <c r="I645" s="10"/>
      <c r="J645" s="10"/>
    </row>
    <row r="646" customFormat="false" ht="13.8" hidden="false" customHeight="false" outlineLevel="0" collapsed="false">
      <c r="A646" s="1" t="s">
        <v>682</v>
      </c>
      <c r="B646" s="42"/>
      <c r="C646" s="42"/>
      <c r="D646" s="43"/>
      <c r="E646" s="10"/>
      <c r="F646" s="10"/>
      <c r="G646" s="10"/>
      <c r="H646" s="10"/>
      <c r="I646" s="10"/>
      <c r="J646" s="10"/>
    </row>
    <row r="647" customFormat="false" ht="13.8" hidden="false" customHeight="false" outlineLevel="0" collapsed="false">
      <c r="A647" s="1" t="s">
        <v>1136</v>
      </c>
      <c r="B647" s="42"/>
      <c r="C647" s="42"/>
      <c r="D647" s="43"/>
      <c r="E647" s="10"/>
      <c r="F647" s="10"/>
      <c r="G647" s="10"/>
      <c r="H647" s="10"/>
      <c r="I647" s="10"/>
      <c r="J647" s="10"/>
    </row>
    <row r="648" customFormat="false" ht="13.8" hidden="false" customHeight="false" outlineLevel="0" collapsed="false">
      <c r="A648" s="1" t="s">
        <v>1137</v>
      </c>
      <c r="B648" s="42"/>
      <c r="C648" s="42"/>
      <c r="D648" s="43"/>
      <c r="E648" s="10"/>
      <c r="F648" s="10"/>
      <c r="G648" s="10"/>
      <c r="H648" s="10"/>
      <c r="I648" s="10"/>
      <c r="J648" s="10"/>
    </row>
    <row r="649" customFormat="false" ht="13.8" hidden="false" customHeight="false" outlineLevel="0" collapsed="false">
      <c r="A649" s="1" t="s">
        <v>918</v>
      </c>
      <c r="B649" s="42"/>
      <c r="C649" s="42"/>
      <c r="D649" s="43"/>
      <c r="E649" s="21"/>
      <c r="F649" s="10"/>
      <c r="G649" s="10"/>
      <c r="H649" s="10"/>
      <c r="I649" s="10"/>
      <c r="J649" s="10"/>
    </row>
    <row r="651" customFormat="false" ht="13.8" hidden="false" customHeight="false" outlineLevel="0" collapsed="false">
      <c r="A651" s="6" t="s">
        <v>1138</v>
      </c>
      <c r="B651" s="54" t="s">
        <v>10</v>
      </c>
      <c r="C651" s="28"/>
      <c r="D651" s="44"/>
      <c r="E651" s="9"/>
      <c r="F651" s="9"/>
      <c r="G651" s="9"/>
      <c r="H651" s="9"/>
      <c r="I651" s="9"/>
      <c r="J651" s="9"/>
      <c r="K651" s="9"/>
      <c r="L651" s="9"/>
      <c r="M651" s="9"/>
      <c r="N651" s="9"/>
      <c r="O651" s="9"/>
      <c r="P651" s="9"/>
      <c r="Q651" s="9"/>
    </row>
    <row r="652" customFormat="false" ht="13.8" hidden="false" customHeight="false" outlineLevel="0" collapsed="false">
      <c r="A652" s="45" t="s">
        <v>624</v>
      </c>
      <c r="B652" s="46"/>
      <c r="C652" s="46"/>
      <c r="D652" s="47"/>
      <c r="E652" s="45" t="s">
        <v>13</v>
      </c>
      <c r="F652" s="45" t="s">
        <v>420</v>
      </c>
      <c r="G652" s="45" t="n">
        <v>-1000</v>
      </c>
      <c r="H652" s="45" t="n">
        <v>1000</v>
      </c>
      <c r="I652" s="45" t="s">
        <v>15</v>
      </c>
      <c r="J652" s="45"/>
      <c r="K652" s="10"/>
      <c r="L652" s="10"/>
      <c r="M652" s="10"/>
      <c r="N652" s="10"/>
      <c r="O652" s="10"/>
      <c r="P652" s="10"/>
      <c r="Q652" s="10"/>
    </row>
    <row r="653" customFormat="false" ht="13.8" hidden="false" customHeight="false" outlineLevel="0" collapsed="false">
      <c r="A653" s="49" t="s">
        <v>421</v>
      </c>
      <c r="B653" s="46"/>
      <c r="C653" s="46"/>
      <c r="D653" s="47"/>
      <c r="E653" s="45" t="s">
        <v>422</v>
      </c>
      <c r="F653" s="45" t="s">
        <v>423</v>
      </c>
      <c r="G653" s="49" t="n">
        <v>-1000</v>
      </c>
      <c r="H653" s="45" t="n">
        <v>1000</v>
      </c>
      <c r="I653" s="45" t="s">
        <v>15</v>
      </c>
      <c r="J653" s="45" t="s">
        <v>424</v>
      </c>
      <c r="K653" s="10"/>
      <c r="L653" s="10"/>
      <c r="M653" s="10"/>
      <c r="N653" s="10"/>
      <c r="O653" s="10"/>
      <c r="P653" s="10"/>
      <c r="Q653" s="10"/>
    </row>
    <row r="654" customFormat="false" ht="13.8" hidden="false" customHeight="false" outlineLevel="0" collapsed="false">
      <c r="A654" s="1" t="s">
        <v>425</v>
      </c>
      <c r="B654" s="2" t="n">
        <f aca="false">-1+1</f>
        <v>0</v>
      </c>
      <c r="C654" s="2" t="n">
        <f aca="false">0</f>
        <v>0</v>
      </c>
      <c r="D654" s="3" t="s">
        <v>68</v>
      </c>
      <c r="E654" s="1" t="s">
        <v>426</v>
      </c>
      <c r="F654" s="1" t="s">
        <v>427</v>
      </c>
      <c r="G654" s="1" t="n">
        <v>0</v>
      </c>
      <c r="H654" s="1" t="n">
        <v>1000</v>
      </c>
      <c r="I654" s="36"/>
      <c r="J654" s="1" t="s">
        <v>428</v>
      </c>
      <c r="K654" s="10"/>
      <c r="L654" s="10"/>
      <c r="M654" s="10"/>
      <c r="N654" s="10"/>
      <c r="O654" s="10"/>
      <c r="P654" s="10"/>
      <c r="Q654" s="10"/>
    </row>
    <row r="655" customFormat="false" ht="13.8" hidden="false" customHeight="false" outlineLevel="0" collapsed="false">
      <c r="A655" s="1" t="s">
        <v>1139</v>
      </c>
      <c r="B655" s="2" t="n">
        <f aca="false">-4+1</f>
        <v>-3</v>
      </c>
      <c r="C655" s="2" t="n">
        <f aca="false">-3</f>
        <v>-3</v>
      </c>
      <c r="D655" s="3" t="s">
        <v>68</v>
      </c>
      <c r="E655" s="1" t="s">
        <v>1140</v>
      </c>
      <c r="F655" s="1" t="s">
        <v>1141</v>
      </c>
      <c r="G655" s="1" t="n">
        <v>-1000</v>
      </c>
      <c r="H655" s="1" t="n">
        <v>1000</v>
      </c>
      <c r="J655" s="1" t="s">
        <v>1142</v>
      </c>
      <c r="K655" s="10"/>
      <c r="L655" s="10"/>
      <c r="M655" s="10"/>
      <c r="N655" s="10"/>
      <c r="O655" s="10"/>
      <c r="P655" s="10"/>
      <c r="Q655" s="10"/>
    </row>
    <row r="656" customFormat="false" ht="13.8" hidden="false" customHeight="false" outlineLevel="0" collapsed="false">
      <c r="A656" s="21" t="s">
        <v>1143</v>
      </c>
      <c r="E656" s="21" t="s">
        <v>1144</v>
      </c>
      <c r="F656" s="21" t="s">
        <v>1145</v>
      </c>
      <c r="G656" s="21" t="n">
        <v>-1000</v>
      </c>
      <c r="H656" s="21" t="n">
        <v>1000</v>
      </c>
      <c r="I656" s="36"/>
      <c r="J656" s="21" t="s">
        <v>512</v>
      </c>
      <c r="K656" s="10"/>
      <c r="L656" s="10"/>
      <c r="M656" s="10"/>
      <c r="N656" s="10"/>
      <c r="O656" s="10"/>
      <c r="P656" s="10"/>
      <c r="Q656" s="10"/>
    </row>
    <row r="657" customFormat="false" ht="13.8" hidden="false" customHeight="false" outlineLevel="0" collapsed="false">
      <c r="A657" s="21" t="s">
        <v>1146</v>
      </c>
      <c r="E657" s="21" t="s">
        <v>1147</v>
      </c>
      <c r="F657" s="21" t="s">
        <v>1148</v>
      </c>
      <c r="G657" s="21" t="n">
        <v>-1000</v>
      </c>
      <c r="H657" s="21" t="n">
        <v>1000</v>
      </c>
      <c r="I657" s="36"/>
      <c r="J657" s="21" t="s">
        <v>512</v>
      </c>
      <c r="K657" s="10"/>
      <c r="L657" s="10"/>
      <c r="M657" s="10"/>
      <c r="N657" s="10"/>
      <c r="O657" s="10"/>
      <c r="P657" s="10"/>
      <c r="Q657" s="10"/>
    </row>
    <row r="658" customFormat="false" ht="13.8" hidden="false" customHeight="false" outlineLevel="0" collapsed="false">
      <c r="A658" s="21" t="s">
        <v>1149</v>
      </c>
      <c r="E658" s="21" t="s">
        <v>1150</v>
      </c>
      <c r="F658" s="21" t="s">
        <v>1151</v>
      </c>
      <c r="G658" s="21" t="n">
        <v>0</v>
      </c>
      <c r="H658" s="21" t="n">
        <v>1000</v>
      </c>
      <c r="I658" s="36"/>
      <c r="J658" s="21" t="s">
        <v>512</v>
      </c>
      <c r="K658" s="10"/>
      <c r="L658" s="10"/>
      <c r="M658" s="10"/>
      <c r="N658" s="10"/>
      <c r="O658" s="10"/>
      <c r="P658" s="10"/>
      <c r="Q658" s="10"/>
    </row>
    <row r="659" customFormat="false" ht="13.8" hidden="false" customHeight="false" outlineLevel="0" collapsed="false">
      <c r="A659" s="21" t="s">
        <v>1152</v>
      </c>
      <c r="K659" s="10"/>
      <c r="L659" s="10"/>
      <c r="M659" s="10"/>
      <c r="N659" s="10"/>
      <c r="O659" s="10"/>
      <c r="P659" s="10"/>
      <c r="Q659" s="10"/>
    </row>
    <row r="660" customFormat="false" ht="13.8" hidden="false" customHeight="false" outlineLevel="0" collapsed="false">
      <c r="A660" s="40"/>
      <c r="K660" s="10"/>
      <c r="L660" s="10"/>
      <c r="M660" s="10"/>
      <c r="N660" s="10"/>
      <c r="O660" s="10"/>
      <c r="P660" s="10"/>
      <c r="Q660" s="10"/>
    </row>
    <row r="661" customFormat="false" ht="13.8" hidden="false" customHeight="false" outlineLevel="0" collapsed="false">
      <c r="A661" s="1" t="s">
        <v>1153</v>
      </c>
      <c r="K661" s="10"/>
      <c r="L661" s="10"/>
      <c r="M661" s="10"/>
      <c r="N661" s="10"/>
      <c r="O661" s="10"/>
      <c r="P661" s="10"/>
      <c r="Q661" s="10"/>
    </row>
    <row r="662" customFormat="false" ht="13.8" hidden="false" customHeight="false" outlineLevel="0" collapsed="false">
      <c r="A662" s="1" t="s">
        <v>1154</v>
      </c>
      <c r="K662" s="10"/>
      <c r="L662" s="10"/>
      <c r="M662" s="10"/>
      <c r="N662" s="10"/>
      <c r="O662" s="10"/>
      <c r="P662" s="10"/>
      <c r="Q662" s="10"/>
    </row>
    <row r="663" customFormat="false" ht="13.8" hidden="false" customHeight="false" outlineLevel="0" collapsed="false">
      <c r="A663" s="1" t="s">
        <v>441</v>
      </c>
      <c r="K663" s="10"/>
      <c r="L663" s="10"/>
      <c r="M663" s="10"/>
      <c r="N663" s="10"/>
      <c r="O663" s="10"/>
      <c r="P663" s="10"/>
      <c r="Q663" s="10"/>
    </row>
    <row r="664" customFormat="false" ht="13.8" hidden="false" customHeight="false" outlineLevel="0" collapsed="false">
      <c r="A664" s="16" t="s">
        <v>1155</v>
      </c>
      <c r="K664" s="10"/>
      <c r="L664" s="10"/>
      <c r="M664" s="10"/>
      <c r="N664" s="10"/>
      <c r="O664" s="10"/>
      <c r="P664" s="10"/>
      <c r="Q664" s="10"/>
    </row>
    <row r="666" customFormat="false" ht="13.8" hidden="false" customHeight="false" outlineLevel="0" collapsed="false">
      <c r="A666" s="6" t="s">
        <v>1156</v>
      </c>
      <c r="B666" s="7" t="s">
        <v>10</v>
      </c>
      <c r="C666" s="8"/>
      <c r="D666" s="8"/>
      <c r="E666" s="8"/>
      <c r="F666" s="8"/>
      <c r="G666" s="8"/>
      <c r="H666" s="8"/>
      <c r="I666" s="8"/>
      <c r="J666" s="9"/>
      <c r="K666" s="9"/>
      <c r="L666" s="9"/>
      <c r="M666" s="9"/>
      <c r="N666" s="9"/>
      <c r="O666" s="9"/>
      <c r="P666" s="9"/>
      <c r="Q666" s="9"/>
      <c r="R666" s="9"/>
    </row>
    <row r="667" customFormat="false" ht="13.8" hidden="false" customHeight="false" outlineLevel="0" collapsed="false">
      <c r="A667" s="112" t="s">
        <v>1157</v>
      </c>
      <c r="B667" s="112"/>
      <c r="C667" s="112"/>
      <c r="D667" s="112"/>
      <c r="E667" s="112" t="s">
        <v>1158</v>
      </c>
      <c r="F667" s="112" t="s">
        <v>1159</v>
      </c>
      <c r="G667" s="112" t="n">
        <v>0</v>
      </c>
      <c r="H667" s="112" t="n">
        <v>1000</v>
      </c>
      <c r="I667" s="112" t="s">
        <v>15</v>
      </c>
    </row>
    <row r="668" customFormat="false" ht="13.8" hidden="false" customHeight="false" outlineLevel="0" collapsed="false">
      <c r="A668" s="112" t="s">
        <v>1160</v>
      </c>
      <c r="B668" s="112"/>
      <c r="C668" s="112"/>
      <c r="D668" s="112"/>
      <c r="E668" s="112" t="s">
        <v>1161</v>
      </c>
      <c r="F668" s="112" t="s">
        <v>1162</v>
      </c>
      <c r="G668" s="113" t="n">
        <v>-1000</v>
      </c>
      <c r="H668" s="113" t="n">
        <v>1000</v>
      </c>
      <c r="I668" s="112" t="s">
        <v>15</v>
      </c>
    </row>
    <row r="669" s="1" customFormat="true" ht="13.8" hidden="false" customHeight="false" outlineLevel="0" collapsed="false">
      <c r="A669" s="1" t="s">
        <v>1163</v>
      </c>
      <c r="E669" s="1" t="s">
        <v>1164</v>
      </c>
      <c r="F669" s="1" t="s">
        <v>1165</v>
      </c>
      <c r="G669" s="1" t="n">
        <v>0</v>
      </c>
      <c r="H669" s="1" t="n">
        <v>1000</v>
      </c>
      <c r="I669" s="36"/>
      <c r="J669" s="1" t="s">
        <v>1166</v>
      </c>
    </row>
    <row r="670" s="1" customFormat="true" ht="13.8" hidden="false" customHeight="false" outlineLevel="0" collapsed="false">
      <c r="A670" s="21" t="s">
        <v>1167</v>
      </c>
      <c r="E670" s="21" t="s">
        <v>1168</v>
      </c>
      <c r="F670" s="21" t="s">
        <v>1169</v>
      </c>
      <c r="G670" s="22" t="n">
        <v>-1000</v>
      </c>
      <c r="H670" s="22" t="n">
        <v>1000</v>
      </c>
      <c r="I670" s="23"/>
      <c r="J670" s="22" t="s">
        <v>32</v>
      </c>
    </row>
    <row r="671" s="1" customFormat="true" ht="13.8" hidden="false" customHeight="false" outlineLevel="0" collapsed="false">
      <c r="A671" s="21" t="s">
        <v>1170</v>
      </c>
      <c r="E671" s="21" t="s">
        <v>1171</v>
      </c>
      <c r="F671" s="21" t="s">
        <v>1172</v>
      </c>
      <c r="G671" s="22" t="n">
        <v>-1000</v>
      </c>
      <c r="H671" s="22" t="n">
        <v>1000</v>
      </c>
      <c r="I671" s="23"/>
      <c r="J671" s="22" t="s">
        <v>32</v>
      </c>
    </row>
    <row r="672" s="1" customFormat="true" ht="13.8" hidden="false" customHeight="false" outlineLevel="0" collapsed="false">
      <c r="A672" s="21" t="s">
        <v>1173</v>
      </c>
      <c r="E672" s="21" t="s">
        <v>1174</v>
      </c>
      <c r="F672" s="21" t="s">
        <v>1175</v>
      </c>
      <c r="G672" s="21" t="n">
        <v>0</v>
      </c>
      <c r="H672" s="21" t="n">
        <v>1000</v>
      </c>
      <c r="J672" s="1" t="s">
        <v>39</v>
      </c>
    </row>
    <row r="673" s="1" customFormat="true" ht="13.8" hidden="false" customHeight="false" outlineLevel="0" collapsed="false">
      <c r="A673" s="21" t="s">
        <v>1176</v>
      </c>
    </row>
    <row r="674" s="1" customFormat="true" ht="13.8" hidden="false" customHeight="false" outlineLevel="0" collapsed="false">
      <c r="A674" s="0"/>
    </row>
    <row r="675" s="1" customFormat="true" ht="13.8" hidden="false" customHeight="false" outlineLevel="0" collapsed="false">
      <c r="A675" s="1" t="s">
        <v>1177</v>
      </c>
    </row>
    <row r="676" s="1" customFormat="true" ht="13.8" hidden="false" customHeight="false" outlineLevel="0" collapsed="false">
      <c r="A676" s="1" t="s">
        <v>1178</v>
      </c>
    </row>
    <row r="677" s="1" customFormat="true" ht="13.8" hidden="false" customHeight="false" outlineLevel="0" collapsed="false">
      <c r="A677" s="1" t="s">
        <v>1179</v>
      </c>
    </row>
    <row r="679" customFormat="false" ht="13.8" hidden="false" customHeight="false" outlineLevel="0" collapsed="false">
      <c r="A679" s="6" t="s">
        <v>1180</v>
      </c>
      <c r="B679" s="54" t="s">
        <v>10</v>
      </c>
      <c r="C679" s="28"/>
      <c r="D679" s="44"/>
      <c r="E679" s="9"/>
      <c r="F679" s="9"/>
      <c r="G679" s="9"/>
      <c r="H679" s="9"/>
      <c r="I679" s="9"/>
      <c r="J679" s="9" t="s">
        <v>1181</v>
      </c>
      <c r="K679" s="9"/>
      <c r="L679" s="9"/>
      <c r="M679" s="9"/>
      <c r="N679" s="9"/>
      <c r="O679" s="9"/>
      <c r="P679" s="9"/>
      <c r="Q679" s="9"/>
      <c r="R679" s="9"/>
    </row>
    <row r="680" customFormat="false" ht="13.8" hidden="false" customHeight="false" outlineLevel="0" collapsed="false">
      <c r="A680" s="45" t="s">
        <v>624</v>
      </c>
      <c r="B680" s="46"/>
      <c r="C680" s="46"/>
      <c r="D680" s="47"/>
      <c r="E680" s="45" t="s">
        <v>13</v>
      </c>
      <c r="F680" s="45" t="s">
        <v>420</v>
      </c>
      <c r="G680" s="45" t="n">
        <v>-1000</v>
      </c>
      <c r="H680" s="45" t="n">
        <v>1000</v>
      </c>
      <c r="I680" s="45" t="s">
        <v>15</v>
      </c>
      <c r="J680" s="85" t="s">
        <v>625</v>
      </c>
    </row>
    <row r="681" customFormat="false" ht="14.25" hidden="false" customHeight="false" outlineLevel="0" collapsed="false">
      <c r="A681" s="1" t="s">
        <v>626</v>
      </c>
      <c r="B681" s="42" t="n">
        <f aca="false">-4*2</f>
        <v>-8</v>
      </c>
      <c r="C681" s="42" t="n">
        <f aca="false">-5+-4+1</f>
        <v>-8</v>
      </c>
      <c r="D681" s="43" t="s">
        <v>68</v>
      </c>
      <c r="E681" s="10" t="s">
        <v>627</v>
      </c>
      <c r="F681" s="10" t="s">
        <v>628</v>
      </c>
      <c r="G681" s="10" t="n">
        <v>-1000</v>
      </c>
      <c r="H681" s="10" t="n">
        <v>1000</v>
      </c>
      <c r="I681" s="0"/>
      <c r="J681" s="10" t="s">
        <v>629</v>
      </c>
    </row>
    <row r="682" customFormat="false" ht="13.8" hidden="false" customHeight="false" outlineLevel="0" collapsed="false">
      <c r="A682" s="1" t="s">
        <v>630</v>
      </c>
      <c r="B682" s="42"/>
      <c r="C682" s="42"/>
      <c r="D682" s="43"/>
      <c r="E682" s="10" t="s">
        <v>631</v>
      </c>
      <c r="F682" s="10" t="s">
        <v>632</v>
      </c>
      <c r="G682" s="10" t="n">
        <v>-1000</v>
      </c>
      <c r="H682" s="10" t="n">
        <v>1000</v>
      </c>
      <c r="I682" s="10"/>
      <c r="J682" s="10" t="s">
        <v>633</v>
      </c>
    </row>
    <row r="683" customFormat="false" ht="13.8" hidden="false" customHeight="false" outlineLevel="0" collapsed="false">
      <c r="A683" s="1" t="s">
        <v>634</v>
      </c>
      <c r="B683" s="42"/>
      <c r="C683" s="42"/>
      <c r="D683" s="43"/>
      <c r="E683" s="10" t="s">
        <v>635</v>
      </c>
      <c r="F683" s="10" t="s">
        <v>636</v>
      </c>
      <c r="G683" s="10" t="n">
        <v>0</v>
      </c>
      <c r="H683" s="10" t="n">
        <v>1000</v>
      </c>
      <c r="I683" s="10"/>
      <c r="J683" s="10" t="s">
        <v>637</v>
      </c>
    </row>
    <row r="684" customFormat="false" ht="13.8" hidden="false" customHeight="false" outlineLevel="0" collapsed="false">
      <c r="A684" s="1" t="s">
        <v>638</v>
      </c>
      <c r="B684" s="42"/>
      <c r="C684" s="42"/>
      <c r="D684" s="43"/>
      <c r="E684" s="10" t="s">
        <v>639</v>
      </c>
      <c r="F684" s="10" t="s">
        <v>640</v>
      </c>
      <c r="G684" s="10" t="n">
        <v>0</v>
      </c>
      <c r="H684" s="10" t="n">
        <v>1000</v>
      </c>
      <c r="I684" s="10"/>
      <c r="J684" s="10" t="s">
        <v>629</v>
      </c>
    </row>
    <row r="685" customFormat="false" ht="13.8" hidden="false" customHeight="false" outlineLevel="0" collapsed="false">
      <c r="A685" s="1" t="s">
        <v>641</v>
      </c>
      <c r="B685" s="42"/>
      <c r="C685" s="42"/>
      <c r="D685" s="43"/>
      <c r="E685" s="10" t="s">
        <v>642</v>
      </c>
      <c r="F685" s="10" t="s">
        <v>643</v>
      </c>
      <c r="G685" s="10" t="n">
        <v>0</v>
      </c>
      <c r="H685" s="10" t="n">
        <v>1000</v>
      </c>
      <c r="I685" s="10"/>
      <c r="J685" s="10" t="s">
        <v>629</v>
      </c>
    </row>
    <row r="686" customFormat="false" ht="13.8" hidden="false" customHeight="false" outlineLevel="0" collapsed="false">
      <c r="A686" s="14" t="s">
        <v>644</v>
      </c>
      <c r="B686" s="87"/>
      <c r="C686" s="87"/>
      <c r="D686" s="88"/>
      <c r="E686" s="52" t="s">
        <v>645</v>
      </c>
      <c r="F686" s="52" t="s">
        <v>646</v>
      </c>
      <c r="G686" s="52" t="n">
        <v>-1000</v>
      </c>
      <c r="H686" s="52" t="n">
        <v>1000</v>
      </c>
      <c r="I686" s="14" t="s">
        <v>15</v>
      </c>
      <c r="J686" s="10"/>
    </row>
    <row r="687" customFormat="false" ht="13.8" hidden="false" customHeight="false" outlineLevel="0" collapsed="false">
      <c r="A687" s="14" t="s">
        <v>647</v>
      </c>
      <c r="B687" s="87"/>
      <c r="C687" s="87"/>
      <c r="D687" s="88"/>
      <c r="E687" s="52" t="s">
        <v>648</v>
      </c>
      <c r="F687" s="52" t="s">
        <v>649</v>
      </c>
      <c r="G687" s="14" t="n">
        <v>0</v>
      </c>
      <c r="H687" s="14" t="n">
        <v>1000</v>
      </c>
      <c r="I687" s="14" t="s">
        <v>15</v>
      </c>
      <c r="J687" s="10"/>
    </row>
    <row r="688" customFormat="false" ht="13.8" hidden="false" customHeight="false" outlineLevel="0" collapsed="false">
      <c r="A688" s="1" t="s">
        <v>1182</v>
      </c>
      <c r="E688" s="1" t="s">
        <v>1183</v>
      </c>
      <c r="F688" s="1" t="s">
        <v>1184</v>
      </c>
      <c r="G688" s="1" t="n">
        <v>0</v>
      </c>
      <c r="H688" s="1" t="n">
        <v>1000</v>
      </c>
      <c r="I688" s="23"/>
      <c r="J688" s="1" t="s">
        <v>1185</v>
      </c>
    </row>
    <row r="689" s="1" customFormat="true" ht="14.25" hidden="false" customHeight="false" outlineLevel="0" collapsed="false">
      <c r="A689" s="21" t="s">
        <v>1186</v>
      </c>
      <c r="E689" s="21" t="s">
        <v>1187</v>
      </c>
      <c r="F689" s="21" t="s">
        <v>1188</v>
      </c>
      <c r="G689" s="22" t="n">
        <v>-1000</v>
      </c>
      <c r="H689" s="22" t="n">
        <v>1000</v>
      </c>
      <c r="I689" s="23"/>
      <c r="J689" s="22" t="s">
        <v>32</v>
      </c>
    </row>
    <row r="690" s="1" customFormat="true" ht="14.25" hidden="false" customHeight="false" outlineLevel="0" collapsed="false">
      <c r="A690" s="21" t="s">
        <v>1189</v>
      </c>
      <c r="E690" s="21" t="s">
        <v>1190</v>
      </c>
      <c r="F690" s="21" t="s">
        <v>1191</v>
      </c>
      <c r="G690" s="22" t="n">
        <v>-1000</v>
      </c>
      <c r="H690" s="22" t="n">
        <v>1000</v>
      </c>
      <c r="I690" s="23"/>
      <c r="J690" s="22" t="s">
        <v>32</v>
      </c>
    </row>
    <row r="691" s="1" customFormat="true" ht="14.25" hidden="false" customHeight="false" outlineLevel="0" collapsed="false">
      <c r="A691" s="21" t="s">
        <v>1192</v>
      </c>
      <c r="E691" s="21" t="s">
        <v>1193</v>
      </c>
      <c r="F691" s="21" t="s">
        <v>1194</v>
      </c>
      <c r="G691" s="21" t="n">
        <v>0</v>
      </c>
      <c r="H691" s="21" t="n">
        <v>1000</v>
      </c>
      <c r="J691" s="1" t="s">
        <v>1195</v>
      </c>
    </row>
    <row r="692" s="1" customFormat="true" ht="13.8" hidden="false" customHeight="false" outlineLevel="0" collapsed="false">
      <c r="A692" s="21" t="s">
        <v>1196</v>
      </c>
    </row>
    <row r="694" customFormat="false" ht="14.25" hidden="false" customHeight="false" outlineLevel="0" collapsed="false">
      <c r="A694" s="1" t="s">
        <v>1197</v>
      </c>
    </row>
    <row r="695" customFormat="false" ht="14.25" hidden="false" customHeight="false" outlineLevel="0" collapsed="false">
      <c r="A695" s="1" t="s">
        <v>1198</v>
      </c>
    </row>
    <row r="696" customFormat="false" ht="14.25" hidden="false" customHeight="false" outlineLevel="0" collapsed="false">
      <c r="A696" s="1" t="s">
        <v>1199</v>
      </c>
    </row>
    <row r="697" customFormat="false" ht="13.8" hidden="false" customHeight="false" outlineLevel="0" collapsed="false">
      <c r="A697" s="35" t="s">
        <v>1200</v>
      </c>
    </row>
    <row r="699" customFormat="false" ht="13.8" hidden="false" customHeight="false" outlineLevel="0" collapsed="false">
      <c r="A699" s="6" t="s">
        <v>1201</v>
      </c>
      <c r="B699" s="54" t="s">
        <v>10</v>
      </c>
      <c r="C699" s="28"/>
      <c r="D699" s="44"/>
      <c r="E699" s="9"/>
      <c r="F699" s="9"/>
      <c r="G699" s="9"/>
      <c r="H699" s="9"/>
      <c r="I699" s="9"/>
      <c r="J699" s="9"/>
      <c r="K699" s="9"/>
      <c r="L699" s="9"/>
      <c r="M699" s="9"/>
      <c r="N699" s="9"/>
      <c r="O699" s="9"/>
      <c r="P699" s="9"/>
      <c r="Q699" s="9"/>
    </row>
    <row r="700" s="35" customFormat="true" ht="13.8" hidden="false" customHeight="false" outlineLevel="0" collapsed="false">
      <c r="A700" s="31" t="s">
        <v>1202</v>
      </c>
      <c r="B700" s="32"/>
      <c r="C700" s="32"/>
      <c r="D700" s="50"/>
      <c r="E700" s="31"/>
      <c r="F700" s="31"/>
      <c r="G700" s="31"/>
      <c r="H700" s="31"/>
      <c r="I700" s="31"/>
      <c r="J700" s="31" t="s">
        <v>1203</v>
      </c>
      <c r="K700" s="31"/>
      <c r="L700" s="31"/>
      <c r="M700" s="31"/>
      <c r="N700" s="31"/>
      <c r="O700" s="31"/>
      <c r="P700" s="31"/>
      <c r="Q700" s="31"/>
    </row>
    <row r="701" customFormat="false" ht="13.8" hidden="false" customHeight="false" outlineLevel="0" collapsed="false">
      <c r="A701" s="1" t="s">
        <v>1204</v>
      </c>
      <c r="B701" s="2" t="n">
        <f aca="false">0-1</f>
        <v>-1</v>
      </c>
      <c r="C701" s="2" t="n">
        <f aca="false">0-1</f>
        <v>-1</v>
      </c>
      <c r="D701" s="3" t="s">
        <v>68</v>
      </c>
      <c r="E701" s="1" t="s">
        <v>1205</v>
      </c>
      <c r="F701" s="1" t="s">
        <v>1206</v>
      </c>
      <c r="G701" s="1" t="n">
        <v>-1000</v>
      </c>
      <c r="H701" s="1" t="n">
        <v>1000</v>
      </c>
      <c r="J701" s="1" t="s">
        <v>1207</v>
      </c>
    </row>
    <row r="702" customFormat="false" ht="13.8" hidden="false" customHeight="false" outlineLevel="0" collapsed="false">
      <c r="A702" s="1" t="s">
        <v>1208</v>
      </c>
      <c r="B702" s="2" t="n">
        <f aca="false">-1-1</f>
        <v>-2</v>
      </c>
      <c r="C702" s="2" t="n">
        <f aca="false">-2-2+2</f>
        <v>-2</v>
      </c>
      <c r="D702" s="3" t="s">
        <v>68</v>
      </c>
      <c r="E702" s="1" t="s">
        <v>1209</v>
      </c>
      <c r="F702" s="1" t="s">
        <v>1210</v>
      </c>
      <c r="G702" s="1" t="n">
        <v>0</v>
      </c>
      <c r="H702" s="1" t="n">
        <v>1000</v>
      </c>
      <c r="I702" s="36"/>
      <c r="J702" s="1" t="s">
        <v>1211</v>
      </c>
    </row>
    <row r="703" customFormat="false" ht="13.8" hidden="false" customHeight="false" outlineLevel="0" collapsed="false">
      <c r="A703" s="1" t="s">
        <v>1212</v>
      </c>
      <c r="B703" s="2" t="n">
        <f aca="false">-1-3</f>
        <v>-4</v>
      </c>
      <c r="C703" s="2" t="n">
        <f aca="false">-2-4+2</f>
        <v>-4</v>
      </c>
      <c r="D703" s="3" t="s">
        <v>68</v>
      </c>
      <c r="E703" s="1" t="s">
        <v>1213</v>
      </c>
      <c r="F703" s="1" t="s">
        <v>1214</v>
      </c>
      <c r="G703" s="1" t="n">
        <v>0</v>
      </c>
      <c r="H703" s="1" t="n">
        <v>1000</v>
      </c>
      <c r="I703" s="36"/>
      <c r="J703" s="1" t="s">
        <v>1211</v>
      </c>
    </row>
    <row r="704" customFormat="false" ht="13.8" hidden="false" customHeight="false" outlineLevel="0" collapsed="false">
      <c r="A704" s="73" t="s">
        <v>1215</v>
      </c>
      <c r="E704" s="21" t="s">
        <v>1216</v>
      </c>
      <c r="F704" s="21" t="s">
        <v>1217</v>
      </c>
      <c r="G704" s="21" t="n">
        <v>-1000</v>
      </c>
      <c r="H704" s="21" t="n">
        <v>1000</v>
      </c>
      <c r="I704" s="36"/>
      <c r="J704" s="21" t="s">
        <v>512</v>
      </c>
    </row>
    <row r="705" customFormat="false" ht="13.8" hidden="false" customHeight="false" outlineLevel="0" collapsed="false">
      <c r="A705" s="21" t="s">
        <v>1218</v>
      </c>
      <c r="E705" s="21" t="s">
        <v>1219</v>
      </c>
      <c r="F705" s="21" t="s">
        <v>1220</v>
      </c>
      <c r="G705" s="21" t="n">
        <v>-1000</v>
      </c>
      <c r="H705" s="21" t="n">
        <v>1000</v>
      </c>
      <c r="I705" s="36"/>
      <c r="J705" s="21" t="s">
        <v>512</v>
      </c>
    </row>
    <row r="706" customFormat="false" ht="13.8" hidden="false" customHeight="false" outlineLevel="0" collapsed="false">
      <c r="A706" s="21" t="s">
        <v>1221</v>
      </c>
      <c r="E706" s="21" t="s">
        <v>1222</v>
      </c>
      <c r="F706" s="21" t="s">
        <v>1223</v>
      </c>
      <c r="G706" s="21" t="n">
        <v>0</v>
      </c>
      <c r="H706" s="21" t="n">
        <v>1000</v>
      </c>
      <c r="I706" s="36"/>
      <c r="J706" s="21" t="s">
        <v>512</v>
      </c>
    </row>
    <row r="707" customFormat="false" ht="13.8" hidden="false" customHeight="false" outlineLevel="0" collapsed="false">
      <c r="A707" s="21" t="s">
        <v>1224</v>
      </c>
      <c r="I707" s="36"/>
    </row>
    <row r="709" customFormat="false" ht="13.8" hidden="false" customHeight="false" outlineLevel="0" collapsed="false">
      <c r="A709" s="1" t="s">
        <v>1225</v>
      </c>
    </row>
    <row r="711" customFormat="false" ht="13.8" hidden="false" customHeight="false" outlineLevel="0" collapsed="false">
      <c r="A711" s="6" t="s">
        <v>1226</v>
      </c>
      <c r="B711" s="54" t="s">
        <v>10</v>
      </c>
      <c r="C711" s="84"/>
      <c r="D711" s="44"/>
      <c r="E711" s="9"/>
      <c r="F711" s="9"/>
      <c r="G711" s="9"/>
      <c r="H711" s="9"/>
      <c r="I711" s="9"/>
      <c r="J711" s="9" t="s">
        <v>1227</v>
      </c>
    </row>
    <row r="712" customFormat="false" ht="13.8" hidden="false" customHeight="false" outlineLevel="0" collapsed="false">
      <c r="A712" s="93" t="s">
        <v>700</v>
      </c>
      <c r="B712" s="69"/>
      <c r="C712" s="108"/>
      <c r="D712" s="43"/>
      <c r="E712" s="10"/>
      <c r="F712" s="10"/>
      <c r="G712" s="10"/>
      <c r="H712" s="10"/>
      <c r="I712" s="10"/>
      <c r="J712" s="10"/>
    </row>
    <row r="713" customFormat="false" ht="13.8" hidden="false" customHeight="false" outlineLevel="0" collapsed="false">
      <c r="A713" s="45" t="s">
        <v>751</v>
      </c>
      <c r="B713" s="12"/>
      <c r="C713" s="12"/>
      <c r="D713" s="13"/>
      <c r="E713" s="14" t="s">
        <v>13</v>
      </c>
      <c r="F713" s="14" t="s">
        <v>14</v>
      </c>
      <c r="G713" s="14" t="n">
        <v>-1000</v>
      </c>
      <c r="H713" s="14" t="n">
        <v>1000</v>
      </c>
      <c r="I713" s="14" t="s">
        <v>15</v>
      </c>
    </row>
    <row r="714" customFormat="false" ht="13.8" hidden="false" customHeight="false" outlineLevel="0" collapsed="false">
      <c r="A714" s="109" t="s">
        <v>962</v>
      </c>
      <c r="B714" s="12"/>
      <c r="C714" s="12"/>
      <c r="E714" s="14" t="s">
        <v>42</v>
      </c>
      <c r="F714" s="14" t="s">
        <v>43</v>
      </c>
      <c r="G714" s="14" t="n">
        <v>-1000</v>
      </c>
      <c r="H714" s="14" t="n">
        <v>1000</v>
      </c>
      <c r="I714" s="14" t="s">
        <v>15</v>
      </c>
    </row>
    <row r="715" customFormat="false" ht="13.8" hidden="false" customHeight="false" outlineLevel="0" collapsed="false">
      <c r="A715" s="11" t="s">
        <v>963</v>
      </c>
      <c r="B715" s="12"/>
      <c r="C715" s="12"/>
      <c r="E715" s="14" t="s">
        <v>755</v>
      </c>
      <c r="F715" s="14" t="s">
        <v>756</v>
      </c>
      <c r="G715" s="14" t="n">
        <v>-1000</v>
      </c>
      <c r="H715" s="14" t="n">
        <v>1000</v>
      </c>
      <c r="I715" s="14" t="s">
        <v>15</v>
      </c>
    </row>
    <row r="716" customFormat="false" ht="13.8" hidden="false" customHeight="false" outlineLevel="0" collapsed="false">
      <c r="A716" s="16" t="s">
        <v>757</v>
      </c>
      <c r="B716" s="2" t="n">
        <f aca="false">-4-2+1</f>
        <v>-5</v>
      </c>
      <c r="C716" s="2" t="n">
        <f aca="false">-4-1</f>
        <v>-5</v>
      </c>
      <c r="D716" s="3" t="s">
        <v>68</v>
      </c>
      <c r="E716" s="1" t="s">
        <v>758</v>
      </c>
      <c r="F716" s="1" t="s">
        <v>759</v>
      </c>
      <c r="G716" s="1" t="n">
        <v>0</v>
      </c>
      <c r="H716" s="1" t="n">
        <v>1000</v>
      </c>
      <c r="J716" s="1" t="s">
        <v>760</v>
      </c>
    </row>
    <row r="717" customFormat="false" ht="13.8" hidden="false" customHeight="false" outlineLevel="0" collapsed="false">
      <c r="A717" s="93" t="s">
        <v>964</v>
      </c>
    </row>
    <row r="718" customFormat="false" ht="13.8" hidden="false" customHeight="false" outlineLevel="0" collapsed="false">
      <c r="A718" s="11" t="s">
        <v>965</v>
      </c>
      <c r="B718" s="12"/>
      <c r="C718" s="12"/>
      <c r="E718" s="14" t="s">
        <v>966</v>
      </c>
      <c r="F718" s="14" t="s">
        <v>967</v>
      </c>
      <c r="G718" s="14" t="n">
        <v>-1000</v>
      </c>
      <c r="H718" s="14" t="n">
        <v>1000</v>
      </c>
      <c r="I718" s="14" t="s">
        <v>15</v>
      </c>
    </row>
    <row r="719" customFormat="false" ht="13.8" hidden="false" customHeight="false" outlineLevel="0" collapsed="false">
      <c r="A719" s="11" t="s">
        <v>968</v>
      </c>
      <c r="B719" s="12"/>
      <c r="C719" s="12"/>
      <c r="E719" s="14" t="s">
        <v>969</v>
      </c>
      <c r="F719" s="14" t="s">
        <v>970</v>
      </c>
      <c r="G719" s="14" t="n">
        <v>-1000</v>
      </c>
      <c r="H719" s="14" t="n">
        <v>1000</v>
      </c>
      <c r="I719" s="14" t="s">
        <v>15</v>
      </c>
      <c r="J719" s="14"/>
    </row>
    <row r="720" customFormat="false" ht="13.8" hidden="false" customHeight="false" outlineLevel="0" collapsed="false">
      <c r="A720" s="11" t="s">
        <v>971</v>
      </c>
      <c r="B720" s="12"/>
      <c r="C720" s="12"/>
      <c r="E720" s="14" t="s">
        <v>972</v>
      </c>
      <c r="F720" s="14" t="s">
        <v>973</v>
      </c>
      <c r="G720" s="14" t="n">
        <v>-1000</v>
      </c>
      <c r="H720" s="14" t="n">
        <v>1000</v>
      </c>
      <c r="I720" s="14" t="s">
        <v>15</v>
      </c>
      <c r="J720" s="1" t="s">
        <v>974</v>
      </c>
    </row>
    <row r="721" customFormat="false" ht="13.8" hidden="false" customHeight="false" outlineLevel="0" collapsed="false">
      <c r="A721" s="16" t="s">
        <v>975</v>
      </c>
      <c r="B721" s="2" t="n">
        <f aca="false">-4-2+1</f>
        <v>-5</v>
      </c>
      <c r="C721" s="2" t="n">
        <f aca="false">-4-1</f>
        <v>-5</v>
      </c>
      <c r="D721" s="3" t="s">
        <v>68</v>
      </c>
      <c r="E721" s="1" t="s">
        <v>976</v>
      </c>
      <c r="F721" s="1" t="s">
        <v>977</v>
      </c>
      <c r="G721" s="1" t="n">
        <v>0</v>
      </c>
      <c r="H721" s="1" t="n">
        <v>1000</v>
      </c>
      <c r="J721" s="1" t="s">
        <v>978</v>
      </c>
    </row>
    <row r="722" customFormat="false" ht="13.8" hidden="false" customHeight="false" outlineLevel="0" collapsed="false">
      <c r="A722" s="93" t="s">
        <v>979</v>
      </c>
    </row>
    <row r="723" customFormat="false" ht="13.8" hidden="false" customHeight="false" outlineLevel="0" collapsed="false">
      <c r="A723" s="11" t="s">
        <v>980</v>
      </c>
      <c r="E723" s="14" t="s">
        <v>981</v>
      </c>
      <c r="F723" s="14" t="s">
        <v>982</v>
      </c>
      <c r="G723" s="14" t="n">
        <v>-1000</v>
      </c>
      <c r="H723" s="14" t="n">
        <v>1000</v>
      </c>
      <c r="I723" s="14" t="s">
        <v>15</v>
      </c>
    </row>
    <row r="724" customFormat="false" ht="13.8" hidden="false" customHeight="false" outlineLevel="0" collapsed="false">
      <c r="A724" s="11" t="s">
        <v>983</v>
      </c>
      <c r="E724" s="14" t="s">
        <v>984</v>
      </c>
      <c r="F724" s="14" t="s">
        <v>985</v>
      </c>
      <c r="G724" s="14" t="n">
        <v>-1000</v>
      </c>
      <c r="H724" s="14" t="n">
        <v>1000</v>
      </c>
      <c r="I724" s="14" t="s">
        <v>15</v>
      </c>
    </row>
    <row r="725" customFormat="false" ht="13.8" hidden="false" customHeight="false" outlineLevel="0" collapsed="false">
      <c r="A725" s="11" t="s">
        <v>986</v>
      </c>
      <c r="E725" s="14" t="s">
        <v>987</v>
      </c>
      <c r="F725" s="14" t="s">
        <v>1228</v>
      </c>
      <c r="G725" s="14" t="n">
        <v>-1000</v>
      </c>
      <c r="H725" s="14" t="n">
        <v>1000</v>
      </c>
      <c r="I725" s="14" t="s">
        <v>15</v>
      </c>
    </row>
    <row r="726" customFormat="false" ht="13.8" hidden="false" customHeight="false" outlineLevel="0" collapsed="false">
      <c r="A726" s="16" t="s">
        <v>988</v>
      </c>
      <c r="B726" s="2" t="n">
        <f aca="false">-4-2+1</f>
        <v>-5</v>
      </c>
      <c r="C726" s="2" t="n">
        <f aca="false">-4-1</f>
        <v>-5</v>
      </c>
      <c r="D726" s="3" t="s">
        <v>68</v>
      </c>
      <c r="E726" s="1" t="s">
        <v>989</v>
      </c>
      <c r="F726" s="1" t="s">
        <v>990</v>
      </c>
      <c r="G726" s="1" t="n">
        <v>0</v>
      </c>
      <c r="H726" s="1" t="n">
        <v>1000</v>
      </c>
      <c r="J726" s="1" t="s">
        <v>991</v>
      </c>
    </row>
    <row r="727" customFormat="false" ht="13.8" hidden="false" customHeight="false" outlineLevel="0" collapsed="false">
      <c r="A727" s="93" t="s">
        <v>1229</v>
      </c>
    </row>
    <row r="728" customFormat="false" ht="13.8" hidden="false" customHeight="false" outlineLevel="0" collapsed="false">
      <c r="A728" s="11" t="s">
        <v>1230</v>
      </c>
      <c r="E728" s="14" t="s">
        <v>1231</v>
      </c>
      <c r="F728" s="14" t="s">
        <v>1232</v>
      </c>
      <c r="G728" s="14" t="n">
        <v>-1000</v>
      </c>
      <c r="H728" s="14" t="n">
        <v>1000</v>
      </c>
      <c r="I728" s="14" t="s">
        <v>15</v>
      </c>
    </row>
    <row r="729" customFormat="false" ht="13.8" hidden="false" customHeight="false" outlineLevel="0" collapsed="false">
      <c r="A729" s="11" t="s">
        <v>1233</v>
      </c>
      <c r="E729" s="14" t="s">
        <v>1234</v>
      </c>
      <c r="F729" s="14" t="s">
        <v>1235</v>
      </c>
      <c r="G729" s="14" t="n">
        <v>-1000</v>
      </c>
      <c r="H729" s="14" t="n">
        <v>1000</v>
      </c>
      <c r="I729" s="14" t="s">
        <v>15</v>
      </c>
    </row>
    <row r="730" customFormat="false" ht="13.8" hidden="false" customHeight="false" outlineLevel="0" collapsed="false">
      <c r="A730" s="11" t="s">
        <v>1236</v>
      </c>
      <c r="E730" s="14" t="s">
        <v>1237</v>
      </c>
      <c r="F730" s="14" t="s">
        <v>1238</v>
      </c>
      <c r="G730" s="14" t="n">
        <v>-1000</v>
      </c>
      <c r="H730" s="14" t="n">
        <v>1000</v>
      </c>
      <c r="I730" s="14" t="s">
        <v>15</v>
      </c>
    </row>
    <row r="731" customFormat="false" ht="13.8" hidden="false" customHeight="false" outlineLevel="0" collapsed="false">
      <c r="A731" s="16" t="s">
        <v>1239</v>
      </c>
      <c r="B731" s="2" t="n">
        <f aca="false">-4-2+1</f>
        <v>-5</v>
      </c>
      <c r="C731" s="2" t="n">
        <f aca="false">-4-1</f>
        <v>-5</v>
      </c>
      <c r="D731" s="3" t="s">
        <v>68</v>
      </c>
      <c r="E731" s="1" t="s">
        <v>1240</v>
      </c>
      <c r="F731" s="1" t="s">
        <v>1241</v>
      </c>
      <c r="G731" s="1" t="n">
        <v>0</v>
      </c>
      <c r="H731" s="1" t="n">
        <v>1000</v>
      </c>
      <c r="J731" s="1" t="s">
        <v>1242</v>
      </c>
    </row>
    <row r="732" customFormat="false" ht="13.8" hidden="false" customHeight="false" outlineLevel="0" collapsed="false">
      <c r="A732" s="93" t="s">
        <v>717</v>
      </c>
    </row>
    <row r="733" customFormat="false" ht="13.8" hidden="false" customHeight="false" outlineLevel="0" collapsed="false">
      <c r="A733" s="110" t="s">
        <v>1243</v>
      </c>
      <c r="B733" s="12"/>
      <c r="C733" s="12"/>
      <c r="D733" s="89"/>
      <c r="E733" s="14" t="s">
        <v>1244</v>
      </c>
      <c r="F733" s="14" t="s">
        <v>1245</v>
      </c>
      <c r="G733" s="14" t="n">
        <v>0</v>
      </c>
      <c r="H733" s="14" t="n">
        <v>1000</v>
      </c>
      <c r="I733" s="14" t="s">
        <v>15</v>
      </c>
      <c r="J733" s="14" t="s">
        <v>995</v>
      </c>
    </row>
    <row r="734" customFormat="false" ht="13.8" hidden="false" customHeight="false" outlineLevel="0" collapsed="false">
      <c r="A734" s="25" t="s">
        <v>1246</v>
      </c>
      <c r="B734" s="2" t="n">
        <f aca="false">-1-4-4+1</f>
        <v>-8</v>
      </c>
      <c r="C734" s="2" t="n">
        <f aca="false">-3-2-3</f>
        <v>-8</v>
      </c>
      <c r="D734" s="3" t="s">
        <v>68</v>
      </c>
      <c r="E734" s="1" t="s">
        <v>1247</v>
      </c>
      <c r="F734" s="1" t="s">
        <v>1248</v>
      </c>
      <c r="G734" s="1" t="n">
        <v>0</v>
      </c>
      <c r="H734" s="1" t="n">
        <v>1000</v>
      </c>
      <c r="I734" s="36"/>
      <c r="J734" s="1" t="s">
        <v>725</v>
      </c>
    </row>
    <row r="735" customFormat="false" ht="13.8" hidden="false" customHeight="false" outlineLevel="0" collapsed="false">
      <c r="A735" s="16" t="s">
        <v>1249</v>
      </c>
      <c r="B735" s="2" t="n">
        <f aca="false">-4-2+1</f>
        <v>-5</v>
      </c>
      <c r="C735" s="2" t="n">
        <f aca="false">-4-1</f>
        <v>-5</v>
      </c>
      <c r="D735" s="3" t="s">
        <v>68</v>
      </c>
      <c r="E735" s="1" t="s">
        <v>1250</v>
      </c>
      <c r="F735" s="1" t="s">
        <v>1251</v>
      </c>
      <c r="G735" s="1" t="n">
        <v>0</v>
      </c>
      <c r="H735" s="1" t="n">
        <v>1000</v>
      </c>
      <c r="I735" s="36"/>
      <c r="J735" s="1" t="s">
        <v>729</v>
      </c>
    </row>
    <row r="736" customFormat="false" ht="13.8" hidden="false" customHeight="false" outlineLevel="0" collapsed="false">
      <c r="A736" s="16" t="s">
        <v>1252</v>
      </c>
      <c r="B736" s="2" t="n">
        <f aca="false">0</f>
        <v>0</v>
      </c>
      <c r="C736" s="2" t="n">
        <f aca="false">-1+1</f>
        <v>0</v>
      </c>
      <c r="D736" s="3" t="s">
        <v>68</v>
      </c>
      <c r="E736" s="1" t="s">
        <v>1253</v>
      </c>
      <c r="F736" s="1" t="s">
        <v>1254</v>
      </c>
      <c r="G736" s="1" t="n">
        <v>0</v>
      </c>
      <c r="H736" s="1" t="n">
        <v>1000</v>
      </c>
      <c r="I736" s="36"/>
      <c r="J736" s="1" t="s">
        <v>733</v>
      </c>
    </row>
    <row r="737" customFormat="false" ht="13.8" hidden="false" customHeight="false" outlineLevel="0" collapsed="false">
      <c r="A737" s="78" t="s">
        <v>1255</v>
      </c>
      <c r="E737" s="21" t="s">
        <v>1256</v>
      </c>
      <c r="F737" s="21" t="s">
        <v>1257</v>
      </c>
      <c r="G737" s="21" t="n">
        <v>-1000</v>
      </c>
      <c r="H737" s="21" t="n">
        <v>1000</v>
      </c>
      <c r="J737" s="21" t="s">
        <v>1008</v>
      </c>
    </row>
    <row r="738" customFormat="false" ht="13.8" hidden="false" customHeight="false" outlineLevel="0" collapsed="false">
      <c r="A738" s="78" t="s">
        <v>1258</v>
      </c>
      <c r="C738" s="79"/>
      <c r="E738" s="21" t="s">
        <v>1259</v>
      </c>
      <c r="F738" s="21" t="s">
        <v>1260</v>
      </c>
      <c r="G738" s="21" t="n">
        <v>-1000</v>
      </c>
      <c r="H738" s="21" t="n">
        <v>1000</v>
      </c>
      <c r="J738" s="21" t="s">
        <v>1008</v>
      </c>
    </row>
    <row r="739" customFormat="false" ht="13.8" hidden="false" customHeight="false" outlineLevel="0" collapsed="false">
      <c r="A739" s="21" t="s">
        <v>1261</v>
      </c>
      <c r="B739" s="37"/>
      <c r="C739" s="37"/>
      <c r="D739" s="38"/>
      <c r="E739" s="21" t="s">
        <v>1262</v>
      </c>
      <c r="F739" s="21" t="s">
        <v>1263</v>
      </c>
      <c r="G739" s="21" t="n">
        <v>0</v>
      </c>
      <c r="H739" s="21" t="n">
        <v>1000</v>
      </c>
      <c r="I739" s="21"/>
      <c r="J739" s="21" t="s">
        <v>1008</v>
      </c>
    </row>
    <row r="740" customFormat="false" ht="13.8" hidden="false" customHeight="false" outlineLevel="0" collapsed="false">
      <c r="A740" s="78" t="s">
        <v>1264</v>
      </c>
      <c r="I740" s="36"/>
    </row>
    <row r="741" customFormat="false" ht="13.8" hidden="false" customHeight="false" outlineLevel="0" collapsed="false">
      <c r="A741" s="41"/>
    </row>
    <row r="742" customFormat="false" ht="13.8" hidden="false" customHeight="false" outlineLevel="0" collapsed="false">
      <c r="A742" s="41" t="s">
        <v>745</v>
      </c>
      <c r="B742" s="17"/>
      <c r="C742" s="17"/>
      <c r="D742" s="18"/>
      <c r="E742" s="19"/>
      <c r="F742" s="19"/>
      <c r="G742" s="19"/>
      <c r="H742" s="19"/>
      <c r="I742" s="19"/>
      <c r="J742" s="19"/>
    </row>
    <row r="743" customFormat="false" ht="13.8" hidden="false" customHeight="false" outlineLevel="0" collapsed="false">
      <c r="A743" s="41" t="s">
        <v>747</v>
      </c>
    </row>
    <row r="744" customFormat="false" ht="13.8" hidden="false" customHeight="false" outlineLevel="0" collapsed="false">
      <c r="A744" s="41" t="s">
        <v>746</v>
      </c>
      <c r="B744" s="17"/>
      <c r="C744" s="17"/>
      <c r="D744" s="18"/>
      <c r="E744" s="19"/>
      <c r="F744" s="19"/>
      <c r="G744" s="19"/>
      <c r="H744" s="19"/>
      <c r="I744" s="19"/>
      <c r="J744" s="19"/>
    </row>
    <row r="745" customFormat="false" ht="13.8" hidden="false" customHeight="false" outlineLevel="0" collapsed="false">
      <c r="A745" s="41" t="s">
        <v>748</v>
      </c>
    </row>
    <row r="746" customFormat="false" ht="13.8" hidden="false" customHeight="false" outlineLevel="0" collapsed="false">
      <c r="A746" s="41"/>
    </row>
    <row r="747" customFormat="false" ht="13.8" hidden="false" customHeight="false" outlineLevel="0" collapsed="false">
      <c r="A747" s="6" t="s">
        <v>1265</v>
      </c>
      <c r="B747" s="54" t="s">
        <v>10</v>
      </c>
      <c r="C747" s="84"/>
      <c r="D747" s="44"/>
      <c r="E747" s="9"/>
      <c r="F747" s="9"/>
      <c r="G747" s="9"/>
      <c r="H747" s="9"/>
      <c r="I747" s="9"/>
      <c r="J747" s="9" t="s">
        <v>1266</v>
      </c>
    </row>
    <row r="748" customFormat="false" ht="13.8" hidden="false" customHeight="false" outlineLevel="0" collapsed="false">
      <c r="A748" s="11" t="s">
        <v>694</v>
      </c>
      <c r="B748" s="90"/>
      <c r="C748" s="91"/>
      <c r="D748" s="88"/>
      <c r="E748" s="52" t="s">
        <v>695</v>
      </c>
      <c r="F748" s="52" t="s">
        <v>696</v>
      </c>
      <c r="G748" s="14" t="n">
        <v>0</v>
      </c>
      <c r="H748" s="14" t="n">
        <v>1000</v>
      </c>
      <c r="I748" s="14" t="s">
        <v>15</v>
      </c>
      <c r="J748" s="52"/>
    </row>
    <row r="749" customFormat="false" ht="13.8" hidden="false" customHeight="false" outlineLevel="0" collapsed="false">
      <c r="A749" s="11" t="s">
        <v>697</v>
      </c>
      <c r="B749" s="12"/>
      <c r="C749" s="12"/>
      <c r="D749" s="89"/>
      <c r="E749" s="14" t="s">
        <v>698</v>
      </c>
      <c r="F749" s="14" t="s">
        <v>699</v>
      </c>
      <c r="G749" s="14" t="n">
        <v>0</v>
      </c>
      <c r="H749" s="14" t="n">
        <v>1000</v>
      </c>
      <c r="I749" s="14" t="s">
        <v>15</v>
      </c>
      <c r="J749" s="14"/>
    </row>
    <row r="750" customFormat="false" ht="13.8" hidden="false" customHeight="false" outlineLevel="0" collapsed="false">
      <c r="A750" s="93" t="s">
        <v>700</v>
      </c>
      <c r="B750" s="12"/>
      <c r="C750" s="12"/>
      <c r="D750" s="89"/>
      <c r="E750" s="14"/>
      <c r="F750" s="14"/>
      <c r="G750" s="14"/>
      <c r="H750" s="14"/>
      <c r="I750" s="14"/>
      <c r="J750" s="14"/>
    </row>
    <row r="751" customFormat="false" ht="13.8" hidden="false" customHeight="false" outlineLevel="0" collapsed="false">
      <c r="A751" s="16" t="s">
        <v>701</v>
      </c>
      <c r="B751" s="2" t="n">
        <f aca="false">-4-4</f>
        <v>-8</v>
      </c>
      <c r="C751" s="2" t="n">
        <f aca="false">-4-4</f>
        <v>-8</v>
      </c>
      <c r="D751" s="3" t="s">
        <v>68</v>
      </c>
      <c r="E751" s="1" t="s">
        <v>702</v>
      </c>
      <c r="F751" s="1" t="s">
        <v>703</v>
      </c>
      <c r="G751" s="1" t="n">
        <v>-1000</v>
      </c>
      <c r="H751" s="1" t="n">
        <v>1000</v>
      </c>
      <c r="I751" s="36"/>
      <c r="J751" s="1" t="s">
        <v>704</v>
      </c>
    </row>
    <row r="752" customFormat="false" ht="13.8" hidden="false" customHeight="false" outlineLevel="0" collapsed="false">
      <c r="A752" s="16" t="s">
        <v>705</v>
      </c>
      <c r="B752" s="2" t="n">
        <f aca="false">-4-2+1</f>
        <v>-5</v>
      </c>
      <c r="C752" s="2" t="n">
        <f aca="false">-4-1</f>
        <v>-5</v>
      </c>
      <c r="D752" s="3" t="s">
        <v>68</v>
      </c>
      <c r="E752" s="1" t="s">
        <v>706</v>
      </c>
      <c r="F752" s="1" t="s">
        <v>707</v>
      </c>
      <c r="G752" s="1" t="n">
        <v>-1000</v>
      </c>
      <c r="H752" s="1" t="n">
        <v>1000</v>
      </c>
      <c r="I752" s="36"/>
      <c r="J752" s="1" t="s">
        <v>708</v>
      </c>
    </row>
    <row r="753" customFormat="false" ht="13.8" hidden="false" customHeight="false" outlineLevel="0" collapsed="false">
      <c r="A753" s="16" t="s">
        <v>709</v>
      </c>
      <c r="B753" s="2" t="n">
        <f aca="false">-4</f>
        <v>-4</v>
      </c>
      <c r="C753" s="2" t="n">
        <f aca="false">-4</f>
        <v>-4</v>
      </c>
      <c r="D753" s="3" t="s">
        <v>68</v>
      </c>
      <c r="E753" s="1" t="s">
        <v>710</v>
      </c>
      <c r="F753" s="1" t="s">
        <v>711</v>
      </c>
      <c r="G753" s="1" t="n">
        <v>-1000</v>
      </c>
      <c r="H753" s="1" t="n">
        <v>1000</v>
      </c>
      <c r="J753" s="1" t="s">
        <v>712</v>
      </c>
    </row>
    <row r="754" customFormat="false" ht="13.8" hidden="false" customHeight="false" outlineLevel="0" collapsed="false">
      <c r="A754" s="16" t="s">
        <v>713</v>
      </c>
      <c r="B754" s="2" t="n">
        <f aca="false">-4-2+1</f>
        <v>-5</v>
      </c>
      <c r="C754" s="2" t="n">
        <f aca="false">-4-1</f>
        <v>-5</v>
      </c>
      <c r="D754" s="3" t="s">
        <v>68</v>
      </c>
      <c r="E754" s="1" t="s">
        <v>714</v>
      </c>
      <c r="F754" s="1" t="s">
        <v>715</v>
      </c>
      <c r="G754" s="1" t="n">
        <v>0</v>
      </c>
      <c r="H754" s="1" t="n">
        <v>1000</v>
      </c>
      <c r="I754" s="36"/>
      <c r="J754" s="1" t="s">
        <v>1018</v>
      </c>
    </row>
    <row r="755" customFormat="false" ht="13.8" hidden="false" customHeight="false" outlineLevel="0" collapsed="false">
      <c r="A755" s="93" t="s">
        <v>964</v>
      </c>
    </row>
    <row r="756" customFormat="false" ht="14.25" hidden="false" customHeight="false" outlineLevel="0" collapsed="false">
      <c r="A756" s="16" t="s">
        <v>1267</v>
      </c>
      <c r="B756" s="2" t="n">
        <f aca="false">-4-4</f>
        <v>-8</v>
      </c>
      <c r="C756" s="2" t="n">
        <f aca="false">-4-4</f>
        <v>-8</v>
      </c>
      <c r="D756" s="3" t="s">
        <v>68</v>
      </c>
      <c r="E756" s="1" t="s">
        <v>1268</v>
      </c>
      <c r="F756" s="1" t="s">
        <v>1021</v>
      </c>
      <c r="G756" s="1" t="n">
        <v>-1000</v>
      </c>
      <c r="H756" s="1" t="n">
        <v>1000</v>
      </c>
      <c r="J756" s="1" t="s">
        <v>1022</v>
      </c>
    </row>
    <row r="757" customFormat="false" ht="14.25" hidden="false" customHeight="false" outlineLevel="0" collapsed="false">
      <c r="A757" s="16" t="s">
        <v>1269</v>
      </c>
      <c r="B757" s="2" t="n">
        <f aca="false">-4-1</f>
        <v>-5</v>
      </c>
      <c r="C757" s="2" t="n">
        <f aca="false">-4-2+1</f>
        <v>-5</v>
      </c>
      <c r="D757" s="3" t="s">
        <v>68</v>
      </c>
      <c r="E757" s="1" t="s">
        <v>1270</v>
      </c>
      <c r="F757" s="1" t="s">
        <v>1025</v>
      </c>
      <c r="G757" s="1" t="n">
        <v>-1000</v>
      </c>
      <c r="H757" s="1" t="n">
        <v>1000</v>
      </c>
      <c r="J757" s="1" t="s">
        <v>1026</v>
      </c>
    </row>
    <row r="758" customFormat="false" ht="14.25" hidden="false" customHeight="false" outlineLevel="0" collapsed="false">
      <c r="A758" s="16" t="s">
        <v>1027</v>
      </c>
      <c r="B758" s="2" t="n">
        <f aca="false">-4</f>
        <v>-4</v>
      </c>
      <c r="C758" s="2" t="n">
        <f aca="false">-4</f>
        <v>-4</v>
      </c>
      <c r="D758" s="3" t="s">
        <v>68</v>
      </c>
      <c r="E758" s="1" t="s">
        <v>1028</v>
      </c>
      <c r="F758" s="1" t="s">
        <v>1029</v>
      </c>
      <c r="G758" s="1" t="n">
        <v>-1000</v>
      </c>
      <c r="H758" s="1" t="n">
        <v>1000</v>
      </c>
      <c r="J758" s="1" t="s">
        <v>1030</v>
      </c>
    </row>
    <row r="759" customFormat="false" ht="13.8" hidden="false" customHeight="false" outlineLevel="0" collapsed="false">
      <c r="A759" s="16" t="s">
        <v>1031</v>
      </c>
      <c r="B759" s="2" t="n">
        <f aca="false">-4-2+1</f>
        <v>-5</v>
      </c>
      <c r="C759" s="2" t="n">
        <f aca="false">-4-1</f>
        <v>-5</v>
      </c>
      <c r="D759" s="3" t="s">
        <v>68</v>
      </c>
      <c r="E759" s="1" t="s">
        <v>1032</v>
      </c>
      <c r="F759" s="1" t="s">
        <v>1033</v>
      </c>
      <c r="G759" s="1" t="n">
        <v>0</v>
      </c>
      <c r="H759" s="1" t="n">
        <v>1000</v>
      </c>
      <c r="I759" s="36"/>
      <c r="J759" s="1" t="s">
        <v>1034</v>
      </c>
    </row>
    <row r="760" customFormat="false" ht="13.8" hidden="false" customHeight="false" outlineLevel="0" collapsed="false">
      <c r="A760" s="93" t="s">
        <v>979</v>
      </c>
      <c r="B760" s="0"/>
    </row>
    <row r="761" customFormat="false" ht="14.25" hidden="false" customHeight="false" outlineLevel="0" collapsed="false">
      <c r="A761" s="16" t="s">
        <v>1271</v>
      </c>
      <c r="B761" s="2" t="n">
        <f aca="false">-4-4</f>
        <v>-8</v>
      </c>
      <c r="C761" s="2" t="n">
        <f aca="false">-4-4</f>
        <v>-8</v>
      </c>
      <c r="D761" s="3" t="s">
        <v>68</v>
      </c>
      <c r="E761" s="1" t="s">
        <v>1272</v>
      </c>
      <c r="F761" s="1" t="s">
        <v>1273</v>
      </c>
      <c r="G761" s="1" t="n">
        <v>-1000</v>
      </c>
      <c r="H761" s="1" t="n">
        <v>1000</v>
      </c>
      <c r="J761" s="1" t="s">
        <v>1274</v>
      </c>
    </row>
    <row r="762" customFormat="false" ht="14.25" hidden="false" customHeight="false" outlineLevel="0" collapsed="false">
      <c r="A762" s="16" t="s">
        <v>1275</v>
      </c>
      <c r="B762" s="2" t="n">
        <f aca="false">-4-1</f>
        <v>-5</v>
      </c>
      <c r="C762" s="2" t="n">
        <f aca="false">-4-2+1</f>
        <v>-5</v>
      </c>
      <c r="D762" s="3" t="s">
        <v>68</v>
      </c>
      <c r="E762" s="1" t="s">
        <v>1276</v>
      </c>
      <c r="F762" s="1" t="s">
        <v>1277</v>
      </c>
      <c r="G762" s="1" t="n">
        <v>-1000</v>
      </c>
      <c r="H762" s="1" t="n">
        <v>1000</v>
      </c>
      <c r="J762" s="1" t="s">
        <v>1278</v>
      </c>
    </row>
    <row r="763" customFormat="false" ht="13.8" hidden="false" customHeight="false" outlineLevel="0" collapsed="false">
      <c r="A763" s="16" t="s">
        <v>1279</v>
      </c>
      <c r="B763" s="2" t="n">
        <f aca="false">-4</f>
        <v>-4</v>
      </c>
      <c r="C763" s="2" t="n">
        <f aca="false">-4</f>
        <v>-4</v>
      </c>
      <c r="D763" s="3" t="s">
        <v>68</v>
      </c>
      <c r="E763" s="1" t="s">
        <v>1280</v>
      </c>
      <c r="F763" s="1" t="s">
        <v>1281</v>
      </c>
      <c r="G763" s="1" t="n">
        <v>-1000</v>
      </c>
      <c r="H763" s="1" t="n">
        <v>1000</v>
      </c>
      <c r="J763" s="1" t="s">
        <v>1030</v>
      </c>
    </row>
    <row r="764" customFormat="false" ht="13.8" hidden="false" customHeight="false" outlineLevel="0" collapsed="false">
      <c r="A764" s="16" t="s">
        <v>1282</v>
      </c>
      <c r="B764" s="2" t="n">
        <f aca="false">-4-2+1</f>
        <v>-5</v>
      </c>
      <c r="C764" s="2" t="n">
        <f aca="false">-4-1</f>
        <v>-5</v>
      </c>
      <c r="D764" s="3" t="s">
        <v>68</v>
      </c>
      <c r="E764" s="1" t="s">
        <v>1283</v>
      </c>
      <c r="F764" s="1" t="s">
        <v>1284</v>
      </c>
      <c r="G764" s="1" t="n">
        <v>0</v>
      </c>
      <c r="H764" s="1" t="n">
        <v>1000</v>
      </c>
      <c r="I764" s="36"/>
      <c r="J764" s="1" t="s">
        <v>1285</v>
      </c>
    </row>
    <row r="765" customFormat="false" ht="13.8" hidden="false" customHeight="false" outlineLevel="0" collapsed="false">
      <c r="A765" s="93" t="s">
        <v>717</v>
      </c>
    </row>
    <row r="766" customFormat="false" ht="13.8" hidden="false" customHeight="false" outlineLevel="0" collapsed="false">
      <c r="A766" s="16" t="s">
        <v>1286</v>
      </c>
      <c r="B766" s="2" t="n">
        <f aca="false">-4</f>
        <v>-4</v>
      </c>
      <c r="C766" s="2" t="n">
        <f aca="false">-1-4+1</f>
        <v>-4</v>
      </c>
      <c r="D766" s="3" t="s">
        <v>68</v>
      </c>
      <c r="E766" s="1" t="s">
        <v>1287</v>
      </c>
      <c r="F766" s="1" t="s">
        <v>1288</v>
      </c>
      <c r="G766" s="1" t="n">
        <v>0</v>
      </c>
      <c r="H766" s="1" t="n">
        <v>1000</v>
      </c>
      <c r="J766" s="1" t="s">
        <v>721</v>
      </c>
    </row>
    <row r="767" customFormat="false" ht="13.8" hidden="false" customHeight="false" outlineLevel="0" collapsed="false">
      <c r="A767" s="16" t="s">
        <v>1289</v>
      </c>
      <c r="B767" s="2" t="n">
        <f aca="false">-1-4-4+1</f>
        <v>-8</v>
      </c>
      <c r="C767" s="2" t="n">
        <f aca="false">0-3-2-3</f>
        <v>-8</v>
      </c>
      <c r="D767" s="3" t="s">
        <v>68</v>
      </c>
      <c r="E767" s="1" t="s">
        <v>1290</v>
      </c>
      <c r="F767" s="1" t="s">
        <v>1291</v>
      </c>
      <c r="G767" s="1" t="n">
        <v>0</v>
      </c>
      <c r="H767" s="1" t="n">
        <v>1000</v>
      </c>
      <c r="I767" s="36"/>
      <c r="J767" s="1" t="s">
        <v>725</v>
      </c>
    </row>
    <row r="768" customFormat="false" ht="13.8" hidden="false" customHeight="false" outlineLevel="0" collapsed="false">
      <c r="A768" s="25" t="s">
        <v>1292</v>
      </c>
      <c r="B768" s="2" t="n">
        <f aca="false">-4-2+1</f>
        <v>-5</v>
      </c>
      <c r="C768" s="2" t="n">
        <f aca="false">0-4-1</f>
        <v>-5</v>
      </c>
      <c r="D768" s="3" t="s">
        <v>68</v>
      </c>
      <c r="E768" s="53" t="s">
        <v>1293</v>
      </c>
      <c r="F768" s="1" t="s">
        <v>1294</v>
      </c>
      <c r="G768" s="1" t="n">
        <v>0</v>
      </c>
      <c r="H768" s="1" t="n">
        <v>1000</v>
      </c>
      <c r="I768" s="36"/>
      <c r="J768" s="1" t="s">
        <v>729</v>
      </c>
    </row>
    <row r="769" customFormat="false" ht="13.8" hidden="false" customHeight="false" outlineLevel="0" collapsed="false">
      <c r="A769" s="16" t="s">
        <v>1295</v>
      </c>
      <c r="B769" s="2" t="n">
        <f aca="false">0</f>
        <v>0</v>
      </c>
      <c r="C769" s="2" t="n">
        <f aca="false">-1+1</f>
        <v>0</v>
      </c>
      <c r="D769" s="3" t="s">
        <v>68</v>
      </c>
      <c r="E769" s="1" t="s">
        <v>1296</v>
      </c>
      <c r="F769" s="1" t="s">
        <v>1297</v>
      </c>
      <c r="G769" s="1" t="n">
        <v>0</v>
      </c>
      <c r="H769" s="1" t="n">
        <v>1000</v>
      </c>
      <c r="I769" s="36"/>
      <c r="J769" s="1" t="s">
        <v>733</v>
      </c>
    </row>
    <row r="770" customFormat="false" ht="13.8" hidden="false" customHeight="false" outlineLevel="0" collapsed="false">
      <c r="A770" s="78" t="s">
        <v>1298</v>
      </c>
      <c r="E770" s="21" t="s">
        <v>1299</v>
      </c>
      <c r="F770" s="21" t="s">
        <v>1300</v>
      </c>
      <c r="G770" s="21" t="n">
        <v>-1000</v>
      </c>
      <c r="H770" s="21" t="n">
        <v>1000</v>
      </c>
      <c r="J770" s="21" t="s">
        <v>1008</v>
      </c>
    </row>
    <row r="771" customFormat="false" ht="13.8" hidden="false" customHeight="false" outlineLevel="0" collapsed="false">
      <c r="A771" s="78" t="s">
        <v>1301</v>
      </c>
      <c r="C771" s="79"/>
      <c r="E771" s="21" t="s">
        <v>1302</v>
      </c>
      <c r="F771" s="21" t="s">
        <v>1303</v>
      </c>
      <c r="G771" s="21" t="n">
        <v>-1000</v>
      </c>
      <c r="H771" s="21" t="n">
        <v>1000</v>
      </c>
      <c r="J771" s="21" t="s">
        <v>1008</v>
      </c>
    </row>
    <row r="772" customFormat="false" ht="13.8" hidden="false" customHeight="false" outlineLevel="0" collapsed="false">
      <c r="A772" s="21" t="s">
        <v>1304</v>
      </c>
      <c r="B772" s="37"/>
      <c r="C772" s="37"/>
      <c r="D772" s="38"/>
      <c r="E772" s="21" t="s">
        <v>1305</v>
      </c>
      <c r="F772" s="21" t="s">
        <v>1306</v>
      </c>
      <c r="G772" s="21" t="n">
        <v>0</v>
      </c>
      <c r="H772" s="21" t="n">
        <v>1000</v>
      </c>
      <c r="I772" s="21"/>
      <c r="J772" s="21" t="s">
        <v>1008</v>
      </c>
    </row>
    <row r="773" customFormat="false" ht="13.8" hidden="false" customHeight="false" outlineLevel="0" collapsed="false">
      <c r="A773" s="78" t="s">
        <v>1307</v>
      </c>
      <c r="C773" s="79"/>
    </row>
    <row r="774" customFormat="false" ht="13.8" hidden="false" customHeight="false" outlineLevel="0" collapsed="false">
      <c r="A774" s="41"/>
    </row>
    <row r="775" customFormat="false" ht="13.8" hidden="false" customHeight="false" outlineLevel="0" collapsed="false">
      <c r="A775" s="41" t="s">
        <v>745</v>
      </c>
    </row>
    <row r="776" customFormat="false" ht="13.8" hidden="false" customHeight="false" outlineLevel="0" collapsed="false">
      <c r="A776" s="41" t="s">
        <v>746</v>
      </c>
      <c r="F776" s="0"/>
    </row>
    <row r="777" customFormat="false" ht="13.8" hidden="false" customHeight="false" outlineLevel="0" collapsed="false">
      <c r="A777" s="41" t="s">
        <v>747</v>
      </c>
      <c r="F777" s="0"/>
    </row>
    <row r="778" customFormat="false" ht="13.8" hidden="false" customHeight="false" outlineLevel="0" collapsed="false">
      <c r="A778" s="41" t="s">
        <v>748</v>
      </c>
      <c r="F778" s="0"/>
    </row>
    <row r="779" s="57" customFormat="true" ht="13.8" hidden="false" customHeight="false" outlineLevel="0" collapsed="false">
      <c r="B779" s="58"/>
      <c r="C779" s="58"/>
      <c r="D779" s="59"/>
    </row>
    <row r="780" s="10" customFormat="true" ht="13.8" hidden="false" customHeight="false" outlineLevel="0" collapsed="false">
      <c r="A780" s="6" t="s">
        <v>1308</v>
      </c>
      <c r="B780" s="54" t="s">
        <v>10</v>
      </c>
      <c r="C780" s="84"/>
      <c r="D780" s="44"/>
      <c r="E780" s="9"/>
      <c r="F780" s="9"/>
      <c r="G780" s="9"/>
      <c r="H780" s="9"/>
      <c r="I780" s="9"/>
      <c r="J780" s="9" t="s">
        <v>1227</v>
      </c>
      <c r="K780" s="1"/>
      <c r="L780" s="1"/>
      <c r="M780" s="1"/>
      <c r="N780" s="1"/>
      <c r="O780" s="1"/>
    </row>
    <row r="781" s="10" customFormat="true" ht="13.8" hidden="false" customHeight="false" outlineLevel="0" collapsed="false">
      <c r="A781" s="93" t="s">
        <v>700</v>
      </c>
      <c r="B781" s="69"/>
      <c r="C781" s="108"/>
      <c r="D781" s="43"/>
      <c r="K781" s="1"/>
      <c r="L781" s="1"/>
      <c r="M781" s="1"/>
      <c r="N781" s="1"/>
      <c r="O781" s="1"/>
    </row>
    <row r="782" s="10" customFormat="true" ht="13.8" hidden="false" customHeight="false" outlineLevel="0" collapsed="false">
      <c r="A782" s="11" t="s">
        <v>12</v>
      </c>
      <c r="B782" s="12"/>
      <c r="C782" s="12"/>
      <c r="D782" s="13"/>
      <c r="E782" s="14" t="s">
        <v>13</v>
      </c>
      <c r="F782" s="14" t="s">
        <v>14</v>
      </c>
      <c r="G782" s="14" t="n">
        <v>-1000</v>
      </c>
      <c r="H782" s="14" t="n">
        <v>1000</v>
      </c>
      <c r="I782" s="14" t="s">
        <v>15</v>
      </c>
      <c r="J782" s="1"/>
      <c r="K782" s="1"/>
      <c r="L782" s="1"/>
      <c r="M782" s="1"/>
      <c r="N782" s="1"/>
      <c r="O782" s="1"/>
    </row>
    <row r="783" s="10" customFormat="true" ht="13.8" hidden="false" customHeight="false" outlineLevel="0" collapsed="false">
      <c r="A783" s="109" t="s">
        <v>962</v>
      </c>
      <c r="B783" s="12"/>
      <c r="C783" s="12"/>
      <c r="D783" s="3"/>
      <c r="E783" s="14" t="s">
        <v>42</v>
      </c>
      <c r="F783" s="14" t="s">
        <v>43</v>
      </c>
      <c r="G783" s="14" t="n">
        <v>-1000</v>
      </c>
      <c r="H783" s="14" t="n">
        <v>1000</v>
      </c>
      <c r="I783" s="14" t="s">
        <v>15</v>
      </c>
      <c r="J783" s="1"/>
      <c r="K783" s="1"/>
      <c r="L783" s="1"/>
      <c r="M783" s="1"/>
      <c r="N783" s="1"/>
      <c r="O783" s="1"/>
    </row>
    <row r="784" s="10" customFormat="true" ht="13.8" hidden="false" customHeight="false" outlineLevel="0" collapsed="false">
      <c r="A784" s="11" t="s">
        <v>963</v>
      </c>
      <c r="B784" s="12"/>
      <c r="C784" s="12"/>
      <c r="D784" s="3"/>
      <c r="E784" s="14" t="s">
        <v>755</v>
      </c>
      <c r="F784" s="14" t="s">
        <v>756</v>
      </c>
      <c r="G784" s="14" t="n">
        <v>-1000</v>
      </c>
      <c r="H784" s="14" t="n">
        <v>1000</v>
      </c>
      <c r="I784" s="14" t="s">
        <v>15</v>
      </c>
      <c r="J784" s="1"/>
      <c r="K784" s="1"/>
      <c r="L784" s="1"/>
      <c r="M784" s="1"/>
      <c r="N784" s="1"/>
      <c r="O784" s="1"/>
    </row>
    <row r="785" s="10" customFormat="true" ht="13.8" hidden="false" customHeight="false" outlineLevel="0" collapsed="false">
      <c r="A785" s="16" t="s">
        <v>757</v>
      </c>
      <c r="B785" s="2" t="n">
        <f aca="false">-4-2+1</f>
        <v>-5</v>
      </c>
      <c r="C785" s="2" t="n">
        <f aca="false">-4-1</f>
        <v>-5</v>
      </c>
      <c r="D785" s="3" t="s">
        <v>68</v>
      </c>
      <c r="E785" s="1" t="s">
        <v>758</v>
      </c>
      <c r="F785" s="1" t="s">
        <v>759</v>
      </c>
      <c r="G785" s="1" t="n">
        <v>0</v>
      </c>
      <c r="H785" s="1" t="n">
        <v>1000</v>
      </c>
      <c r="I785" s="1"/>
      <c r="J785" s="1" t="s">
        <v>760</v>
      </c>
      <c r="K785" s="1"/>
      <c r="L785" s="1"/>
      <c r="M785" s="1"/>
      <c r="N785" s="1"/>
      <c r="O785" s="1"/>
    </row>
    <row r="786" s="10" customFormat="true" ht="13.8" hidden="false" customHeight="false" outlineLevel="0" collapsed="false">
      <c r="A786" s="93" t="s">
        <v>964</v>
      </c>
      <c r="B786" s="2"/>
      <c r="C786" s="2"/>
      <c r="D786" s="3"/>
      <c r="E786" s="1"/>
      <c r="F786" s="1"/>
      <c r="G786" s="1"/>
      <c r="H786" s="1"/>
      <c r="I786" s="1"/>
      <c r="J786" s="1"/>
      <c r="K786" s="1"/>
      <c r="L786" s="1"/>
      <c r="M786" s="1"/>
      <c r="N786" s="1"/>
      <c r="O786" s="1"/>
    </row>
    <row r="787" s="10" customFormat="true" ht="13.8" hidden="false" customHeight="false" outlineLevel="0" collapsed="false">
      <c r="A787" s="11" t="s">
        <v>965</v>
      </c>
      <c r="B787" s="12"/>
      <c r="C787" s="12"/>
      <c r="D787" s="3"/>
      <c r="E787" s="14" t="s">
        <v>966</v>
      </c>
      <c r="F787" s="14" t="s">
        <v>1309</v>
      </c>
      <c r="G787" s="14" t="n">
        <v>-1000</v>
      </c>
      <c r="H787" s="14" t="n">
        <v>1000</v>
      </c>
      <c r="I787" s="14" t="s">
        <v>15</v>
      </c>
      <c r="J787" s="1"/>
      <c r="K787" s="1"/>
      <c r="L787" s="1"/>
      <c r="M787" s="1"/>
      <c r="N787" s="1"/>
      <c r="O787" s="1"/>
    </row>
    <row r="788" s="10" customFormat="true" ht="13.8" hidden="false" customHeight="false" outlineLevel="0" collapsed="false">
      <c r="A788" s="11" t="s">
        <v>968</v>
      </c>
      <c r="B788" s="12"/>
      <c r="C788" s="12"/>
      <c r="D788" s="3"/>
      <c r="E788" s="14" t="s">
        <v>969</v>
      </c>
      <c r="F788" s="14" t="s">
        <v>970</v>
      </c>
      <c r="G788" s="14" t="n">
        <v>-1000</v>
      </c>
      <c r="H788" s="14" t="n">
        <v>1000</v>
      </c>
      <c r="I788" s="14" t="s">
        <v>15</v>
      </c>
      <c r="J788" s="14"/>
      <c r="K788" s="14"/>
      <c r="L788" s="14"/>
      <c r="M788" s="14"/>
      <c r="N788" s="14"/>
      <c r="O788" s="14"/>
    </row>
    <row r="789" s="10" customFormat="true" ht="13.8" hidden="false" customHeight="false" outlineLevel="0" collapsed="false">
      <c r="A789" s="11" t="s">
        <v>971</v>
      </c>
      <c r="B789" s="12"/>
      <c r="C789" s="12"/>
      <c r="D789" s="3"/>
      <c r="E789" s="14" t="s">
        <v>972</v>
      </c>
      <c r="F789" s="14" t="s">
        <v>973</v>
      </c>
      <c r="G789" s="14" t="n">
        <v>-1000</v>
      </c>
      <c r="H789" s="14" t="n">
        <v>1000</v>
      </c>
      <c r="I789" s="14" t="s">
        <v>15</v>
      </c>
      <c r="J789" s="1" t="s">
        <v>974</v>
      </c>
      <c r="K789" s="14"/>
      <c r="L789" s="14"/>
      <c r="M789" s="14"/>
      <c r="N789" s="14"/>
      <c r="O789" s="14"/>
    </row>
    <row r="790" s="10" customFormat="true" ht="13.8" hidden="false" customHeight="false" outlineLevel="0" collapsed="false">
      <c r="A790" s="16" t="s">
        <v>975</v>
      </c>
      <c r="B790" s="2" t="n">
        <f aca="false">-4-2+1</f>
        <v>-5</v>
      </c>
      <c r="C790" s="2" t="n">
        <f aca="false">-4-1</f>
        <v>-5</v>
      </c>
      <c r="D790" s="3" t="s">
        <v>68</v>
      </c>
      <c r="E790" s="1" t="s">
        <v>976</v>
      </c>
      <c r="F790" s="1" t="s">
        <v>977</v>
      </c>
      <c r="G790" s="1" t="n">
        <v>0</v>
      </c>
      <c r="H790" s="1" t="n">
        <v>1000</v>
      </c>
      <c r="I790" s="1"/>
      <c r="J790" s="1" t="s">
        <v>978</v>
      </c>
      <c r="K790" s="1"/>
      <c r="L790" s="1"/>
      <c r="M790" s="1"/>
      <c r="N790" s="1"/>
      <c r="O790" s="1"/>
    </row>
    <row r="791" s="10" customFormat="true" ht="13.8" hidden="false" customHeight="false" outlineLevel="0" collapsed="false">
      <c r="A791" s="93" t="s">
        <v>717</v>
      </c>
      <c r="B791" s="2"/>
      <c r="C791" s="2"/>
      <c r="D791" s="3"/>
      <c r="E791" s="1"/>
      <c r="F791" s="1"/>
      <c r="G791" s="1"/>
      <c r="H791" s="1"/>
      <c r="I791" s="1"/>
      <c r="J791" s="1"/>
      <c r="K791" s="1"/>
      <c r="L791" s="1"/>
      <c r="M791" s="1"/>
      <c r="N791" s="1"/>
      <c r="O791" s="1"/>
    </row>
    <row r="792" s="10" customFormat="true" ht="13.8" hidden="false" customHeight="false" outlineLevel="0" collapsed="false">
      <c r="A792" s="110" t="s">
        <v>1310</v>
      </c>
      <c r="B792" s="12"/>
      <c r="C792" s="12"/>
      <c r="D792" s="89"/>
      <c r="E792" s="14" t="s">
        <v>1311</v>
      </c>
      <c r="F792" s="14" t="s">
        <v>1312</v>
      </c>
      <c r="G792" s="14" t="n">
        <v>0</v>
      </c>
      <c r="H792" s="14" t="n">
        <v>1000</v>
      </c>
      <c r="I792" s="14" t="s">
        <v>15</v>
      </c>
      <c r="J792" s="14" t="s">
        <v>995</v>
      </c>
      <c r="K792" s="14"/>
      <c r="L792" s="14"/>
      <c r="M792" s="14"/>
      <c r="N792" s="14"/>
      <c r="O792" s="14"/>
    </row>
    <row r="793" s="10" customFormat="true" ht="13.8" hidden="false" customHeight="false" outlineLevel="0" collapsed="false">
      <c r="A793" s="25" t="s">
        <v>1313</v>
      </c>
      <c r="B793" s="2" t="n">
        <f aca="false">-1-4-4+1</f>
        <v>-8</v>
      </c>
      <c r="C793" s="2" t="n">
        <f aca="false">-3-2-3</f>
        <v>-8</v>
      </c>
      <c r="D793" s="3" t="s">
        <v>68</v>
      </c>
      <c r="E793" s="1" t="s">
        <v>1314</v>
      </c>
      <c r="F793" s="1" t="s">
        <v>1315</v>
      </c>
      <c r="G793" s="1" t="n">
        <v>0</v>
      </c>
      <c r="H793" s="1" t="n">
        <v>1000</v>
      </c>
      <c r="I793" s="36"/>
      <c r="J793" s="1" t="s">
        <v>725</v>
      </c>
      <c r="K793" s="1"/>
      <c r="L793" s="1"/>
      <c r="M793" s="1"/>
      <c r="N793" s="1"/>
      <c r="O793" s="1"/>
    </row>
    <row r="794" s="10" customFormat="true" ht="13.8" hidden="false" customHeight="false" outlineLevel="0" collapsed="false">
      <c r="A794" s="16" t="s">
        <v>1316</v>
      </c>
      <c r="B794" s="2" t="n">
        <f aca="false">-4-2+1</f>
        <v>-5</v>
      </c>
      <c r="C794" s="2" t="n">
        <f aca="false">-4-1</f>
        <v>-5</v>
      </c>
      <c r="D794" s="3" t="s">
        <v>68</v>
      </c>
      <c r="E794" s="1" t="s">
        <v>1317</v>
      </c>
      <c r="F794" s="1" t="s">
        <v>1318</v>
      </c>
      <c r="G794" s="1" t="n">
        <v>0</v>
      </c>
      <c r="H794" s="1" t="n">
        <v>1000</v>
      </c>
      <c r="I794" s="36"/>
      <c r="J794" s="1" t="s">
        <v>729</v>
      </c>
      <c r="K794" s="1"/>
      <c r="L794" s="1"/>
      <c r="M794" s="1"/>
      <c r="N794" s="1"/>
      <c r="O794" s="1"/>
    </row>
    <row r="795" s="10" customFormat="true" ht="13.8" hidden="false" customHeight="false" outlineLevel="0" collapsed="false">
      <c r="A795" s="16" t="s">
        <v>1319</v>
      </c>
      <c r="B795" s="2" t="n">
        <f aca="false">0</f>
        <v>0</v>
      </c>
      <c r="C795" s="2" t="n">
        <f aca="false">-1+1</f>
        <v>0</v>
      </c>
      <c r="D795" s="3" t="s">
        <v>68</v>
      </c>
      <c r="E795" s="1" t="s">
        <v>1320</v>
      </c>
      <c r="F795" s="1" t="s">
        <v>1321</v>
      </c>
      <c r="G795" s="1" t="n">
        <v>0</v>
      </c>
      <c r="H795" s="1" t="n">
        <v>1000</v>
      </c>
      <c r="I795" s="36"/>
      <c r="J795" s="1" t="s">
        <v>733</v>
      </c>
      <c r="K795" s="1"/>
      <c r="L795" s="1"/>
      <c r="M795" s="1"/>
      <c r="N795" s="1"/>
      <c r="O795" s="1"/>
    </row>
    <row r="796" s="10" customFormat="true" ht="13.8" hidden="false" customHeight="false" outlineLevel="0" collapsed="false">
      <c r="A796" s="78" t="s">
        <v>1322</v>
      </c>
      <c r="B796" s="2"/>
      <c r="C796" s="2"/>
      <c r="D796" s="3"/>
      <c r="E796" s="21" t="s">
        <v>1323</v>
      </c>
      <c r="F796" s="21" t="s">
        <v>1324</v>
      </c>
      <c r="G796" s="21" t="n">
        <v>-1000</v>
      </c>
      <c r="H796" s="21" t="n">
        <v>1000</v>
      </c>
      <c r="I796" s="21"/>
      <c r="J796" s="21" t="s">
        <v>737</v>
      </c>
      <c r="K796" s="1"/>
      <c r="L796" s="1"/>
      <c r="M796" s="1"/>
      <c r="N796" s="1"/>
      <c r="O796" s="1"/>
    </row>
    <row r="797" s="10" customFormat="true" ht="13.8" hidden="false" customHeight="false" outlineLevel="0" collapsed="false">
      <c r="A797" s="78" t="s">
        <v>1325</v>
      </c>
      <c r="B797" s="2"/>
      <c r="C797" s="79"/>
      <c r="D797" s="3"/>
      <c r="E797" s="21" t="s">
        <v>1326</v>
      </c>
      <c r="F797" s="21" t="s">
        <v>1327</v>
      </c>
      <c r="G797" s="21" t="n">
        <v>-1000</v>
      </c>
      <c r="H797" s="21" t="n">
        <v>1000</v>
      </c>
      <c r="I797" s="21"/>
      <c r="J797" s="21" t="s">
        <v>737</v>
      </c>
      <c r="K797" s="1"/>
      <c r="L797" s="1"/>
      <c r="M797" s="1"/>
      <c r="N797" s="1"/>
      <c r="O797" s="1"/>
    </row>
    <row r="798" s="10" customFormat="true" ht="13.8" hidden="false" customHeight="false" outlineLevel="0" collapsed="false">
      <c r="A798" s="21" t="s">
        <v>1328</v>
      </c>
      <c r="B798" s="37"/>
      <c r="C798" s="37"/>
      <c r="D798" s="38"/>
      <c r="E798" s="21" t="s">
        <v>1329</v>
      </c>
      <c r="F798" s="21" t="s">
        <v>1330</v>
      </c>
      <c r="G798" s="21" t="n">
        <v>0</v>
      </c>
      <c r="H798" s="21" t="n">
        <v>1000</v>
      </c>
      <c r="I798" s="21"/>
      <c r="J798" s="21" t="s">
        <v>725</v>
      </c>
      <c r="K798" s="1"/>
      <c r="L798" s="1"/>
      <c r="M798" s="1"/>
      <c r="N798" s="1"/>
      <c r="O798" s="1"/>
    </row>
    <row r="799" s="10" customFormat="true" ht="13.8" hidden="false" customHeight="false" outlineLevel="0" collapsed="false">
      <c r="A799" s="78" t="s">
        <v>1331</v>
      </c>
      <c r="B799" s="2"/>
      <c r="C799" s="2"/>
      <c r="D799" s="3"/>
      <c r="E799" s="1"/>
      <c r="F799" s="1"/>
      <c r="G799" s="1"/>
      <c r="H799" s="1"/>
      <c r="I799" s="36"/>
      <c r="J799" s="1"/>
      <c r="K799" s="1"/>
      <c r="L799" s="1"/>
      <c r="M799" s="1"/>
      <c r="N799" s="1"/>
      <c r="O799" s="1"/>
    </row>
    <row r="800" s="10" customFormat="true" ht="13.8" hidden="false" customHeight="false" outlineLevel="0" collapsed="false">
      <c r="A800" s="41"/>
      <c r="B800" s="2"/>
      <c r="C800" s="2"/>
      <c r="D800" s="3"/>
      <c r="E800" s="1"/>
      <c r="F800" s="1"/>
      <c r="G800" s="1"/>
      <c r="H800" s="1"/>
      <c r="I800" s="1"/>
      <c r="J800" s="1"/>
      <c r="K800" s="1"/>
      <c r="L800" s="1"/>
      <c r="M800" s="1"/>
      <c r="N800" s="1"/>
      <c r="O800" s="1"/>
    </row>
    <row r="801" s="15" customFormat="true" ht="13.8" hidden="false" customHeight="false" outlineLevel="0" collapsed="false">
      <c r="A801" s="41" t="s">
        <v>745</v>
      </c>
      <c r="B801" s="17"/>
      <c r="C801" s="17"/>
      <c r="D801" s="18"/>
      <c r="E801" s="19"/>
      <c r="F801" s="19"/>
      <c r="G801" s="19"/>
      <c r="H801" s="19"/>
      <c r="I801" s="19"/>
      <c r="J801" s="19"/>
      <c r="K801" s="19"/>
      <c r="L801" s="19"/>
      <c r="M801" s="19"/>
      <c r="N801" s="19"/>
      <c r="O801" s="19"/>
    </row>
    <row r="802" s="10" customFormat="true" ht="13.8" hidden="false" customHeight="false" outlineLevel="0" collapsed="false">
      <c r="A802" s="41" t="s">
        <v>747</v>
      </c>
      <c r="B802" s="2"/>
      <c r="C802" s="2"/>
      <c r="D802" s="3"/>
      <c r="E802" s="1"/>
      <c r="F802" s="1"/>
      <c r="G802" s="1"/>
      <c r="H802" s="1"/>
      <c r="I802" s="1"/>
      <c r="J802" s="1"/>
      <c r="K802" s="1"/>
      <c r="L802" s="1"/>
      <c r="M802" s="1"/>
      <c r="N802" s="1"/>
      <c r="O802" s="1"/>
    </row>
    <row r="803" s="15" customFormat="true" ht="13.8" hidden="false" customHeight="false" outlineLevel="0" collapsed="false">
      <c r="A803" s="41" t="s">
        <v>746</v>
      </c>
      <c r="B803" s="17"/>
      <c r="C803" s="17"/>
      <c r="D803" s="18"/>
      <c r="E803" s="19"/>
      <c r="F803" s="19"/>
      <c r="G803" s="19"/>
      <c r="H803" s="19"/>
      <c r="I803" s="19"/>
      <c r="J803" s="19"/>
      <c r="K803" s="19"/>
      <c r="L803" s="19"/>
      <c r="M803" s="19"/>
      <c r="N803" s="19"/>
      <c r="O803" s="19"/>
    </row>
    <row r="804" s="10" customFormat="true" ht="13.8" hidden="false" customHeight="false" outlineLevel="0" collapsed="false">
      <c r="A804" s="41" t="s">
        <v>748</v>
      </c>
      <c r="B804" s="2"/>
      <c r="C804" s="2"/>
      <c r="D804" s="3"/>
      <c r="E804" s="1"/>
      <c r="F804" s="1"/>
      <c r="G804" s="1"/>
      <c r="H804" s="1"/>
      <c r="I804" s="1"/>
      <c r="J804" s="1"/>
      <c r="K804" s="1"/>
      <c r="L804" s="1"/>
      <c r="M804" s="1"/>
      <c r="N804" s="1"/>
      <c r="O804" s="1"/>
    </row>
    <row r="805" s="10" customFormat="true" ht="13.8" hidden="false" customHeight="false" outlineLevel="0" collapsed="false">
      <c r="A805" s="57"/>
      <c r="B805" s="58"/>
      <c r="C805" s="58"/>
      <c r="D805" s="59"/>
      <c r="E805" s="57"/>
      <c r="F805" s="57"/>
      <c r="G805" s="57"/>
      <c r="H805" s="57"/>
      <c r="I805" s="57"/>
      <c r="J805" s="57"/>
      <c r="K805" s="57"/>
      <c r="L805" s="57"/>
      <c r="M805" s="57"/>
      <c r="N805" s="57"/>
      <c r="O805" s="57"/>
      <c r="P805" s="57"/>
      <c r="Q805" s="57"/>
    </row>
    <row r="806" s="10" customFormat="true" ht="13.8" hidden="false" customHeight="false" outlineLevel="0" collapsed="false">
      <c r="A806" s="114" t="s">
        <v>1332</v>
      </c>
      <c r="B806" s="54" t="s">
        <v>10</v>
      </c>
      <c r="C806" s="42"/>
      <c r="D806" s="43"/>
      <c r="J806" s="10" t="s">
        <v>1333</v>
      </c>
    </row>
    <row r="807" s="10" customFormat="true" ht="13.8" hidden="false" customHeight="false" outlineLevel="0" collapsed="false">
      <c r="A807" s="11" t="s">
        <v>694</v>
      </c>
      <c r="B807" s="90"/>
      <c r="C807" s="91"/>
      <c r="D807" s="88"/>
      <c r="E807" s="52" t="s">
        <v>695</v>
      </c>
      <c r="F807" s="52" t="s">
        <v>696</v>
      </c>
      <c r="G807" s="14" t="n">
        <v>0</v>
      </c>
      <c r="H807" s="14" t="n">
        <v>1000</v>
      </c>
      <c r="I807" s="14" t="s">
        <v>15</v>
      </c>
      <c r="J807" s="52"/>
    </row>
    <row r="808" s="10" customFormat="true" ht="13.8" hidden="false" customHeight="false" outlineLevel="0" collapsed="false">
      <c r="A808" s="11" t="s">
        <v>697</v>
      </c>
      <c r="B808" s="12"/>
      <c r="C808" s="12"/>
      <c r="D808" s="89"/>
      <c r="E808" s="14" t="s">
        <v>698</v>
      </c>
      <c r="F808" s="14" t="s">
        <v>699</v>
      </c>
      <c r="G808" s="14" t="n">
        <v>0</v>
      </c>
      <c r="H808" s="14" t="n">
        <v>1000</v>
      </c>
      <c r="I808" s="14" t="s">
        <v>15</v>
      </c>
      <c r="J808" s="14"/>
    </row>
    <row r="809" s="10" customFormat="true" ht="13.8" hidden="false" customHeight="false" outlineLevel="0" collapsed="false">
      <c r="A809" s="93" t="s">
        <v>700</v>
      </c>
      <c r="B809" s="12"/>
      <c r="C809" s="12"/>
      <c r="D809" s="89"/>
      <c r="E809" s="14"/>
      <c r="F809" s="14"/>
      <c r="G809" s="14"/>
      <c r="H809" s="14"/>
      <c r="I809" s="14"/>
      <c r="J809" s="14"/>
    </row>
    <row r="810" s="10" customFormat="true" ht="14.3" hidden="false" customHeight="false" outlineLevel="0" collapsed="false">
      <c r="A810" s="16" t="s">
        <v>701</v>
      </c>
      <c r="B810" s="2" t="n">
        <f aca="false">-4-4</f>
        <v>-8</v>
      </c>
      <c r="C810" s="2" t="n">
        <f aca="false">-4-4</f>
        <v>-8</v>
      </c>
      <c r="D810" s="94" t="s">
        <v>68</v>
      </c>
      <c r="E810" s="1" t="s">
        <v>702</v>
      </c>
      <c r="F810" s="1" t="s">
        <v>703</v>
      </c>
      <c r="G810" s="1" t="n">
        <v>-1000</v>
      </c>
      <c r="H810" s="1" t="n">
        <v>1000</v>
      </c>
      <c r="I810" s="36"/>
      <c r="J810" s="1" t="s">
        <v>704</v>
      </c>
    </row>
    <row r="811" s="10" customFormat="true" ht="14.3" hidden="false" customHeight="false" outlineLevel="0" collapsed="false">
      <c r="A811" s="16" t="s">
        <v>705</v>
      </c>
      <c r="B811" s="2" t="n">
        <f aca="false">-4-2+1</f>
        <v>-5</v>
      </c>
      <c r="C811" s="2" t="n">
        <f aca="false">-4-1</f>
        <v>-5</v>
      </c>
      <c r="D811" s="94" t="s">
        <v>68</v>
      </c>
      <c r="E811" s="1" t="s">
        <v>706</v>
      </c>
      <c r="F811" s="1" t="s">
        <v>707</v>
      </c>
      <c r="G811" s="1" t="n">
        <v>-1000</v>
      </c>
      <c r="H811" s="1" t="n">
        <v>1000</v>
      </c>
      <c r="I811" s="36"/>
      <c r="J811" s="1" t="s">
        <v>708</v>
      </c>
    </row>
    <row r="812" s="10" customFormat="true" ht="14.3" hidden="false" customHeight="false" outlineLevel="0" collapsed="false">
      <c r="A812" s="16" t="s">
        <v>709</v>
      </c>
      <c r="B812" s="2" t="n">
        <f aca="false">-4</f>
        <v>-4</v>
      </c>
      <c r="C812" s="2" t="n">
        <f aca="false">-4</f>
        <v>-4</v>
      </c>
      <c r="D812" s="94" t="s">
        <v>68</v>
      </c>
      <c r="E812" s="1" t="s">
        <v>710</v>
      </c>
      <c r="F812" s="1" t="s">
        <v>711</v>
      </c>
      <c r="G812" s="1" t="n">
        <v>-1000</v>
      </c>
      <c r="H812" s="1" t="n">
        <v>1000</v>
      </c>
      <c r="I812" s="1"/>
      <c r="J812" s="1" t="s">
        <v>712</v>
      </c>
    </row>
    <row r="813" s="10" customFormat="true" ht="14.3" hidden="false" customHeight="false" outlineLevel="0" collapsed="false">
      <c r="A813" s="16" t="s">
        <v>713</v>
      </c>
      <c r="B813" s="2" t="n">
        <f aca="false">-4-2+1</f>
        <v>-5</v>
      </c>
      <c r="C813" s="2" t="n">
        <f aca="false">-4-1</f>
        <v>-5</v>
      </c>
      <c r="D813" s="94" t="s">
        <v>68</v>
      </c>
      <c r="E813" s="1" t="s">
        <v>714</v>
      </c>
      <c r="F813" s="1" t="s">
        <v>715</v>
      </c>
      <c r="G813" s="1" t="n">
        <v>0</v>
      </c>
      <c r="H813" s="1" t="n">
        <v>1000</v>
      </c>
      <c r="I813" s="36"/>
      <c r="J813" s="1" t="s">
        <v>716</v>
      </c>
    </row>
    <row r="814" s="10" customFormat="true" ht="14.3" hidden="false" customHeight="false" outlineLevel="0" collapsed="false">
      <c r="A814" s="16" t="s">
        <v>1334</v>
      </c>
      <c r="B814" s="2" t="n">
        <f aca="false">-4</f>
        <v>-4</v>
      </c>
      <c r="C814" s="2" t="n">
        <f aca="false">-1-4+1</f>
        <v>-4</v>
      </c>
      <c r="D814" s="94" t="s">
        <v>68</v>
      </c>
      <c r="E814" s="1" t="s">
        <v>719</v>
      </c>
      <c r="F814" s="1" t="s">
        <v>720</v>
      </c>
      <c r="G814" s="1" t="n">
        <v>0</v>
      </c>
      <c r="H814" s="1" t="n">
        <v>1000</v>
      </c>
      <c r="I814" s="1"/>
      <c r="J814" s="1" t="s">
        <v>721</v>
      </c>
    </row>
    <row r="815" s="10" customFormat="true" ht="13.8" hidden="false" customHeight="false" outlineLevel="0" collapsed="false">
      <c r="A815" s="16" t="s">
        <v>722</v>
      </c>
      <c r="B815" s="2" t="n">
        <f aca="false">-1-4-4+1</f>
        <v>-8</v>
      </c>
      <c r="C815" s="79" t="n">
        <f aca="false">0-3-2-3</f>
        <v>-8</v>
      </c>
      <c r="D815" s="3" t="s">
        <v>68</v>
      </c>
      <c r="E815" s="1" t="s">
        <v>723</v>
      </c>
      <c r="F815" s="1" t="s">
        <v>724</v>
      </c>
      <c r="G815" s="1" t="n">
        <v>0</v>
      </c>
      <c r="H815" s="1" t="n">
        <v>1000</v>
      </c>
      <c r="I815" s="36"/>
      <c r="J815" s="1" t="s">
        <v>725</v>
      </c>
    </row>
    <row r="816" s="10" customFormat="true" ht="13.8" hidden="false" customHeight="false" outlineLevel="0" collapsed="false">
      <c r="A816" s="25" t="s">
        <v>726</v>
      </c>
      <c r="B816" s="2" t="n">
        <f aca="false">-4-2+1</f>
        <v>-5</v>
      </c>
      <c r="C816" s="79" t="n">
        <f aca="false">0-4-1</f>
        <v>-5</v>
      </c>
      <c r="D816" s="3" t="s">
        <v>68</v>
      </c>
      <c r="E816" s="1" t="s">
        <v>727</v>
      </c>
      <c r="F816" s="1" t="s">
        <v>728</v>
      </c>
      <c r="G816" s="1" t="n">
        <v>0</v>
      </c>
      <c r="H816" s="1" t="n">
        <v>1000</v>
      </c>
      <c r="I816" s="36"/>
      <c r="J816" s="1" t="s">
        <v>729</v>
      </c>
    </row>
    <row r="817" s="10" customFormat="true" ht="14.15" hidden="false" customHeight="false" outlineLevel="0" collapsed="false">
      <c r="A817" s="1" t="s">
        <v>1335</v>
      </c>
      <c r="B817" s="17" t="n">
        <f aca="false">0-2+1</f>
        <v>-1</v>
      </c>
      <c r="C817" s="17" t="n">
        <f aca="false">0-1</f>
        <v>-1</v>
      </c>
      <c r="D817" s="18" t="s">
        <v>68</v>
      </c>
      <c r="E817" s="19" t="s">
        <v>1336</v>
      </c>
      <c r="F817" s="19" t="s">
        <v>1337</v>
      </c>
      <c r="G817" s="19" t="n">
        <v>-1000</v>
      </c>
      <c r="H817" s="19" t="n">
        <v>1000</v>
      </c>
      <c r="I817" s="36"/>
      <c r="J817" s="1" t="s">
        <v>1338</v>
      </c>
    </row>
    <row r="818" s="10" customFormat="true" ht="13.8" hidden="false" customHeight="false" outlineLevel="0" collapsed="false">
      <c r="A818" s="21" t="s">
        <v>1339</v>
      </c>
      <c r="B818" s="37"/>
      <c r="C818" s="37"/>
      <c r="D818" s="38"/>
      <c r="E818" s="21" t="s">
        <v>1340</v>
      </c>
      <c r="F818" s="21" t="s">
        <v>1341</v>
      </c>
      <c r="G818" s="22" t="n">
        <v>-1000</v>
      </c>
      <c r="H818" s="22" t="n">
        <v>1000</v>
      </c>
      <c r="I818" s="22"/>
      <c r="J818" s="22" t="s">
        <v>32</v>
      </c>
    </row>
    <row r="819" s="10" customFormat="true" ht="13.8" hidden="false" customHeight="false" outlineLevel="0" collapsed="false">
      <c r="A819" s="21" t="s">
        <v>1342</v>
      </c>
      <c r="B819" s="37"/>
      <c r="C819" s="37"/>
      <c r="D819" s="38"/>
      <c r="E819" s="21" t="s">
        <v>1343</v>
      </c>
      <c r="F819" s="21" t="s">
        <v>1344</v>
      </c>
      <c r="G819" s="22" t="n">
        <v>-1000</v>
      </c>
      <c r="H819" s="22" t="n">
        <v>1000</v>
      </c>
      <c r="I819" s="22"/>
      <c r="J819" s="22" t="s">
        <v>32</v>
      </c>
    </row>
    <row r="820" s="10" customFormat="true" ht="13.8" hidden="false" customHeight="false" outlineLevel="0" collapsed="false">
      <c r="A820" s="21" t="s">
        <v>1345</v>
      </c>
      <c r="B820" s="37"/>
      <c r="C820" s="37"/>
      <c r="D820" s="38"/>
      <c r="E820" s="21" t="s">
        <v>1346</v>
      </c>
      <c r="F820" s="21" t="s">
        <v>1347</v>
      </c>
      <c r="G820" s="21" t="n">
        <v>0</v>
      </c>
      <c r="H820" s="21" t="n">
        <v>1000</v>
      </c>
      <c r="I820" s="22"/>
      <c r="J820" s="22" t="s">
        <v>32</v>
      </c>
    </row>
    <row r="821" s="10" customFormat="true" ht="13.8" hidden="false" customHeight="false" outlineLevel="0" collapsed="false">
      <c r="A821" s="21" t="s">
        <v>1348</v>
      </c>
      <c r="B821" s="17"/>
      <c r="C821" s="17"/>
      <c r="D821" s="18"/>
      <c r="E821" s="19"/>
      <c r="F821" s="19"/>
      <c r="G821" s="19"/>
      <c r="H821" s="19"/>
      <c r="I821" s="19"/>
      <c r="J821" s="19"/>
    </row>
    <row r="822" s="10" customFormat="true" ht="13.8" hidden="false" customHeight="false" outlineLevel="0" collapsed="false">
      <c r="B822" s="42"/>
      <c r="C822" s="42"/>
      <c r="D822" s="43"/>
    </row>
    <row r="823" s="10" customFormat="true" ht="13.8" hidden="false" customHeight="false" outlineLevel="0" collapsed="false">
      <c r="A823" s="10" t="s">
        <v>1349</v>
      </c>
      <c r="B823" s="42"/>
      <c r="C823" s="42"/>
      <c r="D823" s="43"/>
    </row>
    <row r="824" s="10" customFormat="true" ht="13.8" hidden="false" customHeight="false" outlineLevel="0" collapsed="false">
      <c r="A824" s="10" t="s">
        <v>745</v>
      </c>
      <c r="B824" s="42"/>
      <c r="C824" s="42"/>
      <c r="D824" s="43"/>
    </row>
    <row r="825" s="10" customFormat="true" ht="13.8" hidden="false" customHeight="false" outlineLevel="0" collapsed="false">
      <c r="B825" s="42"/>
      <c r="C825" s="42"/>
      <c r="D825" s="43"/>
    </row>
    <row r="826" s="10" customFormat="true" ht="13.8" hidden="false" customHeight="false" outlineLevel="0" collapsed="false">
      <c r="A826" s="6" t="s">
        <v>1350</v>
      </c>
      <c r="B826" s="54" t="s">
        <v>10</v>
      </c>
      <c r="C826" s="28"/>
      <c r="D826" s="44"/>
      <c r="E826" s="9"/>
      <c r="F826" s="9"/>
      <c r="G826" s="9"/>
      <c r="H826" s="9"/>
      <c r="I826" s="9"/>
      <c r="J826" s="9" t="s">
        <v>1351</v>
      </c>
    </row>
    <row r="827" s="10" customFormat="true" ht="13.8" hidden="false" customHeight="false" outlineLevel="0" collapsed="false">
      <c r="A827" s="31" t="s">
        <v>212</v>
      </c>
      <c r="B827" s="42"/>
      <c r="C827" s="42"/>
      <c r="D827" s="43"/>
      <c r="J827" s="31" t="s">
        <v>213</v>
      </c>
    </row>
    <row r="828" s="10" customFormat="true" ht="13.8" hidden="false" customHeight="false" outlineLevel="0" collapsed="false">
      <c r="A828" s="60" t="s">
        <v>214</v>
      </c>
      <c r="B828" s="61"/>
      <c r="C828" s="61"/>
      <c r="D828" s="62"/>
      <c r="E828" s="60" t="s">
        <v>215</v>
      </c>
      <c r="F828" s="60" t="s">
        <v>216</v>
      </c>
      <c r="G828" s="60" t="n">
        <v>0</v>
      </c>
      <c r="H828" s="60" t="n">
        <v>1000</v>
      </c>
      <c r="I828" s="60" t="s">
        <v>15</v>
      </c>
      <c r="J828" s="60" t="s">
        <v>217</v>
      </c>
    </row>
    <row r="829" s="10" customFormat="true" ht="13.8" hidden="false" customHeight="false" outlineLevel="0" collapsed="false">
      <c r="A829" s="10" t="s">
        <v>792</v>
      </c>
      <c r="B829" s="42"/>
      <c r="C829" s="42"/>
      <c r="D829" s="43"/>
      <c r="E829" s="10" t="s">
        <v>793</v>
      </c>
      <c r="F829" s="10" t="s">
        <v>794</v>
      </c>
      <c r="G829" s="10" t="n">
        <v>0</v>
      </c>
      <c r="H829" s="10" t="n">
        <v>1000</v>
      </c>
      <c r="I829" s="63"/>
      <c r="J829" s="10" t="s">
        <v>32</v>
      </c>
    </row>
    <row r="830" s="10" customFormat="true" ht="13.8" hidden="false" customHeight="false" outlineLevel="0" collapsed="false">
      <c r="A830" s="16" t="s">
        <v>795</v>
      </c>
      <c r="B830" s="17"/>
      <c r="C830" s="17"/>
      <c r="D830" s="18"/>
      <c r="E830" s="19" t="s">
        <v>796</v>
      </c>
      <c r="F830" s="19" t="s">
        <v>797</v>
      </c>
      <c r="G830" s="19" t="n">
        <v>0</v>
      </c>
      <c r="H830" s="19" t="n">
        <v>1000</v>
      </c>
      <c r="I830" s="63"/>
      <c r="J830" s="1" t="s">
        <v>1352</v>
      </c>
    </row>
    <row r="831" s="10" customFormat="true" ht="13.8" hidden="false" customHeight="false" outlineLevel="0" collapsed="false">
      <c r="A831" s="16" t="s">
        <v>799</v>
      </c>
      <c r="B831" s="17"/>
      <c r="C831" s="17"/>
      <c r="D831" s="18"/>
      <c r="E831" s="19" t="s">
        <v>800</v>
      </c>
      <c r="F831" s="19" t="s">
        <v>801</v>
      </c>
      <c r="G831" s="19" t="n">
        <v>0</v>
      </c>
      <c r="H831" s="19" t="n">
        <v>1000</v>
      </c>
      <c r="I831" s="63"/>
      <c r="J831" s="1" t="s">
        <v>1353</v>
      </c>
    </row>
    <row r="832" s="10" customFormat="true" ht="13.8" hidden="false" customHeight="false" outlineLevel="0" collapsed="false">
      <c r="A832" s="16" t="s">
        <v>1354</v>
      </c>
      <c r="B832" s="17"/>
      <c r="C832" s="17"/>
      <c r="D832" s="18"/>
      <c r="E832" s="19" t="s">
        <v>1355</v>
      </c>
      <c r="F832" s="19" t="s">
        <v>1356</v>
      </c>
      <c r="G832" s="10" t="n">
        <v>0</v>
      </c>
      <c r="H832" s="10" t="n">
        <v>1000</v>
      </c>
      <c r="I832" s="63"/>
      <c r="J832" s="10" t="s">
        <v>32</v>
      </c>
    </row>
    <row r="833" s="10" customFormat="true" ht="13.8" hidden="false" customHeight="false" outlineLevel="0" collapsed="false">
      <c r="A833" s="16" t="s">
        <v>1357</v>
      </c>
      <c r="B833" s="17"/>
      <c r="C833" s="17"/>
      <c r="D833" s="18"/>
      <c r="E833" s="19" t="s">
        <v>1358</v>
      </c>
      <c r="F833" s="19" t="s">
        <v>1359</v>
      </c>
      <c r="G833" s="19" t="n">
        <v>0</v>
      </c>
      <c r="H833" s="19" t="n">
        <v>1000</v>
      </c>
      <c r="I833" s="63"/>
      <c r="J833" s="1" t="s">
        <v>1352</v>
      </c>
    </row>
    <row r="834" s="10" customFormat="true" ht="13.8" hidden="false" customHeight="false" outlineLevel="0" collapsed="false">
      <c r="A834" s="16" t="s">
        <v>1360</v>
      </c>
      <c r="B834" s="17"/>
      <c r="C834" s="17"/>
      <c r="D834" s="18"/>
      <c r="E834" s="19" t="s">
        <v>1361</v>
      </c>
      <c r="F834" s="19" t="s">
        <v>1362</v>
      </c>
      <c r="G834" s="19" t="n">
        <v>0</v>
      </c>
      <c r="H834" s="19" t="n">
        <v>1000</v>
      </c>
      <c r="I834" s="63"/>
      <c r="J834" s="1" t="s">
        <v>1353</v>
      </c>
    </row>
    <row r="835" s="10" customFormat="true" ht="13.8" hidden="false" customHeight="false" outlineLevel="0" collapsed="false">
      <c r="A835" s="16" t="s">
        <v>1363</v>
      </c>
      <c r="B835" s="17"/>
      <c r="C835" s="17"/>
      <c r="D835" s="18"/>
      <c r="E835" s="19" t="s">
        <v>1364</v>
      </c>
      <c r="F835" s="10" t="s">
        <v>1365</v>
      </c>
      <c r="G835" s="10" t="n">
        <v>0</v>
      </c>
      <c r="H835" s="10" t="n">
        <v>1000</v>
      </c>
      <c r="I835" s="63"/>
      <c r="J835" s="10" t="s">
        <v>221</v>
      </c>
    </row>
    <row r="836" s="10" customFormat="true" ht="13.8" hidden="false" customHeight="false" outlineLevel="0" collapsed="false">
      <c r="A836" s="16" t="s">
        <v>1335</v>
      </c>
      <c r="B836" s="17"/>
      <c r="C836" s="17"/>
      <c r="D836" s="18"/>
      <c r="E836" s="19" t="s">
        <v>1336</v>
      </c>
      <c r="F836" s="19" t="s">
        <v>1337</v>
      </c>
      <c r="G836" s="1" t="n">
        <v>0</v>
      </c>
      <c r="H836" s="1" t="n">
        <v>1000</v>
      </c>
      <c r="I836" s="63"/>
      <c r="J836" s="10" t="s">
        <v>32</v>
      </c>
    </row>
    <row r="837" s="10" customFormat="true" ht="13.8" hidden="false" customHeight="false" outlineLevel="0" collapsed="false">
      <c r="A837" s="21" t="s">
        <v>1339</v>
      </c>
      <c r="B837" s="37"/>
      <c r="C837" s="37"/>
      <c r="D837" s="38"/>
      <c r="E837" s="21" t="s">
        <v>1340</v>
      </c>
      <c r="F837" s="21" t="s">
        <v>1341</v>
      </c>
      <c r="G837" s="22" t="n">
        <v>-1000</v>
      </c>
      <c r="H837" s="22" t="n">
        <v>1000</v>
      </c>
      <c r="I837" s="22"/>
      <c r="J837" s="22" t="s">
        <v>32</v>
      </c>
    </row>
    <row r="838" s="10" customFormat="true" ht="13.8" hidden="false" customHeight="false" outlineLevel="0" collapsed="false">
      <c r="A838" s="21" t="s">
        <v>1342</v>
      </c>
      <c r="B838" s="37"/>
      <c r="C838" s="37"/>
      <c r="D838" s="38"/>
      <c r="E838" s="21" t="s">
        <v>1343</v>
      </c>
      <c r="F838" s="21" t="s">
        <v>1344</v>
      </c>
      <c r="G838" s="22" t="n">
        <v>-1000</v>
      </c>
      <c r="H838" s="22" t="n">
        <v>1000</v>
      </c>
      <c r="I838" s="22"/>
      <c r="J838" s="22" t="s">
        <v>32</v>
      </c>
    </row>
    <row r="839" s="10" customFormat="true" ht="13.8" hidden="false" customHeight="false" outlineLevel="0" collapsed="false">
      <c r="A839" s="21" t="s">
        <v>1345</v>
      </c>
      <c r="B839" s="37"/>
      <c r="C839" s="37"/>
      <c r="D839" s="38"/>
      <c r="E839" s="21" t="s">
        <v>1346</v>
      </c>
      <c r="F839" s="21" t="s">
        <v>1347</v>
      </c>
      <c r="G839" s="21" t="n">
        <v>0</v>
      </c>
      <c r="H839" s="21" t="n">
        <v>1000</v>
      </c>
      <c r="I839" s="22"/>
      <c r="J839" s="22" t="s">
        <v>32</v>
      </c>
    </row>
    <row r="840" s="10" customFormat="true" ht="13.8" hidden="false" customHeight="false" outlineLevel="0" collapsed="false">
      <c r="A840" s="21" t="s">
        <v>1348</v>
      </c>
      <c r="B840" s="17"/>
      <c r="C840" s="17"/>
      <c r="D840" s="18"/>
      <c r="E840" s="19"/>
      <c r="F840" s="19"/>
      <c r="G840" s="19"/>
      <c r="H840" s="19"/>
      <c r="I840" s="19"/>
      <c r="J840" s="19"/>
    </row>
    <row r="841" s="10" customFormat="true" ht="13.8" hidden="false" customHeight="false" outlineLevel="0" collapsed="false">
      <c r="B841" s="42"/>
      <c r="C841" s="42"/>
      <c r="D841" s="43"/>
    </row>
    <row r="842" s="10" customFormat="true" ht="13.8" hidden="false" customHeight="false" outlineLevel="0" collapsed="false">
      <c r="A842" s="6" t="s">
        <v>1366</v>
      </c>
      <c r="B842" s="7" t="s">
        <v>10</v>
      </c>
      <c r="C842" s="8"/>
      <c r="D842" s="8"/>
      <c r="E842" s="8"/>
      <c r="F842" s="8"/>
      <c r="G842" s="8"/>
      <c r="H842" s="8"/>
      <c r="I842" s="8"/>
      <c r="J842" s="9" t="s">
        <v>1367</v>
      </c>
    </row>
    <row r="843" s="10" customFormat="true" ht="13.8" hidden="false" customHeight="false" outlineLevel="0" collapsed="false">
      <c r="A843" s="31" t="s">
        <v>352</v>
      </c>
      <c r="B843" s="69"/>
      <c r="C843" s="42"/>
      <c r="D843" s="43"/>
      <c r="J843" s="31" t="s">
        <v>66</v>
      </c>
    </row>
    <row r="844" s="10" customFormat="true" ht="14.3" hidden="false" customHeight="false" outlineLevel="0" collapsed="false">
      <c r="A844" s="48" t="s">
        <v>353</v>
      </c>
      <c r="B844" s="48"/>
      <c r="C844" s="70"/>
      <c r="D844" s="70"/>
      <c r="E844" s="48" t="s">
        <v>354</v>
      </c>
      <c r="F844" s="48" t="s">
        <v>355</v>
      </c>
      <c r="G844" s="70" t="n">
        <v>0</v>
      </c>
      <c r="H844" s="70" t="n">
        <v>1000</v>
      </c>
      <c r="I844" s="56" t="s">
        <v>15</v>
      </c>
      <c r="J844" s="1" t="s">
        <v>356</v>
      </c>
    </row>
    <row r="845" s="10" customFormat="true" ht="14.3" hidden="false" customHeight="false" outlineLevel="0" collapsed="false">
      <c r="A845" s="48" t="s">
        <v>357</v>
      </c>
      <c r="B845" s="48"/>
      <c r="C845" s="70"/>
      <c r="D845" s="70"/>
      <c r="E845" s="48" t="s">
        <v>358</v>
      </c>
      <c r="F845" s="48" t="s">
        <v>359</v>
      </c>
      <c r="G845" s="70" t="n">
        <v>-1000</v>
      </c>
      <c r="H845" s="70" t="n">
        <v>1000</v>
      </c>
      <c r="I845" s="56" t="s">
        <v>15</v>
      </c>
      <c r="J845" s="1" t="s">
        <v>360</v>
      </c>
    </row>
    <row r="846" s="10" customFormat="true" ht="13.8" hidden="false" customHeight="false" outlineLevel="0" collapsed="false">
      <c r="A846" s="55" t="s">
        <v>361</v>
      </c>
      <c r="B846" s="48"/>
      <c r="C846" s="70"/>
      <c r="D846" s="70"/>
      <c r="E846" s="48" t="s">
        <v>362</v>
      </c>
      <c r="F846" s="48" t="s">
        <v>363</v>
      </c>
      <c r="G846" s="70" t="n">
        <v>0</v>
      </c>
      <c r="H846" s="70" t="n">
        <v>1000</v>
      </c>
      <c r="I846" s="56" t="s">
        <v>15</v>
      </c>
      <c r="J846" s="0"/>
    </row>
    <row r="847" s="10" customFormat="true" ht="13.8" hidden="false" customHeight="false" outlineLevel="0" collapsed="false">
      <c r="A847" s="48" t="s">
        <v>364</v>
      </c>
      <c r="B847" s="48"/>
      <c r="C847" s="70"/>
      <c r="D847" s="70"/>
      <c r="E847" s="48" t="s">
        <v>365</v>
      </c>
      <c r="F847" s="48" t="s">
        <v>366</v>
      </c>
      <c r="G847" s="70" t="n">
        <v>0</v>
      </c>
      <c r="H847" s="70" t="n">
        <v>1000</v>
      </c>
      <c r="I847" s="56" t="s">
        <v>15</v>
      </c>
      <c r="J847" s="0"/>
    </row>
    <row r="848" s="10" customFormat="true" ht="13.8" hidden="false" customHeight="false" outlineLevel="0" collapsed="false">
      <c r="A848" s="48" t="s">
        <v>367</v>
      </c>
      <c r="B848" s="48"/>
      <c r="C848" s="70"/>
      <c r="D848" s="70"/>
      <c r="E848" s="48" t="s">
        <v>368</v>
      </c>
      <c r="F848" s="48" t="s">
        <v>369</v>
      </c>
      <c r="G848" s="70" t="n">
        <v>0</v>
      </c>
      <c r="H848" s="70" t="n">
        <v>1000</v>
      </c>
      <c r="I848" s="56" t="s">
        <v>15</v>
      </c>
      <c r="J848" s="0"/>
    </row>
    <row r="849" s="10" customFormat="true" ht="13.8" hidden="false" customHeight="false" outlineLevel="0" collapsed="false">
      <c r="A849" s="71" t="s">
        <v>370</v>
      </c>
      <c r="B849" s="48"/>
      <c r="C849" s="70"/>
      <c r="D849" s="70"/>
      <c r="E849" s="48" t="s">
        <v>371</v>
      </c>
      <c r="F849" s="48" t="s">
        <v>372</v>
      </c>
      <c r="G849" s="70" t="n">
        <v>-1000</v>
      </c>
      <c r="H849" s="70" t="n">
        <v>1000</v>
      </c>
      <c r="I849" s="56" t="s">
        <v>15</v>
      </c>
      <c r="J849" s="0"/>
    </row>
    <row r="850" s="10" customFormat="true" ht="13.8" hidden="false" customHeight="false" outlineLevel="0" collapsed="false">
      <c r="A850" s="1" t="s">
        <v>1368</v>
      </c>
      <c r="B850" s="2" t="n">
        <f aca="false">0+0</f>
        <v>0</v>
      </c>
      <c r="C850" s="2" t="n">
        <f aca="false">0-1+1</f>
        <v>0</v>
      </c>
      <c r="D850" s="3" t="s">
        <v>68</v>
      </c>
      <c r="E850" s="1" t="s">
        <v>1369</v>
      </c>
      <c r="F850" s="1" t="s">
        <v>1370</v>
      </c>
      <c r="G850" s="1" t="n">
        <v>0</v>
      </c>
      <c r="H850" s="1" t="n">
        <v>1000</v>
      </c>
      <c r="I850" s="36"/>
      <c r="J850" s="1" t="s">
        <v>79</v>
      </c>
    </row>
    <row r="851" s="10" customFormat="true" ht="13.8" hidden="false" customHeight="false" outlineLevel="0" collapsed="false">
      <c r="A851" s="21" t="s">
        <v>1371</v>
      </c>
      <c r="B851" s="37"/>
      <c r="C851" s="37"/>
      <c r="D851" s="38"/>
      <c r="E851" s="21" t="s">
        <v>1372</v>
      </c>
      <c r="F851" s="21" t="s">
        <v>1373</v>
      </c>
      <c r="G851" s="115" t="n">
        <v>-1000</v>
      </c>
      <c r="H851" s="22" t="n">
        <v>1000</v>
      </c>
      <c r="I851" s="10" t="s">
        <v>611</v>
      </c>
      <c r="J851" s="22"/>
    </row>
    <row r="852" s="10" customFormat="true" ht="13.8" hidden="false" customHeight="false" outlineLevel="0" collapsed="false">
      <c r="A852" s="21" t="s">
        <v>1374</v>
      </c>
      <c r="B852" s="37"/>
      <c r="C852" s="72"/>
      <c r="D852" s="38"/>
      <c r="E852" s="21" t="s">
        <v>1375</v>
      </c>
      <c r="F852" s="21" t="s">
        <v>1376</v>
      </c>
      <c r="G852" s="22" t="n">
        <v>-1000</v>
      </c>
      <c r="H852" s="22" t="n">
        <v>1000</v>
      </c>
      <c r="I852" s="10" t="s">
        <v>615</v>
      </c>
      <c r="J852" s="22"/>
    </row>
    <row r="853" s="10" customFormat="true" ht="13.8" hidden="false" customHeight="false" outlineLevel="0" collapsed="false">
      <c r="A853" s="21" t="s">
        <v>1377</v>
      </c>
      <c r="B853" s="37"/>
      <c r="C853" s="37"/>
      <c r="D853" s="38"/>
      <c r="E853" s="21" t="s">
        <v>1378</v>
      </c>
      <c r="F853" s="21" t="s">
        <v>1379</v>
      </c>
      <c r="G853" s="21" t="n">
        <v>0</v>
      </c>
      <c r="H853" s="21" t="n">
        <v>1000</v>
      </c>
      <c r="I853" s="10" t="s">
        <v>615</v>
      </c>
      <c r="J853" s="22"/>
    </row>
    <row r="854" s="10" customFormat="true" ht="13.8" hidden="false" customHeight="false" outlineLevel="0" collapsed="false">
      <c r="A854" s="21" t="s">
        <v>873</v>
      </c>
      <c r="B854" s="17"/>
      <c r="C854" s="17"/>
      <c r="D854" s="18"/>
      <c r="E854" s="19"/>
      <c r="F854" s="19"/>
      <c r="G854" s="19"/>
      <c r="H854" s="19"/>
      <c r="I854" s="19"/>
      <c r="J854" s="19"/>
    </row>
    <row r="855" s="10" customFormat="true" ht="13.8" hidden="false" customHeight="false" outlineLevel="0" collapsed="false">
      <c r="A855" s="21"/>
      <c r="B855" s="17"/>
      <c r="C855" s="17"/>
      <c r="D855" s="18"/>
      <c r="E855" s="19"/>
      <c r="F855" s="19"/>
      <c r="G855" s="19"/>
      <c r="H855" s="19"/>
      <c r="I855" s="19"/>
      <c r="J855" s="19"/>
    </row>
    <row r="856" s="10" customFormat="true" ht="13.8" hidden="false" customHeight="false" outlineLevel="0" collapsed="false">
      <c r="A856" s="56" t="s">
        <v>391</v>
      </c>
      <c r="B856" s="17"/>
      <c r="C856" s="17"/>
      <c r="D856" s="18"/>
      <c r="E856" s="19"/>
      <c r="F856" s="19"/>
      <c r="G856" s="19"/>
      <c r="H856" s="19"/>
      <c r="I856" s="19"/>
      <c r="J856" s="19"/>
    </row>
    <row r="857" s="10" customFormat="true" ht="13.8" hidden="false" customHeight="false" outlineLevel="0" collapsed="false">
      <c r="A857" s="56" t="s">
        <v>1380</v>
      </c>
      <c r="B857" s="17"/>
      <c r="C857" s="17"/>
      <c r="D857" s="18"/>
      <c r="E857" s="19"/>
      <c r="F857" s="19"/>
      <c r="G857" s="19"/>
      <c r="H857" s="19"/>
      <c r="I857" s="19"/>
      <c r="J857" s="19"/>
    </row>
    <row r="858" s="10" customFormat="true" ht="13.8" hidden="false" customHeight="false" outlineLevel="0" collapsed="false">
      <c r="A858" s="56" t="s">
        <v>392</v>
      </c>
      <c r="B858" s="17"/>
      <c r="C858" s="17"/>
      <c r="D858" s="18"/>
      <c r="E858" s="19"/>
      <c r="F858" s="19"/>
      <c r="G858" s="19"/>
      <c r="H858" s="19"/>
      <c r="I858" s="19"/>
      <c r="J858" s="19"/>
    </row>
    <row r="859" s="10" customFormat="true" ht="13.8" hidden="false" customHeight="false" outlineLevel="0" collapsed="false">
      <c r="A859" s="56" t="s">
        <v>1381</v>
      </c>
      <c r="B859" s="17"/>
      <c r="C859" s="17"/>
      <c r="D859" s="18"/>
      <c r="E859" s="19"/>
      <c r="F859" s="19"/>
      <c r="G859" s="19"/>
      <c r="H859" s="19"/>
      <c r="I859" s="19"/>
      <c r="J859" s="19"/>
    </row>
    <row r="860" s="10" customFormat="true" ht="13.8" hidden="false" customHeight="false" outlineLevel="0" collapsed="false">
      <c r="B860" s="42"/>
      <c r="C860" s="42"/>
      <c r="D860" s="43"/>
    </row>
    <row r="861" s="10" customFormat="true" ht="13.8" hidden="false" customHeight="false" outlineLevel="0" collapsed="false">
      <c r="A861" s="6" t="s">
        <v>1382</v>
      </c>
      <c r="B861" s="54" t="s">
        <v>10</v>
      </c>
      <c r="C861" s="84"/>
      <c r="D861" s="44"/>
      <c r="E861" s="9"/>
      <c r="F861" s="9"/>
      <c r="G861" s="9"/>
      <c r="H861" s="9"/>
      <c r="I861" s="9"/>
      <c r="J861" s="9" t="s">
        <v>1383</v>
      </c>
    </row>
    <row r="862" s="10" customFormat="true" ht="13.8" hidden="false" customHeight="false" outlineLevel="0" collapsed="false">
      <c r="A862" s="93" t="s">
        <v>700</v>
      </c>
      <c r="B862" s="69"/>
      <c r="C862" s="108"/>
      <c r="D862" s="43"/>
    </row>
    <row r="863" s="10" customFormat="true" ht="13.8" hidden="false" customHeight="false" outlineLevel="0" collapsed="false">
      <c r="A863" s="11" t="s">
        <v>12</v>
      </c>
      <c r="B863" s="12"/>
      <c r="C863" s="12"/>
      <c r="D863" s="13"/>
      <c r="E863" s="14" t="s">
        <v>13</v>
      </c>
      <c r="F863" s="14" t="s">
        <v>14</v>
      </c>
      <c r="G863" s="14" t="n">
        <v>-1000</v>
      </c>
      <c r="H863" s="14" t="n">
        <v>1000</v>
      </c>
      <c r="I863" s="14" t="s">
        <v>15</v>
      </c>
      <c r="J863" s="1"/>
    </row>
    <row r="864" s="10" customFormat="true" ht="13.8" hidden="false" customHeight="false" outlineLevel="0" collapsed="false">
      <c r="A864" s="109" t="s">
        <v>962</v>
      </c>
      <c r="B864" s="12"/>
      <c r="C864" s="12"/>
      <c r="D864" s="3"/>
      <c r="E864" s="14" t="s">
        <v>42</v>
      </c>
      <c r="F864" s="14" t="s">
        <v>43</v>
      </c>
      <c r="G864" s="14" t="n">
        <v>-1000</v>
      </c>
      <c r="H864" s="14" t="n">
        <v>1000</v>
      </c>
      <c r="I864" s="14" t="s">
        <v>15</v>
      </c>
      <c r="J864" s="1"/>
    </row>
    <row r="865" s="10" customFormat="true" ht="13.8" hidden="false" customHeight="false" outlineLevel="0" collapsed="false">
      <c r="A865" s="11" t="s">
        <v>963</v>
      </c>
      <c r="B865" s="12"/>
      <c r="C865" s="12"/>
      <c r="D865" s="3"/>
      <c r="E865" s="14" t="s">
        <v>755</v>
      </c>
      <c r="F865" s="14" t="s">
        <v>756</v>
      </c>
      <c r="G865" s="14" t="n">
        <v>-1000</v>
      </c>
      <c r="H865" s="14" t="n">
        <v>1000</v>
      </c>
      <c r="I865" s="14" t="s">
        <v>15</v>
      </c>
      <c r="J865" s="1"/>
    </row>
    <row r="866" s="10" customFormat="true" ht="13.8" hidden="false" customHeight="false" outlineLevel="0" collapsed="false">
      <c r="A866" s="16" t="s">
        <v>757</v>
      </c>
      <c r="B866" s="2" t="n">
        <f aca="false">-4-2+1</f>
        <v>-5</v>
      </c>
      <c r="C866" s="2" t="n">
        <f aca="false">-4-1</f>
        <v>-5</v>
      </c>
      <c r="D866" s="3" t="s">
        <v>68</v>
      </c>
      <c r="E866" s="1" t="s">
        <v>758</v>
      </c>
      <c r="F866" s="1" t="s">
        <v>759</v>
      </c>
      <c r="G866" s="1" t="n">
        <v>0</v>
      </c>
      <c r="H866" s="1" t="n">
        <v>1000</v>
      </c>
      <c r="I866" s="1"/>
      <c r="J866" s="1" t="s">
        <v>760</v>
      </c>
    </row>
    <row r="867" s="10" customFormat="true" ht="13.8" hidden="false" customHeight="false" outlineLevel="0" collapsed="false">
      <c r="A867" s="93" t="s">
        <v>717</v>
      </c>
      <c r="B867" s="2"/>
      <c r="C867" s="2"/>
      <c r="D867" s="3"/>
      <c r="E867" s="1"/>
      <c r="F867" s="1"/>
      <c r="G867" s="1"/>
      <c r="H867" s="1"/>
      <c r="I867" s="1"/>
      <c r="J867" s="1"/>
    </row>
    <row r="868" s="10" customFormat="true" ht="13.8" hidden="false" customHeight="false" outlineLevel="0" collapsed="false">
      <c r="A868" s="25" t="s">
        <v>761</v>
      </c>
      <c r="B868" s="17" t="n">
        <f aca="false">-4</f>
        <v>-4</v>
      </c>
      <c r="C868" s="17" t="n">
        <f aca="false">-1+-4+1</f>
        <v>-4</v>
      </c>
      <c r="D868" s="18" t="s">
        <v>68</v>
      </c>
      <c r="E868" s="19" t="s">
        <v>762</v>
      </c>
      <c r="F868" s="19" t="s">
        <v>763</v>
      </c>
      <c r="G868" s="19" t="n">
        <v>0</v>
      </c>
      <c r="H868" s="19" t="n">
        <v>1000</v>
      </c>
      <c r="I868" s="19"/>
      <c r="J868" s="1" t="s">
        <v>764</v>
      </c>
    </row>
    <row r="869" s="10" customFormat="true" ht="13.8" hidden="false" customHeight="false" outlineLevel="0" collapsed="false">
      <c r="A869" s="25" t="s">
        <v>765</v>
      </c>
      <c r="B869" s="2" t="n">
        <f aca="false">-1-4-4+1</f>
        <v>-8</v>
      </c>
      <c r="C869" s="2" t="n">
        <f aca="false">-3-2-3</f>
        <v>-8</v>
      </c>
      <c r="D869" s="3" t="s">
        <v>68</v>
      </c>
      <c r="E869" s="1" t="s">
        <v>766</v>
      </c>
      <c r="F869" s="1" t="s">
        <v>767</v>
      </c>
      <c r="G869" s="1" t="n">
        <v>0</v>
      </c>
      <c r="H869" s="1" t="n">
        <v>1000</v>
      </c>
      <c r="I869" s="36"/>
      <c r="J869" s="1" t="s">
        <v>725</v>
      </c>
    </row>
    <row r="870" s="10" customFormat="true" ht="13.8" hidden="false" customHeight="false" outlineLevel="0" collapsed="false">
      <c r="A870" s="16" t="s">
        <v>768</v>
      </c>
      <c r="B870" s="2" t="n">
        <f aca="false">-4-2+1</f>
        <v>-5</v>
      </c>
      <c r="C870" s="2" t="n">
        <f aca="false">-4-1</f>
        <v>-5</v>
      </c>
      <c r="D870" s="3" t="s">
        <v>68</v>
      </c>
      <c r="E870" s="1" t="s">
        <v>769</v>
      </c>
      <c r="F870" s="1" t="s">
        <v>770</v>
      </c>
      <c r="G870" s="1" t="n">
        <v>0</v>
      </c>
      <c r="H870" s="1" t="n">
        <v>1000</v>
      </c>
      <c r="I870" s="36"/>
      <c r="J870" s="1" t="s">
        <v>771</v>
      </c>
    </row>
    <row r="871" s="10" customFormat="true" ht="13.8" hidden="false" customHeight="false" outlineLevel="0" collapsed="false">
      <c r="A871" s="16" t="s">
        <v>1384</v>
      </c>
      <c r="B871" s="2" t="n">
        <f aca="false">0</f>
        <v>0</v>
      </c>
      <c r="C871" s="2" t="n">
        <f aca="false">-1+1</f>
        <v>0</v>
      </c>
      <c r="D871" s="3" t="s">
        <v>68</v>
      </c>
      <c r="E871" s="1" t="s">
        <v>1385</v>
      </c>
      <c r="F871" s="1" t="s">
        <v>1386</v>
      </c>
      <c r="G871" s="1" t="n">
        <v>0</v>
      </c>
      <c r="H871" s="1" t="n">
        <v>1000</v>
      </c>
      <c r="I871" s="36"/>
      <c r="J871" s="1" t="s">
        <v>733</v>
      </c>
    </row>
    <row r="872" s="10" customFormat="true" ht="13.8" hidden="false" customHeight="false" outlineLevel="0" collapsed="false">
      <c r="A872" s="78" t="s">
        <v>1387</v>
      </c>
      <c r="B872" s="2"/>
      <c r="C872" s="2"/>
      <c r="D872" s="3"/>
      <c r="E872" s="21" t="s">
        <v>1388</v>
      </c>
      <c r="F872" s="21" t="s">
        <v>1389</v>
      </c>
      <c r="G872" s="21" t="n">
        <v>-1000</v>
      </c>
      <c r="H872" s="21" t="n">
        <v>1000</v>
      </c>
      <c r="I872" s="21"/>
      <c r="J872" s="21" t="s">
        <v>737</v>
      </c>
    </row>
    <row r="873" s="10" customFormat="true" ht="14.15" hidden="false" customHeight="false" outlineLevel="0" collapsed="false">
      <c r="A873" s="78" t="s">
        <v>1390</v>
      </c>
      <c r="B873" s="2"/>
      <c r="C873" s="79"/>
      <c r="D873" s="3"/>
      <c r="E873" s="21" t="s">
        <v>1391</v>
      </c>
      <c r="F873" s="21" t="s">
        <v>1392</v>
      </c>
      <c r="G873" s="21" t="n">
        <v>-1000</v>
      </c>
      <c r="H873" s="21" t="n">
        <v>1000</v>
      </c>
      <c r="I873" s="21"/>
      <c r="J873" s="21" t="s">
        <v>737</v>
      </c>
    </row>
    <row r="874" s="10" customFormat="true" ht="13.8" hidden="false" customHeight="false" outlineLevel="0" collapsed="false">
      <c r="A874" s="21" t="s">
        <v>1393</v>
      </c>
      <c r="B874" s="37"/>
      <c r="C874" s="37"/>
      <c r="D874" s="38"/>
      <c r="E874" s="21" t="s">
        <v>1394</v>
      </c>
      <c r="F874" s="21" t="s">
        <v>1395</v>
      </c>
      <c r="G874" s="21" t="n">
        <v>0</v>
      </c>
      <c r="H874" s="21" t="n">
        <v>1000</v>
      </c>
      <c r="I874" s="21"/>
      <c r="J874" s="21" t="s">
        <v>737</v>
      </c>
    </row>
    <row r="875" s="10" customFormat="true" ht="13.8" hidden="false" customHeight="false" outlineLevel="0" collapsed="false">
      <c r="A875" s="78" t="s">
        <v>1396</v>
      </c>
      <c r="B875" s="2"/>
      <c r="C875" s="2"/>
      <c r="D875" s="3"/>
      <c r="E875" s="1"/>
      <c r="F875" s="1"/>
      <c r="G875" s="1"/>
      <c r="H875" s="1"/>
      <c r="I875" s="1"/>
      <c r="J875" s="1"/>
    </row>
    <row r="876" s="10" customFormat="true" ht="13.8" hidden="false" customHeight="false" outlineLevel="0" collapsed="false">
      <c r="A876" s="41"/>
      <c r="B876" s="2"/>
      <c r="C876" s="2"/>
      <c r="D876" s="3"/>
      <c r="E876" s="1"/>
      <c r="F876" s="1"/>
      <c r="G876" s="1"/>
      <c r="H876" s="1"/>
      <c r="I876" s="1"/>
      <c r="J876" s="1"/>
    </row>
    <row r="877" s="10" customFormat="true" ht="13.8" hidden="false" customHeight="false" outlineLevel="0" collapsed="false">
      <c r="A877" s="41" t="s">
        <v>1397</v>
      </c>
      <c r="B877" s="2"/>
      <c r="C877" s="2"/>
      <c r="D877" s="3"/>
      <c r="E877" s="1"/>
      <c r="F877" s="1"/>
      <c r="G877" s="1"/>
      <c r="H877" s="1"/>
      <c r="I877" s="1"/>
      <c r="J877" s="1"/>
    </row>
    <row r="878" s="10" customFormat="true" ht="13.8" hidden="false" customHeight="false" outlineLevel="0" collapsed="false">
      <c r="A878" s="41" t="s">
        <v>745</v>
      </c>
      <c r="B878" s="17"/>
      <c r="C878" s="17"/>
      <c r="D878" s="18"/>
      <c r="E878" s="19"/>
      <c r="F878" s="19"/>
      <c r="G878" s="19"/>
      <c r="H878" s="19"/>
      <c r="I878" s="19"/>
      <c r="J878" s="19"/>
    </row>
    <row r="879" s="10" customFormat="true" ht="13.8" hidden="false" customHeight="false" outlineLevel="0" collapsed="false">
      <c r="A879" s="41" t="s">
        <v>747</v>
      </c>
      <c r="B879" s="2"/>
      <c r="C879" s="2"/>
      <c r="D879" s="3"/>
      <c r="E879" s="1"/>
      <c r="F879" s="1"/>
      <c r="G879" s="1"/>
      <c r="H879" s="1"/>
      <c r="I879" s="1"/>
      <c r="J879" s="1"/>
    </row>
    <row r="880" s="10" customFormat="true" ht="13.8" hidden="false" customHeight="false" outlineLevel="0" collapsed="false">
      <c r="A880" s="16" t="s">
        <v>746</v>
      </c>
      <c r="B880" s="17"/>
      <c r="C880" s="17"/>
      <c r="D880" s="18"/>
      <c r="E880" s="19"/>
      <c r="F880" s="19"/>
      <c r="G880" s="19"/>
      <c r="H880" s="19"/>
      <c r="I880" s="19"/>
      <c r="J880" s="19"/>
    </row>
    <row r="881" s="10" customFormat="true" ht="13.8" hidden="false" customHeight="false" outlineLevel="0" collapsed="false">
      <c r="A881" s="41" t="s">
        <v>748</v>
      </c>
      <c r="B881" s="2"/>
      <c r="C881" s="2"/>
      <c r="D881" s="3"/>
      <c r="E881" s="1"/>
      <c r="F881" s="1"/>
      <c r="G881" s="1"/>
      <c r="H881" s="1"/>
      <c r="I881" s="1"/>
      <c r="J881" s="1"/>
    </row>
    <row r="882" s="10" customFormat="true" ht="13.8" hidden="false" customHeight="false" outlineLevel="0" collapsed="false">
      <c r="A882" s="0"/>
      <c r="B882" s="0"/>
      <c r="C882" s="0"/>
      <c r="D882" s="0"/>
      <c r="E882" s="0"/>
      <c r="F882" s="0"/>
      <c r="G882" s="0"/>
      <c r="H882" s="0"/>
      <c r="I882" s="0"/>
      <c r="J882" s="0"/>
    </row>
    <row r="883" s="10" customFormat="true" ht="13.8" hidden="false" customHeight="false" outlineLevel="0" collapsed="false">
      <c r="A883" s="6" t="s">
        <v>1398</v>
      </c>
      <c r="B883" s="54" t="s">
        <v>10</v>
      </c>
      <c r="C883" s="8"/>
      <c r="D883" s="8"/>
      <c r="E883" s="8"/>
      <c r="F883" s="8"/>
      <c r="G883" s="8"/>
      <c r="H883" s="8"/>
      <c r="I883" s="8"/>
      <c r="J883" s="8"/>
      <c r="K883" s="9"/>
      <c r="L883" s="9"/>
    </row>
    <row r="884" s="10" customFormat="true" ht="13.8" hidden="false" customHeight="false" outlineLevel="0" collapsed="false">
      <c r="A884" s="56" t="s">
        <v>229</v>
      </c>
      <c r="B884" s="56"/>
      <c r="C884" s="56"/>
      <c r="D884" s="56"/>
      <c r="E884" s="56" t="s">
        <v>230</v>
      </c>
      <c r="F884" s="56" t="s">
        <v>1058</v>
      </c>
      <c r="G884" s="56" t="n">
        <v>0</v>
      </c>
      <c r="H884" s="56" t="n">
        <v>1000</v>
      </c>
      <c r="I884" s="56" t="s">
        <v>15</v>
      </c>
      <c r="J884" s="0"/>
    </row>
    <row r="885" s="10" customFormat="true" ht="13.8" hidden="false" customHeight="false" outlineLevel="0" collapsed="false">
      <c r="A885" s="56" t="s">
        <v>1059</v>
      </c>
      <c r="B885" s="56"/>
      <c r="C885" s="56"/>
      <c r="D885" s="56"/>
      <c r="E885" s="56" t="s">
        <v>1060</v>
      </c>
      <c r="F885" s="56" t="s">
        <v>1061</v>
      </c>
      <c r="G885" s="56" t="n">
        <v>-1000</v>
      </c>
      <c r="H885" s="56" t="n">
        <v>1000</v>
      </c>
      <c r="I885" s="56" t="s">
        <v>15</v>
      </c>
      <c r="J885" s="0"/>
    </row>
    <row r="886" s="10" customFormat="true" ht="13.8" hidden="false" customHeight="false" outlineLevel="0" collapsed="false">
      <c r="A886" s="56" t="s">
        <v>1062</v>
      </c>
      <c r="B886" s="56"/>
      <c r="C886" s="56"/>
      <c r="D886" s="56"/>
      <c r="E886" s="56" t="s">
        <v>1063</v>
      </c>
      <c r="F886" s="56" t="s">
        <v>1064</v>
      </c>
      <c r="G886" s="56" t="n">
        <v>0</v>
      </c>
      <c r="H886" s="56" t="n">
        <v>1000</v>
      </c>
      <c r="I886" s="56" t="s">
        <v>15</v>
      </c>
      <c r="J886" s="0"/>
    </row>
    <row r="887" s="10" customFormat="true" ht="14.25" hidden="false" customHeight="false" outlineLevel="0" collapsed="false">
      <c r="A887" s="1" t="s">
        <v>1065</v>
      </c>
      <c r="B887" s="1"/>
      <c r="C887" s="1"/>
      <c r="D887" s="1"/>
      <c r="E887" s="1" t="s">
        <v>1066</v>
      </c>
      <c r="F887" s="1" t="s">
        <v>1067</v>
      </c>
      <c r="G887" s="1" t="n">
        <v>0</v>
      </c>
      <c r="H887" s="1" t="n">
        <v>1000</v>
      </c>
      <c r="I887" s="1"/>
      <c r="J887" s="1" t="s">
        <v>1068</v>
      </c>
    </row>
    <row r="888" s="10" customFormat="true" ht="13.8" hidden="false" customHeight="false" outlineLevel="0" collapsed="false">
      <c r="A888" s="1" t="s">
        <v>1399</v>
      </c>
      <c r="B888" s="1" t="n">
        <f aca="false">-4*2+1</f>
        <v>-7</v>
      </c>
      <c r="C888" s="1" t="n">
        <f aca="false">-1+-3*2</f>
        <v>-7</v>
      </c>
      <c r="D888" s="1" t="s">
        <v>68</v>
      </c>
      <c r="E888" s="1" t="s">
        <v>1400</v>
      </c>
      <c r="F888" s="1" t="s">
        <v>1401</v>
      </c>
      <c r="G888" s="1" t="n">
        <v>0</v>
      </c>
      <c r="H888" s="1" t="n">
        <v>1000</v>
      </c>
      <c r="I888" s="36"/>
      <c r="J888" s="1" t="s">
        <v>1402</v>
      </c>
    </row>
    <row r="889" s="10" customFormat="true" ht="13.8" hidden="false" customHeight="false" outlineLevel="0" collapsed="false">
      <c r="A889" s="53" t="s">
        <v>1403</v>
      </c>
      <c r="B889" s="53" t="n">
        <f aca="false">0</f>
        <v>0</v>
      </c>
      <c r="C889" s="53" t="n">
        <f aca="false">-1+1</f>
        <v>0</v>
      </c>
      <c r="D889" s="53" t="s">
        <v>68</v>
      </c>
      <c r="E889" s="53" t="s">
        <v>1404</v>
      </c>
      <c r="F889" s="53" t="s">
        <v>1405</v>
      </c>
      <c r="G889" s="53" t="n">
        <v>0</v>
      </c>
      <c r="H889" s="53" t="n">
        <v>1000</v>
      </c>
      <c r="I889" s="36"/>
      <c r="J889" s="53" t="s">
        <v>1406</v>
      </c>
    </row>
    <row r="890" s="10" customFormat="true" ht="13.8" hidden="false" customHeight="false" outlineLevel="0" collapsed="false">
      <c r="A890" s="78" t="s">
        <v>1387</v>
      </c>
      <c r="B890" s="2"/>
      <c r="C890" s="2"/>
      <c r="D890" s="3"/>
      <c r="E890" s="21" t="s">
        <v>1388</v>
      </c>
      <c r="F890" s="21" t="s">
        <v>1389</v>
      </c>
      <c r="G890" s="21" t="n">
        <v>-1000</v>
      </c>
      <c r="H890" s="21" t="n">
        <v>1000</v>
      </c>
      <c r="I890" s="21"/>
      <c r="J890" s="21" t="s">
        <v>737</v>
      </c>
    </row>
    <row r="891" s="10" customFormat="true" ht="13.8" hidden="false" customHeight="false" outlineLevel="0" collapsed="false">
      <c r="A891" s="78" t="s">
        <v>1390</v>
      </c>
      <c r="B891" s="2"/>
      <c r="C891" s="79"/>
      <c r="D891" s="3"/>
      <c r="E891" s="21" t="s">
        <v>1391</v>
      </c>
      <c r="F891" s="21" t="s">
        <v>1392</v>
      </c>
      <c r="G891" s="21" t="n">
        <v>-1000</v>
      </c>
      <c r="H891" s="21" t="n">
        <v>1000</v>
      </c>
      <c r="I891" s="21"/>
      <c r="J891" s="21" t="s">
        <v>737</v>
      </c>
    </row>
    <row r="892" s="10" customFormat="true" ht="13.8" hidden="false" customHeight="false" outlineLevel="0" collapsed="false">
      <c r="A892" s="21" t="s">
        <v>1393</v>
      </c>
      <c r="B892" s="37"/>
      <c r="C892" s="37"/>
      <c r="D892" s="38"/>
      <c r="E892" s="21" t="s">
        <v>1394</v>
      </c>
      <c r="F892" s="21" t="s">
        <v>1395</v>
      </c>
      <c r="G892" s="21" t="n">
        <v>0</v>
      </c>
      <c r="H892" s="21" t="n">
        <v>1000</v>
      </c>
      <c r="I892" s="21"/>
      <c r="J892" s="21" t="s">
        <v>737</v>
      </c>
    </row>
    <row r="893" s="10" customFormat="true" ht="13.8" hidden="false" customHeight="false" outlineLevel="0" collapsed="false">
      <c r="A893" s="78" t="s">
        <v>1396</v>
      </c>
      <c r="B893" s="2"/>
      <c r="C893" s="2"/>
      <c r="D893" s="3"/>
      <c r="E893" s="1"/>
      <c r="F893" s="1"/>
      <c r="G893" s="1"/>
      <c r="H893" s="1"/>
      <c r="I893" s="1"/>
      <c r="J893" s="1"/>
    </row>
    <row r="894" s="10" customFormat="true" ht="13.8" hidden="false" customHeight="false" outlineLevel="0" collapsed="false">
      <c r="A894" s="1"/>
      <c r="B894" s="1"/>
      <c r="C894" s="1"/>
      <c r="D894" s="1"/>
      <c r="E894" s="1"/>
      <c r="F894" s="1"/>
      <c r="G894" s="1"/>
      <c r="H894" s="1"/>
      <c r="I894" s="1"/>
      <c r="J894" s="0"/>
    </row>
    <row r="895" s="10" customFormat="true" ht="14.25" hidden="false" customHeight="false" outlineLevel="0" collapsed="false">
      <c r="A895" s="1" t="s">
        <v>831</v>
      </c>
      <c r="B895" s="1"/>
      <c r="C895" s="1"/>
      <c r="D895" s="1"/>
      <c r="E895" s="1"/>
      <c r="F895" s="1"/>
      <c r="G895" s="1"/>
      <c r="H895" s="1"/>
      <c r="I895" s="1"/>
      <c r="J895" s="0"/>
    </row>
    <row r="896" s="10" customFormat="true" ht="14.25" hidden="false" customHeight="false" outlineLevel="0" collapsed="false">
      <c r="A896" s="1" t="s">
        <v>746</v>
      </c>
      <c r="B896" s="1"/>
      <c r="C896" s="1"/>
      <c r="D896" s="1"/>
      <c r="E896" s="1"/>
      <c r="F896" s="1"/>
      <c r="G896" s="1"/>
      <c r="H896" s="1"/>
      <c r="I896" s="1"/>
      <c r="J896" s="0"/>
    </row>
    <row r="897" s="10" customFormat="true" ht="13.8" hidden="false" customHeight="false" outlineLevel="0" collapsed="false">
      <c r="A897" s="1"/>
      <c r="B897" s="1"/>
      <c r="C897" s="1"/>
      <c r="D897" s="1"/>
      <c r="E897" s="1"/>
      <c r="F897" s="1"/>
      <c r="G897" s="1"/>
      <c r="H897" s="1"/>
      <c r="I897" s="1"/>
      <c r="J897" s="0"/>
    </row>
    <row r="898" s="10" customFormat="true" ht="13.8" hidden="false" customHeight="false" outlineLevel="0" collapsed="false">
      <c r="A898" s="6" t="s">
        <v>1407</v>
      </c>
      <c r="B898" s="7" t="s">
        <v>10</v>
      </c>
      <c r="C898" s="8"/>
      <c r="D898" s="8"/>
      <c r="E898" s="8"/>
      <c r="F898" s="8"/>
      <c r="G898" s="8"/>
      <c r="H898" s="8"/>
      <c r="I898" s="8"/>
      <c r="J898" s="9" t="s">
        <v>1408</v>
      </c>
      <c r="K898" s="9"/>
      <c r="L898" s="9"/>
    </row>
    <row r="899" s="10" customFormat="true" ht="13.8" hidden="false" customHeight="false" outlineLevel="0" collapsed="false">
      <c r="A899" s="31" t="s">
        <v>1409</v>
      </c>
      <c r="B899" s="1"/>
      <c r="C899" s="1"/>
      <c r="D899" s="1"/>
      <c r="E899" s="1"/>
      <c r="F899" s="1"/>
      <c r="G899" s="1"/>
      <c r="H899" s="1"/>
      <c r="I899" s="1"/>
      <c r="J899" s="0"/>
    </row>
    <row r="900" s="10" customFormat="true" ht="14.25" hidden="false" customHeight="false" outlineLevel="0" collapsed="false">
      <c r="A900" s="116" t="s">
        <v>1410</v>
      </c>
      <c r="B900" s="116"/>
      <c r="C900" s="116"/>
      <c r="D900" s="116"/>
      <c r="E900" s="116" t="s">
        <v>1411</v>
      </c>
      <c r="F900" s="116" t="s">
        <v>1412</v>
      </c>
      <c r="G900" s="116" t="n">
        <v>0</v>
      </c>
      <c r="H900" s="116" t="n">
        <v>1000</v>
      </c>
      <c r="I900" s="116" t="s">
        <v>15</v>
      </c>
      <c r="J900" s="0"/>
    </row>
    <row r="901" s="10" customFormat="true" ht="14.25" hidden="false" customHeight="false" outlineLevel="0" collapsed="false">
      <c r="A901" s="116" t="s">
        <v>1413</v>
      </c>
      <c r="B901" s="116"/>
      <c r="C901" s="116"/>
      <c r="D901" s="116"/>
      <c r="E901" s="116" t="s">
        <v>1414</v>
      </c>
      <c r="F901" s="116" t="s">
        <v>1415</v>
      </c>
      <c r="G901" s="116" t="n">
        <v>0</v>
      </c>
      <c r="H901" s="116" t="n">
        <v>1000</v>
      </c>
      <c r="I901" s="116" t="s">
        <v>15</v>
      </c>
      <c r="J901" s="0"/>
    </row>
    <row r="902" s="10" customFormat="true" ht="13.8" hidden="false" customHeight="false" outlineLevel="0" collapsed="false">
      <c r="A902" s="116" t="s">
        <v>1416</v>
      </c>
      <c r="B902" s="116"/>
      <c r="C902" s="116"/>
      <c r="D902" s="116"/>
      <c r="E902" s="116" t="s">
        <v>1417</v>
      </c>
      <c r="F902" s="116" t="s">
        <v>1418</v>
      </c>
      <c r="G902" s="116" t="n">
        <v>0</v>
      </c>
      <c r="H902" s="116" t="n">
        <v>1000</v>
      </c>
      <c r="I902" s="116" t="s">
        <v>15</v>
      </c>
      <c r="J902" s="0"/>
    </row>
    <row r="903" s="10" customFormat="true" ht="13.8" hidden="false" customHeight="false" outlineLevel="0" collapsed="false">
      <c r="A903" s="116" t="s">
        <v>1419</v>
      </c>
      <c r="B903" s="116"/>
      <c r="C903" s="116"/>
      <c r="D903" s="116"/>
      <c r="E903" s="116" t="s">
        <v>1420</v>
      </c>
      <c r="F903" s="116" t="s">
        <v>1421</v>
      </c>
      <c r="G903" s="116" t="n">
        <v>-1000</v>
      </c>
      <c r="H903" s="116" t="n">
        <v>1000</v>
      </c>
      <c r="I903" s="116" t="s">
        <v>15</v>
      </c>
      <c r="J903" s="0"/>
    </row>
    <row r="904" s="10" customFormat="true" ht="13.8" hidden="false" customHeight="false" outlineLevel="0" collapsed="false">
      <c r="A904" s="117" t="s">
        <v>1422</v>
      </c>
      <c r="B904" s="117"/>
      <c r="C904" s="117"/>
      <c r="D904" s="117"/>
      <c r="E904" s="117" t="s">
        <v>1423</v>
      </c>
      <c r="F904" s="117" t="s">
        <v>1424</v>
      </c>
      <c r="G904" s="53" t="n">
        <v>-1000</v>
      </c>
      <c r="H904" s="117" t="n">
        <v>1000</v>
      </c>
      <c r="I904" s="116" t="s">
        <v>15</v>
      </c>
      <c r="J904" s="1" t="s">
        <v>1425</v>
      </c>
    </row>
    <row r="905" s="10" customFormat="true" ht="13.8" hidden="false" customHeight="false" outlineLevel="0" collapsed="false">
      <c r="A905" s="117" t="s">
        <v>1426</v>
      </c>
      <c r="B905" s="117"/>
      <c r="C905" s="117"/>
      <c r="D905" s="117"/>
      <c r="E905" s="117" t="s">
        <v>1427</v>
      </c>
      <c r="F905" s="117" t="s">
        <v>1428</v>
      </c>
      <c r="G905" s="116" t="n">
        <v>-1000</v>
      </c>
      <c r="H905" s="116" t="n">
        <v>1000</v>
      </c>
      <c r="I905" s="117" t="s">
        <v>15</v>
      </c>
      <c r="J905" s="0"/>
    </row>
    <row r="906" s="10" customFormat="true" ht="13.8" hidden="false" customHeight="false" outlineLevel="0" collapsed="false">
      <c r="A906" s="117" t="s">
        <v>1429</v>
      </c>
      <c r="B906" s="117"/>
      <c r="C906" s="117"/>
      <c r="D906" s="117"/>
      <c r="E906" s="117" t="s">
        <v>1430</v>
      </c>
      <c r="F906" s="117" t="s">
        <v>1431</v>
      </c>
      <c r="G906" s="117" t="n">
        <v>0</v>
      </c>
      <c r="H906" s="117" t="n">
        <v>1000</v>
      </c>
      <c r="I906" s="117" t="s">
        <v>15</v>
      </c>
      <c r="J906" s="0"/>
    </row>
    <row r="907" s="10" customFormat="true" ht="13.8" hidden="false" customHeight="false" outlineLevel="0" collapsed="false">
      <c r="A907" s="21" t="s">
        <v>1432</v>
      </c>
      <c r="B907" s="117"/>
      <c r="C907" s="117"/>
      <c r="D907" s="117"/>
      <c r="E907" s="117"/>
      <c r="F907" s="117"/>
      <c r="G907" s="117"/>
      <c r="H907" s="117"/>
      <c r="I907" s="117"/>
      <c r="J907" s="0"/>
    </row>
    <row r="908" s="10" customFormat="true" ht="13.8" hidden="false" customHeight="false" outlineLevel="0" collapsed="false">
      <c r="A908" s="1"/>
      <c r="B908" s="1"/>
      <c r="C908" s="1"/>
      <c r="D908" s="1"/>
      <c r="E908" s="1"/>
      <c r="F908" s="1"/>
      <c r="G908" s="1"/>
      <c r="H908" s="1"/>
      <c r="I908" s="1"/>
      <c r="J908" s="0"/>
    </row>
    <row r="909" s="10" customFormat="true" ht="14.25" hidden="false" customHeight="false" outlineLevel="0" collapsed="false">
      <c r="A909" s="1" t="s">
        <v>1433</v>
      </c>
      <c r="B909" s="1"/>
      <c r="C909" s="1"/>
      <c r="D909" s="1"/>
      <c r="E909" s="1"/>
      <c r="F909" s="1"/>
      <c r="G909" s="1"/>
      <c r="H909" s="1"/>
      <c r="I909" s="1"/>
      <c r="J909" s="0"/>
    </row>
    <row r="910" s="10" customFormat="true" ht="13.8" hidden="false" customHeight="false" outlineLevel="0" collapsed="false">
      <c r="A910" s="1"/>
      <c r="B910" s="1"/>
      <c r="C910" s="1"/>
      <c r="D910" s="1"/>
      <c r="E910" s="1"/>
      <c r="F910" s="1"/>
      <c r="G910" s="1"/>
      <c r="H910" s="1"/>
      <c r="I910" s="1"/>
      <c r="J910" s="0"/>
    </row>
    <row r="911" s="10" customFormat="true" ht="13.8" hidden="false" customHeight="false" outlineLevel="0" collapsed="false">
      <c r="A911" s="6" t="s">
        <v>1434</v>
      </c>
      <c r="B911" s="7" t="s">
        <v>10</v>
      </c>
      <c r="C911" s="8"/>
      <c r="D911" s="8"/>
      <c r="E911" s="8"/>
      <c r="F911" s="8"/>
      <c r="G911" s="8"/>
      <c r="H911" s="8"/>
      <c r="I911" s="8"/>
      <c r="J911" s="9" t="s">
        <v>1435</v>
      </c>
      <c r="K911" s="9"/>
      <c r="L911" s="9"/>
    </row>
    <row r="912" s="10" customFormat="true" ht="15" hidden="false" customHeight="false" outlineLevel="0" collapsed="false">
      <c r="A912" s="48" t="s">
        <v>353</v>
      </c>
      <c r="B912" s="48"/>
      <c r="C912" s="70"/>
      <c r="D912" s="70"/>
      <c r="E912" s="48" t="s">
        <v>354</v>
      </c>
      <c r="F912" s="48" t="s">
        <v>355</v>
      </c>
      <c r="G912" s="70" t="n">
        <v>0</v>
      </c>
      <c r="H912" s="70" t="n">
        <v>1000</v>
      </c>
      <c r="I912" s="56" t="s">
        <v>15</v>
      </c>
      <c r="J912" s="1" t="s">
        <v>356</v>
      </c>
      <c r="K912" s="0"/>
      <c r="L912" s="0"/>
      <c r="M912" s="0"/>
      <c r="N912" s="0"/>
      <c r="O912" s="0"/>
    </row>
    <row r="913" s="10" customFormat="true" ht="15" hidden="false" customHeight="false" outlineLevel="0" collapsed="false">
      <c r="A913" s="48" t="s">
        <v>357</v>
      </c>
      <c r="B913" s="48"/>
      <c r="C913" s="70"/>
      <c r="D913" s="70"/>
      <c r="E913" s="48" t="s">
        <v>358</v>
      </c>
      <c r="F913" s="48" t="s">
        <v>359</v>
      </c>
      <c r="G913" s="70" t="n">
        <v>-1000</v>
      </c>
      <c r="H913" s="70" t="n">
        <v>1000</v>
      </c>
      <c r="I913" s="56" t="s">
        <v>15</v>
      </c>
      <c r="J913" s="1" t="s">
        <v>360</v>
      </c>
      <c r="K913" s="0"/>
      <c r="L913" s="0"/>
      <c r="M913" s="0"/>
      <c r="N913" s="0"/>
      <c r="O913" s="0"/>
    </row>
    <row r="914" s="10" customFormat="true" ht="14.15" hidden="false" customHeight="false" outlineLevel="0" collapsed="false">
      <c r="A914" s="55" t="s">
        <v>361</v>
      </c>
      <c r="B914" s="48"/>
      <c r="C914" s="70"/>
      <c r="D914" s="70"/>
      <c r="E914" s="48" t="s">
        <v>362</v>
      </c>
      <c r="F914" s="48" t="s">
        <v>363</v>
      </c>
      <c r="G914" s="70" t="n">
        <v>0</v>
      </c>
      <c r="H914" s="70" t="n">
        <v>1000</v>
      </c>
      <c r="I914" s="56" t="s">
        <v>15</v>
      </c>
      <c r="J914" s="0"/>
      <c r="K914" s="0"/>
      <c r="L914" s="0"/>
      <c r="M914" s="0"/>
      <c r="N914" s="0"/>
      <c r="O914" s="0"/>
    </row>
    <row r="915" s="10" customFormat="true" ht="14.15" hidden="false" customHeight="false" outlineLevel="0" collapsed="false">
      <c r="A915" s="48" t="s">
        <v>364</v>
      </c>
      <c r="B915" s="48"/>
      <c r="C915" s="70"/>
      <c r="D915" s="70"/>
      <c r="E915" s="48" t="s">
        <v>365</v>
      </c>
      <c r="F915" s="48" t="s">
        <v>366</v>
      </c>
      <c r="G915" s="70" t="n">
        <v>0</v>
      </c>
      <c r="H915" s="70" t="n">
        <v>1000</v>
      </c>
      <c r="I915" s="56" t="s">
        <v>15</v>
      </c>
      <c r="J915" s="0"/>
      <c r="K915" s="0"/>
      <c r="L915" s="0"/>
      <c r="M915" s="0"/>
      <c r="N915" s="0"/>
      <c r="O915" s="0"/>
    </row>
    <row r="916" s="10" customFormat="true" ht="14.15" hidden="false" customHeight="false" outlineLevel="0" collapsed="false">
      <c r="A916" s="48" t="s">
        <v>1436</v>
      </c>
      <c r="B916" s="48"/>
      <c r="C916" s="70"/>
      <c r="D916" s="70"/>
      <c r="E916" s="48" t="s">
        <v>368</v>
      </c>
      <c r="F916" s="48" t="s">
        <v>1437</v>
      </c>
      <c r="G916" s="70" t="n">
        <v>0</v>
      </c>
      <c r="H916" s="70" t="n">
        <v>1000</v>
      </c>
      <c r="I916" s="56" t="s">
        <v>15</v>
      </c>
      <c r="J916" s="0"/>
      <c r="K916" s="0"/>
      <c r="L916" s="0"/>
      <c r="M916" s="0"/>
      <c r="N916" s="0"/>
      <c r="O916" s="0"/>
    </row>
    <row r="917" s="10" customFormat="true" ht="13.8" hidden="false" customHeight="false" outlineLevel="0" collapsed="false">
      <c r="A917" s="48" t="s">
        <v>1438</v>
      </c>
      <c r="B917" s="48"/>
      <c r="C917" s="70"/>
      <c r="D917" s="70"/>
      <c r="E917" s="48" t="s">
        <v>528</v>
      </c>
      <c r="F917" s="48" t="s">
        <v>529</v>
      </c>
      <c r="G917" s="70" t="n">
        <v>-1000</v>
      </c>
      <c r="H917" s="70" t="n">
        <v>1000</v>
      </c>
      <c r="I917" s="56" t="s">
        <v>15</v>
      </c>
      <c r="J917" s="0"/>
      <c r="K917" s="0"/>
      <c r="L917" s="0"/>
      <c r="M917" s="0"/>
      <c r="N917" s="0"/>
      <c r="O917" s="0"/>
    </row>
    <row r="918" s="10" customFormat="true" ht="13.8" hidden="false" customHeight="false" outlineLevel="0" collapsed="false">
      <c r="A918" s="1" t="s">
        <v>531</v>
      </c>
      <c r="B918" s="2"/>
      <c r="C918" s="2"/>
      <c r="D918" s="3"/>
      <c r="E918" s="1" t="s">
        <v>532</v>
      </c>
      <c r="F918" s="1" t="s">
        <v>533</v>
      </c>
      <c r="G918" s="1" t="n">
        <v>0</v>
      </c>
      <c r="H918" s="1" t="n">
        <v>1000</v>
      </c>
      <c r="I918" s="36"/>
      <c r="J918" s="1" t="s">
        <v>534</v>
      </c>
      <c r="K918" s="1"/>
      <c r="L918" s="1"/>
      <c r="M918" s="0"/>
      <c r="N918" s="0"/>
      <c r="O918" s="0"/>
    </row>
    <row r="919" s="10" customFormat="true" ht="13.8" hidden="false" customHeight="false" outlineLevel="0" collapsed="false">
      <c r="A919" s="1" t="s">
        <v>1439</v>
      </c>
      <c r="B919" s="1"/>
      <c r="C919" s="1"/>
      <c r="D919" s="1"/>
      <c r="E919" s="1" t="s">
        <v>1440</v>
      </c>
      <c r="F919" s="1" t="s">
        <v>1441</v>
      </c>
      <c r="G919" s="1" t="n">
        <v>0</v>
      </c>
      <c r="H919" s="0" t="n">
        <v>1000</v>
      </c>
      <c r="I919" s="65"/>
      <c r="J919" s="1" t="s">
        <v>1442</v>
      </c>
      <c r="K919" s="0"/>
      <c r="L919" s="0"/>
      <c r="M919" s="0"/>
      <c r="N919" s="0"/>
      <c r="O919" s="0"/>
    </row>
    <row r="920" s="10" customFormat="true" ht="14.15" hidden="false" customHeight="false" outlineLevel="0" collapsed="false">
      <c r="A920" s="21" t="s">
        <v>1443</v>
      </c>
      <c r="B920" s="37"/>
      <c r="C920" s="37"/>
      <c r="D920" s="38"/>
      <c r="E920" s="21" t="s">
        <v>1444</v>
      </c>
      <c r="F920" s="21" t="s">
        <v>1445</v>
      </c>
      <c r="G920" s="22" t="n">
        <v>-1000</v>
      </c>
      <c r="H920" s="22" t="n">
        <v>1000</v>
      </c>
      <c r="I920" s="23"/>
      <c r="J920" s="22" t="s">
        <v>32</v>
      </c>
      <c r="K920" s="0"/>
      <c r="L920" s="0"/>
      <c r="M920" s="0"/>
      <c r="N920" s="0"/>
      <c r="O920" s="0"/>
    </row>
    <row r="921" s="10" customFormat="true" ht="14.15" hidden="false" customHeight="false" outlineLevel="0" collapsed="false">
      <c r="A921" s="21" t="s">
        <v>1446</v>
      </c>
      <c r="B921" s="37"/>
      <c r="C921" s="72"/>
      <c r="D921" s="38"/>
      <c r="E921" s="21" t="s">
        <v>1447</v>
      </c>
      <c r="F921" s="21" t="s">
        <v>1448</v>
      </c>
      <c r="G921" s="22" t="n">
        <v>-1000</v>
      </c>
      <c r="H921" s="22" t="n">
        <v>1000</v>
      </c>
      <c r="I921" s="23"/>
      <c r="J921" s="22" t="s">
        <v>32</v>
      </c>
      <c r="K921" s="0"/>
      <c r="L921" s="0"/>
      <c r="M921" s="0"/>
      <c r="N921" s="0"/>
      <c r="O921" s="0"/>
    </row>
    <row r="922" s="10" customFormat="true" ht="14.15" hidden="false" customHeight="false" outlineLevel="0" collapsed="false">
      <c r="A922" s="21" t="s">
        <v>1449</v>
      </c>
      <c r="B922" s="37"/>
      <c r="C922" s="37"/>
      <c r="D922" s="38"/>
      <c r="E922" s="21" t="s">
        <v>1450</v>
      </c>
      <c r="F922" s="21" t="s">
        <v>1451</v>
      </c>
      <c r="G922" s="21" t="n">
        <v>0</v>
      </c>
      <c r="H922" s="21" t="n">
        <v>1000</v>
      </c>
      <c r="I922" s="23"/>
      <c r="J922" s="22" t="s">
        <v>32</v>
      </c>
      <c r="K922" s="0"/>
      <c r="L922" s="0"/>
      <c r="M922" s="0"/>
      <c r="N922" s="0"/>
      <c r="O922" s="0"/>
    </row>
    <row r="923" s="10" customFormat="true" ht="13.8" hidden="false" customHeight="false" outlineLevel="0" collapsed="false">
      <c r="A923" s="21" t="s">
        <v>1452</v>
      </c>
      <c r="B923" s="17"/>
      <c r="C923" s="17"/>
      <c r="D923" s="18"/>
      <c r="E923" s="19"/>
      <c r="F923" s="19"/>
      <c r="G923" s="19"/>
      <c r="H923" s="19"/>
      <c r="I923" s="19"/>
      <c r="J923" s="19"/>
      <c r="K923" s="0"/>
      <c r="L923" s="0"/>
      <c r="M923" s="0"/>
      <c r="N923" s="0"/>
      <c r="O923" s="0"/>
    </row>
    <row r="924" s="10" customFormat="true" ht="13.8" hidden="false" customHeight="false" outlineLevel="0" collapsed="false">
      <c r="A924" s="21"/>
      <c r="B924" s="17"/>
      <c r="C924" s="17"/>
      <c r="D924" s="18"/>
      <c r="E924" s="19"/>
      <c r="F924" s="19"/>
      <c r="G924" s="19"/>
      <c r="H924" s="19"/>
      <c r="I924" s="19"/>
      <c r="J924" s="19"/>
      <c r="K924" s="0"/>
      <c r="L924" s="0"/>
      <c r="M924" s="0"/>
      <c r="N924" s="0"/>
      <c r="O924" s="0"/>
    </row>
    <row r="925" s="10" customFormat="true" ht="14.15" hidden="false" customHeight="false" outlineLevel="0" collapsed="false">
      <c r="A925" s="1" t="s">
        <v>1453</v>
      </c>
      <c r="B925" s="0"/>
      <c r="C925" s="0"/>
      <c r="D925" s="0"/>
      <c r="E925" s="0"/>
      <c r="F925" s="0"/>
      <c r="G925" s="0"/>
      <c r="H925" s="0"/>
      <c r="I925" s="0"/>
      <c r="J925" s="0"/>
      <c r="K925" s="0"/>
      <c r="L925" s="0"/>
      <c r="M925" s="0"/>
      <c r="N925" s="0"/>
      <c r="O925" s="0"/>
    </row>
    <row r="926" s="10" customFormat="true" ht="14.15" hidden="false" customHeight="false" outlineLevel="0" collapsed="false">
      <c r="A926" s="1" t="s">
        <v>1454</v>
      </c>
      <c r="B926" s="0"/>
      <c r="C926" s="0"/>
      <c r="D926" s="0"/>
      <c r="E926" s="0"/>
      <c r="F926" s="0"/>
      <c r="G926" s="0"/>
      <c r="H926" s="0"/>
      <c r="I926" s="0"/>
      <c r="J926" s="0"/>
      <c r="K926" s="0"/>
      <c r="L926" s="0"/>
      <c r="M926" s="0"/>
      <c r="N926" s="0"/>
      <c r="O926" s="0"/>
    </row>
    <row r="927" s="10" customFormat="true" ht="14.15" hidden="false" customHeight="false" outlineLevel="0" collapsed="false">
      <c r="A927" s="1" t="s">
        <v>1455</v>
      </c>
      <c r="B927" s="0"/>
      <c r="C927" s="0"/>
      <c r="D927" s="0"/>
      <c r="E927" s="0"/>
      <c r="F927" s="0"/>
      <c r="G927" s="0"/>
      <c r="H927" s="0"/>
      <c r="I927" s="0"/>
      <c r="J927" s="0"/>
      <c r="K927" s="0"/>
      <c r="L927" s="0"/>
      <c r="M927" s="0"/>
      <c r="N927" s="0"/>
      <c r="O927" s="0"/>
    </row>
    <row r="928" s="10" customFormat="true" ht="13.8" hidden="false" customHeight="false" outlineLevel="0" collapsed="false">
      <c r="A928" s="1" t="s">
        <v>136</v>
      </c>
      <c r="B928" s="0"/>
      <c r="C928" s="0"/>
      <c r="D928" s="0"/>
      <c r="E928" s="0"/>
      <c r="F928" s="0"/>
      <c r="G928" s="0"/>
      <c r="H928" s="0"/>
      <c r="I928" s="0"/>
      <c r="J928" s="0"/>
      <c r="K928" s="0"/>
      <c r="L928" s="0"/>
      <c r="M928" s="0"/>
      <c r="N928" s="0"/>
      <c r="O928" s="0"/>
    </row>
    <row r="929" s="10" customFormat="true" ht="14.15" hidden="false" customHeight="false" outlineLevel="0" collapsed="false">
      <c r="A929" s="1" t="s">
        <v>392</v>
      </c>
      <c r="B929" s="0"/>
      <c r="C929" s="0"/>
      <c r="D929" s="0"/>
      <c r="E929" s="0"/>
      <c r="F929" s="0"/>
      <c r="G929" s="0"/>
      <c r="H929" s="0"/>
      <c r="I929" s="0"/>
      <c r="J929" s="0"/>
    </row>
    <row r="930" s="10" customFormat="true" ht="14.15" hidden="false" customHeight="false" outlineLevel="0" collapsed="false">
      <c r="A930" s="1" t="s">
        <v>556</v>
      </c>
      <c r="B930" s="0"/>
      <c r="C930" s="0"/>
      <c r="D930" s="0"/>
      <c r="E930" s="0"/>
      <c r="F930" s="0"/>
      <c r="G930" s="0"/>
      <c r="H930" s="0"/>
      <c r="I930" s="0"/>
      <c r="J930" s="0"/>
    </row>
    <row r="931" s="10" customFormat="true" ht="13.8" hidden="false" customHeight="false" outlineLevel="0" collapsed="false">
      <c r="A931" s="1"/>
      <c r="B931" s="0"/>
      <c r="C931" s="0"/>
      <c r="D931" s="0"/>
      <c r="E931" s="0"/>
      <c r="F931" s="0"/>
      <c r="G931" s="0"/>
      <c r="H931" s="0"/>
      <c r="I931" s="0"/>
      <c r="J931" s="0"/>
    </row>
    <row r="932" s="15" customFormat="true" ht="13.8" hidden="false" customHeight="false" outlineLevel="0" collapsed="false">
      <c r="A932" s="118" t="s">
        <v>1456</v>
      </c>
      <c r="B932" s="119"/>
      <c r="C932" s="120"/>
      <c r="D932" s="120"/>
      <c r="E932" s="120"/>
      <c r="F932" s="120"/>
      <c r="G932" s="120"/>
      <c r="H932" s="120"/>
      <c r="I932" s="120"/>
      <c r="J932" s="98"/>
      <c r="K932" s="98"/>
      <c r="L932" s="98"/>
    </row>
    <row r="933" s="15" customFormat="true" ht="13.8" hidden="false" customHeight="false" outlineLevel="0" collapsed="false">
      <c r="A933" s="16"/>
      <c r="B933" s="17"/>
      <c r="C933" s="17"/>
      <c r="D933" s="26"/>
      <c r="E933" s="19"/>
      <c r="F933" s="19"/>
      <c r="G933" s="19"/>
      <c r="H933" s="19"/>
      <c r="I933" s="19"/>
      <c r="J933" s="19"/>
    </row>
    <row r="934" s="15" customFormat="true" ht="14.25" hidden="false" customHeight="false" outlineLevel="0" collapsed="false">
      <c r="A934" s="6" t="s">
        <v>1457</v>
      </c>
      <c r="B934" s="121" t="s">
        <v>1458</v>
      </c>
      <c r="C934" s="17"/>
      <c r="D934" s="18"/>
      <c r="E934" s="19"/>
      <c r="F934" s="19"/>
      <c r="G934" s="19"/>
      <c r="H934" s="19"/>
      <c r="I934" s="19"/>
      <c r="J934" s="19"/>
      <c r="K934" s="122"/>
    </row>
    <row r="935" s="15" customFormat="true" ht="14.25" hidden="false" customHeight="false" outlineLevel="0" collapsed="false">
      <c r="A935" s="35" t="s">
        <v>1459</v>
      </c>
      <c r="B935" s="17"/>
      <c r="C935" s="17"/>
      <c r="D935" s="18"/>
      <c r="E935" s="19"/>
      <c r="F935" s="19"/>
      <c r="G935" s="19"/>
      <c r="H935" s="19"/>
      <c r="I935" s="19"/>
      <c r="J935" s="19"/>
      <c r="K935" s="122"/>
    </row>
    <row r="936" s="15" customFormat="true" ht="14.25" hidden="false" customHeight="false" outlineLevel="0" collapsed="false">
      <c r="A936" s="123" t="s">
        <v>1460</v>
      </c>
      <c r="B936" s="124"/>
      <c r="C936" s="124"/>
      <c r="D936" s="125"/>
      <c r="E936" s="123" t="s">
        <v>1461</v>
      </c>
      <c r="F936" s="123" t="s">
        <v>1462</v>
      </c>
      <c r="G936" s="126" t="n">
        <v>0</v>
      </c>
      <c r="H936" s="126" t="n">
        <v>1000</v>
      </c>
      <c r="I936" s="126" t="s">
        <v>15</v>
      </c>
      <c r="J936" s="126" t="s">
        <v>1463</v>
      </c>
      <c r="K936" s="122"/>
    </row>
    <row r="937" s="15" customFormat="true" ht="14.25" hidden="false" customHeight="false" outlineLevel="0" collapsed="false">
      <c r="A937" s="127" t="s">
        <v>1464</v>
      </c>
      <c r="B937" s="124"/>
      <c r="C937" s="124"/>
      <c r="D937" s="125"/>
      <c r="E937" s="126" t="s">
        <v>1465</v>
      </c>
      <c r="F937" s="126" t="s">
        <v>1466</v>
      </c>
      <c r="G937" s="128" t="n">
        <v>0</v>
      </c>
      <c r="H937" s="128" t="n">
        <v>1000</v>
      </c>
      <c r="I937" s="126" t="s">
        <v>15</v>
      </c>
      <c r="J937" s="126" t="s">
        <v>1463</v>
      </c>
      <c r="K937" s="122"/>
    </row>
    <row r="938" s="15" customFormat="true" ht="14.25" hidden="false" customHeight="false" outlineLevel="0" collapsed="false">
      <c r="A938" s="129" t="s">
        <v>1467</v>
      </c>
      <c r="B938" s="124"/>
      <c r="C938" s="124"/>
      <c r="D938" s="125"/>
      <c r="E938" s="128" t="s">
        <v>1468</v>
      </c>
      <c r="F938" s="128" t="s">
        <v>1469</v>
      </c>
      <c r="G938" s="128" t="n">
        <v>-1000</v>
      </c>
      <c r="H938" s="128" t="n">
        <v>1000</v>
      </c>
      <c r="I938" s="128" t="s">
        <v>15</v>
      </c>
      <c r="J938" s="128" t="s">
        <v>1463</v>
      </c>
      <c r="K938" s="122"/>
    </row>
    <row r="939" s="15" customFormat="true" ht="14.25" hidden="false" customHeight="false" outlineLevel="0" collapsed="false">
      <c r="A939" s="129" t="s">
        <v>1470</v>
      </c>
      <c r="B939" s="124"/>
      <c r="C939" s="124"/>
      <c r="D939" s="125"/>
      <c r="E939" s="128" t="s">
        <v>1471</v>
      </c>
      <c r="F939" s="128" t="s">
        <v>1472</v>
      </c>
      <c r="G939" s="128" t="n">
        <v>0</v>
      </c>
      <c r="H939" s="128" t="n">
        <v>1000</v>
      </c>
      <c r="I939" s="128" t="s">
        <v>15</v>
      </c>
      <c r="J939" s="128" t="s">
        <v>1463</v>
      </c>
      <c r="K939" s="122"/>
    </row>
    <row r="940" s="15" customFormat="true" ht="13.8" hidden="false" customHeight="false" outlineLevel="0" collapsed="false">
      <c r="A940" s="35"/>
      <c r="B940" s="17"/>
      <c r="C940" s="17"/>
      <c r="D940" s="18"/>
      <c r="E940" s="19"/>
      <c r="F940" s="19"/>
      <c r="G940" s="19"/>
      <c r="H940" s="19"/>
      <c r="I940" s="19"/>
      <c r="J940" s="19"/>
      <c r="K940" s="122"/>
    </row>
    <row r="941" s="15" customFormat="true" ht="14.25" hidden="false" customHeight="false" outlineLevel="0" collapsed="false">
      <c r="A941" s="1" t="s">
        <v>1473</v>
      </c>
      <c r="B941" s="17"/>
      <c r="C941" s="17"/>
      <c r="D941" s="18"/>
      <c r="E941" s="19"/>
      <c r="F941" s="19"/>
      <c r="G941" s="19"/>
      <c r="H941" s="19"/>
      <c r="I941" s="19"/>
      <c r="J941" s="19"/>
      <c r="K941" s="122"/>
    </row>
    <row r="942" s="15" customFormat="true" ht="14.25" hidden="false" customHeight="false" outlineLevel="0" collapsed="false">
      <c r="A942" s="1" t="s">
        <v>1474</v>
      </c>
      <c r="B942" s="17"/>
      <c r="C942" s="17"/>
      <c r="D942" s="18"/>
      <c r="E942" s="19"/>
      <c r="F942" s="19"/>
      <c r="G942" s="19"/>
      <c r="H942" s="19"/>
      <c r="I942" s="19"/>
      <c r="J942" s="19"/>
      <c r="K942" s="122"/>
    </row>
    <row r="943" s="15" customFormat="true" ht="22.5" hidden="false" customHeight="true" outlineLevel="0" collapsed="false">
      <c r="A943" s="1"/>
      <c r="B943" s="17"/>
      <c r="C943" s="17"/>
      <c r="D943" s="18"/>
      <c r="E943" s="19"/>
      <c r="F943" s="19"/>
      <c r="G943" s="19"/>
      <c r="H943" s="19"/>
      <c r="I943" s="19"/>
      <c r="J943" s="19"/>
      <c r="K943" s="122"/>
    </row>
    <row r="944" s="15" customFormat="true" ht="14.25" hidden="false" customHeight="false" outlineLevel="0" collapsed="false">
      <c r="A944" s="6" t="s">
        <v>1475</v>
      </c>
      <c r="B944" s="121" t="s">
        <v>1476</v>
      </c>
      <c r="C944" s="17"/>
      <c r="D944" s="18"/>
      <c r="E944" s="19"/>
      <c r="F944" s="19"/>
      <c r="G944" s="19"/>
      <c r="H944" s="19"/>
      <c r="I944" s="19"/>
      <c r="J944" s="19"/>
    </row>
    <row r="945" s="15" customFormat="true" ht="13.8" hidden="false" customHeight="false" outlineLevel="0" collapsed="false">
      <c r="A945" s="35" t="s">
        <v>1477</v>
      </c>
      <c r="B945" s="17"/>
      <c r="C945" s="17"/>
      <c r="D945" s="18"/>
      <c r="E945" s="19"/>
      <c r="F945" s="19"/>
      <c r="G945" s="19"/>
      <c r="H945" s="19"/>
      <c r="I945" s="19"/>
      <c r="J945" s="19"/>
    </row>
    <row r="946" s="15" customFormat="true" ht="14.25" hidden="false" customHeight="false" outlineLevel="0" collapsed="false">
      <c r="A946" s="126" t="s">
        <v>1478</v>
      </c>
      <c r="B946" s="124"/>
      <c r="C946" s="124"/>
      <c r="D946" s="125"/>
      <c r="E946" s="126" t="s">
        <v>1479</v>
      </c>
      <c r="F946" s="126" t="s">
        <v>1480</v>
      </c>
      <c r="G946" s="130" t="n">
        <v>0</v>
      </c>
      <c r="H946" s="130" t="n">
        <v>1000</v>
      </c>
      <c r="I946" s="126" t="s">
        <v>15</v>
      </c>
      <c r="J946" s="126" t="s">
        <v>1463</v>
      </c>
      <c r="K946" s="126"/>
    </row>
    <row r="947" s="15" customFormat="true" ht="14.25" hidden="false" customHeight="false" outlineLevel="0" collapsed="false">
      <c r="A947" s="129" t="s">
        <v>1481</v>
      </c>
      <c r="B947" s="124"/>
      <c r="C947" s="124"/>
      <c r="D947" s="125"/>
      <c r="E947" s="128" t="s">
        <v>1482</v>
      </c>
      <c r="F947" s="128" t="s">
        <v>1483</v>
      </c>
      <c r="G947" s="131" t="n">
        <v>0</v>
      </c>
      <c r="H947" s="131" t="n">
        <v>1000</v>
      </c>
      <c r="I947" s="126" t="s">
        <v>15</v>
      </c>
      <c r="J947" s="126" t="s">
        <v>1463</v>
      </c>
      <c r="K947" s="126"/>
    </row>
    <row r="948" s="15" customFormat="true" ht="14.25" hidden="false" customHeight="false" outlineLevel="0" collapsed="false">
      <c r="A948" s="129" t="s">
        <v>1484</v>
      </c>
      <c r="B948" s="124"/>
      <c r="C948" s="124"/>
      <c r="D948" s="125"/>
      <c r="E948" s="128" t="s">
        <v>1485</v>
      </c>
      <c r="F948" s="128" t="s">
        <v>1486</v>
      </c>
      <c r="G948" s="131" t="n">
        <v>-1000</v>
      </c>
      <c r="H948" s="131" t="n">
        <v>1000</v>
      </c>
      <c r="I948" s="128" t="s">
        <v>15</v>
      </c>
      <c r="J948" s="128" t="s">
        <v>1463</v>
      </c>
      <c r="K948" s="126"/>
    </row>
    <row r="949" s="15" customFormat="true" ht="14.25" hidden="false" customHeight="false" outlineLevel="0" collapsed="false">
      <c r="A949" s="129" t="s">
        <v>1487</v>
      </c>
      <c r="B949" s="124"/>
      <c r="C949" s="124"/>
      <c r="D949" s="125"/>
      <c r="E949" s="128" t="s">
        <v>1488</v>
      </c>
      <c r="F949" s="128" t="s">
        <v>1489</v>
      </c>
      <c r="G949" s="131" t="n">
        <v>0</v>
      </c>
      <c r="H949" s="131" t="n">
        <v>1000</v>
      </c>
      <c r="I949" s="128" t="s">
        <v>15</v>
      </c>
      <c r="J949" s="128" t="s">
        <v>1463</v>
      </c>
      <c r="K949" s="126"/>
    </row>
    <row r="950" s="15" customFormat="true" ht="13.8" hidden="false" customHeight="false" outlineLevel="0" collapsed="false">
      <c r="A950" s="10"/>
      <c r="B950" s="17"/>
      <c r="C950" s="17"/>
      <c r="D950" s="18"/>
      <c r="E950" s="19"/>
      <c r="F950" s="19"/>
      <c r="G950" s="19"/>
      <c r="H950" s="19"/>
      <c r="I950" s="19"/>
      <c r="J950" s="19"/>
    </row>
    <row r="951" s="15" customFormat="true" ht="14.25" hidden="false" customHeight="false" outlineLevel="0" collapsed="false">
      <c r="A951" s="10" t="s">
        <v>1490</v>
      </c>
      <c r="B951" s="17"/>
      <c r="C951" s="17"/>
      <c r="D951" s="18"/>
      <c r="E951" s="19"/>
      <c r="F951" s="19"/>
      <c r="G951" s="19"/>
      <c r="H951" s="19"/>
      <c r="I951" s="19"/>
      <c r="J951" s="19"/>
    </row>
    <row r="952" s="15" customFormat="true" ht="13.8" hidden="false" customHeight="false" outlineLevel="0" collapsed="false">
      <c r="A952" s="10" t="s">
        <v>1491</v>
      </c>
      <c r="B952" s="17"/>
      <c r="C952" s="17"/>
      <c r="D952" s="18"/>
      <c r="E952" s="19"/>
      <c r="F952" s="19"/>
      <c r="G952" s="19"/>
      <c r="H952" s="19"/>
      <c r="I952" s="19"/>
      <c r="J952" s="19"/>
    </row>
    <row r="953" s="15" customFormat="true" ht="13.8" hidden="false" customHeight="false" outlineLevel="0" collapsed="false">
      <c r="A953" s="10"/>
      <c r="B953" s="17"/>
      <c r="C953" s="17"/>
      <c r="D953" s="18"/>
      <c r="E953" s="19"/>
      <c r="F953" s="19"/>
      <c r="G953" s="19"/>
      <c r="H953" s="19"/>
      <c r="I953" s="19"/>
      <c r="J953" s="19"/>
    </row>
    <row r="954" s="15" customFormat="true" ht="13.8" hidden="false" customHeight="false" outlineLevel="0" collapsed="false">
      <c r="A954" s="6" t="s">
        <v>1492</v>
      </c>
      <c r="B954" s="121" t="s">
        <v>1493</v>
      </c>
      <c r="C954" s="17"/>
      <c r="D954" s="18"/>
      <c r="E954" s="19"/>
      <c r="F954" s="19"/>
      <c r="G954" s="19"/>
      <c r="H954" s="19"/>
      <c r="I954" s="19"/>
      <c r="J954" s="19"/>
    </row>
    <row r="955" s="15" customFormat="true" ht="13.8" hidden="false" customHeight="false" outlineLevel="0" collapsed="false">
      <c r="A955" s="35" t="s">
        <v>1494</v>
      </c>
      <c r="B955" s="17"/>
      <c r="C955" s="17"/>
      <c r="D955" s="18"/>
      <c r="E955" s="19"/>
      <c r="F955" s="19"/>
      <c r="G955" s="19"/>
      <c r="H955" s="19"/>
      <c r="I955" s="19"/>
      <c r="J955" s="19"/>
    </row>
    <row r="956" s="126" customFormat="true" ht="14.25" hidden="false" customHeight="false" outlineLevel="0" collapsed="false">
      <c r="A956" s="132" t="s">
        <v>1495</v>
      </c>
      <c r="B956" s="124"/>
      <c r="C956" s="124"/>
      <c r="D956" s="125"/>
      <c r="E956" s="126" t="s">
        <v>1496</v>
      </c>
      <c r="F956" s="126" t="s">
        <v>1497</v>
      </c>
      <c r="G956" s="130" t="n">
        <v>0</v>
      </c>
      <c r="H956" s="130" t="n">
        <v>1000</v>
      </c>
      <c r="I956" s="126" t="s">
        <v>15</v>
      </c>
      <c r="J956" s="126" t="s">
        <v>1463</v>
      </c>
    </row>
    <row r="957" s="126" customFormat="true" ht="14.25" hidden="false" customHeight="false" outlineLevel="0" collapsed="false">
      <c r="A957" s="129" t="s">
        <v>1498</v>
      </c>
      <c r="B957" s="124"/>
      <c r="C957" s="124"/>
      <c r="D957" s="125"/>
      <c r="E957" s="128" t="s">
        <v>1499</v>
      </c>
      <c r="F957" s="128" t="s">
        <v>1500</v>
      </c>
      <c r="G957" s="131" t="n">
        <v>-1000</v>
      </c>
      <c r="H957" s="131" t="n">
        <v>1000</v>
      </c>
      <c r="I957" s="128" t="s">
        <v>15</v>
      </c>
      <c r="J957" s="128" t="s">
        <v>1463</v>
      </c>
    </row>
    <row r="958" s="126" customFormat="true" ht="14.25" hidden="false" customHeight="false" outlineLevel="0" collapsed="false">
      <c r="A958" s="129" t="s">
        <v>1501</v>
      </c>
      <c r="B958" s="124"/>
      <c r="C958" s="124"/>
      <c r="D958" s="125"/>
      <c r="E958" s="128" t="s">
        <v>1502</v>
      </c>
      <c r="F958" s="128" t="s">
        <v>1503</v>
      </c>
      <c r="G958" s="131" t="n">
        <v>0</v>
      </c>
      <c r="H958" s="131" t="n">
        <v>1000</v>
      </c>
      <c r="I958" s="128" t="s">
        <v>15</v>
      </c>
      <c r="J958" s="128" t="s">
        <v>1463</v>
      </c>
    </row>
    <row r="959" s="15" customFormat="true" ht="13.8" hidden="false" customHeight="false" outlineLevel="0" collapsed="false">
      <c r="A959" s="10"/>
      <c r="B959" s="17"/>
      <c r="C959" s="17"/>
      <c r="D959" s="18"/>
      <c r="E959" s="19"/>
      <c r="F959" s="19"/>
      <c r="G959" s="19"/>
      <c r="H959" s="19"/>
      <c r="I959" s="19"/>
      <c r="J959" s="19"/>
    </row>
    <row r="960" s="15" customFormat="true" ht="14.25" hidden="false" customHeight="false" outlineLevel="0" collapsed="false">
      <c r="A960" s="10" t="s">
        <v>1504</v>
      </c>
      <c r="B960" s="17"/>
      <c r="C960" s="17"/>
      <c r="D960" s="18"/>
      <c r="E960" s="19"/>
      <c r="F960" s="19"/>
      <c r="G960" s="19"/>
      <c r="H960" s="19"/>
      <c r="I960" s="19"/>
      <c r="J960" s="19"/>
    </row>
    <row r="961" s="15" customFormat="true" ht="14.25" hidden="false" customHeight="false" outlineLevel="0" collapsed="false">
      <c r="A961" s="10" t="s">
        <v>1505</v>
      </c>
      <c r="B961" s="17"/>
      <c r="C961" s="17"/>
      <c r="D961" s="18"/>
      <c r="E961" s="19"/>
      <c r="F961" s="19"/>
      <c r="G961" s="19"/>
      <c r="H961" s="19"/>
      <c r="I961" s="19"/>
      <c r="J961" s="19"/>
    </row>
    <row r="962" s="15" customFormat="true" ht="14.25" hidden="false" customHeight="false" outlineLevel="0" collapsed="false">
      <c r="A962" s="10" t="s">
        <v>1506</v>
      </c>
      <c r="B962" s="17"/>
      <c r="C962" s="17"/>
      <c r="D962" s="18"/>
      <c r="E962" s="19"/>
      <c r="F962" s="19"/>
      <c r="G962" s="19"/>
      <c r="H962" s="19"/>
      <c r="I962" s="19"/>
      <c r="J962" s="19"/>
    </row>
    <row r="963" s="15" customFormat="true" ht="13.8" hidden="false" customHeight="false" outlineLevel="0" collapsed="false">
      <c r="A963" s="10"/>
      <c r="B963" s="17"/>
      <c r="C963" s="17"/>
      <c r="D963" s="18"/>
      <c r="E963" s="19"/>
      <c r="F963" s="19"/>
      <c r="G963" s="19"/>
      <c r="H963" s="19"/>
      <c r="I963" s="19"/>
      <c r="J963" s="19"/>
    </row>
    <row r="964" s="15" customFormat="true" ht="13.8" hidden="false" customHeight="false" outlineLevel="0" collapsed="false">
      <c r="A964" s="6" t="s">
        <v>1507</v>
      </c>
      <c r="B964" s="19"/>
      <c r="C964" s="19"/>
      <c r="D964" s="19"/>
      <c r="E964" s="19"/>
      <c r="F964" s="19"/>
      <c r="G964" s="19"/>
      <c r="H964" s="19"/>
      <c r="I964" s="19"/>
      <c r="J964" s="19"/>
    </row>
    <row r="965" s="15" customFormat="true" ht="52.2" hidden="false" customHeight="false" outlineLevel="0" collapsed="false">
      <c r="A965" s="133" t="s">
        <v>1508</v>
      </c>
      <c r="B965" s="19"/>
      <c r="C965" s="19"/>
      <c r="D965" s="19"/>
      <c r="E965" s="19"/>
      <c r="F965" s="19"/>
    </row>
    <row r="966" s="15" customFormat="true" ht="13.8" hidden="false" customHeight="false" outlineLevel="0" collapsed="false">
      <c r="A966" s="129" t="s">
        <v>1509</v>
      </c>
      <c r="B966" s="128"/>
      <c r="C966" s="128"/>
      <c r="D966" s="128"/>
      <c r="E966" s="124" t="s">
        <v>1510</v>
      </c>
      <c r="F966" s="124" t="s">
        <v>1511</v>
      </c>
      <c r="G966" s="131" t="n">
        <v>0</v>
      </c>
      <c r="H966" s="131" t="n">
        <v>1000</v>
      </c>
      <c r="I966" s="126" t="s">
        <v>15</v>
      </c>
      <c r="J966" s="126" t="s">
        <v>1463</v>
      </c>
    </row>
    <row r="967" s="15" customFormat="true" ht="14.25" hidden="false" customHeight="false" outlineLevel="0" collapsed="false">
      <c r="A967" s="129" t="s">
        <v>1512</v>
      </c>
      <c r="B967" s="128"/>
      <c r="C967" s="128"/>
      <c r="D967" s="128"/>
      <c r="E967" s="128" t="s">
        <v>1513</v>
      </c>
      <c r="F967" s="128" t="s">
        <v>1514</v>
      </c>
      <c r="G967" s="131" t="n">
        <v>0</v>
      </c>
      <c r="H967" s="131" t="n">
        <v>1000</v>
      </c>
      <c r="I967" s="126" t="s">
        <v>15</v>
      </c>
      <c r="J967" s="126" t="s">
        <v>1463</v>
      </c>
    </row>
    <row r="968" s="15" customFormat="true" ht="14.25" hidden="false" customHeight="false" outlineLevel="0" collapsed="false">
      <c r="A968" s="129" t="s">
        <v>1515</v>
      </c>
      <c r="B968" s="128"/>
      <c r="C968" s="128"/>
      <c r="D968" s="128"/>
      <c r="E968" s="128" t="s">
        <v>1516</v>
      </c>
      <c r="F968" s="128" t="s">
        <v>1517</v>
      </c>
      <c r="G968" s="131" t="n">
        <v>0</v>
      </c>
      <c r="H968" s="131" t="n">
        <v>1000</v>
      </c>
      <c r="I968" s="126" t="s">
        <v>15</v>
      </c>
      <c r="J968" s="126" t="s">
        <v>1463</v>
      </c>
    </row>
    <row r="969" s="15" customFormat="true" ht="14.25" hidden="false" customHeight="false" outlineLevel="0" collapsed="false">
      <c r="A969" s="127" t="s">
        <v>1518</v>
      </c>
      <c r="B969" s="128"/>
      <c r="C969" s="128"/>
      <c r="D969" s="128"/>
      <c r="E969" s="126" t="s">
        <v>1519</v>
      </c>
      <c r="F969" s="126" t="s">
        <v>1520</v>
      </c>
      <c r="G969" s="130" t="n">
        <v>-1000</v>
      </c>
      <c r="H969" s="130" t="n">
        <v>1000</v>
      </c>
      <c r="I969" s="126" t="s">
        <v>15</v>
      </c>
      <c r="J969" s="126" t="s">
        <v>1463</v>
      </c>
    </row>
    <row r="970" s="15" customFormat="true" ht="14.25" hidden="false" customHeight="false" outlineLevel="0" collapsed="false">
      <c r="A970" s="129" t="s">
        <v>1521</v>
      </c>
      <c r="B970" s="128"/>
      <c r="C970" s="128"/>
      <c r="D970" s="128"/>
      <c r="E970" s="128" t="s">
        <v>1522</v>
      </c>
      <c r="F970" s="128" t="s">
        <v>1523</v>
      </c>
      <c r="G970" s="131" t="n">
        <v>-1000</v>
      </c>
      <c r="H970" s="131" t="n">
        <v>1000</v>
      </c>
      <c r="I970" s="126" t="s">
        <v>15</v>
      </c>
      <c r="J970" s="126" t="s">
        <v>1463</v>
      </c>
    </row>
    <row r="971" s="15" customFormat="true" ht="14.25" hidden="false" customHeight="false" outlineLevel="0" collapsed="false">
      <c r="A971" s="129" t="s">
        <v>1524</v>
      </c>
      <c r="B971" s="128"/>
      <c r="C971" s="128"/>
      <c r="D971" s="128"/>
      <c r="E971" s="128" t="s">
        <v>1525</v>
      </c>
      <c r="F971" s="128" t="s">
        <v>1526</v>
      </c>
      <c r="G971" s="131" t="n">
        <v>0</v>
      </c>
      <c r="H971" s="131" t="n">
        <v>1000</v>
      </c>
      <c r="I971" s="126" t="s">
        <v>15</v>
      </c>
      <c r="J971" s="126" t="s">
        <v>1463</v>
      </c>
    </row>
    <row r="972" s="15" customFormat="true" ht="13.8" hidden="false" customHeight="false" outlineLevel="0" collapsed="false">
      <c r="A972" s="1"/>
      <c r="B972" s="19"/>
      <c r="C972" s="19"/>
      <c r="D972" s="19"/>
      <c r="E972" s="19"/>
      <c r="F972" s="19"/>
    </row>
    <row r="973" s="15" customFormat="true" ht="14.25" hidden="false" customHeight="false" outlineLevel="0" collapsed="false">
      <c r="A973" s="1" t="s">
        <v>1527</v>
      </c>
      <c r="B973" s="19"/>
      <c r="C973" s="19"/>
      <c r="D973" s="19"/>
      <c r="E973" s="19"/>
      <c r="F973" s="19"/>
      <c r="G973" s="19"/>
      <c r="H973" s="19"/>
      <c r="I973" s="19"/>
      <c r="J973" s="19"/>
    </row>
    <row r="974" s="15" customFormat="true" ht="13.8" hidden="false" customHeight="false" outlineLevel="0" collapsed="false">
      <c r="A974" s="57"/>
      <c r="B974" s="19"/>
      <c r="C974" s="19"/>
      <c r="D974" s="19"/>
      <c r="E974" s="19"/>
      <c r="F974" s="19"/>
      <c r="G974" s="19"/>
      <c r="H974" s="19"/>
      <c r="I974" s="19"/>
      <c r="J974" s="19"/>
    </row>
    <row r="975" s="15" customFormat="true" ht="13.8" hidden="false" customHeight="false" outlineLevel="0" collapsed="false">
      <c r="A975" s="5" t="s">
        <v>1528</v>
      </c>
      <c r="B975" s="17"/>
      <c r="C975" s="17"/>
      <c r="D975" s="18"/>
      <c r="E975" s="19"/>
      <c r="F975" s="19"/>
      <c r="G975" s="19"/>
      <c r="H975" s="19"/>
      <c r="I975" s="19"/>
      <c r="J975" s="19"/>
    </row>
    <row r="976" s="15" customFormat="true" ht="39.75" hidden="false" customHeight="false" outlineLevel="0" collapsed="false">
      <c r="A976" s="133" t="s">
        <v>1529</v>
      </c>
      <c r="B976" s="134" t="s">
        <v>1530</v>
      </c>
      <c r="C976" s="17"/>
      <c r="D976" s="18"/>
      <c r="E976" s="19"/>
      <c r="F976" s="19"/>
      <c r="G976" s="19"/>
      <c r="H976" s="19"/>
      <c r="I976" s="19"/>
      <c r="J976" s="19"/>
    </row>
    <row r="977" s="15" customFormat="true" ht="13.8" hidden="false" customHeight="false" outlineLevel="0" collapsed="false">
      <c r="A977" s="1"/>
      <c r="B977" s="17"/>
      <c r="C977" s="17"/>
      <c r="D977" s="18"/>
      <c r="E977" s="19"/>
      <c r="F977" s="19"/>
      <c r="G977" s="19"/>
      <c r="H977" s="19"/>
      <c r="I977" s="19"/>
      <c r="J977" s="19"/>
    </row>
    <row r="978" s="15" customFormat="true" ht="14.25" hidden="false" customHeight="false" outlineLevel="0" collapsed="false">
      <c r="A978" s="1" t="s">
        <v>1531</v>
      </c>
      <c r="B978" s="17"/>
      <c r="C978" s="17"/>
      <c r="D978" s="18"/>
      <c r="E978" s="19"/>
      <c r="F978" s="19"/>
      <c r="G978" s="19"/>
      <c r="H978" s="19"/>
      <c r="I978" s="19"/>
      <c r="J978" s="19"/>
    </row>
    <row r="979" s="15" customFormat="true" ht="13.8" hidden="false" customHeight="false" outlineLevel="0" collapsed="false">
      <c r="A979" s="1"/>
      <c r="B979" s="17"/>
      <c r="C979" s="17"/>
      <c r="D979" s="18"/>
      <c r="E979" s="19"/>
      <c r="F979" s="19"/>
      <c r="G979" s="19"/>
      <c r="H979" s="19"/>
      <c r="I979" s="19"/>
      <c r="J979" s="19"/>
    </row>
    <row r="980" s="15" customFormat="true" ht="13.8" hidden="false" customHeight="false" outlineLevel="0" collapsed="false">
      <c r="A980" s="6" t="s">
        <v>1532</v>
      </c>
      <c r="B980" s="17"/>
      <c r="C980" s="17"/>
      <c r="D980" s="18"/>
      <c r="E980" s="19"/>
      <c r="F980" s="19"/>
      <c r="G980" s="19"/>
      <c r="H980" s="19"/>
      <c r="I980" s="19"/>
      <c r="J980" s="19"/>
    </row>
    <row r="981" s="15" customFormat="true" ht="39.55" hidden="false" customHeight="false" outlineLevel="0" collapsed="false">
      <c r="A981" s="133" t="s">
        <v>1533</v>
      </c>
      <c r="B981" s="134" t="s">
        <v>1530</v>
      </c>
      <c r="C981" s="19"/>
      <c r="D981" s="19"/>
      <c r="E981" s="19"/>
      <c r="F981" s="19"/>
      <c r="G981" s="19"/>
      <c r="H981" s="19"/>
      <c r="I981" s="19"/>
      <c r="J981" s="19"/>
    </row>
    <row r="982" s="15" customFormat="true" ht="13.8" hidden="false" customHeight="false" outlineLevel="0" collapsed="false">
      <c r="A982" s="0"/>
      <c r="B982" s="19"/>
      <c r="C982" s="19"/>
      <c r="D982" s="19"/>
      <c r="E982" s="19"/>
      <c r="F982" s="19"/>
      <c r="G982" s="19"/>
      <c r="H982" s="19"/>
      <c r="I982" s="19"/>
      <c r="J982" s="19"/>
    </row>
    <row r="983" s="15" customFormat="true" ht="14.25" hidden="false" customHeight="false" outlineLevel="0" collapsed="false">
      <c r="A983" s="1" t="s">
        <v>1531</v>
      </c>
      <c r="B983" s="19"/>
      <c r="C983" s="19"/>
      <c r="D983" s="19"/>
      <c r="E983" s="19"/>
      <c r="F983" s="19"/>
      <c r="G983" s="19"/>
      <c r="H983" s="19"/>
      <c r="I983" s="19"/>
      <c r="J983" s="19"/>
    </row>
    <row r="984" s="15" customFormat="true" ht="13.8" hidden="false" customHeight="false" outlineLevel="0" collapsed="false">
      <c r="A984" s="135" t="s">
        <v>1534</v>
      </c>
      <c r="B984" s="19"/>
      <c r="C984" s="19"/>
      <c r="D984" s="19"/>
      <c r="E984" s="19"/>
      <c r="F984" s="19"/>
      <c r="G984" s="19"/>
      <c r="H984" s="19"/>
      <c r="I984" s="19"/>
      <c r="J984" s="19"/>
    </row>
    <row r="985" s="15" customFormat="true" ht="13.8" hidden="false" customHeight="false" outlineLevel="0" collapsed="false">
      <c r="A985" s="19"/>
      <c r="B985" s="19"/>
      <c r="C985" s="19"/>
      <c r="D985" s="19"/>
      <c r="E985" s="19"/>
      <c r="F985" s="19"/>
      <c r="G985" s="19"/>
      <c r="H985" s="19"/>
      <c r="I985" s="19"/>
      <c r="J985" s="19"/>
    </row>
    <row r="986" s="15" customFormat="true" ht="13.8" hidden="false" customHeight="false" outlineLevel="0" collapsed="false">
      <c r="A986" s="19"/>
      <c r="B986" s="19"/>
      <c r="C986" s="19"/>
      <c r="D986" s="19"/>
      <c r="E986" s="19"/>
      <c r="F986" s="19"/>
      <c r="G986" s="19"/>
      <c r="H986" s="19"/>
      <c r="I986" s="19"/>
      <c r="J986" s="19"/>
    </row>
    <row r="987" s="15" customFormat="true" ht="13.8" hidden="false" customHeight="false" outlineLevel="0" collapsed="false">
      <c r="A987" s="19"/>
      <c r="B987" s="19"/>
      <c r="C987" s="19"/>
      <c r="D987" s="19"/>
      <c r="E987" s="19"/>
      <c r="F987" s="19"/>
      <c r="G987" s="19"/>
      <c r="H987" s="19"/>
      <c r="I987" s="19"/>
      <c r="J987" s="19"/>
    </row>
    <row r="988" s="15" customFormat="true" ht="13.8" hidden="false" customHeight="false" outlineLevel="0" collapsed="false">
      <c r="A988" s="19"/>
      <c r="B988" s="19"/>
      <c r="C988" s="19"/>
      <c r="D988" s="19"/>
      <c r="E988" s="19"/>
      <c r="F988" s="19"/>
      <c r="G988" s="19"/>
      <c r="H988" s="19"/>
      <c r="I988" s="19"/>
      <c r="J988" s="19"/>
    </row>
    <row r="989" s="15" customFormat="true" ht="13.8" hidden="false" customHeight="false" outlineLevel="0" collapsed="false">
      <c r="A989" s="19"/>
      <c r="B989" s="19"/>
      <c r="C989" s="19"/>
      <c r="D989" s="19"/>
      <c r="E989" s="19"/>
      <c r="F989" s="19"/>
      <c r="G989" s="19"/>
      <c r="H989" s="19"/>
      <c r="I989" s="19"/>
      <c r="J989" s="19"/>
    </row>
    <row r="990" s="15" customFormat="true" ht="13.8" hidden="false" customHeight="false" outlineLevel="0" collapsed="false">
      <c r="A990" s="19"/>
      <c r="B990" s="19"/>
      <c r="C990" s="19"/>
      <c r="D990" s="19"/>
      <c r="E990" s="19"/>
      <c r="F990" s="19"/>
      <c r="G990" s="19"/>
      <c r="H990" s="19"/>
      <c r="I990" s="19"/>
      <c r="J990" s="19"/>
    </row>
    <row r="991" s="15" customFormat="true" ht="13.8" hidden="false" customHeight="false" outlineLevel="0" collapsed="false">
      <c r="A991" s="19"/>
      <c r="B991" s="19"/>
      <c r="C991" s="19"/>
      <c r="D991" s="19"/>
      <c r="E991" s="19"/>
      <c r="F991" s="19"/>
      <c r="G991" s="19"/>
      <c r="H991" s="19"/>
      <c r="I991" s="19"/>
      <c r="J991" s="19"/>
    </row>
    <row r="992" s="15" customFormat="true" ht="13.8" hidden="false" customHeight="false" outlineLevel="0" collapsed="false">
      <c r="A992" s="114"/>
      <c r="B992" s="19"/>
      <c r="C992" s="19"/>
      <c r="D992" s="19"/>
      <c r="E992" s="19"/>
      <c r="F992" s="19"/>
      <c r="G992" s="19"/>
      <c r="H992" s="19"/>
      <c r="I992" s="19"/>
      <c r="J992" s="19"/>
    </row>
    <row r="993" s="15" customFormat="true" ht="13.8" hidden="false" customHeight="false" outlineLevel="0" collapsed="false">
      <c r="A993" s="114"/>
      <c r="B993" s="19"/>
      <c r="C993" s="19"/>
      <c r="D993" s="19"/>
      <c r="E993" s="19"/>
      <c r="F993" s="19"/>
      <c r="G993" s="19"/>
      <c r="H993" s="19"/>
      <c r="I993" s="19"/>
      <c r="J993" s="19"/>
    </row>
    <row r="994" s="15" customFormat="true" ht="13.8" hidden="false" customHeight="false" outlineLevel="0" collapsed="false">
      <c r="A994" s="114"/>
      <c r="B994" s="19"/>
      <c r="C994" s="19"/>
      <c r="D994" s="19"/>
      <c r="E994" s="19"/>
      <c r="F994" s="19"/>
      <c r="G994" s="19"/>
      <c r="H994" s="19"/>
      <c r="I994" s="19"/>
      <c r="J994" s="19"/>
    </row>
    <row r="995" s="15" customFormat="true" ht="13.8" hidden="false" customHeight="false" outlineLevel="0" collapsed="false">
      <c r="A995" s="1"/>
      <c r="B995" s="19"/>
      <c r="C995" s="19"/>
      <c r="D995" s="19"/>
      <c r="E995" s="19"/>
      <c r="F995" s="19"/>
      <c r="G995" s="19"/>
      <c r="H995" s="19"/>
      <c r="I995" s="19"/>
      <c r="J995" s="19"/>
    </row>
    <row r="996" s="15" customFormat="true" ht="13.8" hidden="false" customHeight="false" outlineLevel="0" collapsed="false">
      <c r="A996" s="19"/>
      <c r="B996" s="19"/>
      <c r="C996" s="19"/>
      <c r="D996" s="19"/>
      <c r="E996" s="19"/>
      <c r="F996" s="19"/>
      <c r="G996" s="19"/>
      <c r="H996" s="19"/>
      <c r="I996" s="19"/>
      <c r="J996" s="19"/>
    </row>
    <row r="997" s="15" customFormat="true" ht="13.8" hidden="false" customHeight="false" outlineLevel="0" collapsed="false">
      <c r="A997" s="19"/>
      <c r="B997" s="19"/>
      <c r="C997" s="19"/>
      <c r="D997" s="19"/>
      <c r="E997" s="19"/>
      <c r="F997" s="19"/>
      <c r="G997" s="19"/>
      <c r="H997" s="19"/>
      <c r="I997" s="19"/>
      <c r="J997" s="19"/>
    </row>
    <row r="998" s="15" customFormat="true" ht="13.8" hidden="false" customHeight="false" outlineLevel="0" collapsed="false">
      <c r="A998" s="136" t="s">
        <v>1535</v>
      </c>
      <c r="B998" s="19" t="s">
        <v>1536</v>
      </c>
      <c r="C998" s="19"/>
      <c r="D998" s="19"/>
      <c r="E998" s="19"/>
      <c r="F998" s="19"/>
      <c r="G998" s="19"/>
      <c r="H998" s="19"/>
      <c r="I998" s="19"/>
      <c r="J998" s="19"/>
    </row>
    <row r="999" s="15" customFormat="true" ht="13.8" hidden="false" customHeight="false" outlineLevel="0" collapsed="false">
      <c r="A999" s="19"/>
      <c r="B999" s="19"/>
      <c r="C999" s="19"/>
      <c r="D999" s="19"/>
      <c r="E999" s="19"/>
      <c r="F999" s="19"/>
      <c r="G999" s="19"/>
      <c r="H999" s="19"/>
      <c r="I999" s="19"/>
      <c r="J999" s="19"/>
    </row>
    <row r="1000" s="15" customFormat="true" ht="14.25" hidden="false" customHeight="false" outlineLevel="0" collapsed="false">
      <c r="A1000" s="1" t="s">
        <v>1537</v>
      </c>
      <c r="B1000" s="1"/>
      <c r="C1000" s="1"/>
      <c r="D1000" s="1"/>
      <c r="E1000" s="1"/>
      <c r="F1000" s="1"/>
      <c r="G1000" s="1"/>
      <c r="H1000" s="1"/>
      <c r="I1000" s="1"/>
      <c r="J1000" s="1"/>
      <c r="K1000" s="10"/>
    </row>
    <row r="1001" s="15" customFormat="true" ht="13.8" hidden="false" customHeight="false" outlineLevel="0" collapsed="false">
      <c r="A1001" s="1"/>
      <c r="B1001" s="1"/>
      <c r="C1001" s="1"/>
      <c r="D1001" s="1"/>
      <c r="E1001" s="1"/>
      <c r="F1001" s="1"/>
      <c r="G1001" s="1"/>
      <c r="H1001" s="1"/>
      <c r="I1001" s="1"/>
      <c r="J1001" s="1"/>
      <c r="K1001" s="10"/>
    </row>
    <row r="1002" s="15" customFormat="true" ht="13.8" hidden="false" customHeight="false" outlineLevel="0" collapsed="false">
      <c r="A1002" s="0"/>
      <c r="B1002" s="0"/>
      <c r="C1002" s="0"/>
      <c r="D1002" s="0"/>
      <c r="E1002" s="0"/>
      <c r="F1002" s="0"/>
      <c r="G1002" s="0"/>
      <c r="H1002" s="0"/>
      <c r="I1002" s="0"/>
      <c r="J1002" s="0"/>
      <c r="K1002" s="10"/>
    </row>
    <row r="1003" s="15" customFormat="true" ht="13.8" hidden="false" customHeight="false" outlineLevel="0" collapsed="false">
      <c r="A1003" s="19"/>
      <c r="B1003" s="122"/>
      <c r="C1003" s="122"/>
      <c r="D1003" s="122"/>
      <c r="E1003" s="122"/>
      <c r="F1003" s="122"/>
      <c r="G1003" s="122"/>
      <c r="H1003" s="122"/>
      <c r="I1003" s="122"/>
      <c r="J1003" s="122"/>
    </row>
    <row r="1004" s="10" customFormat="true" ht="13.8" hidden="false" customHeight="false" outlineLevel="0" collapsed="false">
      <c r="A1004" s="137" t="s">
        <v>1538</v>
      </c>
      <c r="B1004" s="138"/>
      <c r="C1004" s="8"/>
      <c r="D1004" s="8"/>
      <c r="E1004" s="8"/>
      <c r="F1004" s="8"/>
      <c r="G1004" s="8"/>
      <c r="H1004" s="8"/>
      <c r="I1004" s="8"/>
      <c r="J1004" s="9" t="s">
        <v>1539</v>
      </c>
      <c r="K1004" s="9"/>
      <c r="L1004" s="9"/>
    </row>
    <row r="1005" s="10" customFormat="true" ht="14.15" hidden="false" customHeight="false" outlineLevel="0" collapsed="false">
      <c r="A1005" s="48" t="s">
        <v>353</v>
      </c>
      <c r="B1005" s="48"/>
      <c r="C1005" s="70"/>
      <c r="D1005" s="70"/>
      <c r="E1005" s="48" t="s">
        <v>354</v>
      </c>
      <c r="F1005" s="48" t="s">
        <v>355</v>
      </c>
      <c r="G1005" s="70" t="n">
        <v>0</v>
      </c>
      <c r="H1005" s="70" t="n">
        <v>1000</v>
      </c>
      <c r="I1005" s="56" t="s">
        <v>15</v>
      </c>
      <c r="J1005" s="0"/>
      <c r="K1005" s="0"/>
    </row>
    <row r="1006" s="10" customFormat="true" ht="14.15" hidden="false" customHeight="false" outlineLevel="0" collapsed="false">
      <c r="A1006" s="48" t="s">
        <v>357</v>
      </c>
      <c r="B1006" s="48"/>
      <c r="C1006" s="70"/>
      <c r="D1006" s="70"/>
      <c r="E1006" s="48" t="s">
        <v>358</v>
      </c>
      <c r="F1006" s="48" t="s">
        <v>359</v>
      </c>
      <c r="G1006" s="70" t="n">
        <v>-1000</v>
      </c>
      <c r="H1006" s="70" t="n">
        <v>1000</v>
      </c>
      <c r="I1006" s="56" t="s">
        <v>15</v>
      </c>
      <c r="J1006" s="0"/>
      <c r="K1006" s="0"/>
    </row>
    <row r="1007" s="10" customFormat="true" ht="14.15" hidden="false" customHeight="false" outlineLevel="0" collapsed="false">
      <c r="A1007" s="55" t="s">
        <v>361</v>
      </c>
      <c r="B1007" s="48"/>
      <c r="C1007" s="70"/>
      <c r="D1007" s="70"/>
      <c r="E1007" s="48" t="s">
        <v>362</v>
      </c>
      <c r="F1007" s="48" t="s">
        <v>363</v>
      </c>
      <c r="G1007" s="70" t="n">
        <v>0</v>
      </c>
      <c r="H1007" s="70" t="n">
        <v>1000</v>
      </c>
      <c r="I1007" s="56" t="s">
        <v>15</v>
      </c>
      <c r="J1007" s="0"/>
      <c r="K1007" s="0"/>
    </row>
    <row r="1008" s="10" customFormat="true" ht="14.15" hidden="false" customHeight="false" outlineLevel="0" collapsed="false">
      <c r="A1008" s="48" t="s">
        <v>364</v>
      </c>
      <c r="B1008" s="48"/>
      <c r="C1008" s="70"/>
      <c r="D1008" s="70"/>
      <c r="E1008" s="48" t="s">
        <v>365</v>
      </c>
      <c r="F1008" s="48" t="s">
        <v>366</v>
      </c>
      <c r="G1008" s="70" t="n">
        <v>0</v>
      </c>
      <c r="H1008" s="70" t="n">
        <v>1000</v>
      </c>
      <c r="I1008" s="56" t="s">
        <v>15</v>
      </c>
      <c r="J1008" s="0"/>
      <c r="K1008" s="0"/>
    </row>
    <row r="1009" s="10" customFormat="true" ht="14.15" hidden="false" customHeight="false" outlineLevel="0" collapsed="false">
      <c r="A1009" s="48" t="s">
        <v>1436</v>
      </c>
      <c r="B1009" s="48"/>
      <c r="C1009" s="70"/>
      <c r="D1009" s="70"/>
      <c r="E1009" s="48" t="s">
        <v>368</v>
      </c>
      <c r="F1009" s="48" t="s">
        <v>1437</v>
      </c>
      <c r="G1009" s="70" t="n">
        <v>0</v>
      </c>
      <c r="H1009" s="70" t="n">
        <v>1000</v>
      </c>
      <c r="I1009" s="56" t="s">
        <v>15</v>
      </c>
      <c r="J1009" s="0"/>
      <c r="K1009" s="0"/>
    </row>
    <row r="1010" s="10" customFormat="true" ht="13.8" hidden="false" customHeight="false" outlineLevel="0" collapsed="false">
      <c r="A1010" s="48" t="s">
        <v>1438</v>
      </c>
      <c r="B1010" s="48"/>
      <c r="C1010" s="70"/>
      <c r="D1010" s="70"/>
      <c r="E1010" s="48" t="s">
        <v>528</v>
      </c>
      <c r="F1010" s="48" t="s">
        <v>529</v>
      </c>
      <c r="G1010" s="70" t="n">
        <v>-1000</v>
      </c>
      <c r="H1010" s="70" t="n">
        <v>1000</v>
      </c>
      <c r="I1010" s="56" t="s">
        <v>15</v>
      </c>
      <c r="J1010" s="0"/>
      <c r="K1010" s="0"/>
    </row>
    <row r="1011" s="10" customFormat="true" ht="13.8" hidden="false" customHeight="false" outlineLevel="0" collapsed="false">
      <c r="A1011" s="1" t="s">
        <v>531</v>
      </c>
      <c r="B1011" s="2"/>
      <c r="C1011" s="2"/>
      <c r="D1011" s="3"/>
      <c r="E1011" s="1" t="s">
        <v>532</v>
      </c>
      <c r="F1011" s="1" t="s">
        <v>533</v>
      </c>
      <c r="G1011" s="1" t="n">
        <v>0</v>
      </c>
      <c r="H1011" s="1" t="n">
        <v>1000</v>
      </c>
      <c r="I1011" s="36"/>
      <c r="J1011" s="1" t="s">
        <v>534</v>
      </c>
      <c r="K1011" s="1"/>
    </row>
    <row r="1012" s="10" customFormat="true" ht="13.8" hidden="false" customHeight="false" outlineLevel="0" collapsed="false">
      <c r="A1012" s="1" t="s">
        <v>1439</v>
      </c>
      <c r="B1012" s="1"/>
      <c r="C1012" s="1"/>
      <c r="D1012" s="1"/>
      <c r="E1012" s="1" t="s">
        <v>1540</v>
      </c>
      <c r="F1012" s="1" t="s">
        <v>1441</v>
      </c>
      <c r="G1012" s="1" t="n">
        <v>0</v>
      </c>
      <c r="H1012" s="0" t="n">
        <v>1000</v>
      </c>
      <c r="I1012" s="65"/>
      <c r="J1012" s="1" t="s">
        <v>1442</v>
      </c>
      <c r="K1012" s="0"/>
    </row>
    <row r="1013" s="10" customFormat="true" ht="27.5" hidden="false" customHeight="false" outlineLevel="0" collapsed="false">
      <c r="A1013" s="53" t="s">
        <v>1541</v>
      </c>
      <c r="B1013" s="1"/>
      <c r="C1013" s="1"/>
      <c r="D1013" s="1"/>
      <c r="E1013" s="0"/>
      <c r="F1013" s="1" t="s">
        <v>1542</v>
      </c>
      <c r="G1013" s="0" t="n">
        <v>-1000</v>
      </c>
      <c r="H1013" s="0" t="n">
        <v>1000</v>
      </c>
      <c r="I1013" s="0"/>
      <c r="J1013" s="139" t="s">
        <v>1543</v>
      </c>
      <c r="K1013" s="0"/>
    </row>
    <row r="1014" s="10" customFormat="true" ht="14.15" hidden="false" customHeight="false" outlineLevel="0" collapsed="false">
      <c r="A1014" s="21" t="s">
        <v>1544</v>
      </c>
      <c r="B1014" s="37"/>
      <c r="C1014" s="37"/>
      <c r="D1014" s="38"/>
      <c r="E1014" s="21" t="s">
        <v>1545</v>
      </c>
      <c r="F1014" s="21" t="s">
        <v>1546</v>
      </c>
      <c r="G1014" s="22" t="n">
        <v>-1000</v>
      </c>
      <c r="H1014" s="22" t="n">
        <v>1000</v>
      </c>
      <c r="I1014" s="23"/>
      <c r="J1014" s="22" t="s">
        <v>32</v>
      </c>
      <c r="K1014" s="0"/>
    </row>
    <row r="1015" s="10" customFormat="true" ht="14.15" hidden="false" customHeight="false" outlineLevel="0" collapsed="false">
      <c r="A1015" s="21" t="s">
        <v>1547</v>
      </c>
      <c r="B1015" s="37"/>
      <c r="C1015" s="37"/>
      <c r="D1015" s="38"/>
      <c r="E1015" s="21" t="s">
        <v>1548</v>
      </c>
      <c r="F1015" s="21" t="s">
        <v>1549</v>
      </c>
      <c r="G1015" s="22" t="n">
        <v>-1000</v>
      </c>
      <c r="H1015" s="22" t="n">
        <v>1000</v>
      </c>
      <c r="I1015" s="23"/>
      <c r="J1015" s="22" t="s">
        <v>32</v>
      </c>
      <c r="K1015" s="0"/>
    </row>
    <row r="1016" s="10" customFormat="true" ht="14.15" hidden="false" customHeight="false" outlineLevel="0" collapsed="false">
      <c r="A1016" s="21" t="s">
        <v>1550</v>
      </c>
      <c r="B1016" s="37"/>
      <c r="C1016" s="37"/>
      <c r="D1016" s="38"/>
      <c r="E1016" s="21" t="s">
        <v>1551</v>
      </c>
      <c r="F1016" s="21" t="s">
        <v>1552</v>
      </c>
      <c r="G1016" s="21" t="n">
        <v>0</v>
      </c>
      <c r="H1016" s="21" t="n">
        <v>1000</v>
      </c>
      <c r="I1016" s="23"/>
      <c r="J1016" s="22" t="s">
        <v>32</v>
      </c>
      <c r="K1016" s="0"/>
    </row>
    <row r="1017" s="10" customFormat="true" ht="13.8" hidden="false" customHeight="false" outlineLevel="0" collapsed="false">
      <c r="A1017" s="21" t="s">
        <v>1553</v>
      </c>
      <c r="B1017" s="17"/>
      <c r="C1017" s="17"/>
      <c r="D1017" s="18"/>
      <c r="E1017" s="19"/>
      <c r="F1017" s="19"/>
      <c r="G1017" s="19"/>
      <c r="H1017" s="19"/>
      <c r="I1017" s="19"/>
      <c r="J1017" s="19"/>
      <c r="K1017" s="0"/>
    </row>
    <row r="1018" s="10" customFormat="true" ht="13.8" hidden="false" customHeight="false" outlineLevel="0" collapsed="false">
      <c r="A1018" s="21"/>
      <c r="B1018" s="17"/>
      <c r="C1018" s="17"/>
      <c r="D1018" s="18"/>
      <c r="E1018" s="19"/>
      <c r="F1018" s="19"/>
      <c r="G1018" s="19"/>
      <c r="H1018" s="19"/>
      <c r="I1018" s="19"/>
      <c r="J1018" s="19"/>
      <c r="K1018" s="0"/>
    </row>
    <row r="1019" s="10" customFormat="true" ht="14.15" hidden="false" customHeight="false" outlineLevel="0" collapsed="false">
      <c r="A1019" s="56" t="s">
        <v>1554</v>
      </c>
      <c r="B1019" s="17"/>
      <c r="C1019" s="17"/>
      <c r="D1019" s="18"/>
      <c r="E1019" s="19"/>
      <c r="F1019" s="19"/>
      <c r="G1019" s="19"/>
      <c r="H1019" s="19"/>
      <c r="I1019" s="19"/>
      <c r="J1019" s="19"/>
      <c r="K1019" s="0"/>
    </row>
    <row r="1020" s="10" customFormat="true" ht="14.15" hidden="false" customHeight="false" outlineLevel="0" collapsed="false">
      <c r="A1020" s="1" t="s">
        <v>1453</v>
      </c>
      <c r="B1020" s="0"/>
      <c r="C1020" s="0"/>
      <c r="D1020" s="0"/>
      <c r="E1020" s="0"/>
      <c r="F1020" s="0"/>
      <c r="G1020" s="0"/>
      <c r="H1020" s="0"/>
      <c r="I1020" s="0"/>
      <c r="J1020" s="0"/>
      <c r="K1020" s="0"/>
    </row>
    <row r="1021" s="10" customFormat="true" ht="14.15" hidden="false" customHeight="false" outlineLevel="0" collapsed="false">
      <c r="A1021" s="1" t="s">
        <v>1454</v>
      </c>
      <c r="B1021" s="0"/>
      <c r="C1021" s="0"/>
      <c r="D1021" s="0"/>
      <c r="E1021" s="0"/>
      <c r="F1021" s="0"/>
      <c r="G1021" s="0"/>
      <c r="H1021" s="0"/>
      <c r="I1021" s="0"/>
      <c r="J1021" s="0"/>
      <c r="K1021" s="0"/>
    </row>
    <row r="1022" s="10" customFormat="true" ht="14.15" hidden="false" customHeight="false" outlineLevel="0" collapsed="false">
      <c r="A1022" s="1" t="s">
        <v>1455</v>
      </c>
      <c r="B1022" s="0"/>
      <c r="C1022" s="0"/>
      <c r="D1022" s="0"/>
      <c r="E1022" s="0"/>
      <c r="F1022" s="0"/>
      <c r="G1022" s="0"/>
      <c r="H1022" s="0"/>
      <c r="I1022" s="0"/>
      <c r="J1022" s="0"/>
      <c r="K1022" s="0"/>
    </row>
    <row r="1023" s="10" customFormat="true" ht="13.8" hidden="false" customHeight="false" outlineLevel="0" collapsed="false">
      <c r="A1023" s="1" t="s">
        <v>136</v>
      </c>
      <c r="B1023" s="0"/>
      <c r="C1023" s="0"/>
      <c r="D1023" s="0"/>
      <c r="E1023" s="0"/>
      <c r="F1023" s="0"/>
      <c r="G1023" s="0"/>
      <c r="H1023" s="0"/>
      <c r="I1023" s="0"/>
      <c r="J1023" s="0"/>
      <c r="K1023" s="0"/>
    </row>
    <row r="1024" s="10" customFormat="true" ht="14.15" hidden="false" customHeight="false" outlineLevel="0" collapsed="false">
      <c r="A1024" s="1" t="s">
        <v>392</v>
      </c>
      <c r="B1024" s="0"/>
      <c r="C1024" s="0"/>
      <c r="D1024" s="0"/>
      <c r="E1024" s="0"/>
      <c r="F1024" s="0"/>
      <c r="G1024" s="0"/>
      <c r="H1024" s="0"/>
      <c r="I1024" s="0"/>
      <c r="J1024" s="0"/>
      <c r="K1024" s="9"/>
    </row>
    <row r="1025" s="10" customFormat="true" ht="14.15" hidden="false" customHeight="false" outlineLevel="0" collapsed="false">
      <c r="A1025" s="1" t="s">
        <v>556</v>
      </c>
      <c r="B1025" s="0"/>
      <c r="C1025" s="0"/>
      <c r="D1025" s="0"/>
      <c r="E1025" s="0"/>
      <c r="F1025" s="0"/>
      <c r="G1025" s="0"/>
      <c r="H1025" s="0"/>
      <c r="I1025" s="0"/>
      <c r="J1025" s="0"/>
    </row>
    <row r="1026" s="10" customFormat="true" ht="13.8" hidden="false" customHeight="false" outlineLevel="0" collapsed="false">
      <c r="A1026" s="1"/>
      <c r="B1026" s="0"/>
      <c r="C1026" s="0"/>
      <c r="D1026" s="0"/>
      <c r="E1026" s="0"/>
      <c r="F1026" s="0"/>
      <c r="G1026" s="0"/>
      <c r="H1026" s="0"/>
      <c r="I1026" s="0"/>
      <c r="J1026" s="0"/>
    </row>
    <row r="1029" customFormat="false" ht="13.8" hidden="false" customHeight="false" outlineLevel="0" collapsed="false">
      <c r="A1029" s="136" t="s">
        <v>1555</v>
      </c>
    </row>
    <row r="1030" customFormat="false" ht="13.8" hidden="false" customHeight="false" outlineLevel="0" collapsed="false">
      <c r="A1030" s="6" t="s">
        <v>1556</v>
      </c>
      <c r="B1030" s="28"/>
      <c r="C1030" s="28"/>
      <c r="D1030" s="44"/>
      <c r="E1030" s="9"/>
      <c r="F1030" s="9"/>
      <c r="G1030" s="9"/>
      <c r="H1030" s="9"/>
      <c r="I1030" s="9"/>
      <c r="J1030" s="9" t="s">
        <v>1557</v>
      </c>
    </row>
    <row r="1031" customFormat="false" ht="13.8" hidden="false" customHeight="false" outlineLevel="0" collapsed="false">
      <c r="A1031" s="140" t="s">
        <v>1558</v>
      </c>
      <c r="C1031" s="141"/>
      <c r="D1031" s="142"/>
      <c r="E1031" s="140" t="s">
        <v>1559</v>
      </c>
      <c r="F1031" s="140" t="s">
        <v>1560</v>
      </c>
      <c r="G1031" s="140" t="n">
        <v>-1000</v>
      </c>
      <c r="H1031" s="140" t="n">
        <v>1000</v>
      </c>
      <c r="I1031" s="140"/>
      <c r="J1031" s="140" t="s">
        <v>1561</v>
      </c>
    </row>
    <row r="1032" customFormat="false" ht="13.8" hidden="false" customHeight="false" outlineLevel="0" collapsed="false">
      <c r="A1032" s="140" t="s">
        <v>1562</v>
      </c>
      <c r="C1032" s="141"/>
      <c r="D1032" s="142"/>
      <c r="E1032" s="140" t="s">
        <v>1563</v>
      </c>
      <c r="F1032" s="140" t="s">
        <v>1564</v>
      </c>
      <c r="G1032" s="140" t="n">
        <v>-1000</v>
      </c>
      <c r="H1032" s="140" t="n">
        <v>1000</v>
      </c>
      <c r="I1032" s="140"/>
      <c r="J1032" s="140" t="s">
        <v>1565</v>
      </c>
    </row>
    <row r="1033" customFormat="false" ht="13.8" hidden="false" customHeight="false" outlineLevel="0" collapsed="false">
      <c r="A1033" s="140" t="s">
        <v>1566</v>
      </c>
      <c r="C1033" s="141"/>
      <c r="D1033" s="142"/>
      <c r="E1033" s="140" t="s">
        <v>1567</v>
      </c>
      <c r="F1033" s="140" t="s">
        <v>1568</v>
      </c>
      <c r="G1033" s="53" t="n">
        <v>0</v>
      </c>
      <c r="H1033" s="53" t="n">
        <v>1000</v>
      </c>
      <c r="I1033" s="140"/>
      <c r="J1033" s="140" t="s">
        <v>1569</v>
      </c>
    </row>
    <row r="1034" customFormat="false" ht="13.8" hidden="false" customHeight="false" outlineLevel="0" collapsed="false">
      <c r="A1034" s="1" t="s">
        <v>1570</v>
      </c>
      <c r="E1034" s="1" t="s">
        <v>1571</v>
      </c>
      <c r="F1034" s="1" t="s">
        <v>1572</v>
      </c>
      <c r="G1034" s="1" t="n">
        <v>-1000</v>
      </c>
      <c r="H1034" s="1" t="n">
        <v>1000</v>
      </c>
      <c r="J1034" s="1" t="s">
        <v>1573</v>
      </c>
    </row>
    <row r="1035" customFormat="false" ht="13.8" hidden="false" customHeight="false" outlineLevel="0" collapsed="false">
      <c r="A1035" s="53" t="s">
        <v>1574</v>
      </c>
      <c r="E1035" s="53" t="s">
        <v>1575</v>
      </c>
      <c r="F1035" s="53" t="s">
        <v>1576</v>
      </c>
      <c r="G1035" s="1" t="n">
        <v>0</v>
      </c>
      <c r="H1035" s="1" t="n">
        <v>1000</v>
      </c>
      <c r="I1035" s="36"/>
      <c r="J1035" s="1" t="s">
        <v>1577</v>
      </c>
    </row>
    <row r="1036" customFormat="false" ht="13.8" hidden="false" customHeight="false" outlineLevel="0" collapsed="false">
      <c r="A1036" s="1" t="s">
        <v>940</v>
      </c>
      <c r="E1036" s="1" t="s">
        <v>941</v>
      </c>
      <c r="F1036" s="1" t="s">
        <v>942</v>
      </c>
      <c r="G1036" s="1" t="n">
        <v>-1000</v>
      </c>
      <c r="H1036" s="1" t="n">
        <v>1000</v>
      </c>
      <c r="J1036" s="1" t="s">
        <v>943</v>
      </c>
    </row>
    <row r="1037" customFormat="false" ht="13.8" hidden="false" customHeight="false" outlineLevel="0" collapsed="false">
      <c r="A1037" s="1" t="s">
        <v>944</v>
      </c>
      <c r="B1037" s="2" t="n">
        <f aca="false">-1-1</f>
        <v>-2</v>
      </c>
      <c r="C1037" s="2" t="n">
        <f aca="false">-2+-2+2</f>
        <v>-2</v>
      </c>
      <c r="D1037" s="3" t="s">
        <v>68</v>
      </c>
      <c r="E1037" s="1" t="s">
        <v>945</v>
      </c>
      <c r="F1037" s="1" t="s">
        <v>946</v>
      </c>
      <c r="G1037" s="1" t="n">
        <v>-1000</v>
      </c>
      <c r="H1037" s="1" t="n">
        <v>1000</v>
      </c>
      <c r="J1037" s="1" t="s">
        <v>947</v>
      </c>
    </row>
    <row r="1039" customFormat="false" ht="13.8" hidden="false" customHeight="false" outlineLevel="0" collapsed="false">
      <c r="A1039" s="1" t="s">
        <v>1578</v>
      </c>
    </row>
    <row r="1040" customFormat="false" ht="13.8" hidden="false" customHeight="false" outlineLevel="0" collapsed="false">
      <c r="A1040" s="1" t="s">
        <v>1579</v>
      </c>
    </row>
    <row r="1041" customFormat="false" ht="13.8" hidden="false" customHeight="false" outlineLevel="0" collapsed="false">
      <c r="A1041" s="1" t="s">
        <v>1580</v>
      </c>
    </row>
    <row r="1042" customFormat="false" ht="13.8" hidden="false" customHeight="false" outlineLevel="0" collapsed="false">
      <c r="A1042" s="41" t="s">
        <v>1581</v>
      </c>
    </row>
  </sheetData>
  <hyperlinks>
    <hyperlink ref="A16" r:id="rId1" display="Nemr (2018): https://pubmed.ncbi.nlm.nih.gov/29753069/"/>
    <hyperlink ref="A17" r:id="rId2" display="Kataoka (2014): https://www.tandfonline.com/doi/pdf/10.1080/09168451.2014.891933?needAccess=true&amp;"/>
    <hyperlink ref="A18" r:id="rId3" display="Kataoka (2013): https://www.sciencedirect.com/science/article/pii/S1389172312004768?via%3Dihub"/>
    <hyperlink ref="A19" r:id="rId4" display="MetaCyc (3-hydroxybutyryl-CoA dehydrogenase): https://metacyc.org/gene?orgid=META&amp;id=MONOMER-13586"/>
    <hyperlink ref="A20" r:id="rId5" display="MetaCyc (R vs S pathway options): https://metacyc.org/META/NEW-IMAGE?type=PATHWAY&amp;object=PWY-7216"/>
    <hyperlink ref="A33" r:id="rId6" display="Nemr (2018): https://pubmed.ncbi.nlm.nih.gov/29753069/"/>
    <hyperlink ref="A34" r:id="rId7" display="Kataoka (2014): https://www.tandfonline.com/doi/pdf/10.1080/09168451.2014.891933?needAccess=true&amp;"/>
    <hyperlink ref="A35" r:id="rId8" display="Kataoka (2013): https://www.sciencedirect.com/science/article/pii/S1389172312004768?via%3Dihub"/>
    <hyperlink ref="A36" r:id="rId9" display="MetaCyc (3-hydroxybutyryl-CoA dehydrogenase): https://metacyc.org/gene?orgid=META&amp;id=MONOMER-13586"/>
    <hyperlink ref="A37" r:id="rId10" display="MetaCyc (R vs S pathway options): https://metacyc.org/META/NEW-IMAGE?type=PATHWAY&amp;object=PWY-7216"/>
    <hyperlink ref="A48" r:id="rId11" display="Chae (2015): https://www.nature.com/articles/srep13040"/>
    <hyperlink ref="A65" r:id="rId12" display="Lee (2019): https://www.nature.com/articles/s41929-018-0212-4 "/>
    <hyperlink ref="A66" r:id="rId13" display="Yang (2018): https://pubmed.ncbi.nlm.nih.gov/30056370/"/>
    <hyperlink ref="A83" r:id="rId14" display="Pooth (2019): https://aiche.onlinelibrary.wiley.com/doi/full/10.1002/btpr.2917"/>
    <hyperlink ref="A84" r:id="rId15" display="Andreozzi (2016): https://www.sciencedirect.com/science/article/pii/S1096717616000215?via%3Dihub"/>
    <hyperlink ref="A85" r:id="rId16" location="Sch1" display="Yim (2011): https://www.nature.com/articles/nchembio.580#Sch1"/>
    <hyperlink ref="A98" r:id="rId17" display="Matsubara (2016): https://pubmed.ncbi.nlm.nih.gov/27072298/"/>
    <hyperlink ref="A99" r:id="rId18" display="KEGG (Lactaldehyde reductase R or S forming): https://www.genome.jp/dbget-bin/www_bget?ec:1.1.1.77"/>
    <hyperlink ref="A100" r:id="rId19" display="BioCyc ((S)-Propanediol dehydratase): https://biocyc.org/META/NEW-IMAGE?type=REACTION-IN-PATHWAY&amp;object=PROPANEDIOL-DEHYDRATASE-RXN"/>
    <hyperlink ref="A101" r:id="rId20" display="BioCyc (propanol dehydrogenase): https://biocyc.org/gene?orgid=META&amp;id=STM2052"/>
    <hyperlink ref="A113" r:id="rId21" display="BioCyc (kivD): https://metacyc.org/gene?orgid=META&amp;id=G-10082"/>
    <hyperlink ref="A114" r:id="rId22" display="BioCyc (ADH2): https://metacyc.org/gene?orgid=META&amp;id=YMR303C"/>
    <hyperlink ref="A115" r:id="rId23" location="fig1" display="Shen (2008): https://www.sciencedirect.com/science/article/pii/S1096717608000487#fig1"/>
    <hyperlink ref="A116" r:id="rId24" display="Liang (2020): https://www.frontiersin.org/articles/10.3389/fbioe.2020.00710/full"/>
    <hyperlink ref="A127" r:id="rId25" display="Nemr (2018): https://pubmed.ncbi.nlm.nih.gov/29753069/"/>
    <hyperlink ref="A128" r:id="rId26" display="Park (2020): https://link.springer.com/content/pdf/10.1007/s12257-019-0306-0.pdf"/>
    <hyperlink ref="A129" r:id="rId27" display="Boecker (2021): https://microbialcellfactories.biomedcentral.com/articles/10.1186/s12934-021-01554-x"/>
    <hyperlink ref="A141" r:id="rId28" display="Cann (2008): https://pubmed.ncbi.nlm.nih.gov/18758769/"/>
    <hyperlink ref="A153" r:id="rId29" display="Luo (2018): https://pubs.acs.org/doi/10.1021/acssynbio.8b00281"/>
    <hyperlink ref="A154" r:id="rId30" display="MetaCyc (HCMS dehydrogenase): https://metacyc.org/gene?orgid=META&amp;id=MONOMER-8501"/>
    <hyperlink ref="A170" r:id="rId31" display="Zhang (2008): https://www.ncbi.nlm.nih.gov/pmc/articles/PMC2634914/?tool=pmcentrez&amp;report=abstract"/>
    <hyperlink ref="A172" r:id="rId32" display="Lee (2019): https://www.nature.com/articles/s41929-018-0212-4 "/>
    <hyperlink ref="A189" r:id="rId33" location="fig0015" display="Thompson (2015): https://www.sciencedirect.com/science/article/pii/S0958166915000981#fig0015"/>
    <hyperlink ref="A190" r:id="rId34" display="BioCyc (Chorismate biosynthesis): https://biocyc.org/ECOLI/NEW-IMAGE?type=PATHWAY&amp;object=ARO-PWY"/>
    <hyperlink ref="A191" r:id="rId35" display="MetaCyc (hydroxycinnamate dehydrogenase): https://metacyc.org/META/NEW-IMAGE?type=REACTION&amp;object=RXN-802"/>
    <hyperlink ref="A202" r:id="rId36" display="Park (2013): https://pubmed.ncbi.nlm.nih.gov/23246520/"/>
    <hyperlink ref="A203" r:id="rId37" display="Lee (2019): https://www.nature.com/articles/s41929-018-0212-4 "/>
    <hyperlink ref="A204" r:id="rId38" display="Wang (2016): https://www.sciencedirect.com/science/article/pii/S1381117716302016"/>
    <hyperlink ref="A215" r:id="rId39" display="Yang (2019): https://microbialcellfactories.biomedcentral.com/articles/10.1186/s12934-019-1054-8"/>
    <hyperlink ref="A230" r:id="rId40" display="Chu (2015): https://www.sciencedirect.com/science/article/pii/S1096717615001020"/>
    <hyperlink ref="A231" r:id="rId41" display="Straathof (2005): https://pubmed.ncbi.nlm.nih.gov/15735954/"/>
    <hyperlink ref="A232" r:id="rId42" display="MetaCyc (Propanoyl-CoA transferase): https://metacyc.org/gene?orgid=META&amp;id=G-34517"/>
    <hyperlink ref="A245" r:id="rId43" display="Prabhu (2012): https://pubmed.ncbi.nlm.nih.gov/23023753/ "/>
    <hyperlink ref="A246" r:id="rId44" display="Kandasamy (2012): https://link.springer.com/article/10.1007%2Fs00253-012-4274-y"/>
    <hyperlink ref="A247" r:id="rId45" display="Straathof (2005): https://pubmed.ncbi.nlm.nih.gov/15735954/"/>
    <hyperlink ref="A248" r:id="rId46" display="Chu (2015): https://www.sciencedirect.com/science/article/pii/S1096717615001020"/>
    <hyperlink ref="A261" r:id="rId47" display="Raj (2018): https://www.sciencedirect.com/science/article/pii/S2214030117300275"/>
    <hyperlink ref="A262" r:id="rId48" display="Zhang (2015): https://microbialcellfactories.biomedcentral.com/articles/10.1186/s12934-015-0319-0"/>
    <hyperlink ref="A263" r:id="rId49" display="Choi (2020): https://www.mdpi.com/2218-273X/10/9/1238/htm"/>
    <hyperlink ref="A264" r:id="rId50" display="Lee (2019): https://www.nature.com/articles/s41929-018-0212-4 "/>
    <hyperlink ref="A265" r:id="rId51" display="BioCyc (Protocatechuate decarboxylase): https://biocyc.org/META/NEW-IMAGE?type=REACTION&amp;object=PROTOCATECHUATE-DECARBOXYLASE-RXN"/>
    <hyperlink ref="A279" r:id="rId52" display="BioCyc (Chorismate biosynthesis): https://biocyc.org/ECOLI/NEW-IMAGE?type=PATHWAY&amp;object=ARO-PWY"/>
    <hyperlink ref="A280" r:id="rId53" display="BioCyc (Chorismate --&gt; L-phenylalanine): https://biocyc.org/ECOLI/NEW-IMAGE?type=PATHWAY&amp;object=PHESYN"/>
    <hyperlink ref="A281" r:id="rId54" location="fig1" display="Luo (2020): https://www.sciencedirect.com/science/article/pii/S1096717620301579?via%3Dihub#fig1"/>
    <hyperlink ref="A282" r:id="rId55" display="Teotia (2019): https://onlinelibrary.wiley.com/doi/abs/10.1111/tpj.14506"/>
    <hyperlink ref="A283" r:id="rId56" display="Noda (2012): https://microbialcellfactories.biomedcentral.com/articles/10.1186/1475-2859-11-49"/>
    <hyperlink ref="A284" r:id="rId57" display="MetaCyc (Benzoate biosynthesis II): https://biocyc.org/META/NEW-IMAGE?type=PATHWAY&amp;object=PWY-6444"/>
    <hyperlink ref="A301" r:id="rId58" display="BioCyc (Chorismate biosynthesis): https://biocyc.org/ECOLI/NEW-IMAGE?type=PATHWAY&amp;object=ARO-PWY"/>
    <hyperlink ref="A303" r:id="rId59" location="fig1" display="Luo (2020): https://www.sciencedirect.com/science/article/pii/S1096717620301579?via%3Dihub#fig1"/>
    <hyperlink ref="A304" r:id="rId60" display="Teotia (2019): https://onlinelibrary.wiley.com/doi/abs/10.1111/tpj.14506"/>
    <hyperlink ref="A305" r:id="rId61" display="Qualley (2012): https://www.pnas.org/content/109/40/16383"/>
    <hyperlink ref="A306" r:id="rId62" display="Noda (2012): https://microbialcellfactories.biomedcentral.com/articles/10.1186/1475-2859-11-49"/>
    <hyperlink ref="A307" r:id="rId63" display="MetaCyc (Benzoate biosynthesis III): https://biocyc.org/META/NEW-IMAGE?type=PATHWAY&amp;object=PWY-6446"/>
    <hyperlink ref="A308" r:id="rId64" display="MetaCye (Benzoate biosynthesis I): https://biocyc.org/META/NEW-IMAGE?type=PATHWAY&amp;object=PWY-6443"/>
    <hyperlink ref="A322" r:id="rId65" display="Pugh (2015) - https://www.sciencedirect.com/science/article/pii/S2214030115300018"/>
    <hyperlink ref="A323" r:id="rId66" location="fig0020" display="Thompson (2015) - https://www.sciencedirect.com/science/article/abs/pii/S0958166915000981#fig0020"/>
    <hyperlink ref="A344" r:id="rId67" display="Wilding (2000): https://www.ncbi.nlm.nih.gov/pmc/articles/PMC101949/"/>
    <hyperlink ref="A345" r:id="rId68" display="Yuan (2006): https://pubmed.ncbi.nlm.nih.gov/16257556/"/>
    <hyperlink ref="A346" r:id="rId69" display="Yang (2014): https://microbialcellfactories.biomedcentral.com/articles/10.1186/s12934-014-0160-x"/>
    <hyperlink ref="A347" r:id="rId70" display="Seeber (2010): https://www.sciencedirect.com/science/article/pii/S1937644810810056"/>
    <hyperlink ref="A348" r:id="rId71" display="Sato (2012): https://www.sciencedirect.com/science/article/pii/B9780123814661000286"/>
    <hyperlink ref="A349" r:id="rId72" display="BioCyc (Farnesyl-Transferase rxn): https://biocyc.org/META/NEW-IMAGE?type=REACTION&amp;object=FARNESYLTRANSTRANSFERASE-RXN"/>
    <hyperlink ref="A350" r:id="rId73" display="BioCyc (Beta-carotene biosynthesis): https://biocyc.org/META/NEW-IMAGE?type=PATHWAY&amp;object=PWY-7393"/>
    <hyperlink ref="A351" r:id="rId74" display="BRENDA (Phytoene desaturase): https://www.brenda-enzymes.org/enzyme.php?ecno=1.3.99.31"/>
    <hyperlink ref="A352" r:id="rId75" display="Doshi (2013): https://www.pnas.org/content/pnas/110/19/7642.full.pdf"/>
    <hyperlink ref="A353" r:id="rId76" display="Bu (2020): https://biotechnologyforbiofuels.biomedcentral.com/articles/10.1186/s13068-020-01809-6"/>
    <hyperlink ref="A373" r:id="rId77" display="Liu (2021): https://www.frontiersin.org/articles/10.3389/fbioe.2021.613322/full"/>
    <hyperlink ref="A374" r:id="rId78" display="Call (2016): https://www.ncbi.nlm.nih.gov/pmc/articles/PMC4822313/"/>
    <hyperlink ref="A375" r:id="rId79" display="Das (2011): https://onlinelibrary.wiley.com/doi/abs/10.1002/anie.201101552"/>
    <hyperlink ref="A376" r:id="rId80" display="BioCyc (LuxC): https://biocyc.org/META/NEW-IMAGE?type=EC-NUMBER&amp;object=EC-1.2.1.50"/>
    <hyperlink ref="A392" r:id="rId81" display="Jawed (2020): https://pubs.acs.org/doi/10.1021/acssynbio.0c00154"/>
    <hyperlink ref="A393" r:id="rId82" display="Garcia (2020): https://pubs.acs.org/doi/abs/10.1021/acssynbio.9b00518"/>
    <hyperlink ref="A394" r:id="rId83" display="BioCyc (ADHE2): https://metacyc.org/gene?orgid=META&amp;id=G-12174"/>
    <hyperlink ref="A409" r:id="rId84" display="Shen (2008): https://www.frontiersin.org/articles/10.3389/fbioe.2020.00710/full"/>
    <hyperlink ref="A410" r:id="rId85" display="Liang (2020): https://www.frontiersin.org/articles/10.3389/fbioe.2020.00710/full"/>
    <hyperlink ref="A411" r:id="rId86" display="BioCyc (3-methylbutanol biosynthesis pathway): https://metacyc.org/META/NEW-IMAGE?type=PATHWAY&amp;object=PWY-6871"/>
    <hyperlink ref="A426" r:id="rId87" display="Zhang (2016): https://www.ncbi.nlm.nih.gov/pmc/articles/PMC4818529/"/>
    <hyperlink ref="J434" r:id="rId88" display="Doesn’t appear to exist in any BiGG models. See reaction here: https://biocyc.org/META/NEW-IMAGE?type=REACTION&amp;object=PROTOCATECHUATE-DECARBOXYLASE-RXN"/>
    <hyperlink ref="A440" r:id="rId89" display="Raj (2018): https://www.sciencedirect.com/science/article/pii/S2214030117300275"/>
    <hyperlink ref="A441" r:id="rId90" display="Zhang (2015): https://microbialcellfactories.biomedcentral.com/articles/10.1186/s12934-015-0319-0"/>
    <hyperlink ref="A442" r:id="rId91" display="Choi (2020): https://www.mdpi.com/2218-273X/10/9/1238/htm"/>
    <hyperlink ref="A443" r:id="rId92" display="Lee (2019): https://www.nature.com/articles/s41929-018-0212-4 "/>
    <hyperlink ref="A444" r:id="rId93" display="BioCyc (Protocatechuate decarboxylase): https://biocyc.org/META/NEW-IMAGE?type=REACTION&amp;object=PROTOCATECHUATE-DECARBOXYLASE-RXN"/>
    <hyperlink ref="A456" r:id="rId94" display="Raj (2018): https://www.sciencedirect.com/science/article/pii/S2214030117300275"/>
    <hyperlink ref="A457" r:id="rId95" display="Zhang (2015): https://microbialcellfactories.biomedcentral.com/articles/10.1186/s12934-015-0319-0"/>
    <hyperlink ref="A458" r:id="rId96" display="Choi (2020): https://www.mdpi.com/2218-273X/10/9/1238/htm"/>
    <hyperlink ref="A459" r:id="rId97" display="Lee (2019): https://www.nature.com/articles/s41929-018-0212-4 "/>
    <hyperlink ref="A460" r:id="rId98" display="BioCyc (Protocatechuate decarboxylase): https://biocyc.org/META/NEW-IMAGE?type=REACTION&amp;object=PROTOCATECHUATE-DECARBOXYLASE-RXN"/>
    <hyperlink ref="A476" r:id="rId99" location="fig0015" display="Thompson (2015): https://www.sciencedirect.com/science/article/pii/S0958166915000981#fig0015"/>
    <hyperlink ref="A477" r:id="rId100" display="BioCyc (Chorismate biosynthesis): https://biocyc.org/ECOLI/NEW-IMAGE?type=PATHWAY&amp;object=ARO-PWY"/>
    <hyperlink ref="A488" r:id="rId101" display="Bohnenkamp (2020): https://biotechnologyforbiofuels.biomedcentral.com/articles/10.1186/s13068-020-01703-1"/>
    <hyperlink ref="A489" r:id="rId102" location="f0005" display="Kruis (2017): https://www.sciencedirect.com/science/article/pii/S1096717617300320#f0005"/>
    <hyperlink ref="A508" r:id="rId103" display="Wang (2011): https://pubmed.ncbi.nlm.nih.gov/21907299/"/>
    <hyperlink ref="A509" r:id="rId104" display="Wilding (2000): https://www.ncbi.nlm.nih.gov/pmc/articles/PMC101949/"/>
    <hyperlink ref="A510" r:id="rId105" display="BioCyc (Farnesyl diphosphate biosynthesis): https://biocyc.org/META/NEW-IMAGE?type=PATHWAY&amp;object=PWY-5123"/>
    <hyperlink ref="A511" r:id="rId106" display="BioCyc (Mevalonate Pathway I): https://biocyc.org/META/NEW-IMAGE?type=PATHWAY&amp;object=PWY-922"/>
    <hyperlink ref="A523" r:id="rId107" display="Zhou (2012) [covers up to gamma-hydroxybutyrate, aka 4-hydroxybutyric acid]: https://microbialcellfactories.biomedcentral.com/articles/10.1186/1475-2859-11-54"/>
    <hyperlink ref="A524" r:id="rId108" display="Lee (2019): https://www.nature.com/articles/s41929-018-0212-4 "/>
    <hyperlink ref="A538" r:id="rId109" display="Park (2013): https://pubmed.ncbi.nlm.nih.gov/23246520/"/>
    <hyperlink ref="A539" r:id="rId110" display="Lee (2019): https://www.nature.com/articles/s41929-018-0212-4 "/>
    <hyperlink ref="A540" r:id="rId111" display="MetaCyc (Proline degradation I): https://metacyc.org/META/NEW-IMAGE?type=PATHWAY&amp;object=PROUT-PWY"/>
    <hyperlink ref="A568" r:id="rId112" display="Liu (2021): https://www.frontiersin.org/articles/10.3389/fbioe.2021.613322/full"/>
    <hyperlink ref="A569" r:id="rId113" display="Das (2011): https://onlinelibrary.wiley.com/doi/abs/10.1002/anie.201101552"/>
    <hyperlink ref="A570" r:id="rId114" display="Call (2016): https://www.ncbi.nlm.nih.gov/pmc/articles/PMC4822313/"/>
    <hyperlink ref="A571" r:id="rId115" display="BioCyc (LuxC): https://biocyc.org/META/NEW-IMAGE?type=EC-NUMBER&amp;object=EC-1.2.1.50"/>
    <hyperlink ref="A596" r:id="rId116" display="Liu (2021): https://www.frontiersin.org/articles/10.3389/fbioe.2021.613322/full"/>
    <hyperlink ref="A597" r:id="rId117" display="Call (2016): https://www.ncbi.nlm.nih.gov/pmc/articles/PMC4822313/"/>
    <hyperlink ref="A598" r:id="rId118" display="Das (2011): https://onlinelibrary.wiley.com/doi/abs/10.1002/anie.201101552"/>
    <hyperlink ref="A599" r:id="rId119" display="BioCyc (LuxC): https://biocyc.org/META/NEW-IMAGE?type=EC-NUMBER&amp;object=EC-1.2.1.50"/>
    <hyperlink ref="A612" r:id="rId120" display="Zhang (2016): https://www.ncbi.nlm.nih.gov/pmc/articles/PMC4818529/"/>
    <hyperlink ref="A625" r:id="rId121" display="Lee (2019): https://www.nature.com/articles/s41929-018-0212-4 "/>
    <hyperlink ref="A626" r:id="rId122" display="Li (2020) [ use of pyruvate:ferredoxin oxidoreductases in E.coli]: https://www.biorxiv.org/content/10.1101/2020.07.26.219949v2"/>
    <hyperlink ref="A628" r:id="rId123" display="BioCyc (ferredoxin-NADP+ reductase): https://biocyc.org/ECOLI/NEW-IMAGE?type=REACTION&amp;object=RXN-17897"/>
    <hyperlink ref="A629" r:id="rId124" display="BioCyc (pyruvate:ferredoxin oxidoreductase): https://biocyc.org/ECOLI/NEW-IMAGE?type=REACTION&amp;object=PYRUFLAVREDUCT-RXN"/>
    <hyperlink ref="A630" r:id="rId125" display="MetaCyc (3-hydroxybutyryl-CoA): https://biocyc.org/META/NEW-IMAGE?type=REACTION&amp;object=3-HYDROXYISOBUTYRYL-COA-HYDROLASE-RXN"/>
    <hyperlink ref="A646" r:id="rId126" display="Wilding (2000): https://www.ncbi.nlm.nih.gov/pmc/articles/PMC101949/"/>
    <hyperlink ref="A647" r:id="rId127" display="Kim (2016): https://microbialcellfactories.biomedcentral.com/articles/10.1186/s12934-016-0612-6"/>
    <hyperlink ref="A648" r:id="rId128" display="Li (2019): https://microbialcellfactories.biomedcentral.com/articles/10.1186/s12934-018-1051-3"/>
    <hyperlink ref="A649" r:id="rId129" display="BioCyc (Mevalonate Pathway I): https://biocyc.org/META/NEW-IMAGE?type=PATHWAY&amp;object=PWY-922"/>
    <hyperlink ref="A661" r:id="rId130" display="Hanai (2007): https://aem.asm.org/content/73/24/7814"/>
    <hyperlink ref="A663" r:id="rId131" display="Yang (2019): https://microbialcellfactories.biomedcentral.com/articles/10.1186/s12934-019-1054-8"/>
    <hyperlink ref="A675" r:id="rId132" location="Ack1" display="Vuoristor (2015): https://link.springer.com/article/10.1007%2Fs00253-014-6092-x#Ack1"/>
    <hyperlink ref="A676" r:id="rId133" display="Kim (2017): https://www.nature.com/articles/srep39768"/>
    <hyperlink ref="A677" r:id="rId134" display="MetaCyc (Cis-aconitate decarboxylase): https://metacyc.org/gene?orgid=META&amp;id=MONOMER-13632"/>
    <hyperlink ref="A694" r:id="rId135" display="Alonso-Gutierrez (2013): https://www.sciencedirect.com/science/article/pii/S109671761300058X"/>
    <hyperlink ref="A695" r:id="rId136" display="Ward (2018): https://academic.oup.com/femsle/article/365/10/fny079/4953741"/>
    <hyperlink ref="A696" r:id="rId137" display="Limonene Synthase: https://www.brenda-enzymes.org/enzyme.php?ecno=4.2.3.20"/>
    <hyperlink ref="A709" r:id="rId138" display="Song (2016): https://pubs.acs.org/doi/10.1021/acssynbio.6b00007"/>
    <hyperlink ref="A742" r:id="rId139" display="Liu (2021): https://www.frontiersin.org/articles/10.3389/fbioe.2021.613322/full"/>
    <hyperlink ref="A743" r:id="rId140" display="Das (2011): https://onlinelibrary.wiley.com/doi/abs/10.1002/anie.201101552"/>
    <hyperlink ref="A744" r:id="rId141" display="Call (2016): https://www.ncbi.nlm.nih.gov/pmc/articles/PMC4822313/"/>
    <hyperlink ref="A745" r:id="rId142" display="BioCyc (LuxC): https://biocyc.org/META/NEW-IMAGE?type=EC-NUMBER&amp;object=EC-1.2.1.50"/>
    <hyperlink ref="A775" r:id="rId143" display="Liu (2021): https://www.frontiersin.org/articles/10.3389/fbioe.2021.613322/full"/>
    <hyperlink ref="A776" r:id="rId144" display="Call (2016): https://www.ncbi.nlm.nih.gov/pmc/articles/PMC4822313/"/>
    <hyperlink ref="A777" r:id="rId145" display="Das (2011): https://onlinelibrary.wiley.com/doi/abs/10.1002/anie.201101552"/>
    <hyperlink ref="A778" r:id="rId146" display="BioCyc (LuxC): https://biocyc.org/META/NEW-IMAGE?type=EC-NUMBER&amp;object=EC-1.2.1.50"/>
    <hyperlink ref="A801" r:id="rId147" display="Liu (2021): https://www.frontiersin.org/articles/10.3389/fbioe.2021.613322/full"/>
    <hyperlink ref="A802" r:id="rId148" display="Das (2011): https://onlinelibrary.wiley.com/doi/abs/10.1002/anie.201101552"/>
    <hyperlink ref="A803" r:id="rId149" display="Call (2016): https://www.ncbi.nlm.nih.gov/pmc/articles/PMC4822313/"/>
    <hyperlink ref="A804" r:id="rId150" display="BioCyc (LuxC): https://biocyc.org/META/NEW-IMAGE?type=EC-NUMBER&amp;object=EC-1.2.1.50"/>
    <hyperlink ref="A823" r:id="rId151" display="Mehrer (2018): https://www.ncbi.nlm.nih.gov/pmc/articles/PMC6072553/"/>
    <hyperlink ref="A824" r:id="rId152" display="Liu (2021): https://www.frontiersin.org/articles/10.3389/fbioe.2021.613322/full"/>
    <hyperlink ref="A856" r:id="rId153" location="fig0015" display="Thompson (2015): https://www.sciencedirect.com/science/article/pii/S0958166915000981#fig0015"/>
    <hyperlink ref="A857" r:id="rId154" display="Kim (2013): https://onlinelibrary.wiley.com/doi/epdf/10.1002/biot.201300263"/>
    <hyperlink ref="A858" r:id="rId155" display="BioCyc (Chorismate biosynthesis): https://biocyc.org/ECOLI/NEW-IMAGE?type=PATHWAY&amp;object=ARO-PWY"/>
    <hyperlink ref="A859" r:id="rId156" display="MetaCyc (TPL): https://metacyc.org/META/NEW-IMAGE?type=REACTION&amp;object=TYROSINE-PHENOL-LYASE-RXN"/>
    <hyperlink ref="A877" r:id="rId157" display="Menon (2015): https://biotechnologyforbiofuels.biomedcentral.com/articles/10.1186/s13068-015-0231-1"/>
    <hyperlink ref="A878" r:id="rId158" display="Liu (2021): https://www.frontiersin.org/articles/10.3389/fbioe.2021.613322/full"/>
    <hyperlink ref="A879" r:id="rId159" display="Das (2011): https://onlinelibrary.wiley.com/doi/abs/10.1002/anie.201101552"/>
    <hyperlink ref="A881" r:id="rId160" display="BioCyc (LuxC): https://biocyc.org/META/NEW-IMAGE?type=EC-NUMBER&amp;object=EC-1.2.1.50"/>
    <hyperlink ref="A895" r:id="rId161" display="Zhang (2016): https://www.ncbi.nlm.nih.gov/pmc/articles/PMC4818529/"/>
    <hyperlink ref="A896" r:id="rId162" display="Call (2016): https://www.ncbi.nlm.nih.gov/pmc/articles/PMC4822313/"/>
    <hyperlink ref="A909" r:id="rId163" display="Averesch (2018): https://www.frontiersin.org/articles/10.3389/fbioe.2018.00032/full"/>
    <hyperlink ref="A925" r:id="rId164" display="McKenna (2011): https://www.sciencedirect.com/science/article/pii/S1096717611000711"/>
    <hyperlink ref="A926" r:id="rId165" display="Lee-Jeong (2019): https://microbialcellfactories.biomedcentral.com/articles/10.1186/s12934-019-1129-6"/>
    <hyperlink ref="A927" r:id="rId166" display="Liang (2020): https://www.sciencedirect.com/science/article/pii/S1096717619302320"/>
    <hyperlink ref="A929" r:id="rId167" display="BioCyc (Chorismate biosynthesis): https://biocyc.org/ECOLI/NEW-IMAGE?type=PATHWAY&amp;object=ARO-PWY"/>
    <hyperlink ref="A930" r:id="rId168" display="BioCyc (Chorismate --&gt; L-phenylalanine): https://biocyc.org/ECOLI/NEW-IMAGE?type=PATHWAY&amp;object=PHESYN"/>
    <hyperlink ref="A941" r:id="rId169" display="Trichez (2018): https://microbialcellfactories.biomedcentral.com/articles/10.1186/s12934-018-0959-y"/>
    <hyperlink ref="A942" r:id="rId170" display="Jiang (2020): https://microbialcellfactories.biomedcentral.com/articles/10.1186/s12934-020-01422-0"/>
    <hyperlink ref="A951" r:id="rId171" display="Cheng (2013): https://www.ncbi.nlm.nih.gov/pmc/articles/PMC3652112/"/>
    <hyperlink ref="A960" r:id="rId172" display="Tong (2019): https://microbialcellfactories.biomedcentral.com/articles/10.1186/s12934-019-1064-6"/>
    <hyperlink ref="A961" r:id="rId173" display="Mores (2021): https://www.sciencedirect.com/science/article/pii/S0960852420317004?dgcid=rss_sd_all"/>
    <hyperlink ref="A962" r:id="rId174" display="Max (2010): https://www.ncbi.nlm.nih.gov/pmc/articles/PMC3769771/"/>
    <hyperlink ref="A973" r:id="rId175" display="Pandit (2021): https://microbialcellfactories.biomedcentral.com/articles/10.1186/s12934-021-01509-2"/>
    <hyperlink ref="A978" r:id="rId176" display="Ma (2017): https://www.sciencedirect.com/science/article/pii/S2405805X17300534"/>
    <hyperlink ref="A983" r:id="rId177" display="Ma (2017): https://www.sciencedirect.com/science/article/pii/S2405805X17300534"/>
    <hyperlink ref="A1000" r:id="rId178" display="Moon (2009): https://aem.asm.org/content/75/3/589"/>
    <hyperlink ref="A1019" r:id="rId179" display="Lee (1996): https://aem.asm.org/content/62/9/3101"/>
    <hyperlink ref="A1020" r:id="rId180" display="McKenna (2011): https://www.sciencedirect.com/science/article/pii/S1096717611000711"/>
    <hyperlink ref="A1021" r:id="rId181" display="Lee-Jeong (2019): https://microbialcellfactories.biomedcentral.com/articles/10.1186/s12934-019-1129-6"/>
    <hyperlink ref="A1022" r:id="rId182" display="Liang (2020): https://www.sciencedirect.com/science/article/pii/S1096717619302320"/>
    <hyperlink ref="A1024" r:id="rId183" display="BioCyc (Chorismate biosynthesis): https://biocyc.org/ECOLI/NEW-IMAGE?type=PATHWAY&amp;object=ARO-PWY"/>
    <hyperlink ref="A1025" r:id="rId184" display="BioCyc (Chorismate --&gt; L-phenylalanine): https://biocyc.org/ECOLI/NEW-IMAGE?type=PATHWAY&amp;object=PHESYN"/>
    <hyperlink ref="A1039" r:id="rId185" location="tab=RXNS" display="MetaCyc (1-pyrroline-2-carboxylate reductase): https://metacyc.org/gene?orgid=META&amp;id=MONOMER-18703#tab=RXNS"/>
    <hyperlink ref="A1040" r:id="rId186" display="MetaCyc (proline racemase): https://metacyc.org/META/NEW-IMAGE?type=REACTION&amp;object=PROLINE-RACEMASE-RXN"/>
    <hyperlink ref="A1041" r:id="rId187" display="MetaCyc (D-proline reductase): https://metacyc.org/META/NEW-IMAGE?type=REACTION-IN-PATHWAY&amp;object=1.21.4.1-RXN"/>
    <hyperlink ref="A1042" r:id="rId188" display="MetaCyc (Proline degradation II): https://metacyc.org/META/NEW-IMAGE?type=PATHWAY&amp;object=PWY-8186"/>
  </hyperlinks>
  <printOptions headings="false" gridLines="false" gridLinesSet="true" horizontalCentered="false" verticalCentered="false"/>
  <pageMargins left="0.7875" right="0.7875" top="1.05277777777778" bottom="1.05277777777778" header="0.7875" footer="0.787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sheetPr filterMode="false">
    <pageSetUpPr fitToPage="false"/>
  </sheetPr>
  <dimension ref="A1:I1048576"/>
  <sheetViews>
    <sheetView showFormulas="false" showGridLines="true" showRowColHeaders="true" showZeros="true" rightToLeft="false" tabSelected="false" showOutlineSymbols="true" defaultGridColor="true" view="normal" topLeftCell="A335" colorId="64" zoomScale="100" zoomScaleNormal="100" zoomScalePageLayoutView="100" workbookViewId="0">
      <selection pane="topLeft" activeCell="F349" activeCellId="0" sqref="F349"/>
    </sheetView>
  </sheetViews>
  <sheetFormatPr defaultRowHeight="13.8" zeroHeight="false" outlineLevelRow="0" outlineLevelCol="0"/>
  <cols>
    <col collapsed="false" customWidth="true" hidden="false" outlineLevel="0" max="1" min="1" style="1" width="23.19"/>
    <col collapsed="false" customWidth="true" hidden="false" outlineLevel="0" max="2" min="2" style="1" width="46.81"/>
    <col collapsed="false" customWidth="true" hidden="false" outlineLevel="0" max="3" min="3" style="1" width="11.33"/>
    <col collapsed="false" customWidth="true" hidden="false" outlineLevel="0" max="4" min="4" style="1" width="15.44"/>
    <col collapsed="false" customWidth="true" hidden="false" outlineLevel="0" max="5" min="5" style="1" width="4.3"/>
    <col collapsed="false" customWidth="true" hidden="false" outlineLevel="0" max="7" min="6" style="1" width="9.14"/>
    <col collapsed="false" customWidth="true" hidden="false" outlineLevel="0" max="8" min="8" style="2" width="9.14"/>
    <col collapsed="false" customWidth="true" hidden="false" outlineLevel="0" max="1025" min="9" style="1" width="9.14"/>
  </cols>
  <sheetData>
    <row r="1" customFormat="false" ht="13.8" hidden="false" customHeight="false" outlineLevel="0" collapsed="false">
      <c r="A1" s="5" t="s">
        <v>1582</v>
      </c>
      <c r="B1" s="5" t="s">
        <v>1583</v>
      </c>
      <c r="C1" s="5" t="s">
        <v>1584</v>
      </c>
      <c r="D1" s="5" t="s">
        <v>1585</v>
      </c>
      <c r="E1" s="5" t="s">
        <v>1586</v>
      </c>
      <c r="F1" s="5" t="s">
        <v>1587</v>
      </c>
      <c r="G1" s="5" t="s">
        <v>1588</v>
      </c>
      <c r="H1" s="143" t="s">
        <v>1589</v>
      </c>
    </row>
    <row r="3" customFormat="false" ht="13.8" hidden="false" customHeight="false" outlineLevel="0" collapsed="false">
      <c r="A3" s="1" t="s">
        <v>9</v>
      </c>
      <c r="B3" s="14" t="s">
        <v>1590</v>
      </c>
      <c r="C3" s="14" t="s">
        <v>1591</v>
      </c>
      <c r="D3" s="14" t="s">
        <v>1592</v>
      </c>
      <c r="E3" s="14" t="s">
        <v>1593</v>
      </c>
      <c r="F3" s="14" t="n">
        <v>-4</v>
      </c>
      <c r="G3" s="12" t="s">
        <v>15</v>
      </c>
    </row>
    <row r="4" customFormat="false" ht="14.25" hidden="false" customHeight="false" outlineLevel="0" collapsed="false">
      <c r="A4" s="1" t="s">
        <v>9</v>
      </c>
      <c r="B4" s="14" t="s">
        <v>1594</v>
      </c>
      <c r="C4" s="14" t="s">
        <v>1595</v>
      </c>
      <c r="D4" s="14" t="s">
        <v>1596</v>
      </c>
      <c r="E4" s="14" t="s">
        <v>1593</v>
      </c>
      <c r="F4" s="14" t="n">
        <v>-4</v>
      </c>
      <c r="G4" s="12" t="s">
        <v>15</v>
      </c>
      <c r="H4" s="12" t="s">
        <v>1597</v>
      </c>
    </row>
    <row r="5" customFormat="false" ht="14.25" hidden="false" customHeight="false" outlineLevel="0" collapsed="false">
      <c r="A5" s="1" t="s">
        <v>9</v>
      </c>
      <c r="B5" s="19" t="s">
        <v>1598</v>
      </c>
      <c r="C5" s="19" t="s">
        <v>1599</v>
      </c>
      <c r="D5" s="19" t="s">
        <v>1600</v>
      </c>
      <c r="E5" s="19" t="s">
        <v>1593</v>
      </c>
      <c r="F5" s="19" t="n">
        <v>-4</v>
      </c>
      <c r="G5" s="17"/>
      <c r="H5" s="2" t="s">
        <v>1601</v>
      </c>
    </row>
    <row r="6" customFormat="false" ht="14.25" hidden="false" customHeight="false" outlineLevel="0" collapsed="false">
      <c r="A6" s="1" t="s">
        <v>9</v>
      </c>
      <c r="B6" s="19" t="s">
        <v>1602</v>
      </c>
      <c r="C6" s="19" t="s">
        <v>1603</v>
      </c>
      <c r="D6" s="19" t="s">
        <v>1604</v>
      </c>
      <c r="E6" s="19" t="s">
        <v>1593</v>
      </c>
      <c r="F6" s="19" t="n">
        <v>0</v>
      </c>
      <c r="G6" s="36"/>
      <c r="H6" s="19" t="s">
        <v>1605</v>
      </c>
    </row>
    <row r="7" customFormat="false" ht="14.25" hidden="false" customHeight="false" outlineLevel="0" collapsed="false">
      <c r="A7" s="1" t="s">
        <v>9</v>
      </c>
      <c r="B7" s="1" t="s">
        <v>1606</v>
      </c>
      <c r="C7" s="1" t="s">
        <v>1607</v>
      </c>
      <c r="D7" s="1" t="s">
        <v>1608</v>
      </c>
      <c r="E7" s="1" t="s">
        <v>1593</v>
      </c>
      <c r="F7" s="1" t="n">
        <v>0</v>
      </c>
      <c r="G7" s="36"/>
      <c r="H7" s="19" t="s">
        <v>1609</v>
      </c>
    </row>
    <row r="8" customFormat="false" ht="14.25" hidden="false" customHeight="false" outlineLevel="0" collapsed="false">
      <c r="A8" s="1" t="s">
        <v>9</v>
      </c>
      <c r="B8" s="1" t="s">
        <v>1606</v>
      </c>
      <c r="C8" s="1" t="s">
        <v>1610</v>
      </c>
      <c r="D8" s="1" t="s">
        <v>1608</v>
      </c>
      <c r="E8" s="1" t="s">
        <v>1611</v>
      </c>
      <c r="F8" s="1" t="n">
        <v>0</v>
      </c>
      <c r="G8" s="36"/>
      <c r="H8" s="19" t="s">
        <v>1609</v>
      </c>
    </row>
    <row r="11" customFormat="false" ht="13.8" hidden="false" customHeight="false" outlineLevel="0" collapsed="false">
      <c r="A11" s="1" t="s">
        <v>54</v>
      </c>
      <c r="B11" s="56" t="s">
        <v>1612</v>
      </c>
      <c r="C11" s="56" t="s">
        <v>1613</v>
      </c>
      <c r="D11" s="56" t="s">
        <v>1614</v>
      </c>
      <c r="E11" s="56" t="s">
        <v>1593</v>
      </c>
      <c r="F11" s="56" t="n">
        <v>-1</v>
      </c>
      <c r="G11" s="144" t="s">
        <v>15</v>
      </c>
    </row>
    <row r="12" customFormat="false" ht="14.15" hidden="false" customHeight="false" outlineLevel="0" collapsed="false">
      <c r="A12" s="1" t="s">
        <v>54</v>
      </c>
      <c r="B12" s="48" t="s">
        <v>1615</v>
      </c>
      <c r="C12" s="48" t="s">
        <v>1616</v>
      </c>
      <c r="D12" s="48" t="s">
        <v>1617</v>
      </c>
      <c r="E12" s="48" t="s">
        <v>1593</v>
      </c>
      <c r="F12" s="48" t="n">
        <v>0</v>
      </c>
      <c r="G12" s="76" t="s">
        <v>15</v>
      </c>
      <c r="H12" s="12"/>
    </row>
    <row r="13" customFormat="false" ht="14.25" hidden="false" customHeight="false" outlineLevel="0" collapsed="false">
      <c r="A13" s="1" t="s">
        <v>54</v>
      </c>
      <c r="B13" s="19" t="s">
        <v>1602</v>
      </c>
      <c r="C13" s="19" t="s">
        <v>1603</v>
      </c>
      <c r="D13" s="19" t="s">
        <v>1604</v>
      </c>
      <c r="E13" s="19" t="s">
        <v>1593</v>
      </c>
      <c r="F13" s="19" t="n">
        <v>0</v>
      </c>
      <c r="G13" s="36"/>
      <c r="H13" s="19" t="s">
        <v>1605</v>
      </c>
    </row>
    <row r="14" customFormat="false" ht="14.25" hidden="false" customHeight="false" outlineLevel="0" collapsed="false">
      <c r="A14" s="1" t="s">
        <v>54</v>
      </c>
      <c r="B14" s="1" t="s">
        <v>1606</v>
      </c>
      <c r="C14" s="1" t="s">
        <v>1607</v>
      </c>
      <c r="D14" s="1" t="s">
        <v>1608</v>
      </c>
      <c r="E14" s="1" t="s">
        <v>1593</v>
      </c>
      <c r="F14" s="1" t="n">
        <v>0</v>
      </c>
      <c r="G14" s="36"/>
      <c r="H14" s="19" t="s">
        <v>1609</v>
      </c>
    </row>
    <row r="15" customFormat="false" ht="14.25" hidden="false" customHeight="false" outlineLevel="0" collapsed="false">
      <c r="A15" s="1" t="s">
        <v>54</v>
      </c>
      <c r="B15" s="1" t="s">
        <v>1606</v>
      </c>
      <c r="C15" s="1" t="s">
        <v>1610</v>
      </c>
      <c r="D15" s="1" t="s">
        <v>1608</v>
      </c>
      <c r="E15" s="1" t="s">
        <v>1611</v>
      </c>
      <c r="F15" s="1" t="n">
        <v>0</v>
      </c>
      <c r="G15" s="36"/>
      <c r="H15" s="19" t="s">
        <v>1609</v>
      </c>
    </row>
    <row r="19" customFormat="false" ht="13.8" hidden="false" customHeight="false" outlineLevel="0" collapsed="false">
      <c r="A19" s="3" t="s">
        <v>64</v>
      </c>
      <c r="B19" s="12" t="s">
        <v>1618</v>
      </c>
      <c r="C19" s="12" t="s">
        <v>1619</v>
      </c>
      <c r="D19" s="12" t="s">
        <v>1620</v>
      </c>
      <c r="E19" s="12" t="s">
        <v>1593</v>
      </c>
      <c r="F19" s="12" t="n">
        <v>0</v>
      </c>
      <c r="G19" s="12" t="s">
        <v>15</v>
      </c>
    </row>
    <row r="20" customFormat="false" ht="13.8" hidden="false" customHeight="false" outlineLevel="0" collapsed="false">
      <c r="A20" s="3" t="s">
        <v>64</v>
      </c>
      <c r="B20" s="76" t="s">
        <v>1621</v>
      </c>
      <c r="C20" s="76" t="s">
        <v>1622</v>
      </c>
      <c r="D20" s="76" t="s">
        <v>1623</v>
      </c>
      <c r="E20" s="12" t="s">
        <v>1593</v>
      </c>
      <c r="F20" s="12" t="n">
        <v>-1</v>
      </c>
      <c r="G20" s="12" t="s">
        <v>15</v>
      </c>
    </row>
    <row r="21" customFormat="false" ht="13.8" hidden="false" customHeight="false" outlineLevel="0" collapsed="false">
      <c r="A21" s="3" t="s">
        <v>64</v>
      </c>
      <c r="B21" s="76" t="s">
        <v>1624</v>
      </c>
      <c r="C21" s="76" t="s">
        <v>1625</v>
      </c>
      <c r="D21" s="76" t="s">
        <v>1626</v>
      </c>
      <c r="E21" s="12" t="s">
        <v>1593</v>
      </c>
      <c r="F21" s="12" t="n">
        <v>-2</v>
      </c>
      <c r="G21" s="12" t="s">
        <v>15</v>
      </c>
    </row>
    <row r="22" customFormat="false" ht="13.8" hidden="false" customHeight="false" outlineLevel="0" collapsed="false">
      <c r="A22" s="3" t="s">
        <v>64</v>
      </c>
      <c r="B22" s="3" t="s">
        <v>1627</v>
      </c>
      <c r="C22" s="17" t="s">
        <v>1628</v>
      </c>
      <c r="D22" s="17" t="s">
        <v>1629</v>
      </c>
      <c r="E22" s="3" t="s">
        <v>1593</v>
      </c>
      <c r="F22" s="3" t="n">
        <v>0</v>
      </c>
      <c r="G22" s="3"/>
      <c r="H22" s="2" t="s">
        <v>1630</v>
      </c>
    </row>
    <row r="23" customFormat="false" ht="13.8" hidden="false" customHeight="false" outlineLevel="0" collapsed="false">
      <c r="A23" s="3" t="s">
        <v>64</v>
      </c>
      <c r="B23" s="3" t="s">
        <v>64</v>
      </c>
      <c r="C23" s="17" t="s">
        <v>1631</v>
      </c>
      <c r="D23" s="17" t="s">
        <v>1632</v>
      </c>
      <c r="E23" s="3" t="s">
        <v>1593</v>
      </c>
      <c r="F23" s="17" t="n">
        <v>2</v>
      </c>
      <c r="G23" s="3"/>
      <c r="H23" s="2" t="s">
        <v>1633</v>
      </c>
    </row>
    <row r="24" customFormat="false" ht="13.8" hidden="false" customHeight="false" outlineLevel="0" collapsed="false">
      <c r="A24" s="3" t="s">
        <v>64</v>
      </c>
      <c r="B24" s="17" t="s">
        <v>64</v>
      </c>
      <c r="C24" s="17" t="s">
        <v>1634</v>
      </c>
      <c r="D24" s="17" t="s">
        <v>1632</v>
      </c>
      <c r="E24" s="3" t="s">
        <v>1611</v>
      </c>
      <c r="F24" s="17" t="n">
        <v>2</v>
      </c>
      <c r="G24" s="3"/>
      <c r="H24" s="2" t="s">
        <v>1633</v>
      </c>
    </row>
    <row r="27" customFormat="false" ht="13.8" hidden="false" customHeight="false" outlineLevel="0" collapsed="false">
      <c r="A27" s="1" t="s">
        <v>1635</v>
      </c>
      <c r="B27" s="14" t="s">
        <v>1636</v>
      </c>
      <c r="C27" s="14" t="s">
        <v>1637</v>
      </c>
      <c r="D27" s="14" t="s">
        <v>1638</v>
      </c>
      <c r="E27" s="14" t="s">
        <v>1593</v>
      </c>
      <c r="F27" s="14" t="n">
        <v>0</v>
      </c>
      <c r="G27" s="12" t="s">
        <v>15</v>
      </c>
    </row>
    <row r="28" customFormat="false" ht="13.8" hidden="false" customHeight="false" outlineLevel="0" collapsed="false">
      <c r="A28" s="1" t="s">
        <v>1635</v>
      </c>
      <c r="B28" s="1" t="s">
        <v>1639</v>
      </c>
      <c r="C28" s="1" t="s">
        <v>1640</v>
      </c>
      <c r="D28" s="1" t="s">
        <v>1641</v>
      </c>
      <c r="E28" s="1" t="s">
        <v>1593</v>
      </c>
      <c r="F28" s="1" t="n">
        <v>0</v>
      </c>
      <c r="H28" s="2" t="s">
        <v>1642</v>
      </c>
    </row>
    <row r="29" customFormat="false" ht="13.8" hidden="false" customHeight="false" outlineLevel="0" collapsed="false">
      <c r="A29" s="1" t="s">
        <v>1635</v>
      </c>
      <c r="B29" s="1" t="s">
        <v>1635</v>
      </c>
      <c r="C29" s="1" t="s">
        <v>1643</v>
      </c>
      <c r="D29" s="1" t="s">
        <v>1644</v>
      </c>
      <c r="E29" s="1" t="s">
        <v>1593</v>
      </c>
      <c r="F29" s="1" t="n">
        <v>0</v>
      </c>
      <c r="H29" s="2" t="s">
        <v>1645</v>
      </c>
    </row>
    <row r="30" customFormat="false" ht="13.8" hidden="false" customHeight="false" outlineLevel="0" collapsed="false">
      <c r="A30" s="1" t="s">
        <v>1635</v>
      </c>
      <c r="B30" s="1" t="s">
        <v>1635</v>
      </c>
      <c r="C30" s="1" t="s">
        <v>1646</v>
      </c>
      <c r="D30" s="1" t="s">
        <v>1644</v>
      </c>
      <c r="E30" s="1" t="s">
        <v>1611</v>
      </c>
      <c r="F30" s="1" t="n">
        <v>0</v>
      </c>
      <c r="H30" s="2" t="s">
        <v>1647</v>
      </c>
    </row>
    <row r="32" customFormat="false" ht="13.8" hidden="false" customHeight="false" outlineLevel="0" collapsed="false">
      <c r="A32" s="0"/>
      <c r="B32" s="0"/>
      <c r="C32" s="0"/>
      <c r="D32" s="0"/>
      <c r="E32" s="0"/>
      <c r="F32" s="0"/>
      <c r="G32" s="0"/>
      <c r="H32" s="0"/>
    </row>
    <row r="33" customFormat="false" ht="13.8" hidden="false" customHeight="false" outlineLevel="0" collapsed="false">
      <c r="A33" s="1" t="s">
        <v>140</v>
      </c>
      <c r="B33" s="14" t="s">
        <v>1648</v>
      </c>
      <c r="C33" s="14" t="s">
        <v>1649</v>
      </c>
      <c r="D33" s="14" t="s">
        <v>1650</v>
      </c>
      <c r="E33" s="14" t="s">
        <v>1593</v>
      </c>
      <c r="F33" s="14" t="n">
        <v>-5</v>
      </c>
      <c r="G33" s="12" t="s">
        <v>15</v>
      </c>
    </row>
    <row r="34" customFormat="false" ht="13.8" hidden="false" customHeight="false" outlineLevel="0" collapsed="false">
      <c r="A34" s="1" t="s">
        <v>140</v>
      </c>
      <c r="B34" s="14" t="s">
        <v>1651</v>
      </c>
      <c r="C34" s="14" t="s">
        <v>1652</v>
      </c>
      <c r="D34" s="14" t="s">
        <v>1653</v>
      </c>
      <c r="E34" s="14" t="s">
        <v>1593</v>
      </c>
      <c r="F34" s="14" t="n">
        <v>-1</v>
      </c>
      <c r="G34" s="76" t="s">
        <v>15</v>
      </c>
      <c r="H34" s="12"/>
    </row>
    <row r="35" customFormat="false" ht="13.8" hidden="false" customHeight="false" outlineLevel="0" collapsed="false">
      <c r="A35" s="1" t="s">
        <v>140</v>
      </c>
      <c r="B35" s="48" t="s">
        <v>1654</v>
      </c>
      <c r="C35" s="48" t="s">
        <v>1655</v>
      </c>
      <c r="D35" s="48" t="s">
        <v>1656</v>
      </c>
      <c r="E35" s="48" t="s">
        <v>1593</v>
      </c>
      <c r="F35" s="48" t="n">
        <v>-1</v>
      </c>
      <c r="G35" s="76" t="s">
        <v>15</v>
      </c>
      <c r="H35" s="145" t="s">
        <v>1657</v>
      </c>
    </row>
    <row r="36" customFormat="false" ht="13.8" hidden="false" customHeight="false" outlineLevel="0" collapsed="false">
      <c r="A36" s="1" t="s">
        <v>140</v>
      </c>
      <c r="B36" s="14" t="s">
        <v>1590</v>
      </c>
      <c r="C36" s="14" t="s">
        <v>1591</v>
      </c>
      <c r="D36" s="14" t="s">
        <v>1592</v>
      </c>
      <c r="E36" s="14" t="s">
        <v>1593</v>
      </c>
      <c r="F36" s="14" t="n">
        <v>-4</v>
      </c>
      <c r="G36" s="12" t="s">
        <v>15</v>
      </c>
      <c r="H36" s="145"/>
    </row>
    <row r="37" customFormat="false" ht="13.8" hidden="false" customHeight="false" outlineLevel="0" collapsed="false">
      <c r="A37" s="1" t="s">
        <v>140</v>
      </c>
      <c r="B37" s="48" t="s">
        <v>1658</v>
      </c>
      <c r="C37" s="48" t="s">
        <v>1659</v>
      </c>
      <c r="D37" s="48" t="s">
        <v>1660</v>
      </c>
      <c r="E37" s="48" t="s">
        <v>1593</v>
      </c>
      <c r="F37" s="48" t="n">
        <v>-1</v>
      </c>
      <c r="G37" s="12" t="s">
        <v>15</v>
      </c>
      <c r="H37" s="145"/>
    </row>
    <row r="38" customFormat="false" ht="13.8" hidden="false" customHeight="false" outlineLevel="0" collapsed="false">
      <c r="A38" s="1" t="s">
        <v>140</v>
      </c>
      <c r="B38" s="1" t="s">
        <v>1661</v>
      </c>
      <c r="C38" s="1" t="s">
        <v>1662</v>
      </c>
      <c r="D38" s="1" t="s">
        <v>1600</v>
      </c>
      <c r="E38" s="1" t="s">
        <v>1593</v>
      </c>
      <c r="F38" s="1" t="n">
        <v>-4</v>
      </c>
      <c r="H38" s="2" t="s">
        <v>1663</v>
      </c>
    </row>
    <row r="39" customFormat="false" ht="14.15" hidden="false" customHeight="false" outlineLevel="0" collapsed="false">
      <c r="A39" s="1" t="s">
        <v>140</v>
      </c>
      <c r="B39" s="19" t="s">
        <v>1664</v>
      </c>
      <c r="C39" s="19" t="s">
        <v>1665</v>
      </c>
      <c r="D39" s="19" t="s">
        <v>1604</v>
      </c>
      <c r="E39" s="19" t="s">
        <v>1593</v>
      </c>
      <c r="F39" s="19" t="n">
        <v>0</v>
      </c>
      <c r="G39" s="36"/>
      <c r="H39" s="1" t="s">
        <v>1666</v>
      </c>
    </row>
    <row r="40" customFormat="false" ht="13.8" hidden="false" customHeight="false" outlineLevel="0" collapsed="false">
      <c r="A40" s="1" t="s">
        <v>140</v>
      </c>
      <c r="B40" s="1" t="s">
        <v>140</v>
      </c>
      <c r="C40" s="1" t="s">
        <v>1667</v>
      </c>
      <c r="D40" s="1" t="s">
        <v>1608</v>
      </c>
      <c r="E40" s="1" t="s">
        <v>1593</v>
      </c>
      <c r="F40" s="1" t="n">
        <v>0</v>
      </c>
      <c r="G40" s="36"/>
      <c r="H40" s="19" t="s">
        <v>1609</v>
      </c>
    </row>
    <row r="41" customFormat="false" ht="13.8" hidden="false" customHeight="false" outlineLevel="0" collapsed="false">
      <c r="A41" s="1" t="s">
        <v>140</v>
      </c>
      <c r="B41" s="1" t="s">
        <v>140</v>
      </c>
      <c r="C41" s="1" t="s">
        <v>1668</v>
      </c>
      <c r="D41" s="1" t="s">
        <v>1608</v>
      </c>
      <c r="E41" s="1" t="s">
        <v>1611</v>
      </c>
      <c r="F41" s="1" t="n">
        <v>0</v>
      </c>
      <c r="G41" s="36"/>
      <c r="H41" s="19" t="s">
        <v>1609</v>
      </c>
    </row>
    <row r="44" customFormat="false" ht="13.8" hidden="false" customHeight="false" outlineLevel="0" collapsed="false">
      <c r="A44" s="1" t="s">
        <v>177</v>
      </c>
      <c r="B44" s="55" t="s">
        <v>1669</v>
      </c>
      <c r="C44" s="55" t="s">
        <v>1670</v>
      </c>
      <c r="D44" s="55" t="s">
        <v>1671</v>
      </c>
      <c r="E44" s="55" t="s">
        <v>1593</v>
      </c>
      <c r="F44" s="55" t="n">
        <v>-2</v>
      </c>
      <c r="G44" s="146" t="s">
        <v>15</v>
      </c>
    </row>
    <row r="45" customFormat="false" ht="13.8" hidden="false" customHeight="false" outlineLevel="0" collapsed="false">
      <c r="A45" s="1" t="s">
        <v>177</v>
      </c>
      <c r="B45" s="55" t="s">
        <v>1672</v>
      </c>
      <c r="C45" s="55" t="s">
        <v>1673</v>
      </c>
      <c r="D45" s="55" t="s">
        <v>1674</v>
      </c>
      <c r="E45" s="55" t="s">
        <v>1593</v>
      </c>
      <c r="F45" s="55" t="n">
        <v>0</v>
      </c>
      <c r="G45" s="146" t="s">
        <v>15</v>
      </c>
    </row>
    <row r="46" customFormat="false" ht="13.8" hidden="false" customHeight="false" outlineLevel="0" collapsed="false">
      <c r="A46" s="1" t="s">
        <v>177</v>
      </c>
      <c r="B46" s="55" t="s">
        <v>1675</v>
      </c>
      <c r="C46" s="55" t="s">
        <v>1676</v>
      </c>
      <c r="D46" s="55" t="s">
        <v>1641</v>
      </c>
      <c r="E46" s="55" t="s">
        <v>1593</v>
      </c>
      <c r="F46" s="55" t="n">
        <v>0</v>
      </c>
      <c r="G46" s="146" t="s">
        <v>15</v>
      </c>
      <c r="H46" s="146"/>
    </row>
    <row r="47" customFormat="false" ht="13.8" hidden="false" customHeight="false" outlineLevel="0" collapsed="false">
      <c r="A47" s="1" t="s">
        <v>177</v>
      </c>
      <c r="B47" s="55" t="s">
        <v>1677</v>
      </c>
      <c r="C47" s="55" t="s">
        <v>1678</v>
      </c>
      <c r="D47" s="55" t="s">
        <v>1644</v>
      </c>
      <c r="E47" s="55" t="s">
        <v>1593</v>
      </c>
      <c r="F47" s="55" t="n">
        <v>0</v>
      </c>
      <c r="G47" s="146" t="s">
        <v>15</v>
      </c>
    </row>
    <row r="48" customFormat="false" ht="13.8" hidden="false" customHeight="false" outlineLevel="0" collapsed="false">
      <c r="A48" s="1" t="s">
        <v>177</v>
      </c>
      <c r="B48" s="55" t="s">
        <v>1679</v>
      </c>
      <c r="C48" s="55" t="s">
        <v>1680</v>
      </c>
      <c r="D48" s="55" t="s">
        <v>1681</v>
      </c>
      <c r="E48" s="55" t="s">
        <v>1593</v>
      </c>
      <c r="F48" s="55" t="n">
        <v>0</v>
      </c>
      <c r="G48" s="146" t="s">
        <v>15</v>
      </c>
      <c r="H48" s="146" t="s">
        <v>1682</v>
      </c>
    </row>
    <row r="49" customFormat="false" ht="13.8" hidden="false" customHeight="false" outlineLevel="0" collapsed="false">
      <c r="A49" s="1" t="s">
        <v>177</v>
      </c>
      <c r="B49" s="1" t="s">
        <v>1683</v>
      </c>
      <c r="C49" s="1" t="s">
        <v>1684</v>
      </c>
      <c r="D49" s="1" t="s">
        <v>1685</v>
      </c>
      <c r="E49" s="48" t="s">
        <v>1593</v>
      </c>
      <c r="F49" s="48" t="n">
        <v>0</v>
      </c>
      <c r="G49" s="12"/>
      <c r="H49" s="2" t="s">
        <v>1686</v>
      </c>
    </row>
    <row r="50" customFormat="false" ht="13.8" hidden="false" customHeight="false" outlineLevel="0" collapsed="false">
      <c r="E50" s="48"/>
      <c r="F50" s="48"/>
      <c r="G50" s="12"/>
    </row>
    <row r="51" customFormat="false" ht="13.8" hidden="false" customHeight="false" outlineLevel="0" collapsed="false">
      <c r="E51" s="48"/>
      <c r="F51" s="48"/>
      <c r="G51" s="12"/>
    </row>
    <row r="52" customFormat="false" ht="13.8" hidden="false" customHeight="false" outlineLevel="0" collapsed="false">
      <c r="A52" s="1" t="s">
        <v>1687</v>
      </c>
      <c r="B52" s="55" t="s">
        <v>1688</v>
      </c>
      <c r="C52" s="55" t="s">
        <v>1689</v>
      </c>
      <c r="D52" s="55" t="s">
        <v>1690</v>
      </c>
      <c r="E52" s="55" t="s">
        <v>1593</v>
      </c>
      <c r="F52" s="55" t="n">
        <v>0</v>
      </c>
      <c r="G52" s="146" t="s">
        <v>15</v>
      </c>
    </row>
    <row r="53" customFormat="false" ht="13.8" hidden="false" customHeight="false" outlineLevel="0" collapsed="false">
      <c r="A53" s="1" t="s">
        <v>1687</v>
      </c>
      <c r="B53" s="55" t="s">
        <v>1691</v>
      </c>
      <c r="C53" s="55" t="s">
        <v>1692</v>
      </c>
      <c r="D53" s="55" t="s">
        <v>1653</v>
      </c>
      <c r="E53" s="55" t="s">
        <v>1593</v>
      </c>
      <c r="F53" s="55" t="n">
        <v>-1</v>
      </c>
      <c r="G53" s="146" t="s">
        <v>15</v>
      </c>
      <c r="H53" s="146" t="s">
        <v>1693</v>
      </c>
    </row>
    <row r="54" customFormat="false" ht="13.8" hidden="false" customHeight="false" outlineLevel="0" collapsed="false">
      <c r="A54" s="1" t="s">
        <v>1687</v>
      </c>
      <c r="B54" s="55" t="s">
        <v>1679</v>
      </c>
      <c r="C54" s="55" t="s">
        <v>1680</v>
      </c>
      <c r="D54" s="55" t="s">
        <v>1681</v>
      </c>
      <c r="E54" s="55" t="s">
        <v>1593</v>
      </c>
      <c r="F54" s="55" t="n">
        <v>0</v>
      </c>
      <c r="G54" s="146" t="s">
        <v>15</v>
      </c>
      <c r="H54" s="146" t="s">
        <v>1682</v>
      </c>
    </row>
    <row r="55" customFormat="false" ht="13.8" hidden="false" customHeight="false" outlineLevel="0" collapsed="false">
      <c r="A55" s="1" t="s">
        <v>1687</v>
      </c>
      <c r="B55" s="1" t="s">
        <v>1683</v>
      </c>
      <c r="C55" s="1" t="s">
        <v>1684</v>
      </c>
      <c r="D55" s="1" t="s">
        <v>1685</v>
      </c>
      <c r="E55" s="48" t="s">
        <v>1593</v>
      </c>
      <c r="F55" s="48" t="n">
        <v>0</v>
      </c>
      <c r="G55" s="12"/>
      <c r="H55" s="2" t="s">
        <v>1686</v>
      </c>
    </row>
    <row r="56" customFormat="false" ht="13.8" hidden="false" customHeight="false" outlineLevel="0" collapsed="false">
      <c r="E56" s="48"/>
      <c r="F56" s="48"/>
      <c r="G56" s="12"/>
    </row>
    <row r="57" customFormat="false" ht="13.8" hidden="false" customHeight="false" outlineLevel="0" collapsed="false">
      <c r="E57" s="48"/>
      <c r="F57" s="48"/>
      <c r="G57" s="12"/>
    </row>
    <row r="58" customFormat="false" ht="13.8" hidden="false" customHeight="false" outlineLevel="0" collapsed="false">
      <c r="A58" s="1" t="s">
        <v>253</v>
      </c>
      <c r="B58" s="14" t="s">
        <v>1694</v>
      </c>
      <c r="C58" s="14" t="s">
        <v>1695</v>
      </c>
      <c r="D58" s="14" t="s">
        <v>1696</v>
      </c>
      <c r="E58" s="14" t="s">
        <v>1593</v>
      </c>
      <c r="F58" s="14" t="n">
        <v>-1</v>
      </c>
      <c r="G58" s="12" t="s">
        <v>15</v>
      </c>
      <c r="H58" s="147" t="s">
        <v>1697</v>
      </c>
    </row>
    <row r="59" customFormat="false" ht="13.8" hidden="false" customHeight="false" outlineLevel="0" collapsed="false">
      <c r="A59" s="1" t="s">
        <v>253</v>
      </c>
      <c r="B59" s="1" t="s">
        <v>1698</v>
      </c>
      <c r="C59" s="1" t="s">
        <v>1699</v>
      </c>
      <c r="D59" s="1" t="s">
        <v>1700</v>
      </c>
      <c r="E59" s="1" t="s">
        <v>1593</v>
      </c>
      <c r="F59" s="1" t="n">
        <v>0</v>
      </c>
      <c r="H59" s="2" t="s">
        <v>1701</v>
      </c>
    </row>
    <row r="60" customFormat="false" ht="13.8" hidden="false" customHeight="false" outlineLevel="0" collapsed="false">
      <c r="A60" s="1" t="s">
        <v>253</v>
      </c>
      <c r="B60" s="1" t="s">
        <v>253</v>
      </c>
      <c r="C60" s="1" t="s">
        <v>1702</v>
      </c>
      <c r="D60" s="1" t="s">
        <v>1703</v>
      </c>
      <c r="E60" s="1" t="s">
        <v>1593</v>
      </c>
      <c r="F60" s="1" t="n">
        <v>0</v>
      </c>
      <c r="H60" s="2" t="s">
        <v>1704</v>
      </c>
    </row>
    <row r="61" customFormat="false" ht="13.8" hidden="false" customHeight="false" outlineLevel="0" collapsed="false">
      <c r="A61" s="1" t="s">
        <v>253</v>
      </c>
      <c r="B61" s="1" t="s">
        <v>253</v>
      </c>
      <c r="C61" s="1" t="s">
        <v>1705</v>
      </c>
      <c r="D61" s="1" t="s">
        <v>1703</v>
      </c>
      <c r="E61" s="1" t="s">
        <v>1611</v>
      </c>
      <c r="F61" s="1" t="n">
        <v>0</v>
      </c>
      <c r="H61" s="2" t="s">
        <v>1704</v>
      </c>
    </row>
    <row r="64" customFormat="false" ht="13.8" hidden="false" customHeight="false" outlineLevel="0" collapsed="false">
      <c r="A64" s="1" t="s">
        <v>227</v>
      </c>
      <c r="B64" s="56" t="s">
        <v>1612</v>
      </c>
      <c r="C64" s="56" t="s">
        <v>1613</v>
      </c>
      <c r="D64" s="56" t="s">
        <v>1614</v>
      </c>
      <c r="E64" s="56" t="s">
        <v>1593</v>
      </c>
      <c r="F64" s="56" t="n">
        <v>-1</v>
      </c>
      <c r="G64" s="144" t="s">
        <v>15</v>
      </c>
    </row>
    <row r="65" customFormat="false" ht="13.8" hidden="false" customHeight="false" outlineLevel="0" collapsed="false">
      <c r="A65" s="1" t="s">
        <v>227</v>
      </c>
      <c r="B65" s="56" t="s">
        <v>1706</v>
      </c>
      <c r="C65" s="56" t="s">
        <v>1707</v>
      </c>
      <c r="D65" s="56" t="s">
        <v>1708</v>
      </c>
      <c r="E65" s="56" t="s">
        <v>1593</v>
      </c>
      <c r="F65" s="56" t="n">
        <v>-1</v>
      </c>
      <c r="G65" s="144" t="s">
        <v>15</v>
      </c>
      <c r="H65" s="56" t="s">
        <v>1709</v>
      </c>
    </row>
    <row r="66" customFormat="false" ht="13.8" hidden="false" customHeight="false" outlineLevel="0" collapsed="false">
      <c r="A66" s="1" t="s">
        <v>227</v>
      </c>
      <c r="B66" s="19" t="s">
        <v>1710</v>
      </c>
      <c r="C66" s="19" t="s">
        <v>1711</v>
      </c>
      <c r="D66" s="19" t="s">
        <v>1604</v>
      </c>
      <c r="E66" s="19" t="s">
        <v>1593</v>
      </c>
      <c r="F66" s="19" t="n">
        <v>0</v>
      </c>
      <c r="G66" s="17"/>
      <c r="H66" s="1" t="s">
        <v>235</v>
      </c>
    </row>
    <row r="67" customFormat="false" ht="13.8" hidden="false" customHeight="false" outlineLevel="0" collapsed="false">
      <c r="A67" s="1" t="s">
        <v>227</v>
      </c>
      <c r="B67" s="1" t="s">
        <v>1712</v>
      </c>
      <c r="C67" s="1" t="s">
        <v>1713</v>
      </c>
      <c r="D67" s="1" t="s">
        <v>1608</v>
      </c>
      <c r="E67" s="1" t="s">
        <v>1593</v>
      </c>
      <c r="F67" s="1" t="n">
        <v>0</v>
      </c>
      <c r="H67" s="1" t="s">
        <v>235</v>
      </c>
    </row>
    <row r="68" customFormat="false" ht="13.8" hidden="false" customHeight="false" outlineLevel="0" collapsed="false">
      <c r="A68" s="1" t="s">
        <v>227</v>
      </c>
      <c r="B68" s="1" t="s">
        <v>1712</v>
      </c>
      <c r="C68" s="1" t="s">
        <v>1714</v>
      </c>
      <c r="D68" s="1" t="s">
        <v>1608</v>
      </c>
      <c r="E68" s="1" t="s">
        <v>1611</v>
      </c>
      <c r="F68" s="1" t="n">
        <v>0</v>
      </c>
      <c r="H68" s="1" t="s">
        <v>235</v>
      </c>
    </row>
    <row r="71" customFormat="false" ht="13.8" hidden="false" customHeight="false" outlineLevel="0" collapsed="false">
      <c r="A71" s="1" t="s">
        <v>1715</v>
      </c>
      <c r="B71" s="14" t="s">
        <v>1716</v>
      </c>
      <c r="C71" s="14" t="s">
        <v>1717</v>
      </c>
      <c r="D71" s="14" t="s">
        <v>1718</v>
      </c>
      <c r="E71" s="14" t="s">
        <v>1593</v>
      </c>
      <c r="F71" s="14" t="n">
        <v>-1</v>
      </c>
      <c r="G71" s="12" t="s">
        <v>15</v>
      </c>
      <c r="H71" s="12"/>
    </row>
    <row r="72" customFormat="false" ht="13.8" hidden="false" customHeight="false" outlineLevel="0" collapsed="false">
      <c r="A72" s="1" t="s">
        <v>1715</v>
      </c>
      <c r="B72" s="1" t="s">
        <v>1719</v>
      </c>
      <c r="C72" s="1" t="s">
        <v>1720</v>
      </c>
      <c r="D72" s="1" t="s">
        <v>1721</v>
      </c>
      <c r="E72" s="1" t="s">
        <v>1593</v>
      </c>
      <c r="F72" s="1" t="n">
        <v>-1</v>
      </c>
      <c r="H72" s="2" t="s">
        <v>1722</v>
      </c>
    </row>
    <row r="73" customFormat="false" ht="13.8" hidden="false" customHeight="false" outlineLevel="0" collapsed="false">
      <c r="A73" s="1" t="s">
        <v>1715</v>
      </c>
      <c r="B73" s="19" t="s">
        <v>1723</v>
      </c>
      <c r="C73" s="1" t="s">
        <v>1724</v>
      </c>
      <c r="D73" s="1" t="s">
        <v>1725</v>
      </c>
      <c r="E73" s="1" t="s">
        <v>1593</v>
      </c>
      <c r="F73" s="1" t="n">
        <v>-2</v>
      </c>
      <c r="G73" s="36"/>
      <c r="H73" s="2" t="s">
        <v>1726</v>
      </c>
    </row>
    <row r="74" customFormat="false" ht="13.8" hidden="false" customHeight="false" outlineLevel="0" collapsed="false">
      <c r="A74" s="1" t="s">
        <v>1715</v>
      </c>
      <c r="B74" s="1" t="s">
        <v>1715</v>
      </c>
      <c r="C74" s="1" t="s">
        <v>1727</v>
      </c>
      <c r="D74" s="1" t="s">
        <v>1728</v>
      </c>
      <c r="E74" s="1" t="s">
        <v>1593</v>
      </c>
      <c r="F74" s="1" t="n">
        <v>-2</v>
      </c>
      <c r="G74" s="36"/>
      <c r="H74" s="2" t="s">
        <v>1729</v>
      </c>
    </row>
    <row r="75" customFormat="false" ht="13.8" hidden="false" customHeight="false" outlineLevel="0" collapsed="false">
      <c r="A75" s="1" t="s">
        <v>1715</v>
      </c>
      <c r="B75" s="1" t="s">
        <v>1715</v>
      </c>
      <c r="C75" s="1" t="s">
        <v>1730</v>
      </c>
      <c r="D75" s="1" t="s">
        <v>1728</v>
      </c>
      <c r="E75" s="1" t="s">
        <v>1611</v>
      </c>
      <c r="F75" s="1" t="n">
        <v>-2</v>
      </c>
      <c r="G75" s="36"/>
      <c r="H75" s="2" t="s">
        <v>1729</v>
      </c>
    </row>
    <row r="78" customFormat="false" ht="13.8" hidden="false" customHeight="false" outlineLevel="0" collapsed="false">
      <c r="A78" s="1" t="s">
        <v>307</v>
      </c>
      <c r="B78" s="14" t="s">
        <v>1694</v>
      </c>
      <c r="C78" s="14" t="s">
        <v>1695</v>
      </c>
      <c r="D78" s="14" t="s">
        <v>1696</v>
      </c>
      <c r="E78" s="14" t="s">
        <v>1593</v>
      </c>
      <c r="F78" s="14" t="n">
        <v>-1</v>
      </c>
      <c r="G78" s="12" t="s">
        <v>15</v>
      </c>
      <c r="H78" s="147" t="s">
        <v>1697</v>
      </c>
    </row>
    <row r="79" customFormat="false" ht="13.8" hidden="false" customHeight="false" outlineLevel="0" collapsed="false">
      <c r="A79" s="1" t="s">
        <v>307</v>
      </c>
      <c r="B79" s="19" t="s">
        <v>1731</v>
      </c>
      <c r="C79" s="19" t="s">
        <v>1732</v>
      </c>
      <c r="D79" s="19" t="s">
        <v>1733</v>
      </c>
      <c r="E79" s="0" t="s">
        <v>1593</v>
      </c>
      <c r="F79" s="19" t="n">
        <v>-2</v>
      </c>
      <c r="G79" s="148"/>
      <c r="H79" s="17" t="s">
        <v>1734</v>
      </c>
    </row>
    <row r="80" customFormat="false" ht="13.8" hidden="false" customHeight="false" outlineLevel="0" collapsed="false">
      <c r="A80" s="1" t="s">
        <v>307</v>
      </c>
      <c r="B80" s="19" t="s">
        <v>1735</v>
      </c>
      <c r="C80" s="19" t="s">
        <v>1736</v>
      </c>
      <c r="D80" s="19" t="s">
        <v>1737</v>
      </c>
      <c r="E80" s="1" t="s">
        <v>1593</v>
      </c>
      <c r="F80" s="19" t="n">
        <v>-2</v>
      </c>
      <c r="G80" s="148"/>
      <c r="H80" s="17" t="s">
        <v>1734</v>
      </c>
    </row>
    <row r="81" customFormat="false" ht="13.8" hidden="false" customHeight="false" outlineLevel="0" collapsed="false">
      <c r="A81" s="1" t="s">
        <v>307</v>
      </c>
      <c r="B81" s="19" t="s">
        <v>1738</v>
      </c>
      <c r="C81" s="19" t="s">
        <v>1739</v>
      </c>
      <c r="D81" s="19" t="s">
        <v>1733</v>
      </c>
      <c r="E81" s="1" t="s">
        <v>1593</v>
      </c>
      <c r="F81" s="19" t="n">
        <v>-2</v>
      </c>
      <c r="G81" s="148"/>
      <c r="H81" s="17" t="s">
        <v>1734</v>
      </c>
    </row>
    <row r="82" customFormat="false" ht="13.8" hidden="false" customHeight="false" outlineLevel="0" collapsed="false">
      <c r="A82" s="1" t="s">
        <v>307</v>
      </c>
      <c r="B82" s="19" t="s">
        <v>1740</v>
      </c>
      <c r="C82" s="19" t="s">
        <v>1741</v>
      </c>
      <c r="D82" s="19" t="s">
        <v>1742</v>
      </c>
      <c r="E82" s="1" t="s">
        <v>1593</v>
      </c>
      <c r="F82" s="19" t="n">
        <v>-2</v>
      </c>
      <c r="G82" s="148"/>
      <c r="H82" s="17" t="s">
        <v>1734</v>
      </c>
    </row>
    <row r="83" customFormat="false" ht="13.8" hidden="false" customHeight="false" outlineLevel="0" collapsed="false">
      <c r="A83" s="1" t="s">
        <v>307</v>
      </c>
      <c r="B83" s="19" t="s">
        <v>1743</v>
      </c>
      <c r="C83" s="19" t="s">
        <v>1744</v>
      </c>
      <c r="D83" s="19" t="s">
        <v>1745</v>
      </c>
      <c r="E83" s="1" t="s">
        <v>1593</v>
      </c>
      <c r="F83" s="19" t="n">
        <v>-1</v>
      </c>
      <c r="G83" s="148"/>
      <c r="H83" s="17" t="s">
        <v>1746</v>
      </c>
    </row>
    <row r="84" customFormat="false" ht="13.8" hidden="false" customHeight="false" outlineLevel="0" collapsed="false">
      <c r="A84" s="1" t="s">
        <v>307</v>
      </c>
      <c r="B84" s="1" t="s">
        <v>1747</v>
      </c>
      <c r="C84" s="1" t="s">
        <v>1748</v>
      </c>
      <c r="D84" s="1" t="s">
        <v>1749</v>
      </c>
      <c r="E84" s="1" t="s">
        <v>1593</v>
      </c>
      <c r="F84" s="19" t="n">
        <v>0</v>
      </c>
      <c r="G84" s="148"/>
      <c r="H84" s="17" t="s">
        <v>1750</v>
      </c>
    </row>
    <row r="85" customFormat="false" ht="13.8" hidden="false" customHeight="false" outlineLevel="0" collapsed="false">
      <c r="A85" s="1" t="s">
        <v>307</v>
      </c>
      <c r="B85" s="1" t="s">
        <v>307</v>
      </c>
      <c r="C85" s="1" t="s">
        <v>1751</v>
      </c>
      <c r="D85" s="1" t="s">
        <v>1752</v>
      </c>
      <c r="E85" s="1" t="s">
        <v>1593</v>
      </c>
      <c r="F85" s="19" t="n">
        <v>0</v>
      </c>
      <c r="G85" s="148"/>
      <c r="H85" s="17" t="s">
        <v>1750</v>
      </c>
    </row>
    <row r="86" customFormat="false" ht="13.8" hidden="false" customHeight="false" outlineLevel="0" collapsed="false">
      <c r="A86" s="1" t="s">
        <v>307</v>
      </c>
      <c r="B86" s="1" t="s">
        <v>307</v>
      </c>
      <c r="C86" s="1" t="s">
        <v>1753</v>
      </c>
      <c r="D86" s="1" t="s">
        <v>1752</v>
      </c>
      <c r="E86" s="1" t="s">
        <v>1611</v>
      </c>
      <c r="F86" s="19" t="n">
        <v>0</v>
      </c>
      <c r="G86" s="148"/>
      <c r="H86" s="17" t="s">
        <v>1750</v>
      </c>
    </row>
    <row r="87" customFormat="false" ht="13.8" hidden="false" customHeight="false" outlineLevel="0" collapsed="false">
      <c r="C87" s="0"/>
      <c r="E87" s="0"/>
      <c r="F87" s="14"/>
      <c r="G87" s="12"/>
      <c r="H87" s="147"/>
    </row>
    <row r="89" s="1" customFormat="true" ht="13.8" hidden="false" customHeight="false" outlineLevel="0" collapsed="false">
      <c r="A89" s="19" t="s">
        <v>350</v>
      </c>
      <c r="B89" s="55" t="s">
        <v>1407</v>
      </c>
      <c r="C89" s="55" t="s">
        <v>1754</v>
      </c>
      <c r="D89" s="55" t="s">
        <v>1755</v>
      </c>
      <c r="E89" s="55" t="s">
        <v>1593</v>
      </c>
      <c r="F89" s="55" t="n">
        <v>-1</v>
      </c>
      <c r="G89" s="146" t="s">
        <v>15</v>
      </c>
    </row>
    <row r="90" s="1" customFormat="true" ht="13.8" hidden="false" customHeight="false" outlineLevel="0" collapsed="false">
      <c r="A90" s="19" t="s">
        <v>350</v>
      </c>
      <c r="B90" s="55" t="s">
        <v>1756</v>
      </c>
      <c r="C90" s="55" t="s">
        <v>1757</v>
      </c>
      <c r="D90" s="55" t="s">
        <v>1758</v>
      </c>
      <c r="E90" s="55" t="s">
        <v>1593</v>
      </c>
      <c r="F90" s="55" t="n">
        <v>-3</v>
      </c>
      <c r="G90" s="146" t="s">
        <v>15</v>
      </c>
    </row>
    <row r="91" s="1" customFormat="true" ht="13.8" hidden="false" customHeight="false" outlineLevel="0" collapsed="false">
      <c r="A91" s="19" t="s">
        <v>350</v>
      </c>
      <c r="B91" s="55" t="s">
        <v>1759</v>
      </c>
      <c r="C91" s="55" t="s">
        <v>1760</v>
      </c>
      <c r="D91" s="55" t="s">
        <v>1761</v>
      </c>
      <c r="E91" s="55" t="s">
        <v>1593</v>
      </c>
      <c r="F91" s="55" t="n">
        <v>-3</v>
      </c>
      <c r="G91" s="146" t="s">
        <v>15</v>
      </c>
    </row>
    <row r="92" s="1" customFormat="true" ht="13.8" hidden="false" customHeight="false" outlineLevel="0" collapsed="false">
      <c r="A92" s="19" t="s">
        <v>350</v>
      </c>
      <c r="B92" s="55" t="s">
        <v>1762</v>
      </c>
      <c r="C92" s="55" t="s">
        <v>1763</v>
      </c>
      <c r="D92" s="55" t="s">
        <v>1764</v>
      </c>
      <c r="E92" s="55" t="s">
        <v>1593</v>
      </c>
      <c r="F92" s="55" t="n">
        <v>-4</v>
      </c>
      <c r="G92" s="146" t="s">
        <v>15</v>
      </c>
    </row>
    <row r="93" s="1" customFormat="true" ht="13.8" hidden="false" customHeight="false" outlineLevel="0" collapsed="false">
      <c r="A93" s="19" t="s">
        <v>350</v>
      </c>
      <c r="B93" s="55" t="s">
        <v>1765</v>
      </c>
      <c r="C93" s="55" t="s">
        <v>1766</v>
      </c>
      <c r="D93" s="55" t="s">
        <v>1767</v>
      </c>
      <c r="E93" s="55" t="s">
        <v>1593</v>
      </c>
      <c r="F93" s="55" t="n">
        <v>-2</v>
      </c>
      <c r="G93" s="146" t="s">
        <v>15</v>
      </c>
    </row>
    <row r="94" s="1" customFormat="true" ht="13.8" hidden="false" customHeight="false" outlineLevel="0" collapsed="false">
      <c r="A94" s="19" t="s">
        <v>350</v>
      </c>
      <c r="B94" s="48" t="s">
        <v>1768</v>
      </c>
      <c r="C94" s="48" t="s">
        <v>1769</v>
      </c>
      <c r="D94" s="48" t="s">
        <v>1767</v>
      </c>
      <c r="E94" s="48" t="s">
        <v>1593</v>
      </c>
      <c r="F94" s="48" t="n">
        <v>-2</v>
      </c>
      <c r="G94" s="76" t="s">
        <v>15</v>
      </c>
    </row>
    <row r="95" customFormat="false" ht="13.8" hidden="false" customHeight="false" outlineLevel="0" collapsed="false">
      <c r="A95" s="19" t="s">
        <v>350</v>
      </c>
      <c r="B95" s="71" t="s">
        <v>1770</v>
      </c>
      <c r="C95" s="71" t="s">
        <v>1771</v>
      </c>
      <c r="D95" s="48" t="s">
        <v>1772</v>
      </c>
      <c r="E95" s="48" t="s">
        <v>1593</v>
      </c>
      <c r="F95" s="48" t="n">
        <v>-1</v>
      </c>
      <c r="G95" s="76" t="s">
        <v>15</v>
      </c>
    </row>
    <row r="96" customFormat="false" ht="13.8" hidden="false" customHeight="false" outlineLevel="0" collapsed="false">
      <c r="A96" s="19" t="s">
        <v>350</v>
      </c>
      <c r="B96" s="48" t="s">
        <v>1773</v>
      </c>
      <c r="C96" s="48" t="s">
        <v>1622</v>
      </c>
      <c r="D96" s="48" t="s">
        <v>1623</v>
      </c>
      <c r="E96" s="48" t="s">
        <v>1593</v>
      </c>
      <c r="F96" s="48" t="n">
        <v>-1</v>
      </c>
      <c r="G96" s="76" t="s">
        <v>15</v>
      </c>
    </row>
    <row r="97" customFormat="false" ht="13.8" hidden="false" customHeight="false" outlineLevel="0" collapsed="false">
      <c r="A97" s="19" t="s">
        <v>350</v>
      </c>
      <c r="B97" s="76" t="s">
        <v>1774</v>
      </c>
      <c r="C97" s="76" t="s">
        <v>1625</v>
      </c>
      <c r="D97" s="76" t="s">
        <v>1626</v>
      </c>
      <c r="E97" s="12" t="s">
        <v>1593</v>
      </c>
      <c r="F97" s="149" t="n">
        <v>-2</v>
      </c>
      <c r="G97" s="12" t="s">
        <v>15</v>
      </c>
      <c r="H97" s="150" t="s">
        <v>1775</v>
      </c>
    </row>
    <row r="98" s="1" customFormat="true" ht="13.8" hidden="false" customHeight="false" outlineLevel="0" collapsed="false">
      <c r="A98" s="19" t="s">
        <v>350</v>
      </c>
      <c r="B98" s="14" t="s">
        <v>1776</v>
      </c>
      <c r="C98" s="14" t="s">
        <v>1777</v>
      </c>
      <c r="D98" s="14" t="s">
        <v>1778</v>
      </c>
      <c r="E98" s="14" t="s">
        <v>1593</v>
      </c>
      <c r="F98" s="14" t="n">
        <v>0</v>
      </c>
      <c r="G98" s="12" t="s">
        <v>15</v>
      </c>
    </row>
    <row r="99" s="1" customFormat="true" ht="13.8" hidden="false" customHeight="false" outlineLevel="0" collapsed="false">
      <c r="A99" s="19" t="s">
        <v>350</v>
      </c>
      <c r="B99" s="56" t="s">
        <v>1612</v>
      </c>
      <c r="C99" s="56" t="s">
        <v>1613</v>
      </c>
      <c r="D99" s="56" t="s">
        <v>1614</v>
      </c>
      <c r="E99" s="56" t="s">
        <v>1593</v>
      </c>
      <c r="F99" s="56" t="n">
        <v>-1</v>
      </c>
      <c r="G99" s="144" t="s">
        <v>15</v>
      </c>
    </row>
    <row r="100" customFormat="false" ht="13.8" hidden="false" customHeight="false" outlineLevel="0" collapsed="false">
      <c r="A100" s="19" t="s">
        <v>350</v>
      </c>
      <c r="B100" s="19" t="s">
        <v>1779</v>
      </c>
      <c r="C100" s="19" t="s">
        <v>1780</v>
      </c>
      <c r="D100" s="19" t="s">
        <v>1781</v>
      </c>
      <c r="E100" s="19" t="s">
        <v>1593</v>
      </c>
      <c r="F100" s="19" t="n">
        <v>-1</v>
      </c>
      <c r="G100" s="12"/>
      <c r="H100" s="1" t="s">
        <v>1782</v>
      </c>
    </row>
    <row r="101" customFormat="false" ht="13.8" hidden="false" customHeight="false" outlineLevel="0" collapsed="false">
      <c r="A101" s="19" t="s">
        <v>350</v>
      </c>
      <c r="B101" s="19" t="s">
        <v>350</v>
      </c>
      <c r="C101" s="19" t="s">
        <v>1783</v>
      </c>
      <c r="D101" s="19" t="s">
        <v>1784</v>
      </c>
      <c r="E101" s="19" t="s">
        <v>1593</v>
      </c>
      <c r="F101" s="19" t="n">
        <v>0</v>
      </c>
      <c r="G101" s="148"/>
      <c r="H101" s="1" t="s">
        <v>1785</v>
      </c>
    </row>
    <row r="102" customFormat="false" ht="13.8" hidden="false" customHeight="false" outlineLevel="0" collapsed="false">
      <c r="A102" s="19" t="s">
        <v>350</v>
      </c>
      <c r="B102" s="19" t="s">
        <v>350</v>
      </c>
      <c r="C102" s="19" t="s">
        <v>1786</v>
      </c>
      <c r="D102" s="19" t="s">
        <v>1784</v>
      </c>
      <c r="E102" s="19" t="s">
        <v>1611</v>
      </c>
      <c r="F102" s="19" t="n">
        <v>0</v>
      </c>
      <c r="G102" s="148"/>
      <c r="H102" s="1" t="s">
        <v>1785</v>
      </c>
    </row>
    <row r="105" customFormat="false" ht="13.8" hidden="false" customHeight="false" outlineLevel="0" collapsed="false">
      <c r="A105" s="1" t="s">
        <v>1787</v>
      </c>
      <c r="B105" s="48" t="s">
        <v>1788</v>
      </c>
      <c r="C105" s="48" t="s">
        <v>1789</v>
      </c>
      <c r="D105" s="48" t="s">
        <v>1790</v>
      </c>
      <c r="E105" s="48" t="s">
        <v>1593</v>
      </c>
      <c r="F105" s="48" t="n">
        <v>1</v>
      </c>
      <c r="G105" s="12" t="s">
        <v>15</v>
      </c>
    </row>
    <row r="106" customFormat="false" ht="13.8" hidden="false" customHeight="false" outlineLevel="0" collapsed="false">
      <c r="A106" s="1" t="s">
        <v>1787</v>
      </c>
      <c r="B106" s="1" t="s">
        <v>1791</v>
      </c>
      <c r="C106" s="1" t="s">
        <v>1792</v>
      </c>
      <c r="D106" s="1" t="s">
        <v>1793</v>
      </c>
      <c r="E106" s="1" t="s">
        <v>1593</v>
      </c>
      <c r="F106" s="1" t="n">
        <v>0</v>
      </c>
      <c r="H106" s="2" t="s">
        <v>1794</v>
      </c>
    </row>
    <row r="107" customFormat="false" ht="13.8" hidden="false" customHeight="false" outlineLevel="0" collapsed="false">
      <c r="A107" s="1" t="s">
        <v>1787</v>
      </c>
      <c r="B107" s="1" t="s">
        <v>1787</v>
      </c>
      <c r="C107" s="1" t="s">
        <v>1795</v>
      </c>
      <c r="D107" s="1" t="s">
        <v>1796</v>
      </c>
      <c r="E107" s="1" t="s">
        <v>1593</v>
      </c>
      <c r="F107" s="1" t="n">
        <v>0</v>
      </c>
      <c r="H107" s="2" t="s">
        <v>1797</v>
      </c>
    </row>
    <row r="108" customFormat="false" ht="13.8" hidden="false" customHeight="false" outlineLevel="0" collapsed="false">
      <c r="A108" s="1" t="s">
        <v>1787</v>
      </c>
      <c r="B108" s="1" t="s">
        <v>1787</v>
      </c>
      <c r="C108" s="1" t="s">
        <v>1798</v>
      </c>
      <c r="D108" s="1" t="s">
        <v>1796</v>
      </c>
      <c r="E108" s="1" t="s">
        <v>1611</v>
      </c>
      <c r="F108" s="1" t="n">
        <v>0</v>
      </c>
      <c r="H108" s="2" t="s">
        <v>1797</v>
      </c>
    </row>
    <row r="111" customFormat="false" ht="13.8" hidden="false" customHeight="false" outlineLevel="0" collapsed="false">
      <c r="A111" s="1" t="s">
        <v>418</v>
      </c>
      <c r="B111" s="14" t="s">
        <v>1799</v>
      </c>
      <c r="C111" s="14" t="s">
        <v>1800</v>
      </c>
      <c r="D111" s="14" t="s">
        <v>1653</v>
      </c>
      <c r="E111" s="14" t="s">
        <v>1593</v>
      </c>
      <c r="F111" s="14" t="n">
        <v>-1</v>
      </c>
      <c r="G111" s="12" t="s">
        <v>15</v>
      </c>
    </row>
    <row r="112" customFormat="false" ht="13.8" hidden="false" customHeight="false" outlineLevel="0" collapsed="false">
      <c r="A112" s="1" t="s">
        <v>418</v>
      </c>
      <c r="B112" s="1" t="s">
        <v>418</v>
      </c>
      <c r="C112" s="1" t="s">
        <v>1801</v>
      </c>
      <c r="D112" s="1" t="s">
        <v>1681</v>
      </c>
      <c r="E112" s="1" t="s">
        <v>1593</v>
      </c>
      <c r="F112" s="1" t="n">
        <v>0</v>
      </c>
      <c r="H112" s="2" t="s">
        <v>1802</v>
      </c>
    </row>
    <row r="113" customFormat="false" ht="13.8" hidden="false" customHeight="false" outlineLevel="0" collapsed="false">
      <c r="A113" s="1" t="s">
        <v>418</v>
      </c>
      <c r="B113" s="1" t="s">
        <v>418</v>
      </c>
      <c r="C113" s="1" t="s">
        <v>1803</v>
      </c>
      <c r="D113" s="1" t="s">
        <v>1681</v>
      </c>
      <c r="E113" s="1" t="s">
        <v>1611</v>
      </c>
      <c r="F113" s="1" t="n">
        <v>0</v>
      </c>
      <c r="H113" s="2" t="s">
        <v>1802</v>
      </c>
    </row>
    <row r="116" customFormat="false" ht="13.8" hidden="false" customHeight="false" outlineLevel="0" collapsed="false">
      <c r="A116" s="1" t="s">
        <v>443</v>
      </c>
      <c r="B116" s="14" t="s">
        <v>1636</v>
      </c>
      <c r="C116" s="14" t="s">
        <v>1637</v>
      </c>
      <c r="D116" s="14" t="s">
        <v>1638</v>
      </c>
      <c r="E116" s="14" t="s">
        <v>1593</v>
      </c>
      <c r="F116" s="14" t="n">
        <v>0</v>
      </c>
      <c r="G116" s="12" t="s">
        <v>15</v>
      </c>
    </row>
    <row r="117" customFormat="false" ht="13.8" hidden="false" customHeight="false" outlineLevel="0" collapsed="false">
      <c r="A117" s="1" t="s">
        <v>443</v>
      </c>
      <c r="B117" s="1" t="s">
        <v>1639</v>
      </c>
      <c r="C117" s="1" t="s">
        <v>1640</v>
      </c>
      <c r="D117" s="1" t="s">
        <v>1641</v>
      </c>
      <c r="E117" s="1" t="s">
        <v>1593</v>
      </c>
      <c r="F117" s="1" t="n">
        <v>0</v>
      </c>
      <c r="H117" s="2" t="s">
        <v>1804</v>
      </c>
    </row>
    <row r="118" customFormat="false" ht="13.8" hidden="false" customHeight="false" outlineLevel="0" collapsed="false">
      <c r="A118" s="1" t="s">
        <v>443</v>
      </c>
      <c r="B118" s="14" t="s">
        <v>1805</v>
      </c>
      <c r="C118" s="14" t="s">
        <v>1806</v>
      </c>
      <c r="D118" s="14" t="s">
        <v>1807</v>
      </c>
      <c r="E118" s="14" t="s">
        <v>1593</v>
      </c>
      <c r="F118" s="14" t="n">
        <v>-1</v>
      </c>
      <c r="G118" s="12" t="s">
        <v>15</v>
      </c>
      <c r="H118" s="12" t="s">
        <v>1808</v>
      </c>
    </row>
    <row r="119" customFormat="false" ht="13.8" hidden="false" customHeight="false" outlineLevel="0" collapsed="false">
      <c r="A119" s="1" t="s">
        <v>443</v>
      </c>
      <c r="B119" s="1" t="s">
        <v>1809</v>
      </c>
      <c r="C119" s="1" t="s">
        <v>1810</v>
      </c>
      <c r="D119" s="1" t="s">
        <v>1811</v>
      </c>
      <c r="E119" s="1" t="s">
        <v>1593</v>
      </c>
      <c r="F119" s="1" t="n">
        <v>-4</v>
      </c>
      <c r="H119" s="2" t="s">
        <v>1812</v>
      </c>
    </row>
    <row r="120" customFormat="false" ht="13.8" hidden="false" customHeight="false" outlineLevel="0" collapsed="false">
      <c r="A120" s="1" t="s">
        <v>443</v>
      </c>
      <c r="B120" s="1" t="s">
        <v>1813</v>
      </c>
      <c r="C120" s="1" t="s">
        <v>1814</v>
      </c>
      <c r="D120" s="1" t="s">
        <v>1815</v>
      </c>
      <c r="E120" s="1" t="s">
        <v>1593</v>
      </c>
      <c r="F120" s="1" t="n">
        <v>-4</v>
      </c>
      <c r="H120" s="2" t="s">
        <v>1816</v>
      </c>
    </row>
    <row r="121" customFormat="false" ht="13.8" hidden="false" customHeight="false" outlineLevel="0" collapsed="false">
      <c r="A121" s="1" t="s">
        <v>443</v>
      </c>
      <c r="B121" s="1" t="s">
        <v>1817</v>
      </c>
      <c r="C121" s="1" t="s">
        <v>1818</v>
      </c>
      <c r="D121" s="1" t="s">
        <v>1819</v>
      </c>
      <c r="E121" s="1" t="s">
        <v>1593</v>
      </c>
      <c r="F121" s="1" t="n">
        <v>-1</v>
      </c>
      <c r="G121" s="36"/>
      <c r="H121" s="2" t="s">
        <v>1820</v>
      </c>
    </row>
    <row r="122" customFormat="false" ht="13.8" hidden="false" customHeight="false" outlineLevel="0" collapsed="false">
      <c r="A122" s="1" t="s">
        <v>443</v>
      </c>
      <c r="B122" s="1" t="s">
        <v>1817</v>
      </c>
      <c r="C122" s="1" t="s">
        <v>1821</v>
      </c>
      <c r="D122" s="1" t="s">
        <v>1819</v>
      </c>
      <c r="E122" s="1" t="s">
        <v>1611</v>
      </c>
      <c r="F122" s="1" t="n">
        <v>-1</v>
      </c>
      <c r="G122" s="36"/>
      <c r="H122" s="2" t="s">
        <v>1822</v>
      </c>
    </row>
    <row r="125" customFormat="false" ht="13.8" hidden="false" customHeight="false" outlineLevel="0" collapsed="false">
      <c r="A125" s="1" t="s">
        <v>475</v>
      </c>
      <c r="B125" s="14" t="s">
        <v>1823</v>
      </c>
      <c r="C125" s="14" t="s">
        <v>1824</v>
      </c>
      <c r="D125" s="14" t="s">
        <v>1807</v>
      </c>
      <c r="E125" s="14" t="s">
        <v>1593</v>
      </c>
      <c r="F125" s="14" t="n">
        <v>-1</v>
      </c>
      <c r="G125" s="12" t="s">
        <v>15</v>
      </c>
      <c r="H125" s="2" t="s">
        <v>1825</v>
      </c>
    </row>
    <row r="126" customFormat="false" ht="13.8" hidden="false" customHeight="false" outlineLevel="0" collapsed="false">
      <c r="A126" s="1" t="s">
        <v>475</v>
      </c>
      <c r="B126" s="14" t="s">
        <v>1826</v>
      </c>
      <c r="C126" s="14" t="s">
        <v>1827</v>
      </c>
      <c r="D126" s="14" t="s">
        <v>1828</v>
      </c>
      <c r="E126" s="14" t="s">
        <v>1593</v>
      </c>
      <c r="F126" s="14" t="n">
        <v>-1</v>
      </c>
      <c r="G126" s="12" t="s">
        <v>15</v>
      </c>
      <c r="H126" s="2" t="s">
        <v>1829</v>
      </c>
    </row>
    <row r="127" customFormat="false" ht="13.8" hidden="false" customHeight="false" outlineLevel="0" collapsed="false">
      <c r="A127" s="1" t="s">
        <v>475</v>
      </c>
      <c r="B127" s="1" t="s">
        <v>1830</v>
      </c>
      <c r="C127" s="1" t="s">
        <v>1831</v>
      </c>
      <c r="D127" s="1" t="s">
        <v>1811</v>
      </c>
      <c r="E127" s="1" t="s">
        <v>1593</v>
      </c>
      <c r="F127" s="1" t="n">
        <v>-4</v>
      </c>
      <c r="H127" s="2" t="s">
        <v>1832</v>
      </c>
    </row>
    <row r="128" customFormat="false" ht="13.8" hidden="false" customHeight="false" outlineLevel="0" collapsed="false">
      <c r="A128" s="1" t="s">
        <v>475</v>
      </c>
      <c r="B128" s="1" t="s">
        <v>1813</v>
      </c>
      <c r="C128" s="1" t="s">
        <v>1814</v>
      </c>
      <c r="D128" s="1" t="s">
        <v>1815</v>
      </c>
      <c r="E128" s="1" t="s">
        <v>1593</v>
      </c>
      <c r="F128" s="1" t="n">
        <v>-4</v>
      </c>
      <c r="H128" s="2" t="s">
        <v>1816</v>
      </c>
    </row>
    <row r="129" customFormat="false" ht="13.8" hidden="false" customHeight="false" outlineLevel="0" collapsed="false">
      <c r="A129" s="1" t="s">
        <v>475</v>
      </c>
      <c r="B129" s="1" t="s">
        <v>1817</v>
      </c>
      <c r="C129" s="1" t="s">
        <v>1818</v>
      </c>
      <c r="D129" s="1" t="s">
        <v>1819</v>
      </c>
      <c r="E129" s="1" t="s">
        <v>1593</v>
      </c>
      <c r="F129" s="1" t="n">
        <v>-1</v>
      </c>
      <c r="G129" s="36"/>
      <c r="H129" s="2" t="s">
        <v>1833</v>
      </c>
    </row>
    <row r="130" customFormat="false" ht="13.8" hidden="false" customHeight="false" outlineLevel="0" collapsed="false">
      <c r="A130" s="1" t="s">
        <v>475</v>
      </c>
      <c r="B130" s="1" t="s">
        <v>1817</v>
      </c>
      <c r="C130" s="1" t="s">
        <v>1821</v>
      </c>
      <c r="D130" s="1" t="s">
        <v>1819</v>
      </c>
      <c r="E130" s="1" t="s">
        <v>1611</v>
      </c>
      <c r="F130" s="1" t="n">
        <v>-1</v>
      </c>
      <c r="G130" s="36"/>
      <c r="H130" s="2" t="s">
        <v>1833</v>
      </c>
    </row>
    <row r="133" customFormat="false" ht="13.8" hidden="false" customHeight="false" outlineLevel="0" collapsed="false">
      <c r="A133" s="1" t="s">
        <v>495</v>
      </c>
      <c r="B133" s="14" t="s">
        <v>1716</v>
      </c>
      <c r="C133" s="14" t="s">
        <v>1717</v>
      </c>
      <c r="D133" s="14" t="s">
        <v>1718</v>
      </c>
      <c r="E133" s="14" t="s">
        <v>1593</v>
      </c>
      <c r="F133" s="14" t="n">
        <v>-1</v>
      </c>
      <c r="G133" s="12" t="s">
        <v>15</v>
      </c>
    </row>
    <row r="134" customFormat="false" ht="13.8" hidden="false" customHeight="false" outlineLevel="0" collapsed="false">
      <c r="A134" s="1" t="s">
        <v>495</v>
      </c>
      <c r="B134" s="1" t="s">
        <v>1719</v>
      </c>
      <c r="C134" s="1" t="s">
        <v>1720</v>
      </c>
      <c r="D134" s="1" t="s">
        <v>1721</v>
      </c>
      <c r="E134" s="1" t="s">
        <v>1593</v>
      </c>
      <c r="F134" s="1" t="n">
        <v>-1</v>
      </c>
      <c r="H134" s="2" t="s">
        <v>1834</v>
      </c>
    </row>
    <row r="135" customFormat="false" ht="13.8" hidden="false" customHeight="false" outlineLevel="0" collapsed="false">
      <c r="A135" s="1" t="s">
        <v>495</v>
      </c>
      <c r="B135" s="1" t="s">
        <v>835</v>
      </c>
      <c r="C135" s="1" t="s">
        <v>1835</v>
      </c>
      <c r="D135" s="1" t="s">
        <v>1836</v>
      </c>
      <c r="E135" s="1" t="s">
        <v>1593</v>
      </c>
      <c r="F135" s="1" t="n">
        <v>0</v>
      </c>
      <c r="H135" s="2" t="s">
        <v>1837</v>
      </c>
    </row>
    <row r="136" customFormat="false" ht="13.8" hidden="false" customHeight="false" outlineLevel="0" collapsed="false">
      <c r="A136" s="1" t="s">
        <v>495</v>
      </c>
      <c r="B136" s="1" t="s">
        <v>1838</v>
      </c>
      <c r="C136" s="1" t="s">
        <v>1839</v>
      </c>
      <c r="D136" s="1" t="s">
        <v>1840</v>
      </c>
      <c r="E136" s="1" t="s">
        <v>1593</v>
      </c>
      <c r="F136" s="1" t="n">
        <v>-2</v>
      </c>
      <c r="H136" s="2" t="s">
        <v>1841</v>
      </c>
    </row>
    <row r="137" customFormat="false" ht="13.8" hidden="false" customHeight="false" outlineLevel="0" collapsed="false">
      <c r="A137" s="1" t="s">
        <v>495</v>
      </c>
      <c r="B137" s="1" t="s">
        <v>495</v>
      </c>
      <c r="C137" s="1" t="s">
        <v>1842</v>
      </c>
      <c r="D137" s="1" t="s">
        <v>1843</v>
      </c>
      <c r="E137" s="1" t="s">
        <v>1593</v>
      </c>
      <c r="F137" s="1" t="n">
        <v>-2</v>
      </c>
      <c r="H137" s="2" t="s">
        <v>1844</v>
      </c>
    </row>
    <row r="138" customFormat="false" ht="13.8" hidden="false" customHeight="false" outlineLevel="0" collapsed="false">
      <c r="A138" s="1" t="s">
        <v>495</v>
      </c>
      <c r="B138" s="1" t="s">
        <v>495</v>
      </c>
      <c r="C138" s="1" t="s">
        <v>1845</v>
      </c>
      <c r="D138" s="1" t="s">
        <v>1843</v>
      </c>
      <c r="E138" s="1" t="s">
        <v>1611</v>
      </c>
      <c r="F138" s="1" t="n">
        <v>-2</v>
      </c>
      <c r="H138" s="2" t="s">
        <v>1844</v>
      </c>
    </row>
    <row r="141" customFormat="false" ht="13.8" hidden="false" customHeight="false" outlineLevel="0" collapsed="false">
      <c r="A141" s="1" t="s">
        <v>1846</v>
      </c>
      <c r="B141" s="14" t="s">
        <v>1847</v>
      </c>
      <c r="C141" s="14" t="s">
        <v>1848</v>
      </c>
      <c r="D141" s="14" t="s">
        <v>1849</v>
      </c>
      <c r="E141" s="14" t="s">
        <v>1593</v>
      </c>
      <c r="F141" s="14" t="n">
        <v>0</v>
      </c>
      <c r="G141" s="12" t="s">
        <v>15</v>
      </c>
    </row>
    <row r="142" customFormat="false" ht="13.8" hidden="false" customHeight="false" outlineLevel="0" collapsed="false">
      <c r="A142" s="1" t="s">
        <v>1846</v>
      </c>
      <c r="B142" s="14" t="s">
        <v>1658</v>
      </c>
      <c r="C142" s="14" t="s">
        <v>1659</v>
      </c>
      <c r="D142" s="14" t="s">
        <v>1660</v>
      </c>
      <c r="E142" s="14" t="s">
        <v>1593</v>
      </c>
      <c r="F142" s="14" t="n">
        <v>-1</v>
      </c>
      <c r="G142" s="12" t="s">
        <v>15</v>
      </c>
    </row>
    <row r="143" customFormat="false" ht="13.8" hidden="false" customHeight="false" outlineLevel="0" collapsed="false">
      <c r="A143" s="1" t="s">
        <v>1846</v>
      </c>
      <c r="B143" s="48" t="s">
        <v>1850</v>
      </c>
      <c r="C143" s="48" t="s">
        <v>1851</v>
      </c>
      <c r="D143" s="48" t="s">
        <v>1852</v>
      </c>
      <c r="E143" s="48" t="s">
        <v>1593</v>
      </c>
      <c r="F143" s="48" t="n">
        <v>-1</v>
      </c>
      <c r="G143" s="76" t="s">
        <v>15</v>
      </c>
    </row>
    <row r="144" customFormat="false" ht="13.8" hidden="false" customHeight="false" outlineLevel="0" collapsed="false">
      <c r="A144" s="1" t="s">
        <v>1846</v>
      </c>
      <c r="B144" s="1" t="s">
        <v>1853</v>
      </c>
      <c r="C144" s="1" t="s">
        <v>1854</v>
      </c>
      <c r="D144" s="1" t="s">
        <v>1855</v>
      </c>
      <c r="E144" s="1" t="s">
        <v>1593</v>
      </c>
      <c r="F144" s="1" t="n">
        <v>-1</v>
      </c>
      <c r="G144" s="36"/>
      <c r="H144" s="2" t="s">
        <v>1856</v>
      </c>
    </row>
    <row r="145" customFormat="false" ht="13.8" hidden="false" customHeight="false" outlineLevel="0" collapsed="false">
      <c r="A145" s="1" t="s">
        <v>1846</v>
      </c>
      <c r="B145" s="1" t="s">
        <v>1857</v>
      </c>
      <c r="C145" s="1" t="s">
        <v>1858</v>
      </c>
      <c r="D145" s="1" t="s">
        <v>1859</v>
      </c>
      <c r="E145" s="1" t="s">
        <v>1593</v>
      </c>
      <c r="F145" s="1" t="n">
        <v>0</v>
      </c>
      <c r="H145" s="2" t="s">
        <v>1860</v>
      </c>
    </row>
    <row r="146" customFormat="false" ht="13.8" hidden="false" customHeight="false" outlineLevel="0" collapsed="false">
      <c r="A146" s="1" t="s">
        <v>1846</v>
      </c>
      <c r="B146" s="1" t="s">
        <v>1861</v>
      </c>
      <c r="C146" s="1" t="s">
        <v>1862</v>
      </c>
      <c r="D146" s="1" t="s">
        <v>1863</v>
      </c>
      <c r="E146" s="1" t="s">
        <v>1593</v>
      </c>
      <c r="F146" s="1" t="n">
        <v>-1</v>
      </c>
      <c r="H146" s="2" t="s">
        <v>1864</v>
      </c>
    </row>
    <row r="147" customFormat="false" ht="13.8" hidden="false" customHeight="false" outlineLevel="0" collapsed="false">
      <c r="A147" s="1" t="s">
        <v>1846</v>
      </c>
      <c r="B147" s="1" t="s">
        <v>1861</v>
      </c>
      <c r="C147" s="1" t="s">
        <v>1865</v>
      </c>
      <c r="D147" s="1" t="s">
        <v>1863</v>
      </c>
      <c r="E147" s="1" t="s">
        <v>1611</v>
      </c>
      <c r="F147" s="1" t="n">
        <v>-1</v>
      </c>
      <c r="H147" s="2" t="s">
        <v>1864</v>
      </c>
    </row>
    <row r="150" customFormat="false" ht="13.8" hidden="false" customHeight="false" outlineLevel="0" collapsed="false">
      <c r="A150" s="1" t="s">
        <v>1866</v>
      </c>
      <c r="B150" s="14" t="s">
        <v>1847</v>
      </c>
      <c r="C150" s="14" t="s">
        <v>1848</v>
      </c>
      <c r="D150" s="14" t="s">
        <v>1849</v>
      </c>
      <c r="E150" s="14" t="s">
        <v>1593</v>
      </c>
      <c r="F150" s="14" t="n">
        <v>0</v>
      </c>
      <c r="G150" s="12" t="s">
        <v>15</v>
      </c>
    </row>
    <row r="151" customFormat="false" ht="13.8" hidden="false" customHeight="false" outlineLevel="0" collapsed="false">
      <c r="A151" s="1" t="s">
        <v>1866</v>
      </c>
      <c r="B151" s="48" t="s">
        <v>1850</v>
      </c>
      <c r="C151" s="48" t="s">
        <v>1851</v>
      </c>
      <c r="D151" s="48" t="s">
        <v>1852</v>
      </c>
      <c r="E151" s="48" t="s">
        <v>1593</v>
      </c>
      <c r="F151" s="48" t="n">
        <v>-1</v>
      </c>
      <c r="G151" s="76" t="s">
        <v>15</v>
      </c>
    </row>
    <row r="152" customFormat="false" ht="13.8" hidden="false" customHeight="false" outlineLevel="0" collapsed="false">
      <c r="A152" s="1" t="s">
        <v>1866</v>
      </c>
      <c r="B152" s="1" t="s">
        <v>1867</v>
      </c>
      <c r="C152" s="1" t="s">
        <v>1868</v>
      </c>
      <c r="D152" s="1" t="s">
        <v>1869</v>
      </c>
      <c r="E152" s="1" t="s">
        <v>1593</v>
      </c>
      <c r="F152" s="1" t="n">
        <v>-4</v>
      </c>
      <c r="H152" s="2" t="s">
        <v>1870</v>
      </c>
    </row>
    <row r="153" customFormat="false" ht="13.8" hidden="false" customHeight="false" outlineLevel="0" collapsed="false">
      <c r="A153" s="1" t="s">
        <v>1866</v>
      </c>
      <c r="B153" s="1" t="s">
        <v>1871</v>
      </c>
      <c r="C153" s="1" t="s">
        <v>1872</v>
      </c>
      <c r="D153" s="1" t="s">
        <v>1873</v>
      </c>
      <c r="E153" s="1" t="s">
        <v>1593</v>
      </c>
      <c r="F153" s="1" t="n">
        <v>-4</v>
      </c>
      <c r="G153" s="36"/>
      <c r="H153" s="2" t="s">
        <v>1874</v>
      </c>
    </row>
    <row r="154" customFormat="false" ht="13.8" hidden="false" customHeight="false" outlineLevel="0" collapsed="false">
      <c r="A154" s="1" t="s">
        <v>1866</v>
      </c>
      <c r="B154" s="1" t="s">
        <v>1875</v>
      </c>
      <c r="C154" s="1" t="s">
        <v>1876</v>
      </c>
      <c r="D154" s="1" t="s">
        <v>1877</v>
      </c>
      <c r="E154" s="1" t="s">
        <v>1593</v>
      </c>
      <c r="F154" s="1" t="n">
        <v>-4</v>
      </c>
      <c r="G154" s="36"/>
      <c r="H154" s="2" t="s">
        <v>1878</v>
      </c>
    </row>
    <row r="155" customFormat="false" ht="13.8" hidden="false" customHeight="false" outlineLevel="0" collapsed="false">
      <c r="A155" s="1" t="s">
        <v>1866</v>
      </c>
      <c r="B155" s="1" t="s">
        <v>1879</v>
      </c>
      <c r="C155" s="1" t="s">
        <v>1880</v>
      </c>
      <c r="D155" s="1" t="s">
        <v>1881</v>
      </c>
      <c r="E155" s="1" t="s">
        <v>1593</v>
      </c>
      <c r="F155" s="1" t="n">
        <v>-4</v>
      </c>
      <c r="H155" s="2" t="s">
        <v>1882</v>
      </c>
    </row>
    <row r="156" customFormat="false" ht="13.8" hidden="false" customHeight="false" outlineLevel="0" collapsed="false">
      <c r="A156" s="1" t="s">
        <v>1866</v>
      </c>
      <c r="B156" s="1" t="s">
        <v>1861</v>
      </c>
      <c r="C156" s="1" t="s">
        <v>1862</v>
      </c>
      <c r="D156" s="1" t="s">
        <v>1863</v>
      </c>
      <c r="E156" s="1" t="s">
        <v>1593</v>
      </c>
      <c r="F156" s="1" t="n">
        <v>-1</v>
      </c>
      <c r="H156" s="2" t="s">
        <v>1864</v>
      </c>
    </row>
    <row r="157" customFormat="false" ht="13.8" hidden="false" customHeight="false" outlineLevel="0" collapsed="false">
      <c r="A157" s="1" t="s">
        <v>1866</v>
      </c>
      <c r="B157" s="1" t="s">
        <v>1861</v>
      </c>
      <c r="C157" s="1" t="s">
        <v>1865</v>
      </c>
      <c r="D157" s="1" t="s">
        <v>1863</v>
      </c>
      <c r="E157" s="1" t="s">
        <v>1611</v>
      </c>
      <c r="F157" s="1" t="n">
        <v>-1</v>
      </c>
      <c r="H157" s="2" t="s">
        <v>1864</v>
      </c>
    </row>
    <row r="160" customFormat="false" ht="13.8" hidden="false" customHeight="false" outlineLevel="0" collapsed="false">
      <c r="A160" s="1" t="s">
        <v>589</v>
      </c>
      <c r="B160" s="48" t="s">
        <v>1883</v>
      </c>
      <c r="C160" s="48" t="s">
        <v>1884</v>
      </c>
      <c r="D160" s="48" t="s">
        <v>1781</v>
      </c>
      <c r="E160" s="48" t="s">
        <v>1593</v>
      </c>
      <c r="F160" s="48" t="n">
        <v>-1</v>
      </c>
      <c r="G160" s="76" t="s">
        <v>15</v>
      </c>
    </row>
    <row r="161" customFormat="false" ht="13.8" hidden="false" customHeight="false" outlineLevel="0" collapsed="false">
      <c r="A161" s="1" t="s">
        <v>589</v>
      </c>
      <c r="B161" s="1" t="s">
        <v>1885</v>
      </c>
      <c r="C161" s="1" t="s">
        <v>1886</v>
      </c>
      <c r="D161" s="1" t="s">
        <v>1887</v>
      </c>
      <c r="E161" s="1" t="s">
        <v>1593</v>
      </c>
      <c r="F161" s="1" t="n">
        <v>-1</v>
      </c>
      <c r="G161" s="36"/>
      <c r="H161" s="2" t="s">
        <v>1750</v>
      </c>
    </row>
    <row r="162" customFormat="false" ht="14.25" hidden="false" customHeight="false" outlineLevel="0" collapsed="false">
      <c r="A162" s="1" t="s">
        <v>589</v>
      </c>
      <c r="B162" s="1" t="s">
        <v>1888</v>
      </c>
      <c r="C162" s="1" t="s">
        <v>1889</v>
      </c>
      <c r="D162" s="1" t="s">
        <v>1890</v>
      </c>
      <c r="E162" s="1" t="s">
        <v>1593</v>
      </c>
      <c r="F162" s="1" t="n">
        <v>-1</v>
      </c>
      <c r="G162" s="36"/>
      <c r="H162" s="2" t="s">
        <v>1891</v>
      </c>
    </row>
    <row r="163" customFormat="false" ht="13.8" hidden="false" customHeight="false" outlineLevel="0" collapsed="false">
      <c r="A163" s="1" t="s">
        <v>589</v>
      </c>
      <c r="B163" s="1" t="s">
        <v>1857</v>
      </c>
      <c r="C163" s="1" t="s">
        <v>1858</v>
      </c>
      <c r="D163" s="1" t="s">
        <v>1859</v>
      </c>
      <c r="E163" s="1" t="s">
        <v>1593</v>
      </c>
      <c r="F163" s="1" t="n">
        <v>0</v>
      </c>
      <c r="H163" s="2" t="s">
        <v>1860</v>
      </c>
    </row>
    <row r="164" customFormat="false" ht="13.8" hidden="false" customHeight="false" outlineLevel="0" collapsed="false">
      <c r="A164" s="1" t="s">
        <v>589</v>
      </c>
      <c r="B164" s="1" t="s">
        <v>589</v>
      </c>
      <c r="C164" s="1" t="s">
        <v>1892</v>
      </c>
      <c r="D164" s="1" t="s">
        <v>1893</v>
      </c>
      <c r="E164" s="1" t="s">
        <v>1593</v>
      </c>
      <c r="F164" s="1" t="n">
        <v>0</v>
      </c>
      <c r="H164" s="2" t="s">
        <v>1860</v>
      </c>
    </row>
    <row r="165" customFormat="false" ht="13.8" hidden="false" customHeight="false" outlineLevel="0" collapsed="false">
      <c r="A165" s="1" t="s">
        <v>589</v>
      </c>
      <c r="B165" s="1" t="s">
        <v>589</v>
      </c>
      <c r="C165" s="1" t="s">
        <v>1894</v>
      </c>
      <c r="D165" s="1" t="s">
        <v>1893</v>
      </c>
      <c r="E165" s="1" t="s">
        <v>1611</v>
      </c>
      <c r="F165" s="1" t="n">
        <v>0</v>
      </c>
      <c r="H165" s="2" t="s">
        <v>1860</v>
      </c>
    </row>
    <row r="168" customFormat="false" ht="13.8" hidden="false" customHeight="false" outlineLevel="0" collapsed="false">
      <c r="A168" s="1" t="s">
        <v>1895</v>
      </c>
      <c r="B168" s="14" t="s">
        <v>1590</v>
      </c>
      <c r="C168" s="14" t="s">
        <v>1591</v>
      </c>
      <c r="D168" s="14" t="s">
        <v>1592</v>
      </c>
      <c r="E168" s="14" t="s">
        <v>1593</v>
      </c>
      <c r="F168" s="14" t="n">
        <v>-4</v>
      </c>
      <c r="G168" s="12" t="s">
        <v>15</v>
      </c>
    </row>
    <row r="169" customFormat="false" ht="13.8" hidden="false" customHeight="false" outlineLevel="0" collapsed="false">
      <c r="A169" s="1" t="s">
        <v>1895</v>
      </c>
      <c r="B169" s="14" t="s">
        <v>1594</v>
      </c>
      <c r="C169" s="14" t="s">
        <v>1595</v>
      </c>
      <c r="D169" s="14" t="s">
        <v>1596</v>
      </c>
      <c r="E169" s="14" t="s">
        <v>1593</v>
      </c>
      <c r="F169" s="14" t="n">
        <v>-4</v>
      </c>
      <c r="G169" s="12" t="s">
        <v>15</v>
      </c>
      <c r="H169" s="12" t="s">
        <v>1597</v>
      </c>
    </row>
    <row r="170" customFormat="false" ht="13.8" hidden="false" customHeight="false" outlineLevel="0" collapsed="false">
      <c r="A170" s="1" t="s">
        <v>1895</v>
      </c>
      <c r="B170" s="1" t="s">
        <v>1896</v>
      </c>
      <c r="C170" s="1" t="s">
        <v>1897</v>
      </c>
      <c r="D170" s="1" t="s">
        <v>1898</v>
      </c>
      <c r="E170" s="1" t="s">
        <v>1593</v>
      </c>
      <c r="F170" s="1" t="n">
        <v>-5</v>
      </c>
      <c r="H170" s="2" t="s">
        <v>1899</v>
      </c>
    </row>
    <row r="171" customFormat="false" ht="13.8" hidden="false" customHeight="false" outlineLevel="0" collapsed="false">
      <c r="A171" s="1" t="s">
        <v>1895</v>
      </c>
      <c r="B171" s="1" t="s">
        <v>1900</v>
      </c>
      <c r="C171" s="1" t="s">
        <v>1901</v>
      </c>
      <c r="D171" s="1" t="s">
        <v>1902</v>
      </c>
      <c r="E171" s="1" t="s">
        <v>1593</v>
      </c>
      <c r="F171" s="1" t="n">
        <v>-1</v>
      </c>
      <c r="H171" s="2" t="s">
        <v>1903</v>
      </c>
    </row>
    <row r="172" customFormat="false" ht="13.8" hidden="false" customHeight="false" outlineLevel="0" collapsed="false">
      <c r="A172" s="1" t="s">
        <v>1895</v>
      </c>
      <c r="B172" s="1" t="s">
        <v>1904</v>
      </c>
      <c r="C172" s="1" t="s">
        <v>1905</v>
      </c>
      <c r="D172" s="1" t="s">
        <v>1906</v>
      </c>
      <c r="E172" s="1" t="s">
        <v>1593</v>
      </c>
      <c r="F172" s="1" t="n">
        <v>-3</v>
      </c>
      <c r="H172" s="2" t="s">
        <v>1907</v>
      </c>
    </row>
    <row r="173" customFormat="false" ht="13.8" hidden="false" customHeight="false" outlineLevel="0" collapsed="false">
      <c r="A173" s="1" t="s">
        <v>1895</v>
      </c>
      <c r="B173" s="1" t="s">
        <v>1908</v>
      </c>
      <c r="C173" s="1" t="s">
        <v>1909</v>
      </c>
      <c r="D173" s="1" t="s">
        <v>1910</v>
      </c>
      <c r="E173" s="1" t="s">
        <v>1593</v>
      </c>
      <c r="F173" s="1" t="n">
        <v>-4</v>
      </c>
      <c r="H173" s="2" t="s">
        <v>1911</v>
      </c>
    </row>
    <row r="174" customFormat="false" ht="13.8" hidden="false" customHeight="false" outlineLevel="0" collapsed="false">
      <c r="A174" s="1" t="s">
        <v>1895</v>
      </c>
      <c r="B174" s="14" t="s">
        <v>1912</v>
      </c>
      <c r="C174" s="14" t="s">
        <v>1913</v>
      </c>
      <c r="D174" s="14" t="s">
        <v>1914</v>
      </c>
      <c r="E174" s="14" t="s">
        <v>1593</v>
      </c>
      <c r="F174" s="14" t="n">
        <v>-3</v>
      </c>
      <c r="G174" s="12" t="s">
        <v>15</v>
      </c>
    </row>
    <row r="175" customFormat="false" ht="13.8" hidden="false" customHeight="false" outlineLevel="0" collapsed="false">
      <c r="A175" s="1" t="s">
        <v>1895</v>
      </c>
      <c r="B175" s="14" t="s">
        <v>1915</v>
      </c>
      <c r="C175" s="14" t="s">
        <v>1916</v>
      </c>
      <c r="D175" s="14" t="s">
        <v>1914</v>
      </c>
      <c r="E175" s="14" t="s">
        <v>1593</v>
      </c>
      <c r="F175" s="14" t="n">
        <v>-3</v>
      </c>
      <c r="G175" s="12" t="s">
        <v>15</v>
      </c>
    </row>
    <row r="176" customFormat="false" ht="13.8" hidden="false" customHeight="false" outlineLevel="0" collapsed="false">
      <c r="A176" s="1" t="s">
        <v>1895</v>
      </c>
      <c r="B176" s="14" t="s">
        <v>1917</v>
      </c>
      <c r="C176" s="14" t="s">
        <v>1918</v>
      </c>
      <c r="D176" s="14" t="s">
        <v>1919</v>
      </c>
      <c r="E176" s="14"/>
      <c r="F176" s="14" t="n">
        <v>-3</v>
      </c>
      <c r="G176" s="12" t="s">
        <v>15</v>
      </c>
      <c r="H176" s="151" t="s">
        <v>1920</v>
      </c>
    </row>
    <row r="177" customFormat="false" ht="13.8" hidden="false" customHeight="false" outlineLevel="0" collapsed="false">
      <c r="A177" s="1" t="s">
        <v>1895</v>
      </c>
      <c r="B177" s="14" t="s">
        <v>1921</v>
      </c>
      <c r="C177" s="14" t="s">
        <v>1922</v>
      </c>
      <c r="D177" s="14" t="s">
        <v>1923</v>
      </c>
      <c r="E177" s="14" t="s">
        <v>1593</v>
      </c>
      <c r="F177" s="14" t="n">
        <v>-3</v>
      </c>
      <c r="G177" s="12" t="s">
        <v>15</v>
      </c>
    </row>
    <row r="178" customFormat="false" ht="13.8" hidden="false" customHeight="false" outlineLevel="0" collapsed="false">
      <c r="A178" s="1" t="s">
        <v>1895</v>
      </c>
      <c r="B178" s="1" t="s">
        <v>1924</v>
      </c>
      <c r="C178" s="1" t="s">
        <v>1925</v>
      </c>
      <c r="D178" s="1" t="s">
        <v>1926</v>
      </c>
      <c r="E178" s="1" t="s">
        <v>1593</v>
      </c>
      <c r="F178" s="1" t="n">
        <v>-3</v>
      </c>
      <c r="H178" s="2" t="s">
        <v>1841</v>
      </c>
    </row>
    <row r="179" customFormat="false" ht="13.8" hidden="false" customHeight="false" outlineLevel="0" collapsed="false">
      <c r="A179" s="1" t="s">
        <v>1895</v>
      </c>
      <c r="B179" s="1" t="s">
        <v>1927</v>
      </c>
      <c r="C179" s="1" t="s">
        <v>1928</v>
      </c>
      <c r="D179" s="1" t="s">
        <v>1929</v>
      </c>
      <c r="E179" s="1" t="s">
        <v>1593</v>
      </c>
      <c r="F179" s="1" t="n">
        <v>0</v>
      </c>
      <c r="H179" s="2" t="s">
        <v>1930</v>
      </c>
    </row>
    <row r="180" customFormat="false" ht="13.8" hidden="false" customHeight="false" outlineLevel="0" collapsed="false">
      <c r="A180" s="1" t="s">
        <v>1895</v>
      </c>
      <c r="B180" s="1" t="s">
        <v>1931</v>
      </c>
      <c r="C180" s="1" t="s">
        <v>1932</v>
      </c>
      <c r="D180" s="1" t="s">
        <v>1933</v>
      </c>
      <c r="E180" s="1" t="s">
        <v>1593</v>
      </c>
      <c r="F180" s="1" t="n">
        <v>0</v>
      </c>
      <c r="H180" s="2" t="s">
        <v>1841</v>
      </c>
    </row>
    <row r="181" customFormat="false" ht="13.8" hidden="false" customHeight="false" outlineLevel="0" collapsed="false">
      <c r="A181" s="1" t="s">
        <v>1895</v>
      </c>
      <c r="B181" s="1" t="s">
        <v>1934</v>
      </c>
      <c r="C181" s="1" t="s">
        <v>1935</v>
      </c>
      <c r="D181" s="1" t="s">
        <v>1933</v>
      </c>
      <c r="E181" s="1" t="s">
        <v>1593</v>
      </c>
      <c r="F181" s="1" t="n">
        <v>0</v>
      </c>
      <c r="H181" s="2" t="s">
        <v>1841</v>
      </c>
    </row>
    <row r="182" customFormat="false" ht="13.8" hidden="false" customHeight="false" outlineLevel="0" collapsed="false">
      <c r="A182" s="1" t="s">
        <v>1895</v>
      </c>
      <c r="B182" s="1" t="s">
        <v>1895</v>
      </c>
      <c r="C182" s="1" t="s">
        <v>1936</v>
      </c>
      <c r="D182" s="1" t="s">
        <v>1933</v>
      </c>
      <c r="E182" s="1" t="s">
        <v>1593</v>
      </c>
      <c r="F182" s="1" t="n">
        <v>0</v>
      </c>
      <c r="H182" s="2" t="s">
        <v>1841</v>
      </c>
    </row>
    <row r="183" customFormat="false" ht="13.8" hidden="false" customHeight="false" outlineLevel="0" collapsed="false">
      <c r="A183" s="1" t="s">
        <v>1895</v>
      </c>
      <c r="B183" s="1" t="s">
        <v>1895</v>
      </c>
      <c r="C183" s="1" t="s">
        <v>1937</v>
      </c>
      <c r="D183" s="1" t="s">
        <v>1933</v>
      </c>
      <c r="E183" s="1" t="s">
        <v>1611</v>
      </c>
      <c r="F183" s="1" t="n">
        <v>0</v>
      </c>
      <c r="H183" s="2" t="s">
        <v>1841</v>
      </c>
    </row>
    <row r="186" customFormat="false" ht="13.8" hidden="false" customHeight="false" outlineLevel="0" collapsed="false">
      <c r="A186" s="1" t="s">
        <v>692</v>
      </c>
      <c r="B186" s="14" t="s">
        <v>1648</v>
      </c>
      <c r="C186" s="14" t="s">
        <v>1649</v>
      </c>
      <c r="D186" s="14" t="s">
        <v>1650</v>
      </c>
      <c r="E186" s="14" t="s">
        <v>1593</v>
      </c>
      <c r="F186" s="14" t="n">
        <v>-5</v>
      </c>
      <c r="G186" s="12" t="s">
        <v>15</v>
      </c>
      <c r="H186" s="12"/>
    </row>
    <row r="187" customFormat="false" ht="13.8" hidden="false" customHeight="false" outlineLevel="0" collapsed="false">
      <c r="A187" s="1" t="s">
        <v>692</v>
      </c>
      <c r="B187" s="14" t="s">
        <v>1938</v>
      </c>
      <c r="C187" s="14" t="s">
        <v>1939</v>
      </c>
      <c r="D187" s="14" t="s">
        <v>1650</v>
      </c>
      <c r="E187" s="14" t="s">
        <v>1593</v>
      </c>
      <c r="F187" s="14" t="n">
        <v>-5</v>
      </c>
      <c r="G187" s="12" t="s">
        <v>15</v>
      </c>
      <c r="H187" s="12"/>
    </row>
    <row r="188" customFormat="false" ht="13.8" hidden="false" customHeight="false" outlineLevel="0" collapsed="false">
      <c r="A188" s="1" t="s">
        <v>692</v>
      </c>
      <c r="B188" s="14" t="s">
        <v>1940</v>
      </c>
      <c r="C188" s="14" t="s">
        <v>1941</v>
      </c>
      <c r="D188" s="14" t="s">
        <v>1942</v>
      </c>
      <c r="E188" s="14" t="s">
        <v>1593</v>
      </c>
      <c r="F188" s="14" t="n">
        <v>-4</v>
      </c>
      <c r="G188" s="12" t="s">
        <v>15</v>
      </c>
      <c r="H188" s="12" t="s">
        <v>1943</v>
      </c>
    </row>
    <row r="189" customFormat="false" ht="13.8" hidden="false" customHeight="false" outlineLevel="0" collapsed="false">
      <c r="A189" s="1" t="s">
        <v>692</v>
      </c>
      <c r="B189" s="14" t="s">
        <v>1590</v>
      </c>
      <c r="C189" s="14" t="s">
        <v>1591</v>
      </c>
      <c r="D189" s="14" t="s">
        <v>1592</v>
      </c>
      <c r="E189" s="14" t="s">
        <v>1593</v>
      </c>
      <c r="F189" s="14" t="n">
        <v>-4</v>
      </c>
      <c r="G189" s="12" t="s">
        <v>15</v>
      </c>
      <c r="H189" s="12"/>
    </row>
    <row r="190" customFormat="false" ht="13.8" hidden="false" customHeight="false" outlineLevel="0" collapsed="false">
      <c r="A190" s="1" t="s">
        <v>692</v>
      </c>
      <c r="B190" s="19" t="s">
        <v>1944</v>
      </c>
      <c r="C190" s="19" t="s">
        <v>1945</v>
      </c>
      <c r="D190" s="19" t="s">
        <v>1946</v>
      </c>
      <c r="E190" s="19" t="s">
        <v>1593</v>
      </c>
      <c r="F190" s="19" t="n">
        <v>-4</v>
      </c>
      <c r="G190" s="17"/>
      <c r="H190" s="2" t="s">
        <v>1947</v>
      </c>
    </row>
    <row r="191" customFormat="false" ht="13.8" hidden="false" customHeight="false" outlineLevel="0" collapsed="false">
      <c r="A191" s="1" t="s">
        <v>692</v>
      </c>
      <c r="B191" s="19" t="s">
        <v>1948</v>
      </c>
      <c r="C191" s="19" t="s">
        <v>1949</v>
      </c>
      <c r="D191" s="19" t="s">
        <v>1950</v>
      </c>
      <c r="E191" s="19" t="s">
        <v>1593</v>
      </c>
      <c r="F191" s="19" t="n">
        <v>-4</v>
      </c>
      <c r="G191" s="17"/>
      <c r="H191" s="2" t="s">
        <v>1947</v>
      </c>
    </row>
    <row r="192" customFormat="false" ht="13.8" hidden="false" customHeight="false" outlineLevel="0" collapsed="false">
      <c r="A192" s="1" t="s">
        <v>692</v>
      </c>
      <c r="B192" s="19" t="s">
        <v>1951</v>
      </c>
      <c r="C192" s="19" t="s">
        <v>1952</v>
      </c>
      <c r="D192" s="19" t="s">
        <v>1953</v>
      </c>
      <c r="E192" s="19" t="s">
        <v>1593</v>
      </c>
      <c r="F192" s="19" t="n">
        <v>-4</v>
      </c>
      <c r="G192" s="17"/>
      <c r="H192" s="2" t="s">
        <v>1947</v>
      </c>
    </row>
    <row r="193" customFormat="false" ht="13.8" hidden="false" customHeight="false" outlineLevel="0" collapsed="false">
      <c r="A193" s="1" t="s">
        <v>692</v>
      </c>
      <c r="B193" s="19" t="s">
        <v>1954</v>
      </c>
      <c r="C193" s="19" t="s">
        <v>1955</v>
      </c>
      <c r="D193" s="19" t="s">
        <v>1956</v>
      </c>
      <c r="E193" s="19" t="s">
        <v>1593</v>
      </c>
      <c r="F193" s="19" t="n">
        <v>-4</v>
      </c>
      <c r="G193" s="17"/>
      <c r="H193" s="2" t="s">
        <v>1947</v>
      </c>
    </row>
    <row r="194" customFormat="false" ht="13.8" hidden="false" customHeight="false" outlineLevel="0" collapsed="false">
      <c r="A194" s="1" t="s">
        <v>692</v>
      </c>
      <c r="B194" s="1" t="s">
        <v>1957</v>
      </c>
      <c r="C194" s="1" t="s">
        <v>1958</v>
      </c>
      <c r="D194" s="1" t="s">
        <v>1959</v>
      </c>
      <c r="E194" s="19" t="s">
        <v>1593</v>
      </c>
      <c r="F194" s="19" t="n">
        <v>-1</v>
      </c>
      <c r="G194" s="12"/>
      <c r="H194" s="2" t="s">
        <v>1947</v>
      </c>
    </row>
    <row r="195" customFormat="false" ht="13.8" hidden="false" customHeight="false" outlineLevel="0" collapsed="false">
      <c r="A195" s="1" t="s">
        <v>692</v>
      </c>
      <c r="B195" s="1" t="s">
        <v>1960</v>
      </c>
      <c r="C195" s="1" t="s">
        <v>1961</v>
      </c>
      <c r="D195" s="1" t="s">
        <v>1700</v>
      </c>
      <c r="E195" s="19" t="s">
        <v>1593</v>
      </c>
      <c r="F195" s="19" t="n">
        <v>0</v>
      </c>
      <c r="G195" s="12"/>
      <c r="H195" s="2" t="s">
        <v>1947</v>
      </c>
    </row>
    <row r="196" customFormat="false" ht="13.8" hidden="false" customHeight="false" outlineLevel="0" collapsed="false">
      <c r="A196" s="1" t="s">
        <v>692</v>
      </c>
      <c r="B196" s="14" t="s">
        <v>1962</v>
      </c>
      <c r="C196" s="14" t="s">
        <v>1963</v>
      </c>
      <c r="D196" s="14" t="s">
        <v>1964</v>
      </c>
      <c r="E196" s="14" t="s">
        <v>1593</v>
      </c>
      <c r="F196" s="14" t="n">
        <v>-1</v>
      </c>
      <c r="G196" s="12" t="s">
        <v>15</v>
      </c>
    </row>
    <row r="197" customFormat="false" ht="13.8" hidden="false" customHeight="false" outlineLevel="0" collapsed="false">
      <c r="A197" s="1" t="s">
        <v>692</v>
      </c>
      <c r="B197" s="1" t="s">
        <v>692</v>
      </c>
      <c r="C197" s="1" t="s">
        <v>1965</v>
      </c>
      <c r="D197" s="1" t="s">
        <v>1966</v>
      </c>
      <c r="E197" s="19" t="s">
        <v>1593</v>
      </c>
      <c r="F197" s="19" t="n">
        <v>0</v>
      </c>
      <c r="G197" s="152"/>
      <c r="H197" s="17" t="s">
        <v>1967</v>
      </c>
    </row>
    <row r="198" customFormat="false" ht="13.8" hidden="false" customHeight="false" outlineLevel="0" collapsed="false">
      <c r="A198" s="1" t="s">
        <v>692</v>
      </c>
      <c r="B198" s="1" t="s">
        <v>692</v>
      </c>
      <c r="C198" s="1" t="s">
        <v>1968</v>
      </c>
      <c r="D198" s="1" t="s">
        <v>1966</v>
      </c>
      <c r="E198" s="19" t="s">
        <v>1611</v>
      </c>
      <c r="F198" s="19" t="n">
        <v>0</v>
      </c>
      <c r="G198" s="152"/>
      <c r="H198" s="17" t="s">
        <v>1967</v>
      </c>
    </row>
    <row r="201" customFormat="false" ht="13.8" hidden="false" customHeight="false" outlineLevel="0" collapsed="false">
      <c r="A201" s="1" t="s">
        <v>1969</v>
      </c>
      <c r="B201" s="14" t="s">
        <v>1590</v>
      </c>
      <c r="C201" s="14" t="s">
        <v>1591</v>
      </c>
      <c r="D201" s="14" t="s">
        <v>1592</v>
      </c>
      <c r="E201" s="14" t="s">
        <v>1593</v>
      </c>
      <c r="F201" s="14" t="n">
        <v>-4</v>
      </c>
      <c r="G201" s="12" t="s">
        <v>15</v>
      </c>
    </row>
    <row r="202" customFormat="false" ht="13.8" hidden="false" customHeight="false" outlineLevel="0" collapsed="false">
      <c r="A202" s="1" t="s">
        <v>1969</v>
      </c>
      <c r="B202" s="14" t="s">
        <v>1594</v>
      </c>
      <c r="C202" s="14" t="s">
        <v>1595</v>
      </c>
      <c r="D202" s="14" t="s">
        <v>1596</v>
      </c>
      <c r="E202" s="14" t="s">
        <v>1593</v>
      </c>
      <c r="F202" s="14" t="n">
        <v>-4</v>
      </c>
      <c r="G202" s="12" t="s">
        <v>15</v>
      </c>
    </row>
    <row r="203" customFormat="false" ht="13.8" hidden="false" customHeight="false" outlineLevel="0" collapsed="false">
      <c r="A203" s="1" t="s">
        <v>1969</v>
      </c>
      <c r="B203" s="48" t="s">
        <v>1970</v>
      </c>
      <c r="C203" s="14" t="s">
        <v>1971</v>
      </c>
      <c r="D203" s="14" t="s">
        <v>1600</v>
      </c>
      <c r="E203" s="14" t="s">
        <v>1593</v>
      </c>
      <c r="F203" s="14" t="n">
        <v>-4</v>
      </c>
      <c r="G203" s="12" t="s">
        <v>15</v>
      </c>
    </row>
    <row r="204" customFormat="false" ht="13.8" hidden="false" customHeight="false" outlineLevel="0" collapsed="false">
      <c r="A204" s="1" t="s">
        <v>1969</v>
      </c>
      <c r="B204" s="48" t="s">
        <v>1972</v>
      </c>
      <c r="C204" s="14" t="s">
        <v>1973</v>
      </c>
      <c r="D204" s="14" t="s">
        <v>1974</v>
      </c>
      <c r="E204" s="14" t="s">
        <v>1593</v>
      </c>
      <c r="F204" s="14" t="n">
        <v>-4</v>
      </c>
      <c r="G204" s="12" t="s">
        <v>15</v>
      </c>
    </row>
    <row r="205" customFormat="false" ht="13.8" hidden="false" customHeight="false" outlineLevel="0" collapsed="false">
      <c r="A205" s="1" t="s">
        <v>1969</v>
      </c>
      <c r="B205" s="14" t="s">
        <v>1658</v>
      </c>
      <c r="C205" s="14" t="s">
        <v>1659</v>
      </c>
      <c r="D205" s="14" t="s">
        <v>1660</v>
      </c>
      <c r="E205" s="14" t="s">
        <v>1593</v>
      </c>
      <c r="F205" s="14" t="n">
        <v>-1</v>
      </c>
      <c r="G205" s="12" t="s">
        <v>15</v>
      </c>
    </row>
    <row r="206" customFormat="false" ht="13.8" hidden="false" customHeight="false" outlineLevel="0" collapsed="false">
      <c r="A206" s="1" t="s">
        <v>1969</v>
      </c>
      <c r="B206" s="48" t="s">
        <v>1975</v>
      </c>
      <c r="C206" s="48" t="s">
        <v>1976</v>
      </c>
      <c r="D206" s="48" t="s">
        <v>1977</v>
      </c>
      <c r="E206" s="48" t="s">
        <v>1593</v>
      </c>
      <c r="F206" s="48" t="n">
        <v>-4</v>
      </c>
      <c r="G206" s="12" t="s">
        <v>15</v>
      </c>
    </row>
    <row r="207" customFormat="false" ht="13.8" hidden="false" customHeight="false" outlineLevel="0" collapsed="false">
      <c r="A207" s="1" t="s">
        <v>1969</v>
      </c>
      <c r="B207" s="56" t="s">
        <v>1978</v>
      </c>
      <c r="C207" s="56" t="s">
        <v>1979</v>
      </c>
      <c r="D207" s="56" t="s">
        <v>1980</v>
      </c>
      <c r="E207" s="56" t="s">
        <v>1593</v>
      </c>
      <c r="F207" s="56" t="n">
        <v>0</v>
      </c>
      <c r="G207" s="144" t="s">
        <v>15</v>
      </c>
    </row>
    <row r="208" customFormat="false" ht="13.8" hidden="false" customHeight="false" outlineLevel="0" collapsed="false">
      <c r="A208" s="1" t="s">
        <v>1969</v>
      </c>
      <c r="B208" s="19" t="s">
        <v>1981</v>
      </c>
      <c r="C208" s="19" t="s">
        <v>1982</v>
      </c>
      <c r="D208" s="19" t="s">
        <v>1983</v>
      </c>
      <c r="E208" s="19" t="s">
        <v>1593</v>
      </c>
      <c r="F208" s="19" t="n">
        <v>0</v>
      </c>
      <c r="G208" s="17"/>
      <c r="H208" s="17" t="s">
        <v>1984</v>
      </c>
    </row>
    <row r="209" customFormat="false" ht="13.8" hidden="false" customHeight="false" outlineLevel="0" collapsed="false">
      <c r="A209" s="1" t="s">
        <v>1969</v>
      </c>
      <c r="B209" s="19" t="s">
        <v>1981</v>
      </c>
      <c r="C209" s="19" t="s">
        <v>1985</v>
      </c>
      <c r="D209" s="19" t="s">
        <v>1983</v>
      </c>
      <c r="E209" s="19" t="s">
        <v>1611</v>
      </c>
      <c r="F209" s="19" t="n">
        <v>0</v>
      </c>
      <c r="G209" s="17"/>
      <c r="H209" s="17" t="s">
        <v>1984</v>
      </c>
    </row>
    <row r="210" customFormat="false" ht="13.8" hidden="false" customHeight="false" outlineLevel="0" collapsed="false">
      <c r="B210" s="48"/>
      <c r="C210" s="48"/>
      <c r="D210" s="48"/>
      <c r="E210" s="48"/>
      <c r="F210" s="48"/>
      <c r="G210" s="12"/>
    </row>
    <row r="212" customFormat="false" ht="13.8" hidden="false" customHeight="false" outlineLevel="0" collapsed="false">
      <c r="A212" s="1" t="s">
        <v>1986</v>
      </c>
      <c r="B212" s="55" t="s">
        <v>1688</v>
      </c>
      <c r="C212" s="55" t="s">
        <v>1689</v>
      </c>
      <c r="D212" s="55" t="s">
        <v>1690</v>
      </c>
      <c r="E212" s="55" t="s">
        <v>1593</v>
      </c>
      <c r="F212" s="55" t="n">
        <v>0</v>
      </c>
      <c r="G212" s="146" t="s">
        <v>15</v>
      </c>
    </row>
    <row r="213" customFormat="false" ht="13.8" hidden="false" customHeight="false" outlineLevel="0" collapsed="false">
      <c r="A213" s="1" t="s">
        <v>1986</v>
      </c>
      <c r="B213" s="55" t="s">
        <v>1691</v>
      </c>
      <c r="C213" s="55" t="s">
        <v>1692</v>
      </c>
      <c r="D213" s="55" t="s">
        <v>1653</v>
      </c>
      <c r="E213" s="55" t="s">
        <v>1593</v>
      </c>
      <c r="F213" s="55" t="n">
        <v>-1</v>
      </c>
      <c r="G213" s="146" t="s">
        <v>15</v>
      </c>
      <c r="H213" s="146" t="s">
        <v>1693</v>
      </c>
    </row>
    <row r="214" customFormat="false" ht="13.8" hidden="false" customHeight="false" outlineLevel="0" collapsed="false">
      <c r="A214" s="1" t="s">
        <v>1986</v>
      </c>
      <c r="B214" s="1" t="s">
        <v>1987</v>
      </c>
      <c r="C214" s="1" t="s">
        <v>1988</v>
      </c>
      <c r="D214" s="1" t="s">
        <v>1989</v>
      </c>
      <c r="E214" s="1" t="s">
        <v>1593</v>
      </c>
      <c r="F214" s="1" t="n">
        <v>-2</v>
      </c>
      <c r="G214" s="36"/>
      <c r="H214" s="2" t="s">
        <v>32</v>
      </c>
    </row>
    <row r="215" customFormat="false" ht="13.8" hidden="false" customHeight="false" outlineLevel="0" collapsed="false">
      <c r="A215" s="1" t="s">
        <v>1986</v>
      </c>
      <c r="B215" s="1" t="s">
        <v>1990</v>
      </c>
      <c r="C215" s="1" t="s">
        <v>1991</v>
      </c>
      <c r="D215" s="1" t="s">
        <v>1989</v>
      </c>
      <c r="E215" s="1" t="s">
        <v>1593</v>
      </c>
      <c r="F215" s="1" t="n">
        <v>-2</v>
      </c>
      <c r="G215" s="36"/>
      <c r="H215" s="2" t="s">
        <v>32</v>
      </c>
    </row>
    <row r="216" customFormat="false" ht="13.8" hidden="false" customHeight="false" outlineLevel="0" collapsed="false">
      <c r="A216" s="1" t="s">
        <v>1986</v>
      </c>
      <c r="B216" s="1" t="s">
        <v>1992</v>
      </c>
      <c r="C216" s="1" t="s">
        <v>1993</v>
      </c>
      <c r="D216" s="1" t="s">
        <v>1994</v>
      </c>
      <c r="E216" s="1" t="s">
        <v>1593</v>
      </c>
      <c r="F216" s="1" t="n">
        <v>-1</v>
      </c>
      <c r="G216" s="36"/>
      <c r="H216" s="2" t="s">
        <v>1995</v>
      </c>
    </row>
    <row r="217" customFormat="false" ht="13.8" hidden="false" customHeight="false" outlineLevel="0" collapsed="false">
      <c r="A217" s="1" t="s">
        <v>1986</v>
      </c>
      <c r="B217" s="56" t="s">
        <v>1978</v>
      </c>
      <c r="C217" s="56" t="s">
        <v>1979</v>
      </c>
      <c r="D217" s="56" t="s">
        <v>1980</v>
      </c>
      <c r="E217" s="56" t="s">
        <v>1593</v>
      </c>
      <c r="F217" s="56" t="n">
        <v>0</v>
      </c>
      <c r="G217" s="144" t="s">
        <v>15</v>
      </c>
    </row>
    <row r="218" customFormat="false" ht="13.8" hidden="false" customHeight="false" outlineLevel="0" collapsed="false">
      <c r="A218" s="1" t="s">
        <v>1986</v>
      </c>
      <c r="B218" s="19" t="s">
        <v>1981</v>
      </c>
      <c r="C218" s="19" t="s">
        <v>1982</v>
      </c>
      <c r="D218" s="19" t="s">
        <v>1983</v>
      </c>
      <c r="E218" s="19" t="s">
        <v>1593</v>
      </c>
      <c r="F218" s="19" t="n">
        <v>0</v>
      </c>
      <c r="G218" s="17"/>
      <c r="H218" s="17" t="s">
        <v>1984</v>
      </c>
    </row>
    <row r="219" customFormat="false" ht="13.8" hidden="false" customHeight="false" outlineLevel="0" collapsed="false">
      <c r="A219" s="1" t="s">
        <v>1986</v>
      </c>
      <c r="B219" s="19" t="s">
        <v>1981</v>
      </c>
      <c r="C219" s="19" t="s">
        <v>1985</v>
      </c>
      <c r="D219" s="19" t="s">
        <v>1983</v>
      </c>
      <c r="E219" s="19" t="s">
        <v>1611</v>
      </c>
      <c r="F219" s="19" t="n">
        <v>0</v>
      </c>
      <c r="G219" s="17"/>
      <c r="H219" s="17" t="s">
        <v>1984</v>
      </c>
    </row>
    <row r="222" customFormat="false" ht="13.8" hidden="false" customHeight="false" outlineLevel="0" collapsed="false">
      <c r="A222" s="1" t="s">
        <v>809</v>
      </c>
      <c r="B222" s="14" t="s">
        <v>1590</v>
      </c>
      <c r="C222" s="14" t="s">
        <v>1591</v>
      </c>
      <c r="D222" s="14" t="s">
        <v>1592</v>
      </c>
      <c r="E222" s="14" t="s">
        <v>1593</v>
      </c>
      <c r="F222" s="14" t="n">
        <v>-4</v>
      </c>
      <c r="G222" s="12" t="s">
        <v>15</v>
      </c>
    </row>
    <row r="223" customFormat="false" ht="13.8" hidden="false" customHeight="false" outlineLevel="0" collapsed="false">
      <c r="A223" s="1" t="s">
        <v>809</v>
      </c>
      <c r="B223" s="14" t="s">
        <v>1594</v>
      </c>
      <c r="C223" s="14" t="s">
        <v>1595</v>
      </c>
      <c r="D223" s="14" t="s">
        <v>1596</v>
      </c>
      <c r="E223" s="14" t="s">
        <v>1593</v>
      </c>
      <c r="F223" s="14" t="n">
        <v>-4</v>
      </c>
      <c r="G223" s="12" t="s">
        <v>15</v>
      </c>
    </row>
    <row r="224" customFormat="false" ht="13.8" hidden="false" customHeight="false" outlineLevel="0" collapsed="false">
      <c r="A224" s="1" t="s">
        <v>809</v>
      </c>
      <c r="B224" s="48" t="s">
        <v>1970</v>
      </c>
      <c r="C224" s="14" t="s">
        <v>1971</v>
      </c>
      <c r="D224" s="14" t="s">
        <v>1600</v>
      </c>
      <c r="E224" s="14" t="s">
        <v>1593</v>
      </c>
      <c r="F224" s="14" t="n">
        <v>-4</v>
      </c>
      <c r="G224" s="12" t="s">
        <v>15</v>
      </c>
    </row>
    <row r="225" customFormat="false" ht="13.8" hidden="false" customHeight="false" outlineLevel="0" collapsed="false">
      <c r="A225" s="1" t="s">
        <v>809</v>
      </c>
      <c r="B225" s="48" t="s">
        <v>1972</v>
      </c>
      <c r="C225" s="14" t="s">
        <v>1973</v>
      </c>
      <c r="D225" s="14" t="s">
        <v>1974</v>
      </c>
      <c r="E225" s="14" t="s">
        <v>1593</v>
      </c>
      <c r="F225" s="14" t="n">
        <v>-4</v>
      </c>
      <c r="G225" s="12" t="s">
        <v>15</v>
      </c>
    </row>
    <row r="226" customFormat="false" ht="13.8" hidden="false" customHeight="false" outlineLevel="0" collapsed="false">
      <c r="A226" s="1" t="s">
        <v>809</v>
      </c>
      <c r="B226" s="14" t="s">
        <v>1658</v>
      </c>
      <c r="C226" s="14" t="s">
        <v>1659</v>
      </c>
      <c r="D226" s="14" t="s">
        <v>1660</v>
      </c>
      <c r="E226" s="14" t="s">
        <v>1593</v>
      </c>
      <c r="F226" s="14" t="n">
        <v>-1</v>
      </c>
      <c r="G226" s="12" t="s">
        <v>15</v>
      </c>
    </row>
    <row r="227" customFormat="false" ht="13.8" hidden="false" customHeight="false" outlineLevel="0" collapsed="false">
      <c r="A227" s="1" t="s">
        <v>809</v>
      </c>
      <c r="B227" s="48" t="s">
        <v>1975</v>
      </c>
      <c r="C227" s="48" t="s">
        <v>1976</v>
      </c>
      <c r="D227" s="48" t="s">
        <v>1977</v>
      </c>
      <c r="E227" s="48" t="s">
        <v>1593</v>
      </c>
      <c r="F227" s="48" t="n">
        <v>-4</v>
      </c>
      <c r="G227" s="12" t="s">
        <v>15</v>
      </c>
    </row>
    <row r="228" customFormat="false" ht="13.8" hidden="false" customHeight="false" outlineLevel="0" collapsed="false">
      <c r="A228" s="1" t="s">
        <v>809</v>
      </c>
      <c r="B228" s="48" t="s">
        <v>1996</v>
      </c>
      <c r="C228" s="48" t="s">
        <v>1997</v>
      </c>
      <c r="D228" s="48" t="s">
        <v>1998</v>
      </c>
      <c r="E228" s="48" t="s">
        <v>1593</v>
      </c>
      <c r="F228" s="48" t="n">
        <v>-1</v>
      </c>
      <c r="G228" s="12" t="s">
        <v>15</v>
      </c>
    </row>
    <row r="229" customFormat="false" ht="13.8" hidden="false" customHeight="false" outlineLevel="0" collapsed="false">
      <c r="A229" s="1" t="s">
        <v>809</v>
      </c>
      <c r="B229" s="48" t="s">
        <v>1996</v>
      </c>
      <c r="C229" s="48" t="s">
        <v>1999</v>
      </c>
      <c r="D229" s="48" t="s">
        <v>1998</v>
      </c>
      <c r="E229" s="48" t="s">
        <v>1611</v>
      </c>
      <c r="F229" s="48" t="n">
        <v>-1</v>
      </c>
      <c r="G229" s="12" t="s">
        <v>15</v>
      </c>
    </row>
    <row r="230" customFormat="false" ht="13.8" hidden="false" customHeight="false" outlineLevel="0" collapsed="false">
      <c r="B230" s="48"/>
      <c r="C230" s="48"/>
      <c r="D230" s="48"/>
      <c r="E230" s="48"/>
      <c r="F230" s="48"/>
      <c r="G230" s="12"/>
    </row>
    <row r="231" customFormat="false" ht="13.8" hidden="false" customHeight="false" outlineLevel="0" collapsed="false">
      <c r="B231" s="48"/>
      <c r="C231" s="48"/>
      <c r="D231" s="48"/>
      <c r="E231" s="48"/>
      <c r="F231" s="48"/>
      <c r="G231" s="12"/>
    </row>
    <row r="232" customFormat="false" ht="13.8" hidden="false" customHeight="false" outlineLevel="0" collapsed="false">
      <c r="A232" s="1" t="s">
        <v>835</v>
      </c>
      <c r="B232" s="14" t="s">
        <v>1716</v>
      </c>
      <c r="C232" s="14" t="s">
        <v>1717</v>
      </c>
      <c r="D232" s="14" t="s">
        <v>1718</v>
      </c>
      <c r="E232" s="14" t="s">
        <v>1593</v>
      </c>
      <c r="F232" s="14" t="n">
        <v>-1</v>
      </c>
      <c r="G232" s="12" t="s">
        <v>15</v>
      </c>
    </row>
    <row r="233" customFormat="false" ht="13.8" hidden="false" customHeight="false" outlineLevel="0" collapsed="false">
      <c r="A233" s="1" t="s">
        <v>835</v>
      </c>
      <c r="B233" s="1" t="s">
        <v>1719</v>
      </c>
      <c r="C233" s="1" t="s">
        <v>1720</v>
      </c>
      <c r="D233" s="1" t="s">
        <v>1721</v>
      </c>
      <c r="E233" s="1" t="s">
        <v>1593</v>
      </c>
      <c r="F233" s="1" t="n">
        <v>-1</v>
      </c>
      <c r="H233" s="2" t="s">
        <v>1834</v>
      </c>
    </row>
    <row r="234" customFormat="false" ht="13.8" hidden="false" customHeight="false" outlineLevel="0" collapsed="false">
      <c r="A234" s="1" t="s">
        <v>835</v>
      </c>
      <c r="B234" s="1" t="s">
        <v>835</v>
      </c>
      <c r="C234" s="1" t="s">
        <v>1835</v>
      </c>
      <c r="D234" s="1" t="s">
        <v>1836</v>
      </c>
      <c r="E234" s="1" t="s">
        <v>1593</v>
      </c>
      <c r="F234" s="1" t="n">
        <v>0</v>
      </c>
      <c r="H234" s="2" t="s">
        <v>1837</v>
      </c>
    </row>
    <row r="235" customFormat="false" ht="13.8" hidden="false" customHeight="false" outlineLevel="0" collapsed="false">
      <c r="A235" s="1" t="s">
        <v>835</v>
      </c>
      <c r="B235" s="1" t="s">
        <v>835</v>
      </c>
      <c r="C235" s="1" t="s">
        <v>2000</v>
      </c>
      <c r="D235" s="1" t="s">
        <v>1836</v>
      </c>
      <c r="E235" s="1" t="s">
        <v>1611</v>
      </c>
      <c r="F235" s="1" t="n">
        <v>0</v>
      </c>
      <c r="H235" s="2" t="s">
        <v>1837</v>
      </c>
    </row>
    <row r="236" customFormat="false" ht="13.8" hidden="false" customHeight="false" outlineLevel="0" collapsed="false">
      <c r="B236" s="48"/>
      <c r="C236" s="48"/>
      <c r="D236" s="48"/>
      <c r="E236" s="48"/>
      <c r="F236" s="48"/>
      <c r="G236" s="12"/>
    </row>
    <row r="238" customFormat="false" ht="13.8" hidden="false" customHeight="false" outlineLevel="0" collapsed="false">
      <c r="A238" s="1" t="s">
        <v>2001</v>
      </c>
      <c r="B238" s="14" t="s">
        <v>1716</v>
      </c>
      <c r="C238" s="14" t="s">
        <v>1717</v>
      </c>
      <c r="D238" s="14" t="s">
        <v>1718</v>
      </c>
      <c r="E238" s="14" t="s">
        <v>1593</v>
      </c>
      <c r="F238" s="14" t="n">
        <v>-1</v>
      </c>
      <c r="G238" s="12" t="s">
        <v>15</v>
      </c>
    </row>
    <row r="239" customFormat="false" ht="13.8" hidden="false" customHeight="false" outlineLevel="0" collapsed="false">
      <c r="A239" s="1" t="s">
        <v>2001</v>
      </c>
      <c r="B239" s="1" t="s">
        <v>1719</v>
      </c>
      <c r="C239" s="1" t="s">
        <v>1720</v>
      </c>
      <c r="D239" s="1" t="s">
        <v>1721</v>
      </c>
      <c r="E239" s="1" t="s">
        <v>1593</v>
      </c>
      <c r="F239" s="1" t="n">
        <v>-1</v>
      </c>
      <c r="H239" s="2" t="s">
        <v>1834</v>
      </c>
    </row>
    <row r="240" customFormat="false" ht="13.8" hidden="false" customHeight="false" outlineLevel="0" collapsed="false">
      <c r="A240" s="1" t="s">
        <v>2001</v>
      </c>
      <c r="B240" s="1" t="s">
        <v>835</v>
      </c>
      <c r="C240" s="1" t="s">
        <v>1835</v>
      </c>
      <c r="D240" s="1" t="s">
        <v>1836</v>
      </c>
      <c r="E240" s="1" t="s">
        <v>1593</v>
      </c>
      <c r="F240" s="1" t="n">
        <v>0</v>
      </c>
      <c r="H240" s="2" t="s">
        <v>1837</v>
      </c>
    </row>
    <row r="241" customFormat="false" ht="13.8" hidden="false" customHeight="false" outlineLevel="0" collapsed="false">
      <c r="A241" s="1" t="s">
        <v>2001</v>
      </c>
      <c r="B241" s="1" t="s">
        <v>1838</v>
      </c>
      <c r="C241" s="1" t="s">
        <v>1839</v>
      </c>
      <c r="D241" s="1" t="s">
        <v>1840</v>
      </c>
      <c r="E241" s="1" t="s">
        <v>1593</v>
      </c>
      <c r="F241" s="1" t="n">
        <v>-2</v>
      </c>
      <c r="H241" s="2" t="s">
        <v>1841</v>
      </c>
    </row>
    <row r="242" customFormat="false" ht="13.8" hidden="false" customHeight="false" outlineLevel="0" collapsed="false">
      <c r="A242" s="1" t="s">
        <v>2001</v>
      </c>
      <c r="B242" s="1" t="s">
        <v>1838</v>
      </c>
      <c r="C242" s="1" t="s">
        <v>2002</v>
      </c>
      <c r="D242" s="1" t="s">
        <v>1840</v>
      </c>
      <c r="E242" s="1" t="s">
        <v>1611</v>
      </c>
      <c r="F242" s="1" t="n">
        <v>-2</v>
      </c>
      <c r="G242" s="152"/>
      <c r="H242" s="2" t="s">
        <v>2003</v>
      </c>
    </row>
    <row r="245" s="1" customFormat="true" ht="13.8" hidden="false" customHeight="false" outlineLevel="0" collapsed="false">
      <c r="A245" s="19" t="s">
        <v>2004</v>
      </c>
      <c r="B245" s="55" t="s">
        <v>1407</v>
      </c>
      <c r="C245" s="55" t="s">
        <v>1754</v>
      </c>
      <c r="D245" s="55" t="s">
        <v>1755</v>
      </c>
      <c r="E245" s="55" t="s">
        <v>1593</v>
      </c>
      <c r="F245" s="55" t="n">
        <v>-1</v>
      </c>
      <c r="G245" s="146" t="s">
        <v>15</v>
      </c>
    </row>
    <row r="246" s="1" customFormat="true" ht="13.8" hidden="false" customHeight="false" outlineLevel="0" collapsed="false">
      <c r="A246" s="19" t="s">
        <v>2004</v>
      </c>
      <c r="B246" s="55" t="s">
        <v>1756</v>
      </c>
      <c r="C246" s="55" t="s">
        <v>1757</v>
      </c>
      <c r="D246" s="55" t="s">
        <v>1758</v>
      </c>
      <c r="E246" s="55" t="s">
        <v>1593</v>
      </c>
      <c r="F246" s="55" t="n">
        <v>-3</v>
      </c>
      <c r="G246" s="146" t="s">
        <v>15</v>
      </c>
    </row>
    <row r="247" s="1" customFormat="true" ht="13.8" hidden="false" customHeight="false" outlineLevel="0" collapsed="false">
      <c r="A247" s="19" t="s">
        <v>2004</v>
      </c>
      <c r="B247" s="55" t="s">
        <v>1759</v>
      </c>
      <c r="C247" s="55" t="s">
        <v>1760</v>
      </c>
      <c r="D247" s="55" t="s">
        <v>1761</v>
      </c>
      <c r="E247" s="55" t="s">
        <v>1593</v>
      </c>
      <c r="F247" s="55" t="n">
        <v>-3</v>
      </c>
      <c r="G247" s="146" t="s">
        <v>15</v>
      </c>
    </row>
    <row r="248" s="1" customFormat="true" ht="13.8" hidden="false" customHeight="false" outlineLevel="0" collapsed="false">
      <c r="A248" s="19" t="s">
        <v>2004</v>
      </c>
      <c r="B248" s="55" t="s">
        <v>1762</v>
      </c>
      <c r="C248" s="55" t="s">
        <v>1763</v>
      </c>
      <c r="D248" s="55" t="s">
        <v>1764</v>
      </c>
      <c r="E248" s="55" t="s">
        <v>1593</v>
      </c>
      <c r="F248" s="55" t="n">
        <v>-4</v>
      </c>
      <c r="G248" s="146" t="s">
        <v>15</v>
      </c>
    </row>
    <row r="249" s="1" customFormat="true" ht="13.8" hidden="false" customHeight="false" outlineLevel="0" collapsed="false">
      <c r="A249" s="19" t="s">
        <v>2004</v>
      </c>
      <c r="B249" s="55" t="s">
        <v>1765</v>
      </c>
      <c r="C249" s="55" t="s">
        <v>1766</v>
      </c>
      <c r="D249" s="55" t="s">
        <v>1767</v>
      </c>
      <c r="E249" s="55" t="s">
        <v>1593</v>
      </c>
      <c r="F249" s="55" t="n">
        <v>-2</v>
      </c>
      <c r="G249" s="146" t="s">
        <v>15</v>
      </c>
    </row>
    <row r="250" s="1" customFormat="true" ht="13.8" hidden="false" customHeight="false" outlineLevel="0" collapsed="false">
      <c r="A250" s="19" t="s">
        <v>2004</v>
      </c>
      <c r="B250" s="48" t="s">
        <v>1768</v>
      </c>
      <c r="C250" s="48" t="s">
        <v>1769</v>
      </c>
      <c r="D250" s="48" t="s">
        <v>1767</v>
      </c>
      <c r="E250" s="48" t="s">
        <v>1593</v>
      </c>
      <c r="F250" s="48" t="n">
        <v>-2</v>
      </c>
      <c r="G250" s="76" t="s">
        <v>15</v>
      </c>
    </row>
    <row r="251" customFormat="false" ht="13.8" hidden="false" customHeight="false" outlineLevel="0" collapsed="false">
      <c r="A251" s="19" t="s">
        <v>2004</v>
      </c>
      <c r="B251" s="71" t="s">
        <v>1770</v>
      </c>
      <c r="C251" s="71" t="s">
        <v>1771</v>
      </c>
      <c r="D251" s="48" t="s">
        <v>1772</v>
      </c>
      <c r="E251" s="48" t="s">
        <v>1593</v>
      </c>
      <c r="F251" s="48" t="n">
        <v>-1</v>
      </c>
      <c r="G251" s="76" t="s">
        <v>15</v>
      </c>
    </row>
    <row r="252" customFormat="false" ht="13.8" hidden="false" customHeight="false" outlineLevel="0" collapsed="false">
      <c r="A252" s="19" t="s">
        <v>2004</v>
      </c>
      <c r="B252" s="48" t="s">
        <v>1773</v>
      </c>
      <c r="C252" s="48" t="s">
        <v>1622</v>
      </c>
      <c r="D252" s="48" t="s">
        <v>1623</v>
      </c>
      <c r="E252" s="48" t="s">
        <v>1593</v>
      </c>
      <c r="F252" s="48" t="n">
        <v>-1</v>
      </c>
      <c r="G252" s="76" t="s">
        <v>15</v>
      </c>
    </row>
    <row r="253" customFormat="false" ht="13.8" hidden="false" customHeight="false" outlineLevel="0" collapsed="false">
      <c r="A253" s="19" t="s">
        <v>2004</v>
      </c>
      <c r="B253" s="76" t="s">
        <v>1774</v>
      </c>
      <c r="C253" s="76" t="s">
        <v>1625</v>
      </c>
      <c r="D253" s="76" t="s">
        <v>1626</v>
      </c>
      <c r="E253" s="12" t="s">
        <v>1593</v>
      </c>
      <c r="F253" s="149" t="n">
        <v>-2</v>
      </c>
      <c r="G253" s="12" t="s">
        <v>15</v>
      </c>
      <c r="H253" s="150" t="s">
        <v>1775</v>
      </c>
    </row>
    <row r="254" s="1" customFormat="true" ht="13.8" hidden="false" customHeight="false" outlineLevel="0" collapsed="false">
      <c r="A254" s="19" t="s">
        <v>2004</v>
      </c>
      <c r="B254" s="14" t="s">
        <v>1776</v>
      </c>
      <c r="C254" s="14" t="s">
        <v>1777</v>
      </c>
      <c r="D254" s="14" t="s">
        <v>1778</v>
      </c>
      <c r="E254" s="14" t="s">
        <v>1593</v>
      </c>
      <c r="F254" s="14" t="n">
        <v>0</v>
      </c>
      <c r="G254" s="12" t="s">
        <v>15</v>
      </c>
    </row>
    <row r="255" s="1" customFormat="true" ht="13.8" hidden="false" customHeight="false" outlineLevel="0" collapsed="false">
      <c r="A255" s="19" t="s">
        <v>2004</v>
      </c>
      <c r="B255" s="56" t="s">
        <v>1612</v>
      </c>
      <c r="C255" s="56" t="s">
        <v>1613</v>
      </c>
      <c r="D255" s="56" t="s">
        <v>1614</v>
      </c>
      <c r="E255" s="56" t="s">
        <v>1593</v>
      </c>
      <c r="F255" s="56" t="n">
        <v>-1</v>
      </c>
      <c r="G255" s="144" t="s">
        <v>15</v>
      </c>
    </row>
    <row r="256" customFormat="false" ht="13.8" hidden="false" customHeight="false" outlineLevel="0" collapsed="false">
      <c r="A256" s="19" t="s">
        <v>2004</v>
      </c>
      <c r="B256" s="19" t="s">
        <v>1779</v>
      </c>
      <c r="C256" s="19" t="s">
        <v>1780</v>
      </c>
      <c r="D256" s="19" t="s">
        <v>1781</v>
      </c>
      <c r="E256" s="19" t="s">
        <v>1593</v>
      </c>
      <c r="F256" s="19" t="n">
        <v>-1</v>
      </c>
      <c r="G256" s="17"/>
      <c r="H256" s="1" t="s">
        <v>2005</v>
      </c>
    </row>
    <row r="257" customFormat="false" ht="13.8" hidden="false" customHeight="false" outlineLevel="0" collapsed="false">
      <c r="A257" s="19" t="s">
        <v>2004</v>
      </c>
      <c r="B257" s="19" t="s">
        <v>1779</v>
      </c>
      <c r="C257" s="19" t="s">
        <v>2006</v>
      </c>
      <c r="D257" s="19" t="s">
        <v>1781</v>
      </c>
      <c r="E257" s="19" t="s">
        <v>1611</v>
      </c>
      <c r="F257" s="19" t="n">
        <v>-1</v>
      </c>
      <c r="G257" s="17"/>
      <c r="H257" s="1" t="s">
        <v>2005</v>
      </c>
    </row>
    <row r="260" s="1" customFormat="true" ht="13.8" hidden="false" customHeight="false" outlineLevel="0" collapsed="false">
      <c r="A260" s="1" t="s">
        <v>2007</v>
      </c>
      <c r="B260" s="14" t="s">
        <v>1590</v>
      </c>
      <c r="C260" s="14" t="s">
        <v>1591</v>
      </c>
      <c r="D260" s="14" t="s">
        <v>1592</v>
      </c>
      <c r="E260" s="14" t="s">
        <v>1593</v>
      </c>
      <c r="F260" s="14" t="n">
        <v>-4</v>
      </c>
      <c r="G260" s="12" t="s">
        <v>15</v>
      </c>
    </row>
    <row r="261" s="1" customFormat="true" ht="13.8" hidden="false" customHeight="false" outlineLevel="0" collapsed="false">
      <c r="A261" s="1" t="s">
        <v>2007</v>
      </c>
      <c r="B261" s="48" t="s">
        <v>1615</v>
      </c>
      <c r="C261" s="48" t="s">
        <v>1616</v>
      </c>
      <c r="D261" s="48" t="s">
        <v>1617</v>
      </c>
      <c r="E261" s="48" t="s">
        <v>1593</v>
      </c>
      <c r="F261" s="48" t="n">
        <v>0</v>
      </c>
      <c r="G261" s="76" t="s">
        <v>15</v>
      </c>
    </row>
    <row r="262" s="1" customFormat="true" ht="13.8" hidden="false" customHeight="false" outlineLevel="0" collapsed="false">
      <c r="A262" s="1" t="s">
        <v>2007</v>
      </c>
      <c r="B262" s="1" t="s">
        <v>2008</v>
      </c>
      <c r="C262" s="1" t="s">
        <v>2009</v>
      </c>
      <c r="D262" s="1" t="s">
        <v>2010</v>
      </c>
      <c r="E262" s="1" t="s">
        <v>1593</v>
      </c>
      <c r="F262" s="1" t="n">
        <v>0</v>
      </c>
      <c r="G262" s="76" t="s">
        <v>15</v>
      </c>
    </row>
    <row r="263" customFormat="false" ht="13.8" hidden="false" customHeight="false" outlineLevel="0" collapsed="false">
      <c r="A263" s="1" t="s">
        <v>2007</v>
      </c>
      <c r="B263" s="1" t="s">
        <v>2011</v>
      </c>
      <c r="C263" s="1" t="s">
        <v>2012</v>
      </c>
      <c r="D263" s="1" t="s">
        <v>1604</v>
      </c>
      <c r="E263" s="1" t="s">
        <v>1593</v>
      </c>
      <c r="F263" s="1" t="n">
        <v>0</v>
      </c>
      <c r="H263" s="1" t="s">
        <v>2013</v>
      </c>
    </row>
    <row r="264" customFormat="false" ht="13.8" hidden="false" customHeight="false" outlineLevel="0" collapsed="false">
      <c r="A264" s="1" t="s">
        <v>2007</v>
      </c>
      <c r="B264" s="1" t="s">
        <v>2011</v>
      </c>
      <c r="C264" s="1" t="s">
        <v>2014</v>
      </c>
      <c r="D264" s="1" t="s">
        <v>1604</v>
      </c>
      <c r="E264" s="1" t="s">
        <v>1611</v>
      </c>
      <c r="F264" s="1" t="n">
        <v>0</v>
      </c>
      <c r="H264" s="1" t="s">
        <v>2013</v>
      </c>
    </row>
    <row r="267" customFormat="false" ht="13.8" hidden="false" customHeight="false" outlineLevel="0" collapsed="false">
      <c r="A267" s="1" t="s">
        <v>2015</v>
      </c>
      <c r="B267" s="14" t="s">
        <v>1590</v>
      </c>
      <c r="C267" s="14" t="s">
        <v>1591</v>
      </c>
      <c r="D267" s="14" t="s">
        <v>1592</v>
      </c>
      <c r="E267" s="14" t="s">
        <v>1593</v>
      </c>
      <c r="F267" s="14" t="n">
        <v>-4</v>
      </c>
      <c r="G267" s="12" t="s">
        <v>15</v>
      </c>
    </row>
    <row r="268" customFormat="false" ht="13.8" hidden="false" customHeight="false" outlineLevel="0" collapsed="false">
      <c r="A268" s="1" t="s">
        <v>2015</v>
      </c>
      <c r="B268" s="14" t="s">
        <v>1594</v>
      </c>
      <c r="C268" s="14" t="s">
        <v>1595</v>
      </c>
      <c r="D268" s="14" t="s">
        <v>1596</v>
      </c>
      <c r="E268" s="14" t="s">
        <v>1593</v>
      </c>
      <c r="F268" s="14" t="n">
        <v>-4</v>
      </c>
      <c r="G268" s="12" t="s">
        <v>15</v>
      </c>
    </row>
    <row r="269" customFormat="false" ht="13.8" hidden="false" customHeight="false" outlineLevel="0" collapsed="false">
      <c r="A269" s="1" t="s">
        <v>2015</v>
      </c>
      <c r="B269" s="1" t="s">
        <v>1896</v>
      </c>
      <c r="C269" s="1" t="s">
        <v>1897</v>
      </c>
      <c r="D269" s="1" t="s">
        <v>1898</v>
      </c>
      <c r="E269" s="1" t="s">
        <v>1593</v>
      </c>
      <c r="F269" s="1" t="n">
        <v>-5</v>
      </c>
      <c r="H269" s="2" t="s">
        <v>1899</v>
      </c>
    </row>
    <row r="270" customFormat="false" ht="13.8" hidden="false" customHeight="false" outlineLevel="0" collapsed="false">
      <c r="A270" s="1" t="s">
        <v>2015</v>
      </c>
      <c r="B270" s="1" t="s">
        <v>1900</v>
      </c>
      <c r="C270" s="1" t="s">
        <v>1901</v>
      </c>
      <c r="D270" s="1" t="s">
        <v>1902</v>
      </c>
      <c r="E270" s="1" t="s">
        <v>1593</v>
      </c>
      <c r="F270" s="1" t="n">
        <v>-1</v>
      </c>
      <c r="H270" s="2" t="s">
        <v>1903</v>
      </c>
    </row>
    <row r="271" customFormat="false" ht="13.8" hidden="false" customHeight="false" outlineLevel="0" collapsed="false">
      <c r="A271" s="1" t="s">
        <v>2015</v>
      </c>
      <c r="B271" s="1" t="s">
        <v>1904</v>
      </c>
      <c r="C271" s="1" t="s">
        <v>1905</v>
      </c>
      <c r="D271" s="1" t="s">
        <v>1906</v>
      </c>
      <c r="E271" s="1" t="s">
        <v>1593</v>
      </c>
      <c r="F271" s="1" t="n">
        <v>-3</v>
      </c>
      <c r="H271" s="2" t="s">
        <v>1907</v>
      </c>
    </row>
    <row r="272" customFormat="false" ht="13.8" hidden="false" customHeight="false" outlineLevel="0" collapsed="false">
      <c r="A272" s="1" t="s">
        <v>2015</v>
      </c>
      <c r="B272" s="1" t="s">
        <v>1908</v>
      </c>
      <c r="C272" s="1" t="s">
        <v>1909</v>
      </c>
      <c r="D272" s="1" t="s">
        <v>1910</v>
      </c>
      <c r="E272" s="1" t="s">
        <v>1593</v>
      </c>
      <c r="F272" s="1" t="n">
        <v>-4</v>
      </c>
      <c r="H272" s="2" t="s">
        <v>1911</v>
      </c>
    </row>
    <row r="273" customFormat="false" ht="13.8" hidden="false" customHeight="false" outlineLevel="0" collapsed="false">
      <c r="A273" s="1" t="s">
        <v>2015</v>
      </c>
      <c r="B273" s="14" t="s">
        <v>1912</v>
      </c>
      <c r="C273" s="14" t="s">
        <v>1913</v>
      </c>
      <c r="D273" s="14" t="s">
        <v>1914</v>
      </c>
      <c r="E273" s="14" t="s">
        <v>1593</v>
      </c>
      <c r="F273" s="14" t="n">
        <v>-3</v>
      </c>
      <c r="G273" s="12" t="s">
        <v>15</v>
      </c>
    </row>
    <row r="274" customFormat="false" ht="13.8" hidden="false" customHeight="false" outlineLevel="0" collapsed="false">
      <c r="A274" s="1" t="s">
        <v>2015</v>
      </c>
      <c r="B274" s="14" t="s">
        <v>1915</v>
      </c>
      <c r="C274" s="14" t="s">
        <v>1916</v>
      </c>
      <c r="D274" s="14" t="s">
        <v>1914</v>
      </c>
      <c r="E274" s="14" t="s">
        <v>1593</v>
      </c>
      <c r="F274" s="14" t="n">
        <v>-3</v>
      </c>
      <c r="G274" s="12" t="s">
        <v>15</v>
      </c>
    </row>
    <row r="275" customFormat="false" ht="13.8" hidden="false" customHeight="false" outlineLevel="0" collapsed="false">
      <c r="A275" s="1" t="s">
        <v>2015</v>
      </c>
      <c r="B275" s="14" t="s">
        <v>1917</v>
      </c>
      <c r="C275" s="14" t="s">
        <v>1918</v>
      </c>
      <c r="D275" s="14" t="s">
        <v>1919</v>
      </c>
      <c r="E275" s="14"/>
      <c r="F275" s="14" t="n">
        <v>-3</v>
      </c>
      <c r="G275" s="12" t="s">
        <v>15</v>
      </c>
    </row>
    <row r="276" customFormat="false" ht="13.8" hidden="false" customHeight="false" outlineLevel="0" collapsed="false">
      <c r="A276" s="1" t="s">
        <v>2015</v>
      </c>
      <c r="B276" s="14" t="s">
        <v>1921</v>
      </c>
      <c r="C276" s="14" t="s">
        <v>1922</v>
      </c>
      <c r="D276" s="14" t="s">
        <v>1923</v>
      </c>
      <c r="E276" s="14" t="s">
        <v>1593</v>
      </c>
      <c r="F276" s="14" t="n">
        <v>-3</v>
      </c>
      <c r="G276" s="12" t="s">
        <v>15</v>
      </c>
    </row>
    <row r="277" customFormat="false" ht="13.8" hidden="false" customHeight="false" outlineLevel="0" collapsed="false">
      <c r="A277" s="1" t="s">
        <v>2015</v>
      </c>
      <c r="B277" s="1" t="s">
        <v>2015</v>
      </c>
      <c r="C277" s="1" t="s">
        <v>2016</v>
      </c>
      <c r="D277" s="1" t="s">
        <v>2017</v>
      </c>
      <c r="E277" s="1" t="s">
        <v>1593</v>
      </c>
      <c r="F277" s="1" t="n">
        <v>0</v>
      </c>
      <c r="G277" s="36"/>
      <c r="H277" s="2" t="s">
        <v>2018</v>
      </c>
    </row>
    <row r="278" customFormat="false" ht="13.8" hidden="false" customHeight="false" outlineLevel="0" collapsed="false">
      <c r="A278" s="1" t="s">
        <v>2015</v>
      </c>
      <c r="B278" s="1" t="s">
        <v>2015</v>
      </c>
      <c r="C278" s="1" t="s">
        <v>2019</v>
      </c>
      <c r="D278" s="1" t="s">
        <v>2017</v>
      </c>
      <c r="E278" s="1" t="s">
        <v>1611</v>
      </c>
      <c r="F278" s="1" t="n">
        <v>0</v>
      </c>
      <c r="G278" s="36"/>
      <c r="H278" s="2" t="s">
        <v>2018</v>
      </c>
    </row>
    <row r="281" customFormat="false" ht="14.25" hidden="false" customHeight="false" outlineLevel="0" collapsed="false">
      <c r="A281" s="19" t="s">
        <v>919</v>
      </c>
      <c r="B281" s="48" t="s">
        <v>1654</v>
      </c>
      <c r="C281" s="48" t="s">
        <v>1655</v>
      </c>
      <c r="D281" s="48" t="s">
        <v>1656</v>
      </c>
      <c r="E281" s="48" t="s">
        <v>1593</v>
      </c>
      <c r="F281" s="48" t="n">
        <v>-1</v>
      </c>
      <c r="G281" s="76" t="s">
        <v>15</v>
      </c>
      <c r="H281" s="145" t="s">
        <v>2020</v>
      </c>
    </row>
    <row r="282" customFormat="false" ht="13.8" hidden="false" customHeight="false" outlineLevel="0" collapsed="false">
      <c r="A282" s="1" t="s">
        <v>919</v>
      </c>
      <c r="B282" s="1" t="s">
        <v>1661</v>
      </c>
      <c r="C282" s="1" t="s">
        <v>1662</v>
      </c>
      <c r="D282" s="1" t="s">
        <v>1600</v>
      </c>
      <c r="E282" s="1" t="s">
        <v>1593</v>
      </c>
      <c r="F282" s="1" t="n">
        <v>-4</v>
      </c>
      <c r="H282" s="2" t="s">
        <v>1663</v>
      </c>
    </row>
    <row r="283" customFormat="false" ht="13.8" hidden="false" customHeight="false" outlineLevel="0" collapsed="false">
      <c r="A283" s="1" t="s">
        <v>919</v>
      </c>
      <c r="B283" s="1" t="s">
        <v>919</v>
      </c>
      <c r="C283" s="1" t="s">
        <v>2021</v>
      </c>
      <c r="D283" s="1" t="s">
        <v>2022</v>
      </c>
      <c r="E283" s="1" t="s">
        <v>1593</v>
      </c>
      <c r="F283" s="1" t="n">
        <v>0</v>
      </c>
      <c r="G283" s="36"/>
      <c r="H283" s="2" t="s">
        <v>2018</v>
      </c>
    </row>
    <row r="284" customFormat="false" ht="13.8" hidden="false" customHeight="false" outlineLevel="0" collapsed="false">
      <c r="A284" s="1" t="s">
        <v>919</v>
      </c>
      <c r="B284" s="1" t="s">
        <v>919</v>
      </c>
      <c r="C284" s="1" t="s">
        <v>2023</v>
      </c>
      <c r="D284" s="1" t="s">
        <v>2022</v>
      </c>
      <c r="E284" s="1" t="s">
        <v>1611</v>
      </c>
      <c r="F284" s="1" t="n">
        <v>0</v>
      </c>
      <c r="G284" s="36"/>
      <c r="H284" s="2" t="s">
        <v>2018</v>
      </c>
    </row>
    <row r="287" customFormat="false" ht="13.8" hidden="false" customHeight="false" outlineLevel="0" collapsed="false">
      <c r="A287" s="1" t="s">
        <v>939</v>
      </c>
      <c r="B287" s="48" t="s">
        <v>1788</v>
      </c>
      <c r="C287" s="48" t="s">
        <v>1789</v>
      </c>
      <c r="D287" s="48" t="s">
        <v>1790</v>
      </c>
      <c r="E287" s="48" t="s">
        <v>1593</v>
      </c>
      <c r="F287" s="48" t="n">
        <v>1</v>
      </c>
      <c r="G287" s="12" t="s">
        <v>15</v>
      </c>
    </row>
    <row r="288" customFormat="false" ht="13.8" hidden="false" customHeight="false" outlineLevel="0" collapsed="false">
      <c r="A288" s="1" t="s">
        <v>939</v>
      </c>
      <c r="B288" s="1" t="s">
        <v>1791</v>
      </c>
      <c r="C288" s="1" t="s">
        <v>1792</v>
      </c>
      <c r="D288" s="1" t="s">
        <v>1793</v>
      </c>
      <c r="E288" s="1" t="s">
        <v>1593</v>
      </c>
      <c r="F288" s="1" t="n">
        <v>0</v>
      </c>
      <c r="H288" s="2" t="s">
        <v>2024</v>
      </c>
    </row>
    <row r="289" customFormat="false" ht="13.8" hidden="false" customHeight="false" outlineLevel="0" collapsed="false">
      <c r="A289" s="1" t="s">
        <v>939</v>
      </c>
      <c r="B289" s="1" t="s">
        <v>1787</v>
      </c>
      <c r="C289" s="1" t="s">
        <v>1795</v>
      </c>
      <c r="D289" s="1" t="s">
        <v>1796</v>
      </c>
      <c r="E289" s="1" t="s">
        <v>1593</v>
      </c>
      <c r="F289" s="1" t="n">
        <v>0</v>
      </c>
      <c r="H289" s="2" t="s">
        <v>2025</v>
      </c>
    </row>
    <row r="290" customFormat="false" ht="13.8" hidden="false" customHeight="false" outlineLevel="0" collapsed="false">
      <c r="A290" s="1" t="s">
        <v>939</v>
      </c>
      <c r="B290" s="76" t="s">
        <v>1774</v>
      </c>
      <c r="C290" s="76" t="s">
        <v>1625</v>
      </c>
      <c r="D290" s="76" t="s">
        <v>1626</v>
      </c>
      <c r="E290" s="12" t="s">
        <v>1593</v>
      </c>
      <c r="F290" s="149" t="n">
        <v>-2</v>
      </c>
      <c r="G290" s="12" t="s">
        <v>15</v>
      </c>
      <c r="H290" s="150" t="s">
        <v>1775</v>
      </c>
    </row>
    <row r="291" customFormat="false" ht="13.8" hidden="false" customHeight="false" outlineLevel="0" collapsed="false">
      <c r="A291" s="1" t="s">
        <v>939</v>
      </c>
      <c r="B291" s="48" t="s">
        <v>1773</v>
      </c>
      <c r="C291" s="48" t="s">
        <v>1622</v>
      </c>
      <c r="D291" s="48" t="s">
        <v>1623</v>
      </c>
      <c r="E291" s="48" t="s">
        <v>1593</v>
      </c>
      <c r="F291" s="48" t="n">
        <v>-1</v>
      </c>
      <c r="G291" s="76" t="s">
        <v>15</v>
      </c>
    </row>
    <row r="292" customFormat="false" ht="13.8" hidden="false" customHeight="false" outlineLevel="0" collapsed="false">
      <c r="A292" s="1" t="s">
        <v>939</v>
      </c>
      <c r="B292" s="1" t="s">
        <v>2026</v>
      </c>
      <c r="C292" s="1" t="s">
        <v>2027</v>
      </c>
      <c r="D292" s="1" t="s">
        <v>1994</v>
      </c>
      <c r="E292" s="1" t="s">
        <v>1593</v>
      </c>
      <c r="F292" s="1" t="n">
        <v>-1</v>
      </c>
      <c r="H292" s="2" t="s">
        <v>2028</v>
      </c>
    </row>
    <row r="293" customFormat="false" ht="13.8" hidden="false" customHeight="false" outlineLevel="0" collapsed="false">
      <c r="A293" s="1" t="s">
        <v>939</v>
      </c>
      <c r="B293" s="1" t="s">
        <v>939</v>
      </c>
      <c r="C293" s="1" t="s">
        <v>2029</v>
      </c>
      <c r="D293" s="1" t="s">
        <v>2030</v>
      </c>
      <c r="E293" s="1" t="s">
        <v>1593</v>
      </c>
      <c r="F293" s="1" t="n">
        <v>-2</v>
      </c>
      <c r="H293" s="2" t="s">
        <v>2031</v>
      </c>
    </row>
    <row r="294" customFormat="false" ht="13.8" hidden="false" customHeight="false" outlineLevel="0" collapsed="false">
      <c r="A294" s="1" t="s">
        <v>939</v>
      </c>
      <c r="B294" s="1" t="s">
        <v>939</v>
      </c>
      <c r="C294" s="1" t="s">
        <v>2032</v>
      </c>
      <c r="D294" s="1" t="s">
        <v>2030</v>
      </c>
      <c r="E294" s="1" t="s">
        <v>1611</v>
      </c>
      <c r="F294" s="1" t="n">
        <v>-2</v>
      </c>
      <c r="H294" s="2" t="s">
        <v>2031</v>
      </c>
    </row>
    <row r="297" customFormat="false" ht="13.8" hidden="false" customHeight="false" outlineLevel="0" collapsed="false">
      <c r="A297" s="1" t="s">
        <v>960</v>
      </c>
      <c r="B297" s="14" t="s">
        <v>1590</v>
      </c>
      <c r="C297" s="14" t="s">
        <v>1591</v>
      </c>
      <c r="D297" s="14" t="s">
        <v>1592</v>
      </c>
      <c r="E297" s="14" t="s">
        <v>1593</v>
      </c>
      <c r="F297" s="14" t="n">
        <v>-4</v>
      </c>
      <c r="G297" s="12" t="s">
        <v>15</v>
      </c>
    </row>
    <row r="298" customFormat="false" ht="13.8" hidden="false" customHeight="false" outlineLevel="0" collapsed="false">
      <c r="A298" s="1" t="s">
        <v>960</v>
      </c>
      <c r="B298" s="14" t="s">
        <v>1594</v>
      </c>
      <c r="C298" s="14" t="s">
        <v>1595</v>
      </c>
      <c r="D298" s="14" t="s">
        <v>1596</v>
      </c>
      <c r="E298" s="14" t="s">
        <v>1593</v>
      </c>
      <c r="F298" s="14" t="n">
        <v>-4</v>
      </c>
      <c r="G298" s="12" t="s">
        <v>15</v>
      </c>
    </row>
    <row r="299" customFormat="false" ht="13.8" hidden="false" customHeight="false" outlineLevel="0" collapsed="false">
      <c r="A299" s="1" t="s">
        <v>960</v>
      </c>
      <c r="B299" s="14" t="s">
        <v>1970</v>
      </c>
      <c r="C299" s="14" t="s">
        <v>1971</v>
      </c>
      <c r="D299" s="14" t="s">
        <v>1600</v>
      </c>
      <c r="E299" s="14" t="s">
        <v>1593</v>
      </c>
      <c r="F299" s="14" t="n">
        <v>-4</v>
      </c>
      <c r="G299" s="12" t="s">
        <v>15</v>
      </c>
    </row>
    <row r="300" customFormat="false" ht="13.8" hidden="false" customHeight="false" outlineLevel="0" collapsed="false">
      <c r="A300" s="1" t="s">
        <v>960</v>
      </c>
      <c r="B300" s="14" t="s">
        <v>2033</v>
      </c>
      <c r="C300" s="14" t="s">
        <v>1973</v>
      </c>
      <c r="D300" s="14" t="s">
        <v>1974</v>
      </c>
      <c r="E300" s="14" t="s">
        <v>1593</v>
      </c>
      <c r="F300" s="14" t="n">
        <v>-4</v>
      </c>
      <c r="G300" s="12" t="s">
        <v>15</v>
      </c>
    </row>
    <row r="301" customFormat="false" ht="13.8" hidden="false" customHeight="false" outlineLevel="0" collapsed="false">
      <c r="A301" s="1" t="s">
        <v>960</v>
      </c>
      <c r="B301" s="48" t="s">
        <v>1975</v>
      </c>
      <c r="C301" s="48" t="s">
        <v>1976</v>
      </c>
      <c r="D301" s="48" t="s">
        <v>1977</v>
      </c>
      <c r="E301" s="48" t="s">
        <v>1593</v>
      </c>
      <c r="F301" s="48" t="n">
        <v>-4</v>
      </c>
      <c r="G301" s="12" t="s">
        <v>15</v>
      </c>
    </row>
    <row r="302" customFormat="false" ht="13.8" hidden="false" customHeight="false" outlineLevel="0" collapsed="false">
      <c r="A302" s="1" t="s">
        <v>960</v>
      </c>
      <c r="B302" s="14" t="s">
        <v>2034</v>
      </c>
      <c r="C302" s="14" t="s">
        <v>2035</v>
      </c>
      <c r="D302" s="14" t="s">
        <v>2036</v>
      </c>
      <c r="E302" s="14" t="s">
        <v>1593</v>
      </c>
      <c r="F302" s="14" t="n">
        <v>-4</v>
      </c>
      <c r="G302" s="12" t="s">
        <v>15</v>
      </c>
    </row>
    <row r="303" customFormat="false" ht="13.8" hidden="false" customHeight="false" outlineLevel="0" collapsed="false">
      <c r="A303" s="1" t="s">
        <v>960</v>
      </c>
      <c r="B303" s="14" t="s">
        <v>2037</v>
      </c>
      <c r="C303" s="14" t="s">
        <v>2038</v>
      </c>
      <c r="D303" s="14" t="s">
        <v>2039</v>
      </c>
      <c r="E303" s="14" t="s">
        <v>1593</v>
      </c>
      <c r="F303" s="14" t="n">
        <v>-4</v>
      </c>
      <c r="G303" s="12" t="s">
        <v>15</v>
      </c>
    </row>
    <row r="304" customFormat="false" ht="13.8" hidden="false" customHeight="false" outlineLevel="0" collapsed="false">
      <c r="A304" s="1" t="s">
        <v>960</v>
      </c>
      <c r="B304" s="14" t="s">
        <v>2040</v>
      </c>
      <c r="C304" s="14" t="s">
        <v>2041</v>
      </c>
      <c r="D304" s="14" t="s">
        <v>2042</v>
      </c>
      <c r="E304" s="14" t="s">
        <v>1593</v>
      </c>
      <c r="F304" s="14" t="n">
        <v>-4</v>
      </c>
      <c r="G304" s="12" t="s">
        <v>15</v>
      </c>
    </row>
    <row r="305" customFormat="false" ht="13.8" hidden="false" customHeight="false" outlineLevel="0" collapsed="false">
      <c r="A305" s="1" t="s">
        <v>960</v>
      </c>
      <c r="B305" s="14" t="s">
        <v>2043</v>
      </c>
      <c r="C305" s="14" t="s">
        <v>2044</v>
      </c>
      <c r="D305" s="14" t="s">
        <v>2045</v>
      </c>
      <c r="E305" s="14" t="s">
        <v>1593</v>
      </c>
      <c r="F305" s="14" t="n">
        <v>-4</v>
      </c>
      <c r="G305" s="12" t="s">
        <v>15</v>
      </c>
    </row>
    <row r="306" customFormat="false" ht="13.8" hidden="false" customHeight="false" outlineLevel="0" collapsed="false">
      <c r="A306" s="1" t="s">
        <v>960</v>
      </c>
      <c r="B306" s="14" t="s">
        <v>2046</v>
      </c>
      <c r="C306" s="14" t="s">
        <v>2047</v>
      </c>
      <c r="D306" s="14" t="s">
        <v>2048</v>
      </c>
      <c r="E306" s="14" t="s">
        <v>1593</v>
      </c>
      <c r="F306" s="14" t="n">
        <v>-4</v>
      </c>
      <c r="G306" s="12" t="s">
        <v>15</v>
      </c>
    </row>
    <row r="307" customFormat="false" ht="13.8" hidden="false" customHeight="false" outlineLevel="0" collapsed="false">
      <c r="A307" s="1" t="s">
        <v>960</v>
      </c>
      <c r="B307" s="14" t="s">
        <v>2049</v>
      </c>
      <c r="C307" s="14" t="s">
        <v>2050</v>
      </c>
      <c r="D307" s="14" t="s">
        <v>2051</v>
      </c>
      <c r="E307" s="14" t="s">
        <v>1593</v>
      </c>
      <c r="F307" s="14" t="n">
        <v>-4</v>
      </c>
      <c r="G307" s="12" t="s">
        <v>15</v>
      </c>
    </row>
    <row r="308" customFormat="false" ht="13.8" hidden="false" customHeight="false" outlineLevel="0" collapsed="false">
      <c r="A308" s="1" t="s">
        <v>960</v>
      </c>
      <c r="B308" s="14" t="s">
        <v>2052</v>
      </c>
      <c r="C308" s="14" t="s">
        <v>2053</v>
      </c>
      <c r="D308" s="14" t="s">
        <v>2054</v>
      </c>
      <c r="E308" s="14" t="s">
        <v>1593</v>
      </c>
      <c r="F308" s="14" t="n">
        <v>-4</v>
      </c>
      <c r="G308" s="12" t="s">
        <v>15</v>
      </c>
    </row>
    <row r="309" customFormat="false" ht="13.8" hidden="false" customHeight="false" outlineLevel="0" collapsed="false">
      <c r="A309" s="1" t="s">
        <v>960</v>
      </c>
      <c r="B309" s="14" t="s">
        <v>2055</v>
      </c>
      <c r="C309" s="14" t="s">
        <v>2056</v>
      </c>
      <c r="D309" s="14" t="s">
        <v>2057</v>
      </c>
      <c r="E309" s="14" t="s">
        <v>1593</v>
      </c>
      <c r="F309" s="14" t="n">
        <v>-4</v>
      </c>
      <c r="G309" s="12" t="s">
        <v>15</v>
      </c>
    </row>
    <row r="310" customFormat="false" ht="13.8" hidden="false" customHeight="false" outlineLevel="0" collapsed="false">
      <c r="A310" s="1" t="s">
        <v>960</v>
      </c>
      <c r="B310" s="14" t="s">
        <v>2058</v>
      </c>
      <c r="C310" s="14" t="s">
        <v>2059</v>
      </c>
      <c r="D310" s="14" t="s">
        <v>2060</v>
      </c>
      <c r="E310" s="14" t="s">
        <v>1593</v>
      </c>
      <c r="F310" s="14" t="n">
        <v>-1</v>
      </c>
      <c r="G310" s="12" t="s">
        <v>15</v>
      </c>
    </row>
    <row r="311" customFormat="false" ht="13.8" hidden="false" customHeight="false" outlineLevel="0" collapsed="false">
      <c r="A311" s="1" t="s">
        <v>960</v>
      </c>
      <c r="B311" s="1" t="s">
        <v>2061</v>
      </c>
      <c r="C311" s="1" t="s">
        <v>2062</v>
      </c>
      <c r="D311" s="1" t="s">
        <v>2063</v>
      </c>
      <c r="E311" s="19" t="s">
        <v>1593</v>
      </c>
      <c r="F311" s="19" t="n">
        <v>0</v>
      </c>
      <c r="G311" s="17"/>
      <c r="H311" s="2" t="s">
        <v>2064</v>
      </c>
    </row>
    <row r="312" customFormat="false" ht="13.8" hidden="false" customHeight="false" outlineLevel="0" collapsed="false">
      <c r="A312" s="1" t="s">
        <v>960</v>
      </c>
      <c r="B312" s="14" t="s">
        <v>1962</v>
      </c>
      <c r="C312" s="14" t="s">
        <v>1963</v>
      </c>
      <c r="D312" s="14" t="s">
        <v>1964</v>
      </c>
      <c r="E312" s="14" t="s">
        <v>1593</v>
      </c>
      <c r="F312" s="14" t="n">
        <v>-1</v>
      </c>
      <c r="G312" s="12" t="s">
        <v>15</v>
      </c>
    </row>
    <row r="313" customFormat="false" ht="13.8" hidden="false" customHeight="false" outlineLevel="0" collapsed="false">
      <c r="A313" s="1" t="s">
        <v>960</v>
      </c>
      <c r="B313" s="1" t="s">
        <v>960</v>
      </c>
      <c r="C313" s="1" t="s">
        <v>2065</v>
      </c>
      <c r="D313" s="19" t="s">
        <v>2066</v>
      </c>
      <c r="E313" s="19" t="s">
        <v>1593</v>
      </c>
      <c r="F313" s="19" t="n">
        <v>0</v>
      </c>
      <c r="G313" s="152"/>
      <c r="H313" s="2" t="s">
        <v>2018</v>
      </c>
    </row>
    <row r="314" customFormat="false" ht="13.8" hidden="false" customHeight="false" outlineLevel="0" collapsed="false">
      <c r="A314" s="1" t="s">
        <v>960</v>
      </c>
      <c r="B314" s="1" t="s">
        <v>960</v>
      </c>
      <c r="C314" s="1" t="s">
        <v>2067</v>
      </c>
      <c r="D314" s="19" t="s">
        <v>2066</v>
      </c>
      <c r="E314" s="19" t="s">
        <v>1611</v>
      </c>
      <c r="F314" s="19" t="n">
        <v>0</v>
      </c>
      <c r="G314" s="152"/>
      <c r="H314" s="2" t="s">
        <v>2018</v>
      </c>
    </row>
    <row r="317" customFormat="false" ht="13.8" hidden="false" customHeight="false" outlineLevel="0" collapsed="false">
      <c r="A317" s="1" t="s">
        <v>1016</v>
      </c>
      <c r="B317" s="14" t="s">
        <v>1648</v>
      </c>
      <c r="C317" s="14" t="s">
        <v>1649</v>
      </c>
      <c r="D317" s="14" t="s">
        <v>1650</v>
      </c>
      <c r="E317" s="14" t="s">
        <v>1593</v>
      </c>
      <c r="F317" s="14" t="n">
        <v>-5</v>
      </c>
      <c r="G317" s="12" t="s">
        <v>15</v>
      </c>
      <c r="H317" s="12"/>
    </row>
    <row r="318" customFormat="false" ht="13.8" hidden="false" customHeight="false" outlineLevel="0" collapsed="false">
      <c r="A318" s="1" t="s">
        <v>1016</v>
      </c>
      <c r="B318" s="14" t="s">
        <v>1938</v>
      </c>
      <c r="C318" s="14" t="s">
        <v>1939</v>
      </c>
      <c r="D318" s="14" t="s">
        <v>1650</v>
      </c>
      <c r="E318" s="14" t="s">
        <v>1593</v>
      </c>
      <c r="F318" s="14" t="n">
        <v>-5</v>
      </c>
      <c r="G318" s="12" t="s">
        <v>15</v>
      </c>
      <c r="H318" s="12"/>
    </row>
    <row r="319" customFormat="false" ht="13.8" hidden="false" customHeight="false" outlineLevel="0" collapsed="false">
      <c r="A319" s="1" t="s">
        <v>1016</v>
      </c>
      <c r="B319" s="14" t="s">
        <v>1940</v>
      </c>
      <c r="C319" s="14" t="s">
        <v>1941</v>
      </c>
      <c r="D319" s="14" t="s">
        <v>1942</v>
      </c>
      <c r="E319" s="14" t="s">
        <v>1593</v>
      </c>
      <c r="F319" s="14" t="n">
        <v>-4</v>
      </c>
      <c r="G319" s="12" t="s">
        <v>15</v>
      </c>
      <c r="H319" s="12" t="s">
        <v>1943</v>
      </c>
    </row>
    <row r="320" customFormat="false" ht="13.8" hidden="false" customHeight="false" outlineLevel="0" collapsed="false">
      <c r="A320" s="1" t="s">
        <v>1016</v>
      </c>
      <c r="B320" s="14" t="s">
        <v>1590</v>
      </c>
      <c r="C320" s="14" t="s">
        <v>1591</v>
      </c>
      <c r="D320" s="14" t="s">
        <v>1592</v>
      </c>
      <c r="E320" s="14" t="s">
        <v>1593</v>
      </c>
      <c r="F320" s="14" t="n">
        <v>-4</v>
      </c>
      <c r="G320" s="12" t="s">
        <v>15</v>
      </c>
      <c r="H320" s="12"/>
    </row>
    <row r="321" customFormat="false" ht="13.8" hidden="false" customHeight="false" outlineLevel="0" collapsed="false">
      <c r="A321" s="1" t="s">
        <v>1016</v>
      </c>
      <c r="B321" s="19" t="s">
        <v>1944</v>
      </c>
      <c r="C321" s="19" t="s">
        <v>1945</v>
      </c>
      <c r="D321" s="19" t="s">
        <v>1946</v>
      </c>
      <c r="E321" s="19" t="s">
        <v>1593</v>
      </c>
      <c r="F321" s="19" t="n">
        <v>-4</v>
      </c>
      <c r="G321" s="17"/>
      <c r="H321" s="2" t="s">
        <v>1947</v>
      </c>
    </row>
    <row r="322" customFormat="false" ht="13.8" hidden="false" customHeight="false" outlineLevel="0" collapsed="false">
      <c r="A322" s="1" t="s">
        <v>1016</v>
      </c>
      <c r="B322" s="19" t="s">
        <v>1948</v>
      </c>
      <c r="C322" s="19" t="s">
        <v>1949</v>
      </c>
      <c r="D322" s="19" t="s">
        <v>1950</v>
      </c>
      <c r="E322" s="19" t="s">
        <v>1593</v>
      </c>
      <c r="F322" s="19" t="n">
        <v>-4</v>
      </c>
      <c r="G322" s="17"/>
      <c r="H322" s="2" t="s">
        <v>1947</v>
      </c>
    </row>
    <row r="323" customFormat="false" ht="13.8" hidden="false" customHeight="false" outlineLevel="0" collapsed="false">
      <c r="A323" s="1" t="s">
        <v>1016</v>
      </c>
      <c r="B323" s="19" t="s">
        <v>1951</v>
      </c>
      <c r="C323" s="19" t="s">
        <v>1952</v>
      </c>
      <c r="D323" s="19" t="s">
        <v>1953</v>
      </c>
      <c r="E323" s="19" t="s">
        <v>1593</v>
      </c>
      <c r="F323" s="19" t="n">
        <v>-4</v>
      </c>
      <c r="G323" s="17"/>
      <c r="H323" s="2" t="s">
        <v>1947</v>
      </c>
    </row>
    <row r="324" customFormat="false" ht="13.8" hidden="false" customHeight="false" outlineLevel="0" collapsed="false">
      <c r="A324" s="1" t="s">
        <v>1016</v>
      </c>
      <c r="B324" s="19" t="s">
        <v>1954</v>
      </c>
      <c r="C324" s="19" t="s">
        <v>1955</v>
      </c>
      <c r="D324" s="19" t="s">
        <v>1956</v>
      </c>
      <c r="E324" s="19" t="s">
        <v>1593</v>
      </c>
      <c r="F324" s="19" t="n">
        <v>-4</v>
      </c>
      <c r="G324" s="17"/>
      <c r="H324" s="2" t="s">
        <v>1947</v>
      </c>
    </row>
    <row r="325" customFormat="false" ht="13.8" hidden="false" customHeight="false" outlineLevel="0" collapsed="false">
      <c r="A325" s="1" t="s">
        <v>1016</v>
      </c>
      <c r="B325" s="1" t="s">
        <v>2068</v>
      </c>
      <c r="C325" s="1" t="s">
        <v>2069</v>
      </c>
      <c r="D325" s="1" t="s">
        <v>2070</v>
      </c>
      <c r="E325" s="19" t="s">
        <v>1593</v>
      </c>
      <c r="F325" s="19" t="n">
        <v>-4</v>
      </c>
      <c r="G325" s="12"/>
      <c r="H325" s="2" t="s">
        <v>2071</v>
      </c>
    </row>
    <row r="326" customFormat="false" ht="13.8" hidden="false" customHeight="false" outlineLevel="0" collapsed="false">
      <c r="A326" s="1" t="s">
        <v>1016</v>
      </c>
      <c r="B326" s="1" t="s">
        <v>2072</v>
      </c>
      <c r="C326" s="1" t="s">
        <v>2073</v>
      </c>
      <c r="D326" s="1" t="s">
        <v>2074</v>
      </c>
      <c r="E326" s="19" t="s">
        <v>1593</v>
      </c>
      <c r="F326" s="19" t="n">
        <v>-4</v>
      </c>
      <c r="G326" s="12"/>
      <c r="H326" s="2" t="s">
        <v>2071</v>
      </c>
    </row>
    <row r="327" customFormat="false" ht="13.8" hidden="false" customHeight="false" outlineLevel="0" collapsed="false">
      <c r="A327" s="1" t="s">
        <v>1016</v>
      </c>
      <c r="B327" s="1" t="s">
        <v>2075</v>
      </c>
      <c r="C327" s="1" t="s">
        <v>2076</v>
      </c>
      <c r="D327" s="1" t="s">
        <v>2077</v>
      </c>
      <c r="E327" s="1" t="s">
        <v>1593</v>
      </c>
      <c r="F327" s="1" t="n">
        <v>-4</v>
      </c>
      <c r="H327" s="2" t="s">
        <v>2078</v>
      </c>
    </row>
    <row r="328" customFormat="false" ht="13.8" hidden="false" customHeight="false" outlineLevel="0" collapsed="false">
      <c r="A328" s="1" t="s">
        <v>1016</v>
      </c>
      <c r="B328" s="1" t="s">
        <v>2079</v>
      </c>
      <c r="C328" s="1" t="s">
        <v>2080</v>
      </c>
      <c r="D328" s="1" t="s">
        <v>2081</v>
      </c>
      <c r="E328" s="1" t="s">
        <v>1593</v>
      </c>
      <c r="F328" s="1" t="n">
        <v>-4</v>
      </c>
      <c r="H328" s="2" t="s">
        <v>2071</v>
      </c>
    </row>
    <row r="329" customFormat="false" ht="13.8" hidden="false" customHeight="false" outlineLevel="0" collapsed="false">
      <c r="A329" s="1" t="s">
        <v>1016</v>
      </c>
      <c r="B329" s="1" t="s">
        <v>2082</v>
      </c>
      <c r="C329" s="1" t="s">
        <v>2083</v>
      </c>
      <c r="D329" s="1" t="s">
        <v>2084</v>
      </c>
      <c r="E329" s="1" t="s">
        <v>1593</v>
      </c>
      <c r="F329" s="1" t="n">
        <v>-1</v>
      </c>
      <c r="H329" s="2" t="s">
        <v>2071</v>
      </c>
    </row>
    <row r="330" customFormat="false" ht="13.8" hidden="false" customHeight="false" outlineLevel="0" collapsed="false">
      <c r="A330" s="1" t="s">
        <v>1016</v>
      </c>
      <c r="B330" s="1" t="s">
        <v>2085</v>
      </c>
      <c r="C330" s="1" t="s">
        <v>2086</v>
      </c>
      <c r="D330" s="1" t="s">
        <v>2087</v>
      </c>
      <c r="E330" s="1" t="s">
        <v>1593</v>
      </c>
      <c r="F330" s="1" t="n">
        <v>0</v>
      </c>
      <c r="H330" s="1" t="s">
        <v>2088</v>
      </c>
    </row>
    <row r="331" customFormat="false" ht="13.8" hidden="false" customHeight="false" outlineLevel="0" collapsed="false">
      <c r="A331" s="1" t="s">
        <v>1016</v>
      </c>
      <c r="B331" s="14" t="s">
        <v>1962</v>
      </c>
      <c r="C331" s="14" t="s">
        <v>1963</v>
      </c>
      <c r="D331" s="14" t="s">
        <v>1964</v>
      </c>
      <c r="E331" s="14" t="s">
        <v>1593</v>
      </c>
      <c r="F331" s="14" t="n">
        <v>-1</v>
      </c>
      <c r="G331" s="12" t="s">
        <v>15</v>
      </c>
    </row>
    <row r="332" customFormat="false" ht="13.8" hidden="false" customHeight="false" outlineLevel="0" collapsed="false">
      <c r="A332" s="1" t="s">
        <v>1016</v>
      </c>
      <c r="B332" s="1" t="s">
        <v>1016</v>
      </c>
      <c r="C332" s="1" t="s">
        <v>2089</v>
      </c>
      <c r="D332" s="1" t="s">
        <v>2090</v>
      </c>
      <c r="E332" s="19" t="s">
        <v>1593</v>
      </c>
      <c r="F332" s="19" t="n">
        <v>0</v>
      </c>
      <c r="G332" s="152"/>
      <c r="H332" s="17" t="s">
        <v>725</v>
      </c>
    </row>
    <row r="333" customFormat="false" ht="13.8" hidden="false" customHeight="false" outlineLevel="0" collapsed="false">
      <c r="A333" s="1" t="s">
        <v>1016</v>
      </c>
      <c r="B333" s="1" t="s">
        <v>1016</v>
      </c>
      <c r="C333" s="1" t="s">
        <v>2091</v>
      </c>
      <c r="D333" s="1" t="s">
        <v>2090</v>
      </c>
      <c r="E333" s="19" t="s">
        <v>1611</v>
      </c>
      <c r="F333" s="19" t="n">
        <v>0</v>
      </c>
      <c r="G333" s="152"/>
      <c r="H333" s="17" t="s">
        <v>725</v>
      </c>
    </row>
    <row r="336" customFormat="false" ht="13.8" hidden="false" customHeight="false" outlineLevel="0" collapsed="false">
      <c r="A336" s="1" t="s">
        <v>1057</v>
      </c>
      <c r="B336" s="56" t="s">
        <v>1612</v>
      </c>
      <c r="C336" s="56" t="s">
        <v>1613</v>
      </c>
      <c r="D336" s="56" t="s">
        <v>1614</v>
      </c>
      <c r="E336" s="56" t="s">
        <v>1593</v>
      </c>
      <c r="F336" s="56" t="n">
        <v>-1</v>
      </c>
      <c r="G336" s="144" t="s">
        <v>15</v>
      </c>
      <c r="H336" s="56"/>
    </row>
    <row r="337" customFormat="false" ht="13.8" hidden="false" customHeight="false" outlineLevel="0" collapsed="false">
      <c r="A337" s="1" t="s">
        <v>1057</v>
      </c>
      <c r="B337" s="56" t="s">
        <v>1706</v>
      </c>
      <c r="C337" s="56" t="s">
        <v>1707</v>
      </c>
      <c r="D337" s="56" t="s">
        <v>1708</v>
      </c>
      <c r="E337" s="56" t="s">
        <v>1593</v>
      </c>
      <c r="F337" s="56" t="n">
        <v>-1</v>
      </c>
      <c r="G337" s="144" t="s">
        <v>15</v>
      </c>
      <c r="H337" s="56" t="s">
        <v>2092</v>
      </c>
    </row>
    <row r="338" customFormat="false" ht="13.8" hidden="false" customHeight="false" outlineLevel="0" collapsed="false">
      <c r="A338" s="1" t="s">
        <v>1057</v>
      </c>
      <c r="B338" s="56" t="s">
        <v>2093</v>
      </c>
      <c r="C338" s="56" t="s">
        <v>2094</v>
      </c>
      <c r="D338" s="56" t="s">
        <v>2095</v>
      </c>
      <c r="E338" s="56" t="s">
        <v>1593</v>
      </c>
      <c r="F338" s="56" t="n">
        <v>-1</v>
      </c>
      <c r="G338" s="144" t="s">
        <v>15</v>
      </c>
      <c r="H338" s="56" t="s">
        <v>2096</v>
      </c>
    </row>
    <row r="339" customFormat="false" ht="13.8" hidden="false" customHeight="false" outlineLevel="0" collapsed="false">
      <c r="A339" s="1" t="s">
        <v>1057</v>
      </c>
      <c r="B339" s="56" t="s">
        <v>2097</v>
      </c>
      <c r="C339" s="56" t="s">
        <v>2098</v>
      </c>
      <c r="D339" s="56" t="s">
        <v>1994</v>
      </c>
      <c r="E339" s="56" t="s">
        <v>1593</v>
      </c>
      <c r="F339" s="56" t="n">
        <v>-1</v>
      </c>
      <c r="G339" s="144" t="s">
        <v>15</v>
      </c>
      <c r="H339" s="56" t="s">
        <v>2099</v>
      </c>
    </row>
    <row r="340" customFormat="false" ht="13.8" hidden="false" customHeight="false" outlineLevel="0" collapsed="false">
      <c r="A340" s="1" t="s">
        <v>1057</v>
      </c>
      <c r="B340" s="1" t="s">
        <v>2100</v>
      </c>
      <c r="C340" s="1" t="s">
        <v>2101</v>
      </c>
      <c r="D340" s="1" t="s">
        <v>1980</v>
      </c>
      <c r="E340" s="1" t="s">
        <v>1593</v>
      </c>
      <c r="F340" s="1" t="n">
        <v>0</v>
      </c>
      <c r="H340" s="1" t="s">
        <v>2102</v>
      </c>
    </row>
    <row r="341" customFormat="false" ht="13.8" hidden="false" customHeight="false" outlineLevel="0" collapsed="false">
      <c r="A341" s="1" t="s">
        <v>1057</v>
      </c>
      <c r="B341" s="1" t="s">
        <v>1057</v>
      </c>
      <c r="C341" s="1" t="s">
        <v>2103</v>
      </c>
      <c r="D341" s="1" t="s">
        <v>1983</v>
      </c>
      <c r="E341" s="1" t="s">
        <v>1593</v>
      </c>
      <c r="F341" s="1" t="n">
        <v>0</v>
      </c>
      <c r="H341" s="1" t="s">
        <v>2104</v>
      </c>
    </row>
    <row r="342" customFormat="false" ht="13.8" hidden="false" customHeight="false" outlineLevel="0" collapsed="false">
      <c r="A342" s="1" t="s">
        <v>1057</v>
      </c>
      <c r="B342" s="1" t="s">
        <v>1057</v>
      </c>
      <c r="C342" s="1" t="s">
        <v>2105</v>
      </c>
      <c r="D342" s="1" t="s">
        <v>1983</v>
      </c>
      <c r="E342" s="1" t="s">
        <v>1611</v>
      </c>
      <c r="F342" s="1" t="n">
        <v>0</v>
      </c>
      <c r="H342" s="1" t="s">
        <v>2106</v>
      </c>
    </row>
    <row r="345" customFormat="false" ht="13.8" hidden="false" customHeight="false" outlineLevel="0" collapsed="false">
      <c r="A345" s="1" t="s">
        <v>1085</v>
      </c>
      <c r="B345" s="48" t="s">
        <v>2097</v>
      </c>
      <c r="C345" s="48" t="s">
        <v>2098</v>
      </c>
      <c r="D345" s="48" t="s">
        <v>1994</v>
      </c>
      <c r="E345" s="48" t="s">
        <v>1593</v>
      </c>
      <c r="F345" s="48" t="n">
        <v>-1</v>
      </c>
      <c r="G345" s="76" t="s">
        <v>15</v>
      </c>
      <c r="H345" s="76" t="s">
        <v>2099</v>
      </c>
    </row>
    <row r="346" customFormat="false" ht="14.15" hidden="false" customHeight="false" outlineLevel="0" collapsed="false">
      <c r="A346" s="1" t="s">
        <v>1085</v>
      </c>
      <c r="B346" s="19" t="s">
        <v>2107</v>
      </c>
      <c r="C346" s="19" t="s">
        <v>2108</v>
      </c>
      <c r="D346" s="19" t="s">
        <v>2109</v>
      </c>
      <c r="E346" s="19" t="s">
        <v>1593</v>
      </c>
      <c r="F346" s="19" t="n">
        <v>0</v>
      </c>
      <c r="G346" s="17"/>
      <c r="H346" s="2" t="s">
        <v>2110</v>
      </c>
    </row>
    <row r="347" customFormat="false" ht="13.8" hidden="false" customHeight="false" outlineLevel="0" collapsed="false">
      <c r="A347" s="1" t="s">
        <v>1085</v>
      </c>
      <c r="B347" s="19" t="s">
        <v>2111</v>
      </c>
      <c r="C347" s="19" t="s">
        <v>2112</v>
      </c>
      <c r="D347" s="19" t="s">
        <v>2109</v>
      </c>
      <c r="E347" s="19" t="s">
        <v>1593</v>
      </c>
      <c r="F347" s="19" t="n">
        <v>-1</v>
      </c>
      <c r="G347" s="17"/>
      <c r="H347" s="2" t="s">
        <v>2113</v>
      </c>
    </row>
    <row r="348" customFormat="false" ht="13.8" hidden="false" customHeight="false" outlineLevel="0" collapsed="false">
      <c r="A348" s="1" t="s">
        <v>1085</v>
      </c>
      <c r="B348" s="14" t="s">
        <v>1590</v>
      </c>
      <c r="C348" s="14" t="s">
        <v>1591</v>
      </c>
      <c r="D348" s="14" t="s">
        <v>1592</v>
      </c>
      <c r="E348" s="14" t="s">
        <v>1593</v>
      </c>
      <c r="F348" s="14" t="n">
        <v>-4</v>
      </c>
      <c r="G348" s="12" t="s">
        <v>15</v>
      </c>
    </row>
    <row r="349" customFormat="false" ht="13.8" hidden="false" customHeight="false" outlineLevel="0" collapsed="false">
      <c r="A349" s="1" t="s">
        <v>1085</v>
      </c>
      <c r="B349" s="56" t="s">
        <v>1612</v>
      </c>
      <c r="C349" s="56" t="s">
        <v>1613</v>
      </c>
      <c r="D349" s="56" t="s">
        <v>1614</v>
      </c>
      <c r="E349" s="56" t="s">
        <v>1593</v>
      </c>
      <c r="F349" s="56" t="n">
        <v>-1</v>
      </c>
      <c r="G349" s="144" t="s">
        <v>15</v>
      </c>
    </row>
    <row r="350" customFormat="false" ht="13.8" hidden="false" customHeight="false" outlineLevel="0" collapsed="false">
      <c r="A350" s="1" t="s">
        <v>1085</v>
      </c>
      <c r="B350" s="1" t="s">
        <v>2114</v>
      </c>
      <c r="C350" s="1" t="s">
        <v>2115</v>
      </c>
      <c r="D350" s="1" t="s">
        <v>1977</v>
      </c>
      <c r="E350" s="1" t="s">
        <v>1593</v>
      </c>
      <c r="F350" s="1" t="n">
        <v>-4</v>
      </c>
      <c r="H350" s="2" t="s">
        <v>2116</v>
      </c>
    </row>
    <row r="351" customFormat="false" ht="13.8" hidden="false" customHeight="false" outlineLevel="0" collapsed="false">
      <c r="A351" s="1" t="s">
        <v>1085</v>
      </c>
      <c r="B351" s="1" t="s">
        <v>1085</v>
      </c>
      <c r="C351" s="1" t="s">
        <v>2117</v>
      </c>
      <c r="D351" s="1" t="s">
        <v>1998</v>
      </c>
      <c r="E351" s="1" t="s">
        <v>1593</v>
      </c>
      <c r="F351" s="1" t="n">
        <v>-1</v>
      </c>
      <c r="H351" s="2" t="s">
        <v>2118</v>
      </c>
    </row>
    <row r="352" customFormat="false" ht="13.8" hidden="false" customHeight="false" outlineLevel="0" collapsed="false">
      <c r="A352" s="1" t="s">
        <v>1085</v>
      </c>
      <c r="B352" s="1" t="s">
        <v>1085</v>
      </c>
      <c r="C352" s="1" t="s">
        <v>2119</v>
      </c>
      <c r="D352" s="1" t="s">
        <v>1998</v>
      </c>
      <c r="E352" s="1" t="s">
        <v>1611</v>
      </c>
      <c r="F352" s="1" t="n">
        <v>-1</v>
      </c>
      <c r="H352" s="2" t="s">
        <v>2118</v>
      </c>
    </row>
    <row r="355" customFormat="false" ht="13.8" hidden="false" customHeight="false" outlineLevel="0" collapsed="false">
      <c r="A355" s="1" t="s">
        <v>2120</v>
      </c>
      <c r="B355" s="14" t="s">
        <v>1590</v>
      </c>
      <c r="C355" s="14" t="s">
        <v>1591</v>
      </c>
      <c r="D355" s="14" t="s">
        <v>1592</v>
      </c>
      <c r="E355" s="14" t="s">
        <v>1593</v>
      </c>
      <c r="F355" s="14" t="n">
        <v>-4</v>
      </c>
      <c r="G355" s="12" t="s">
        <v>15</v>
      </c>
    </row>
    <row r="356" customFormat="false" ht="13.8" hidden="false" customHeight="false" outlineLevel="0" collapsed="false">
      <c r="A356" s="1" t="s">
        <v>2120</v>
      </c>
      <c r="B356" s="14" t="s">
        <v>1594</v>
      </c>
      <c r="C356" s="14" t="s">
        <v>1595</v>
      </c>
      <c r="D356" s="14" t="s">
        <v>1596</v>
      </c>
      <c r="E356" s="14" t="s">
        <v>1593</v>
      </c>
      <c r="F356" s="14" t="n">
        <v>-4</v>
      </c>
      <c r="G356" s="12" t="s">
        <v>15</v>
      </c>
    </row>
    <row r="357" customFormat="false" ht="13.8" hidden="false" customHeight="false" outlineLevel="0" collapsed="false">
      <c r="A357" s="1" t="s">
        <v>2120</v>
      </c>
      <c r="B357" s="1" t="s">
        <v>1896</v>
      </c>
      <c r="C357" s="1" t="s">
        <v>1897</v>
      </c>
      <c r="D357" s="1" t="s">
        <v>1898</v>
      </c>
      <c r="E357" s="1" t="s">
        <v>1593</v>
      </c>
      <c r="F357" s="1" t="n">
        <v>-5</v>
      </c>
      <c r="H357" s="2" t="s">
        <v>1899</v>
      </c>
    </row>
    <row r="358" customFormat="false" ht="13.8" hidden="false" customHeight="false" outlineLevel="0" collapsed="false">
      <c r="A358" s="1" t="s">
        <v>2120</v>
      </c>
      <c r="B358" s="1" t="s">
        <v>1900</v>
      </c>
      <c r="C358" s="1" t="s">
        <v>1901</v>
      </c>
      <c r="D358" s="1" t="s">
        <v>1902</v>
      </c>
      <c r="E358" s="1" t="s">
        <v>1593</v>
      </c>
      <c r="F358" s="1" t="n">
        <v>-1</v>
      </c>
      <c r="H358" s="2" t="s">
        <v>1903</v>
      </c>
    </row>
    <row r="359" customFormat="false" ht="13.8" hidden="false" customHeight="false" outlineLevel="0" collapsed="false">
      <c r="A359" s="1" t="s">
        <v>2120</v>
      </c>
      <c r="B359" s="1" t="s">
        <v>1904</v>
      </c>
      <c r="C359" s="1" t="s">
        <v>1905</v>
      </c>
      <c r="D359" s="1" t="s">
        <v>1906</v>
      </c>
      <c r="E359" s="1" t="s">
        <v>1593</v>
      </c>
      <c r="F359" s="1" t="n">
        <v>-3</v>
      </c>
      <c r="H359" s="2" t="s">
        <v>1907</v>
      </c>
    </row>
    <row r="360" customFormat="false" ht="13.8" hidden="false" customHeight="false" outlineLevel="0" collapsed="false">
      <c r="A360" s="1" t="s">
        <v>2120</v>
      </c>
      <c r="B360" s="1" t="s">
        <v>1908</v>
      </c>
      <c r="C360" s="1" t="s">
        <v>1909</v>
      </c>
      <c r="D360" s="1" t="s">
        <v>1910</v>
      </c>
      <c r="E360" s="1" t="s">
        <v>1593</v>
      </c>
      <c r="F360" s="1" t="n">
        <v>-4</v>
      </c>
      <c r="H360" s="2" t="s">
        <v>1911</v>
      </c>
    </row>
    <row r="361" customFormat="false" ht="13.8" hidden="false" customHeight="false" outlineLevel="0" collapsed="false">
      <c r="A361" s="1" t="s">
        <v>2120</v>
      </c>
      <c r="B361" s="14" t="s">
        <v>1912</v>
      </c>
      <c r="C361" s="14" t="s">
        <v>1913</v>
      </c>
      <c r="D361" s="14" t="s">
        <v>1914</v>
      </c>
      <c r="E361" s="14" t="s">
        <v>1593</v>
      </c>
      <c r="F361" s="14" t="n">
        <v>-3</v>
      </c>
      <c r="G361" s="12" t="s">
        <v>15</v>
      </c>
    </row>
    <row r="362" customFormat="false" ht="13.8" hidden="false" customHeight="false" outlineLevel="0" collapsed="false">
      <c r="A362" s="1" t="s">
        <v>2120</v>
      </c>
      <c r="B362" s="14" t="s">
        <v>1915</v>
      </c>
      <c r="C362" s="14" t="s">
        <v>1916</v>
      </c>
      <c r="D362" s="14" t="s">
        <v>1914</v>
      </c>
      <c r="E362" s="14" t="s">
        <v>1593</v>
      </c>
      <c r="F362" s="14" t="n">
        <v>-3</v>
      </c>
      <c r="G362" s="12" t="s">
        <v>15</v>
      </c>
    </row>
    <row r="363" customFormat="false" ht="13.8" hidden="false" customHeight="false" outlineLevel="0" collapsed="false">
      <c r="A363" s="1" t="s">
        <v>2120</v>
      </c>
      <c r="B363" s="1" t="s">
        <v>2120</v>
      </c>
      <c r="C363" s="1" t="s">
        <v>2121</v>
      </c>
      <c r="D363" s="1" t="s">
        <v>2122</v>
      </c>
      <c r="E363" s="1" t="s">
        <v>1593</v>
      </c>
      <c r="F363" s="1" t="n">
        <v>0</v>
      </c>
      <c r="G363" s="36"/>
      <c r="H363" s="2" t="s">
        <v>2018</v>
      </c>
    </row>
    <row r="364" customFormat="false" ht="13.8" hidden="false" customHeight="false" outlineLevel="0" collapsed="false">
      <c r="A364" s="1" t="s">
        <v>2120</v>
      </c>
      <c r="B364" s="1" t="s">
        <v>2120</v>
      </c>
      <c r="C364" s="1" t="s">
        <v>2123</v>
      </c>
      <c r="D364" s="1" t="s">
        <v>2122</v>
      </c>
      <c r="E364" s="1" t="s">
        <v>1611</v>
      </c>
      <c r="F364" s="1" t="n">
        <v>0</v>
      </c>
      <c r="G364" s="36"/>
      <c r="H364" s="2" t="s">
        <v>2018</v>
      </c>
    </row>
    <row r="367" customFormat="false" ht="13.8" hidden="false" customHeight="false" outlineLevel="0" collapsed="false">
      <c r="A367" s="1" t="s">
        <v>1138</v>
      </c>
      <c r="B367" s="14" t="s">
        <v>1799</v>
      </c>
      <c r="C367" s="14" t="s">
        <v>1800</v>
      </c>
      <c r="D367" s="14" t="s">
        <v>1653</v>
      </c>
      <c r="E367" s="14" t="s">
        <v>1593</v>
      </c>
      <c r="F367" s="14" t="n">
        <v>-1</v>
      </c>
      <c r="G367" s="12" t="s">
        <v>15</v>
      </c>
    </row>
    <row r="368" customFormat="false" ht="13.8" hidden="false" customHeight="false" outlineLevel="0" collapsed="false">
      <c r="A368" s="1" t="s">
        <v>1138</v>
      </c>
      <c r="B368" s="1" t="s">
        <v>418</v>
      </c>
      <c r="C368" s="1" t="s">
        <v>1801</v>
      </c>
      <c r="D368" s="1" t="s">
        <v>1681</v>
      </c>
      <c r="E368" s="1" t="s">
        <v>1593</v>
      </c>
      <c r="F368" s="1" t="n">
        <v>0</v>
      </c>
      <c r="H368" s="2" t="s">
        <v>1802</v>
      </c>
    </row>
    <row r="369" customFormat="false" ht="13.8" hidden="false" customHeight="false" outlineLevel="0" collapsed="false">
      <c r="A369" s="1" t="s">
        <v>1138</v>
      </c>
      <c r="B369" s="1" t="s">
        <v>2124</v>
      </c>
      <c r="C369" s="1" t="s">
        <v>2125</v>
      </c>
      <c r="D369" s="1" t="s">
        <v>1685</v>
      </c>
      <c r="E369" s="1" t="s">
        <v>1593</v>
      </c>
      <c r="F369" s="1" t="n">
        <v>0</v>
      </c>
      <c r="H369" s="2" t="s">
        <v>2126</v>
      </c>
    </row>
    <row r="370" customFormat="false" ht="13.8" hidden="false" customHeight="false" outlineLevel="0" collapsed="false">
      <c r="A370" s="1" t="s">
        <v>1138</v>
      </c>
      <c r="B370" s="1" t="s">
        <v>2124</v>
      </c>
      <c r="C370" s="1" t="s">
        <v>2127</v>
      </c>
      <c r="D370" s="1" t="s">
        <v>1685</v>
      </c>
      <c r="E370" s="1" t="s">
        <v>1611</v>
      </c>
      <c r="F370" s="1" t="n">
        <v>0</v>
      </c>
      <c r="H370" s="2" t="s">
        <v>2128</v>
      </c>
    </row>
    <row r="373" s="1" customFormat="true" ht="13.8" hidden="false" customHeight="false" outlineLevel="0" collapsed="false">
      <c r="A373" s="1" t="s">
        <v>1156</v>
      </c>
      <c r="B373" s="14" t="s">
        <v>1590</v>
      </c>
      <c r="C373" s="14" t="s">
        <v>1591</v>
      </c>
      <c r="D373" s="14" t="s">
        <v>1592</v>
      </c>
      <c r="E373" s="14" t="s">
        <v>1593</v>
      </c>
      <c r="F373" s="14" t="n">
        <v>-4</v>
      </c>
      <c r="G373" s="12" t="s">
        <v>15</v>
      </c>
    </row>
    <row r="374" s="1" customFormat="true" ht="13.8" hidden="false" customHeight="false" outlineLevel="0" collapsed="false">
      <c r="A374" s="1" t="s">
        <v>1156</v>
      </c>
      <c r="B374" s="112" t="s">
        <v>2129</v>
      </c>
      <c r="C374" s="112" t="s">
        <v>2130</v>
      </c>
      <c r="D374" s="112" t="s">
        <v>2131</v>
      </c>
      <c r="E374" s="112" t="s">
        <v>1593</v>
      </c>
      <c r="F374" s="112" t="n">
        <v>-2</v>
      </c>
      <c r="G374" s="153" t="s">
        <v>15</v>
      </c>
    </row>
    <row r="375" s="1" customFormat="true" ht="13.8" hidden="false" customHeight="false" outlineLevel="0" collapsed="false">
      <c r="A375" s="1" t="s">
        <v>1156</v>
      </c>
      <c r="B375" s="112" t="s">
        <v>1492</v>
      </c>
      <c r="C375" s="112" t="s">
        <v>2132</v>
      </c>
      <c r="D375" s="112" t="s">
        <v>2133</v>
      </c>
      <c r="E375" s="112" t="s">
        <v>1593</v>
      </c>
      <c r="F375" s="112" t="n">
        <v>-3</v>
      </c>
      <c r="G375" s="12" t="s">
        <v>15</v>
      </c>
    </row>
    <row r="376" s="1" customFormat="true" ht="13.8" hidden="false" customHeight="false" outlineLevel="0" collapsed="false">
      <c r="A376" s="1" t="s">
        <v>1156</v>
      </c>
      <c r="B376" s="112" t="s">
        <v>2134</v>
      </c>
      <c r="C376" s="112" t="s">
        <v>2135</v>
      </c>
      <c r="D376" s="112" t="s">
        <v>2136</v>
      </c>
      <c r="E376" s="112" t="s">
        <v>1593</v>
      </c>
      <c r="F376" s="112" t="n">
        <v>-3</v>
      </c>
      <c r="G376" s="153" t="s">
        <v>15</v>
      </c>
    </row>
    <row r="377" customFormat="false" ht="13.8" hidden="false" customHeight="false" outlineLevel="0" collapsed="false">
      <c r="A377" s="1" t="s">
        <v>1156</v>
      </c>
      <c r="B377" s="1" t="s">
        <v>1156</v>
      </c>
      <c r="C377" s="1" t="s">
        <v>2137</v>
      </c>
      <c r="D377" s="1" t="s">
        <v>2138</v>
      </c>
      <c r="E377" s="1" t="s">
        <v>1593</v>
      </c>
      <c r="F377" s="1" t="n">
        <v>-2</v>
      </c>
      <c r="H377" s="1" t="s">
        <v>2139</v>
      </c>
    </row>
    <row r="378" customFormat="false" ht="13.8" hidden="false" customHeight="false" outlineLevel="0" collapsed="false">
      <c r="A378" s="1" t="s">
        <v>1156</v>
      </c>
      <c r="B378" s="1" t="s">
        <v>1156</v>
      </c>
      <c r="C378" s="1" t="s">
        <v>2140</v>
      </c>
      <c r="D378" s="1" t="s">
        <v>2138</v>
      </c>
      <c r="E378" s="1" t="s">
        <v>1611</v>
      </c>
      <c r="F378" s="1" t="n">
        <v>-2</v>
      </c>
      <c r="H378" s="1" t="s">
        <v>2141</v>
      </c>
    </row>
    <row r="381" customFormat="false" ht="13.8" hidden="false" customHeight="false" outlineLevel="0" collapsed="false">
      <c r="A381" s="1" t="s">
        <v>2142</v>
      </c>
      <c r="B381" s="14" t="s">
        <v>1590</v>
      </c>
      <c r="C381" s="14" t="s">
        <v>1591</v>
      </c>
      <c r="D381" s="14" t="s">
        <v>1592</v>
      </c>
      <c r="E381" s="14" t="s">
        <v>1593</v>
      </c>
      <c r="F381" s="14" t="n">
        <v>-4</v>
      </c>
      <c r="G381" s="12" t="s">
        <v>15</v>
      </c>
    </row>
    <row r="382" customFormat="false" ht="13.8" hidden="false" customHeight="false" outlineLevel="0" collapsed="false">
      <c r="A382" s="1" t="s">
        <v>2142</v>
      </c>
      <c r="B382" s="14" t="s">
        <v>1594</v>
      </c>
      <c r="C382" s="14" t="s">
        <v>1595</v>
      </c>
      <c r="D382" s="14" t="s">
        <v>1596</v>
      </c>
      <c r="E382" s="14" t="s">
        <v>1593</v>
      </c>
      <c r="F382" s="14" t="n">
        <v>-4</v>
      </c>
      <c r="G382" s="12" t="s">
        <v>15</v>
      </c>
      <c r="H382" s="12" t="s">
        <v>1597</v>
      </c>
    </row>
    <row r="383" customFormat="false" ht="13.8" hidden="false" customHeight="false" outlineLevel="0" collapsed="false">
      <c r="A383" s="1" t="s">
        <v>2142</v>
      </c>
      <c r="B383" s="1" t="s">
        <v>1896</v>
      </c>
      <c r="C383" s="1" t="s">
        <v>1897</v>
      </c>
      <c r="D383" s="1" t="s">
        <v>1898</v>
      </c>
      <c r="E383" s="1" t="s">
        <v>1593</v>
      </c>
      <c r="F383" s="1" t="n">
        <v>-5</v>
      </c>
      <c r="H383" s="2" t="s">
        <v>1899</v>
      </c>
    </row>
    <row r="384" customFormat="false" ht="13.8" hidden="false" customHeight="false" outlineLevel="0" collapsed="false">
      <c r="A384" s="1" t="s">
        <v>2142</v>
      </c>
      <c r="B384" s="1" t="s">
        <v>1900</v>
      </c>
      <c r="C384" s="1" t="s">
        <v>1901</v>
      </c>
      <c r="D384" s="1" t="s">
        <v>1902</v>
      </c>
      <c r="E384" s="1" t="s">
        <v>1593</v>
      </c>
      <c r="F384" s="1" t="n">
        <v>-1</v>
      </c>
      <c r="H384" s="2" t="s">
        <v>1903</v>
      </c>
    </row>
    <row r="385" customFormat="false" ht="13.8" hidden="false" customHeight="false" outlineLevel="0" collapsed="false">
      <c r="A385" s="1" t="s">
        <v>2142</v>
      </c>
      <c r="B385" s="1" t="s">
        <v>1904</v>
      </c>
      <c r="C385" s="1" t="s">
        <v>1905</v>
      </c>
      <c r="D385" s="1" t="s">
        <v>1906</v>
      </c>
      <c r="E385" s="1" t="s">
        <v>1593</v>
      </c>
      <c r="F385" s="1" t="n">
        <v>-3</v>
      </c>
      <c r="H385" s="2" t="s">
        <v>1907</v>
      </c>
    </row>
    <row r="386" customFormat="false" ht="13.8" hidden="false" customHeight="false" outlineLevel="0" collapsed="false">
      <c r="A386" s="1" t="s">
        <v>2142</v>
      </c>
      <c r="B386" s="1" t="s">
        <v>1908</v>
      </c>
      <c r="C386" s="1" t="s">
        <v>1909</v>
      </c>
      <c r="D386" s="1" t="s">
        <v>1910</v>
      </c>
      <c r="E386" s="1" t="s">
        <v>1593</v>
      </c>
      <c r="F386" s="1" t="n">
        <v>-4</v>
      </c>
      <c r="H386" s="2" t="s">
        <v>1911</v>
      </c>
    </row>
    <row r="387" customFormat="false" ht="13.8" hidden="false" customHeight="false" outlineLevel="0" collapsed="false">
      <c r="A387" s="1" t="s">
        <v>2142</v>
      </c>
      <c r="B387" s="14" t="s">
        <v>1912</v>
      </c>
      <c r="C387" s="14" t="s">
        <v>1913</v>
      </c>
      <c r="D387" s="14" t="s">
        <v>1914</v>
      </c>
      <c r="E387" s="14" t="s">
        <v>1593</v>
      </c>
      <c r="F387" s="14" t="n">
        <v>-3</v>
      </c>
      <c r="G387" s="12" t="s">
        <v>15</v>
      </c>
    </row>
    <row r="388" customFormat="false" ht="13.8" hidden="false" customHeight="false" outlineLevel="0" collapsed="false">
      <c r="A388" s="1" t="s">
        <v>2142</v>
      </c>
      <c r="B388" s="14" t="s">
        <v>1915</v>
      </c>
      <c r="C388" s="14" t="s">
        <v>1916</v>
      </c>
      <c r="D388" s="14" t="s">
        <v>1914</v>
      </c>
      <c r="E388" s="14" t="s">
        <v>1593</v>
      </c>
      <c r="F388" s="14" t="n">
        <v>-3</v>
      </c>
      <c r="G388" s="12" t="s">
        <v>15</v>
      </c>
    </row>
    <row r="389" customFormat="false" ht="13.8" hidden="false" customHeight="false" outlineLevel="0" collapsed="false">
      <c r="A389" s="1" t="s">
        <v>2142</v>
      </c>
      <c r="B389" s="14" t="s">
        <v>1917</v>
      </c>
      <c r="C389" s="14" t="s">
        <v>1918</v>
      </c>
      <c r="D389" s="14" t="s">
        <v>1919</v>
      </c>
      <c r="E389" s="14" t="s">
        <v>1593</v>
      </c>
      <c r="F389" s="14" t="n">
        <v>-3</v>
      </c>
      <c r="G389" s="12" t="s">
        <v>15</v>
      </c>
      <c r="H389" s="151" t="s">
        <v>1920</v>
      </c>
    </row>
    <row r="390" customFormat="false" ht="13.8" hidden="false" customHeight="false" outlineLevel="0" collapsed="false">
      <c r="A390" s="1" t="s">
        <v>2142</v>
      </c>
      <c r="B390" s="19" t="s">
        <v>2142</v>
      </c>
      <c r="C390" s="19" t="s">
        <v>2143</v>
      </c>
      <c r="D390" s="19" t="s">
        <v>2144</v>
      </c>
      <c r="E390" s="19" t="s">
        <v>1593</v>
      </c>
      <c r="F390" s="19" t="n">
        <v>0</v>
      </c>
      <c r="G390" s="17"/>
      <c r="H390" s="17" t="s">
        <v>2145</v>
      </c>
    </row>
    <row r="391" customFormat="false" ht="13.8" hidden="false" customHeight="false" outlineLevel="0" collapsed="false">
      <c r="A391" s="1" t="s">
        <v>2142</v>
      </c>
      <c r="B391" s="19" t="s">
        <v>2142</v>
      </c>
      <c r="C391" s="19" t="s">
        <v>2146</v>
      </c>
      <c r="D391" s="19" t="s">
        <v>2144</v>
      </c>
      <c r="E391" s="19" t="s">
        <v>1611</v>
      </c>
      <c r="F391" s="19" t="n">
        <v>0</v>
      </c>
      <c r="G391" s="17"/>
      <c r="H391" s="17" t="s">
        <v>2145</v>
      </c>
    </row>
    <row r="394" customFormat="false" ht="13.8" hidden="false" customHeight="false" outlineLevel="0" collapsed="false">
      <c r="A394" s="1" t="s">
        <v>1201</v>
      </c>
      <c r="B394" s="56" t="s">
        <v>2147</v>
      </c>
      <c r="C394" s="56" t="s">
        <v>2148</v>
      </c>
      <c r="D394" s="56" t="s">
        <v>2149</v>
      </c>
      <c r="E394" s="56" t="s">
        <v>1593</v>
      </c>
      <c r="F394" s="56" t="n">
        <v>0</v>
      </c>
      <c r="G394" s="144" t="s">
        <v>15</v>
      </c>
    </row>
    <row r="395" customFormat="false" ht="13.8" hidden="false" customHeight="false" outlineLevel="0" collapsed="false">
      <c r="A395" s="1" t="s">
        <v>1201</v>
      </c>
      <c r="B395" s="56" t="s">
        <v>1612</v>
      </c>
      <c r="C395" s="56" t="s">
        <v>1613</v>
      </c>
      <c r="D395" s="56" t="s">
        <v>1614</v>
      </c>
      <c r="E395" s="56" t="s">
        <v>1593</v>
      </c>
      <c r="F395" s="56" t="n">
        <v>-1</v>
      </c>
      <c r="G395" s="144" t="s">
        <v>15</v>
      </c>
    </row>
    <row r="396" customFormat="false" ht="13.8" hidden="false" customHeight="false" outlineLevel="0" collapsed="false">
      <c r="A396" s="1" t="s">
        <v>1201</v>
      </c>
      <c r="B396" s="56" t="s">
        <v>2150</v>
      </c>
      <c r="C396" s="56" t="s">
        <v>2151</v>
      </c>
      <c r="D396" s="56" t="s">
        <v>2149</v>
      </c>
      <c r="E396" s="56" t="s">
        <v>1593</v>
      </c>
      <c r="F396" s="56" t="n">
        <v>0</v>
      </c>
      <c r="G396" s="144" t="s">
        <v>15</v>
      </c>
    </row>
    <row r="397" customFormat="false" ht="13.8" hidden="false" customHeight="false" outlineLevel="0" collapsed="false">
      <c r="A397" s="1" t="s">
        <v>1201</v>
      </c>
      <c r="B397" s="56" t="s">
        <v>2152</v>
      </c>
      <c r="C397" s="56" t="s">
        <v>2153</v>
      </c>
      <c r="D397" s="56" t="s">
        <v>1614</v>
      </c>
      <c r="E397" s="56" t="s">
        <v>1593</v>
      </c>
      <c r="F397" s="56" t="n">
        <v>-1</v>
      </c>
      <c r="G397" s="144" t="s">
        <v>15</v>
      </c>
    </row>
    <row r="398" customFormat="false" ht="13.8" hidden="false" customHeight="false" outlineLevel="0" collapsed="false">
      <c r="A398" s="1" t="s">
        <v>1201</v>
      </c>
      <c r="B398" s="1" t="s">
        <v>2154</v>
      </c>
      <c r="C398" s="1" t="s">
        <v>2155</v>
      </c>
      <c r="D398" s="1" t="s">
        <v>2156</v>
      </c>
      <c r="E398" s="1" t="s">
        <v>1593</v>
      </c>
      <c r="F398" s="1" t="n">
        <v>-2</v>
      </c>
      <c r="H398" s="2" t="s">
        <v>2157</v>
      </c>
    </row>
    <row r="399" customFormat="false" ht="13.8" hidden="false" customHeight="false" outlineLevel="0" collapsed="false">
      <c r="A399" s="1" t="s">
        <v>1201</v>
      </c>
      <c r="B399" s="1" t="s">
        <v>2154</v>
      </c>
      <c r="C399" s="1" t="s">
        <v>2158</v>
      </c>
      <c r="D399" s="1" t="s">
        <v>2156</v>
      </c>
      <c r="E399" s="1" t="s">
        <v>1611</v>
      </c>
      <c r="F399" s="1" t="n">
        <v>-2</v>
      </c>
      <c r="H399" s="2" t="s">
        <v>1609</v>
      </c>
    </row>
    <row r="402" customFormat="false" ht="13.8" hidden="false" customHeight="false" outlineLevel="0" collapsed="false">
      <c r="A402" s="1" t="s">
        <v>1226</v>
      </c>
      <c r="B402" s="14" t="s">
        <v>1590</v>
      </c>
      <c r="C402" s="14" t="s">
        <v>1591</v>
      </c>
      <c r="D402" s="14" t="s">
        <v>1592</v>
      </c>
      <c r="E402" s="14" t="s">
        <v>1593</v>
      </c>
      <c r="F402" s="14" t="n">
        <v>-4</v>
      </c>
      <c r="G402" s="12" t="s">
        <v>15</v>
      </c>
    </row>
    <row r="403" customFormat="false" ht="13.8" hidden="false" customHeight="false" outlineLevel="0" collapsed="false">
      <c r="A403" s="1" t="s">
        <v>1226</v>
      </c>
      <c r="B403" s="14" t="s">
        <v>1594</v>
      </c>
      <c r="C403" s="14" t="s">
        <v>1595</v>
      </c>
      <c r="D403" s="14" t="s">
        <v>1596</v>
      </c>
      <c r="E403" s="14" t="s">
        <v>1593</v>
      </c>
      <c r="F403" s="14" t="n">
        <v>-4</v>
      </c>
      <c r="G403" s="12" t="s">
        <v>15</v>
      </c>
      <c r="H403" s="12" t="s">
        <v>1597</v>
      </c>
    </row>
    <row r="404" customFormat="false" ht="13.8" hidden="false" customHeight="false" outlineLevel="0" collapsed="false">
      <c r="A404" s="1" t="s">
        <v>1226</v>
      </c>
      <c r="B404" s="14" t="s">
        <v>1970</v>
      </c>
      <c r="C404" s="14" t="s">
        <v>1971</v>
      </c>
      <c r="D404" s="14" t="s">
        <v>1600</v>
      </c>
      <c r="E404" s="14" t="s">
        <v>1593</v>
      </c>
      <c r="F404" s="14" t="n">
        <v>-4</v>
      </c>
      <c r="G404" s="12" t="s">
        <v>15</v>
      </c>
    </row>
    <row r="405" customFormat="false" ht="13.8" hidden="false" customHeight="false" outlineLevel="0" collapsed="false">
      <c r="A405" s="1" t="s">
        <v>1226</v>
      </c>
      <c r="B405" s="14" t="s">
        <v>2033</v>
      </c>
      <c r="C405" s="14" t="s">
        <v>1973</v>
      </c>
      <c r="D405" s="14" t="s">
        <v>1974</v>
      </c>
      <c r="E405" s="14" t="s">
        <v>1593</v>
      </c>
      <c r="F405" s="14" t="n">
        <v>-4</v>
      </c>
      <c r="G405" s="12" t="s">
        <v>15</v>
      </c>
      <c r="H405" s="2" t="s">
        <v>2159</v>
      </c>
    </row>
    <row r="406" customFormat="false" ht="13.8" hidden="false" customHeight="false" outlineLevel="0" collapsed="false">
      <c r="A406" s="1" t="s">
        <v>1226</v>
      </c>
      <c r="B406" s="48" t="s">
        <v>1975</v>
      </c>
      <c r="C406" s="48" t="s">
        <v>1976</v>
      </c>
      <c r="D406" s="48" t="s">
        <v>1977</v>
      </c>
      <c r="E406" s="48" t="s">
        <v>1593</v>
      </c>
      <c r="F406" s="48" t="n">
        <v>-4</v>
      </c>
      <c r="G406" s="12" t="s">
        <v>15</v>
      </c>
    </row>
    <row r="407" customFormat="false" ht="13.8" hidden="false" customHeight="false" outlineLevel="0" collapsed="false">
      <c r="A407" s="1" t="s">
        <v>1226</v>
      </c>
      <c r="B407" s="14" t="s">
        <v>2034</v>
      </c>
      <c r="C407" s="14" t="s">
        <v>2035</v>
      </c>
      <c r="D407" s="14" t="s">
        <v>2036</v>
      </c>
      <c r="E407" s="14" t="s">
        <v>1593</v>
      </c>
      <c r="F407" s="14" t="n">
        <v>-4</v>
      </c>
      <c r="G407" s="12" t="s">
        <v>15</v>
      </c>
    </row>
    <row r="408" customFormat="false" ht="13.8" hidden="false" customHeight="false" outlineLevel="0" collapsed="false">
      <c r="A408" s="1" t="s">
        <v>1226</v>
      </c>
      <c r="B408" s="14" t="s">
        <v>2037</v>
      </c>
      <c r="C408" s="14" t="s">
        <v>2038</v>
      </c>
      <c r="D408" s="14" t="s">
        <v>2039</v>
      </c>
      <c r="E408" s="14" t="s">
        <v>1593</v>
      </c>
      <c r="F408" s="14" t="n">
        <v>-4</v>
      </c>
      <c r="G408" s="12" t="s">
        <v>15</v>
      </c>
    </row>
    <row r="409" customFormat="false" ht="13.8" hidden="false" customHeight="false" outlineLevel="0" collapsed="false">
      <c r="A409" s="1" t="s">
        <v>1226</v>
      </c>
      <c r="B409" s="14" t="s">
        <v>2040</v>
      </c>
      <c r="C409" s="14" t="s">
        <v>2041</v>
      </c>
      <c r="D409" s="14" t="s">
        <v>2042</v>
      </c>
      <c r="E409" s="14" t="s">
        <v>1593</v>
      </c>
      <c r="F409" s="14" t="n">
        <v>-4</v>
      </c>
      <c r="G409" s="12" t="s">
        <v>15</v>
      </c>
    </row>
    <row r="410" customFormat="false" ht="13.8" hidden="false" customHeight="false" outlineLevel="0" collapsed="false">
      <c r="A410" s="1" t="s">
        <v>1226</v>
      </c>
      <c r="B410" s="14" t="s">
        <v>2043</v>
      </c>
      <c r="C410" s="14" t="s">
        <v>2044</v>
      </c>
      <c r="D410" s="14" t="s">
        <v>2045</v>
      </c>
      <c r="E410" s="14" t="s">
        <v>1593</v>
      </c>
      <c r="F410" s="14" t="n">
        <v>-4</v>
      </c>
      <c r="G410" s="12" t="s">
        <v>15</v>
      </c>
    </row>
    <row r="411" customFormat="false" ht="13.8" hidden="false" customHeight="false" outlineLevel="0" collapsed="false">
      <c r="A411" s="1" t="s">
        <v>1226</v>
      </c>
      <c r="B411" s="14" t="s">
        <v>2046</v>
      </c>
      <c r="C411" s="14" t="s">
        <v>2047</v>
      </c>
      <c r="D411" s="14" t="s">
        <v>2048</v>
      </c>
      <c r="E411" s="14" t="s">
        <v>1593</v>
      </c>
      <c r="F411" s="14" t="n">
        <v>-4</v>
      </c>
      <c r="G411" s="12" t="s">
        <v>15</v>
      </c>
    </row>
    <row r="412" customFormat="false" ht="13.8" hidden="false" customHeight="false" outlineLevel="0" collapsed="false">
      <c r="A412" s="1" t="s">
        <v>1226</v>
      </c>
      <c r="B412" s="14" t="s">
        <v>2049</v>
      </c>
      <c r="C412" s="14" t="s">
        <v>2050</v>
      </c>
      <c r="D412" s="14" t="s">
        <v>2051</v>
      </c>
      <c r="E412" s="14" t="s">
        <v>1593</v>
      </c>
      <c r="F412" s="14" t="n">
        <v>-4</v>
      </c>
      <c r="G412" s="12" t="s">
        <v>15</v>
      </c>
    </row>
    <row r="413" customFormat="false" ht="13.8" hidden="false" customHeight="false" outlineLevel="0" collapsed="false">
      <c r="A413" s="1" t="s">
        <v>1226</v>
      </c>
      <c r="B413" s="14" t="s">
        <v>2052</v>
      </c>
      <c r="C413" s="14" t="s">
        <v>2053</v>
      </c>
      <c r="D413" s="14" t="s">
        <v>2054</v>
      </c>
      <c r="E413" s="14" t="s">
        <v>1593</v>
      </c>
      <c r="F413" s="14" t="n">
        <v>-4</v>
      </c>
      <c r="G413" s="12" t="s">
        <v>15</v>
      </c>
    </row>
    <row r="414" customFormat="false" ht="13.8" hidden="false" customHeight="false" outlineLevel="0" collapsed="false">
      <c r="A414" s="1" t="s">
        <v>1226</v>
      </c>
      <c r="B414" s="14" t="s">
        <v>2055</v>
      </c>
      <c r="C414" s="14" t="s">
        <v>2056</v>
      </c>
      <c r="D414" s="14" t="s">
        <v>2057</v>
      </c>
      <c r="E414" s="14" t="s">
        <v>1593</v>
      </c>
      <c r="F414" s="14" t="n">
        <v>-4</v>
      </c>
      <c r="G414" s="12" t="s">
        <v>15</v>
      </c>
    </row>
    <row r="415" customFormat="false" ht="13.8" hidden="false" customHeight="false" outlineLevel="0" collapsed="false">
      <c r="A415" s="1" t="s">
        <v>1226</v>
      </c>
      <c r="B415" s="154" t="s">
        <v>2160</v>
      </c>
      <c r="C415" s="154" t="s">
        <v>2161</v>
      </c>
      <c r="D415" s="154" t="s">
        <v>2162</v>
      </c>
      <c r="E415" s="154" t="s">
        <v>1593</v>
      </c>
      <c r="F415" s="154" t="n">
        <v>-4</v>
      </c>
      <c r="G415" s="155" t="s">
        <v>15</v>
      </c>
      <c r="H415" s="0"/>
    </row>
    <row r="416" customFormat="false" ht="13.8" hidden="false" customHeight="false" outlineLevel="0" collapsed="false">
      <c r="A416" s="1" t="s">
        <v>1226</v>
      </c>
      <c r="B416" s="154" t="s">
        <v>2163</v>
      </c>
      <c r="C416" s="154" t="s">
        <v>2164</v>
      </c>
      <c r="D416" s="154" t="s">
        <v>2165</v>
      </c>
      <c r="E416" s="154" t="s">
        <v>1593</v>
      </c>
      <c r="F416" s="154" t="n">
        <v>-4</v>
      </c>
      <c r="G416" s="155" t="s">
        <v>15</v>
      </c>
      <c r="H416" s="0"/>
    </row>
    <row r="417" customFormat="false" ht="13.8" hidden="false" customHeight="false" outlineLevel="0" collapsed="false">
      <c r="A417" s="1" t="s">
        <v>1226</v>
      </c>
      <c r="B417" s="154" t="s">
        <v>2166</v>
      </c>
      <c r="C417" s="154" t="s">
        <v>2167</v>
      </c>
      <c r="D417" s="154" t="s">
        <v>2168</v>
      </c>
      <c r="E417" s="154" t="s">
        <v>1593</v>
      </c>
      <c r="F417" s="154" t="n">
        <v>-4</v>
      </c>
      <c r="G417" s="155" t="s">
        <v>15</v>
      </c>
      <c r="H417" s="0"/>
    </row>
    <row r="418" customFormat="false" ht="13.8" hidden="false" customHeight="false" outlineLevel="0" collapsed="false">
      <c r="A418" s="1" t="s">
        <v>1226</v>
      </c>
      <c r="B418" s="154" t="s">
        <v>2169</v>
      </c>
      <c r="C418" s="154" t="s">
        <v>2170</v>
      </c>
      <c r="D418" s="154" t="s">
        <v>2171</v>
      </c>
      <c r="E418" s="154" t="s">
        <v>1593</v>
      </c>
      <c r="F418" s="154" t="n">
        <v>-4</v>
      </c>
      <c r="G418" s="155" t="s">
        <v>15</v>
      </c>
      <c r="H418" s="0"/>
    </row>
    <row r="419" customFormat="false" ht="13.8" hidden="false" customHeight="false" outlineLevel="0" collapsed="false">
      <c r="A419" s="1" t="s">
        <v>1226</v>
      </c>
      <c r="B419" s="154" t="s">
        <v>2172</v>
      </c>
      <c r="C419" s="154" t="s">
        <v>2173</v>
      </c>
      <c r="D419" s="154" t="s">
        <v>2174</v>
      </c>
      <c r="E419" s="154" t="s">
        <v>1593</v>
      </c>
      <c r="F419" s="154" t="n">
        <v>-1</v>
      </c>
      <c r="G419" s="155" t="s">
        <v>15</v>
      </c>
    </row>
    <row r="420" customFormat="false" ht="13.8" hidden="false" customHeight="false" outlineLevel="0" collapsed="false">
      <c r="A420" s="1" t="s">
        <v>1226</v>
      </c>
      <c r="B420" s="1" t="s">
        <v>2175</v>
      </c>
      <c r="C420" s="1" t="s">
        <v>2176</v>
      </c>
      <c r="D420" s="1" t="s">
        <v>2177</v>
      </c>
      <c r="E420" s="19"/>
      <c r="F420" s="19" t="n">
        <v>0</v>
      </c>
      <c r="G420" s="17"/>
      <c r="H420" s="2" t="s">
        <v>2178</v>
      </c>
    </row>
    <row r="421" customFormat="false" ht="13.8" hidden="false" customHeight="false" outlineLevel="0" collapsed="false">
      <c r="A421" s="1" t="s">
        <v>1226</v>
      </c>
      <c r="B421" s="14" t="s">
        <v>1962</v>
      </c>
      <c r="C421" s="14" t="s">
        <v>1963</v>
      </c>
      <c r="D421" s="14" t="s">
        <v>1964</v>
      </c>
      <c r="E421" s="14" t="s">
        <v>1593</v>
      </c>
      <c r="F421" s="14" t="n">
        <v>-1</v>
      </c>
      <c r="G421" s="12" t="s">
        <v>15</v>
      </c>
    </row>
    <row r="422" customFormat="false" ht="13.8" hidden="false" customHeight="false" outlineLevel="0" collapsed="false">
      <c r="A422" s="1" t="s">
        <v>1226</v>
      </c>
      <c r="B422" s="1" t="s">
        <v>1226</v>
      </c>
      <c r="C422" s="1" t="s">
        <v>2179</v>
      </c>
      <c r="D422" s="1" t="s">
        <v>2180</v>
      </c>
      <c r="E422" s="19" t="s">
        <v>1593</v>
      </c>
      <c r="F422" s="19" t="n">
        <v>0</v>
      </c>
      <c r="G422" s="152"/>
      <c r="H422" s="17" t="s">
        <v>1609</v>
      </c>
    </row>
    <row r="423" customFormat="false" ht="13.8" hidden="false" customHeight="false" outlineLevel="0" collapsed="false">
      <c r="A423" s="1" t="s">
        <v>1226</v>
      </c>
      <c r="B423" s="1" t="s">
        <v>1226</v>
      </c>
      <c r="C423" s="1" t="s">
        <v>2181</v>
      </c>
      <c r="D423" s="1" t="s">
        <v>2180</v>
      </c>
      <c r="E423" s="19" t="s">
        <v>1611</v>
      </c>
      <c r="F423" s="19" t="n">
        <v>0</v>
      </c>
      <c r="G423" s="152"/>
      <c r="H423" s="17" t="s">
        <v>1609</v>
      </c>
    </row>
    <row r="426" customFormat="false" ht="13.8" hidden="false" customHeight="false" outlineLevel="0" collapsed="false">
      <c r="A426" s="1" t="s">
        <v>1265</v>
      </c>
      <c r="B426" s="14" t="s">
        <v>1648</v>
      </c>
      <c r="C426" s="14" t="s">
        <v>1649</v>
      </c>
      <c r="D426" s="14" t="s">
        <v>1650</v>
      </c>
      <c r="E426" s="14" t="s">
        <v>1593</v>
      </c>
      <c r="F426" s="14" t="n">
        <v>-5</v>
      </c>
      <c r="G426" s="12" t="s">
        <v>15</v>
      </c>
      <c r="H426" s="12"/>
    </row>
    <row r="427" customFormat="false" ht="13.8" hidden="false" customHeight="false" outlineLevel="0" collapsed="false">
      <c r="A427" s="1" t="s">
        <v>1265</v>
      </c>
      <c r="B427" s="14" t="s">
        <v>1938</v>
      </c>
      <c r="C427" s="14" t="s">
        <v>1939</v>
      </c>
      <c r="D427" s="14" t="s">
        <v>1650</v>
      </c>
      <c r="E427" s="14" t="s">
        <v>1593</v>
      </c>
      <c r="F427" s="14" t="n">
        <v>-5</v>
      </c>
      <c r="G427" s="12" t="s">
        <v>15</v>
      </c>
      <c r="H427" s="12"/>
    </row>
    <row r="428" customFormat="false" ht="13.8" hidden="false" customHeight="false" outlineLevel="0" collapsed="false">
      <c r="A428" s="1" t="s">
        <v>1265</v>
      </c>
      <c r="B428" s="14" t="s">
        <v>1940</v>
      </c>
      <c r="C428" s="14" t="s">
        <v>1941</v>
      </c>
      <c r="D428" s="14" t="s">
        <v>1942</v>
      </c>
      <c r="E428" s="14" t="s">
        <v>1593</v>
      </c>
      <c r="F428" s="14" t="n">
        <v>-4</v>
      </c>
      <c r="G428" s="12" t="s">
        <v>15</v>
      </c>
      <c r="H428" s="12" t="s">
        <v>1943</v>
      </c>
    </row>
    <row r="429" customFormat="false" ht="13.8" hidden="false" customHeight="false" outlineLevel="0" collapsed="false">
      <c r="A429" s="1" t="s">
        <v>1265</v>
      </c>
      <c r="B429" s="14" t="s">
        <v>1590</v>
      </c>
      <c r="C429" s="14" t="s">
        <v>1591</v>
      </c>
      <c r="D429" s="14" t="s">
        <v>1592</v>
      </c>
      <c r="E429" s="14" t="s">
        <v>1593</v>
      </c>
      <c r="F429" s="14" t="n">
        <v>-4</v>
      </c>
      <c r="G429" s="12" t="s">
        <v>15</v>
      </c>
      <c r="H429" s="12"/>
    </row>
    <row r="430" customFormat="false" ht="13.8" hidden="false" customHeight="false" outlineLevel="0" collapsed="false">
      <c r="A430" s="1" t="s">
        <v>1265</v>
      </c>
      <c r="B430" s="19" t="s">
        <v>1944</v>
      </c>
      <c r="C430" s="19" t="s">
        <v>1945</v>
      </c>
      <c r="D430" s="19" t="s">
        <v>1946</v>
      </c>
      <c r="E430" s="19" t="s">
        <v>1593</v>
      </c>
      <c r="F430" s="19" t="n">
        <v>-4</v>
      </c>
      <c r="G430" s="17"/>
      <c r="H430" s="2" t="s">
        <v>1947</v>
      </c>
    </row>
    <row r="431" customFormat="false" ht="13.8" hidden="false" customHeight="false" outlineLevel="0" collapsed="false">
      <c r="A431" s="1" t="s">
        <v>1265</v>
      </c>
      <c r="B431" s="19" t="s">
        <v>1948</v>
      </c>
      <c r="C431" s="19" t="s">
        <v>1949</v>
      </c>
      <c r="D431" s="19" t="s">
        <v>1950</v>
      </c>
      <c r="E431" s="19" t="s">
        <v>1593</v>
      </c>
      <c r="F431" s="19" t="n">
        <v>-4</v>
      </c>
      <c r="G431" s="17"/>
      <c r="H431" s="2" t="s">
        <v>1947</v>
      </c>
    </row>
    <row r="432" customFormat="false" ht="13.8" hidden="false" customHeight="false" outlineLevel="0" collapsed="false">
      <c r="A432" s="1" t="s">
        <v>1265</v>
      </c>
      <c r="B432" s="19" t="s">
        <v>1951</v>
      </c>
      <c r="C432" s="19" t="s">
        <v>1952</v>
      </c>
      <c r="D432" s="19" t="s">
        <v>1953</v>
      </c>
      <c r="E432" s="19" t="s">
        <v>1593</v>
      </c>
      <c r="F432" s="19" t="n">
        <v>-4</v>
      </c>
      <c r="G432" s="17"/>
      <c r="H432" s="2" t="s">
        <v>1947</v>
      </c>
    </row>
    <row r="433" customFormat="false" ht="13.8" hidden="false" customHeight="false" outlineLevel="0" collapsed="false">
      <c r="A433" s="1" t="s">
        <v>1265</v>
      </c>
      <c r="B433" s="19" t="s">
        <v>1954</v>
      </c>
      <c r="C433" s="19" t="s">
        <v>1955</v>
      </c>
      <c r="D433" s="19" t="s">
        <v>1956</v>
      </c>
      <c r="E433" s="19" t="s">
        <v>1593</v>
      </c>
      <c r="F433" s="19" t="n">
        <v>-4</v>
      </c>
      <c r="G433" s="17"/>
      <c r="H433" s="2" t="s">
        <v>1947</v>
      </c>
    </row>
    <row r="434" customFormat="false" ht="13.8" hidden="false" customHeight="false" outlineLevel="0" collapsed="false">
      <c r="A434" s="1" t="s">
        <v>1265</v>
      </c>
      <c r="B434" s="1" t="s">
        <v>2068</v>
      </c>
      <c r="C434" s="1" t="s">
        <v>2069</v>
      </c>
      <c r="D434" s="1" t="s">
        <v>2070</v>
      </c>
      <c r="E434" s="19" t="s">
        <v>1593</v>
      </c>
      <c r="F434" s="19" t="n">
        <v>-4</v>
      </c>
      <c r="G434" s="12"/>
      <c r="H434" s="2" t="s">
        <v>2071</v>
      </c>
    </row>
    <row r="435" customFormat="false" ht="13.8" hidden="false" customHeight="false" outlineLevel="0" collapsed="false">
      <c r="A435" s="1" t="s">
        <v>1265</v>
      </c>
      <c r="B435" s="1" t="s">
        <v>2072</v>
      </c>
      <c r="C435" s="1" t="s">
        <v>2073</v>
      </c>
      <c r="D435" s="1" t="s">
        <v>2074</v>
      </c>
      <c r="E435" s="19" t="s">
        <v>1593</v>
      </c>
      <c r="F435" s="19" t="n">
        <v>-4</v>
      </c>
      <c r="G435" s="12"/>
      <c r="H435" s="2" t="s">
        <v>2071</v>
      </c>
    </row>
    <row r="436" customFormat="false" ht="13.8" hidden="false" customHeight="false" outlineLevel="0" collapsed="false">
      <c r="A436" s="1" t="s">
        <v>1265</v>
      </c>
      <c r="B436" s="1" t="s">
        <v>2075</v>
      </c>
      <c r="C436" s="1" t="s">
        <v>2076</v>
      </c>
      <c r="D436" s="1" t="s">
        <v>2077</v>
      </c>
      <c r="E436" s="1" t="s">
        <v>1593</v>
      </c>
      <c r="F436" s="1" t="n">
        <v>-4</v>
      </c>
      <c r="H436" s="2" t="s">
        <v>2078</v>
      </c>
    </row>
    <row r="437" customFormat="false" ht="13.8" hidden="false" customHeight="false" outlineLevel="0" collapsed="false">
      <c r="A437" s="1" t="s">
        <v>1265</v>
      </c>
      <c r="B437" s="1" t="s">
        <v>2079</v>
      </c>
      <c r="C437" s="1" t="s">
        <v>2080</v>
      </c>
      <c r="D437" s="1" t="s">
        <v>2081</v>
      </c>
      <c r="E437" s="1" t="s">
        <v>1593</v>
      </c>
      <c r="F437" s="1" t="n">
        <v>-4</v>
      </c>
      <c r="H437" s="2" t="s">
        <v>2071</v>
      </c>
    </row>
    <row r="438" customFormat="false" ht="13.8" hidden="false" customHeight="false" outlineLevel="0" collapsed="false">
      <c r="A438" s="1" t="s">
        <v>1265</v>
      </c>
      <c r="B438" s="19" t="s">
        <v>2182</v>
      </c>
      <c r="C438" s="1" t="s">
        <v>2183</v>
      </c>
      <c r="D438" s="1" t="s">
        <v>2184</v>
      </c>
      <c r="E438" s="1" t="s">
        <v>1593</v>
      </c>
      <c r="F438" s="1" t="n">
        <v>-4</v>
      </c>
      <c r="H438" s="2" t="s">
        <v>2071</v>
      </c>
    </row>
    <row r="439" customFormat="false" ht="13.8" hidden="false" customHeight="false" outlineLevel="0" collapsed="false">
      <c r="A439" s="1" t="s">
        <v>1265</v>
      </c>
      <c r="B439" s="19" t="s">
        <v>2185</v>
      </c>
      <c r="C439" s="1" t="s">
        <v>2186</v>
      </c>
      <c r="D439" s="1" t="s">
        <v>2187</v>
      </c>
      <c r="E439" s="1" t="s">
        <v>1593</v>
      </c>
      <c r="F439" s="1" t="n">
        <v>-4</v>
      </c>
      <c r="H439" s="2" t="s">
        <v>2071</v>
      </c>
    </row>
    <row r="440" customFormat="false" ht="13.8" hidden="false" customHeight="false" outlineLevel="0" collapsed="false">
      <c r="A440" s="1" t="s">
        <v>1265</v>
      </c>
      <c r="B440" s="19" t="s">
        <v>2188</v>
      </c>
      <c r="C440" s="1" t="s">
        <v>2189</v>
      </c>
      <c r="D440" s="1" t="s">
        <v>2190</v>
      </c>
      <c r="E440" s="1" t="s">
        <v>1593</v>
      </c>
      <c r="F440" s="1" t="n">
        <v>-4</v>
      </c>
      <c r="H440" s="2" t="s">
        <v>2071</v>
      </c>
    </row>
    <row r="441" customFormat="false" ht="13.8" hidden="false" customHeight="false" outlineLevel="0" collapsed="false">
      <c r="A441" s="1" t="s">
        <v>1265</v>
      </c>
      <c r="B441" s="19" t="s">
        <v>2191</v>
      </c>
      <c r="C441" s="1" t="s">
        <v>2192</v>
      </c>
      <c r="D441" s="1" t="s">
        <v>2193</v>
      </c>
      <c r="E441" s="1" t="s">
        <v>1593</v>
      </c>
      <c r="F441" s="1" t="n">
        <v>-4</v>
      </c>
      <c r="H441" s="2" t="s">
        <v>2071</v>
      </c>
    </row>
    <row r="442" customFormat="false" ht="13.8" hidden="false" customHeight="false" outlineLevel="0" collapsed="false">
      <c r="A442" s="1" t="s">
        <v>1265</v>
      </c>
      <c r="B442" s="1" t="s">
        <v>2194</v>
      </c>
      <c r="C442" s="1" t="s">
        <v>2195</v>
      </c>
      <c r="D442" s="1" t="s">
        <v>2196</v>
      </c>
      <c r="E442" s="1" t="s">
        <v>1593</v>
      </c>
      <c r="F442" s="1" t="n">
        <v>-1</v>
      </c>
      <c r="H442" s="2" t="s">
        <v>2071</v>
      </c>
    </row>
    <row r="443" customFormat="false" ht="13.8" hidden="false" customHeight="false" outlineLevel="0" collapsed="false">
      <c r="A443" s="1" t="s">
        <v>1265</v>
      </c>
      <c r="B443" s="1" t="s">
        <v>2197</v>
      </c>
      <c r="C443" s="1" t="s">
        <v>2198</v>
      </c>
      <c r="D443" s="1" t="s">
        <v>2199</v>
      </c>
      <c r="E443" s="1" t="s">
        <v>1593</v>
      </c>
      <c r="F443" s="1" t="n">
        <v>0</v>
      </c>
      <c r="H443" s="1" t="s">
        <v>2200</v>
      </c>
    </row>
    <row r="444" customFormat="false" ht="13.8" hidden="false" customHeight="false" outlineLevel="0" collapsed="false">
      <c r="A444" s="1" t="s">
        <v>1265</v>
      </c>
      <c r="B444" s="14" t="s">
        <v>1962</v>
      </c>
      <c r="C444" s="14" t="s">
        <v>1963</v>
      </c>
      <c r="D444" s="14" t="s">
        <v>1964</v>
      </c>
      <c r="E444" s="14" t="s">
        <v>1593</v>
      </c>
      <c r="F444" s="14" t="n">
        <v>-1</v>
      </c>
      <c r="G444" s="12" t="s">
        <v>15</v>
      </c>
    </row>
    <row r="445" customFormat="false" ht="13.8" hidden="false" customHeight="false" outlineLevel="0" collapsed="false">
      <c r="A445" s="1" t="s">
        <v>1265</v>
      </c>
      <c r="B445" s="1" t="s">
        <v>1265</v>
      </c>
      <c r="C445" s="1" t="s">
        <v>2201</v>
      </c>
      <c r="D445" s="1" t="s">
        <v>2202</v>
      </c>
      <c r="E445" s="19" t="s">
        <v>1593</v>
      </c>
      <c r="F445" s="19" t="n">
        <v>0</v>
      </c>
      <c r="G445" s="152"/>
      <c r="H445" s="2" t="s">
        <v>1609</v>
      </c>
    </row>
    <row r="446" customFormat="false" ht="13.8" hidden="false" customHeight="false" outlineLevel="0" collapsed="false">
      <c r="A446" s="1" t="s">
        <v>1265</v>
      </c>
      <c r="B446" s="1" t="s">
        <v>1265</v>
      </c>
      <c r="C446" s="1" t="s">
        <v>2203</v>
      </c>
      <c r="D446" s="1" t="s">
        <v>2202</v>
      </c>
      <c r="E446" s="19" t="s">
        <v>1611</v>
      </c>
      <c r="F446" s="19" t="n">
        <v>0</v>
      </c>
      <c r="G446" s="152"/>
      <c r="H446" s="2" t="s">
        <v>1609</v>
      </c>
    </row>
    <row r="449" customFormat="false" ht="13.8" hidden="false" customHeight="false" outlineLevel="0" collapsed="false">
      <c r="A449" s="1" t="s">
        <v>1308</v>
      </c>
      <c r="B449" s="14" t="s">
        <v>1590</v>
      </c>
      <c r="C449" s="14" t="s">
        <v>1591</v>
      </c>
      <c r="D449" s="14" t="s">
        <v>1592</v>
      </c>
      <c r="E449" s="14" t="s">
        <v>1593</v>
      </c>
      <c r="F449" s="14" t="n">
        <v>-4</v>
      </c>
      <c r="G449" s="12" t="s">
        <v>15</v>
      </c>
    </row>
    <row r="450" customFormat="false" ht="13.8" hidden="false" customHeight="false" outlineLevel="0" collapsed="false">
      <c r="A450" s="1" t="s">
        <v>1308</v>
      </c>
      <c r="B450" s="14" t="s">
        <v>1594</v>
      </c>
      <c r="C450" s="14" t="s">
        <v>1595</v>
      </c>
      <c r="D450" s="14" t="s">
        <v>1596</v>
      </c>
      <c r="E450" s="14" t="s">
        <v>1593</v>
      </c>
      <c r="F450" s="14" t="n">
        <v>-4</v>
      </c>
      <c r="G450" s="12" t="s">
        <v>15</v>
      </c>
      <c r="H450" s="12" t="s">
        <v>1597</v>
      </c>
    </row>
    <row r="451" customFormat="false" ht="13.8" hidden="false" customHeight="false" outlineLevel="0" collapsed="false">
      <c r="A451" s="1" t="s">
        <v>1308</v>
      </c>
      <c r="B451" s="14" t="s">
        <v>1970</v>
      </c>
      <c r="C451" s="14" t="s">
        <v>1971</v>
      </c>
      <c r="D451" s="14" t="s">
        <v>1600</v>
      </c>
      <c r="E451" s="14" t="s">
        <v>1593</v>
      </c>
      <c r="F451" s="14" t="n">
        <v>-4</v>
      </c>
      <c r="G451" s="12" t="s">
        <v>15</v>
      </c>
    </row>
    <row r="452" customFormat="false" ht="13.8" hidden="false" customHeight="false" outlineLevel="0" collapsed="false">
      <c r="A452" s="1" t="s">
        <v>1308</v>
      </c>
      <c r="B452" s="14" t="s">
        <v>2033</v>
      </c>
      <c r="C452" s="14" t="s">
        <v>1973</v>
      </c>
      <c r="D452" s="14" t="s">
        <v>1974</v>
      </c>
      <c r="E452" s="14" t="s">
        <v>1593</v>
      </c>
      <c r="F452" s="14" t="n">
        <v>-4</v>
      </c>
      <c r="G452" s="12" t="s">
        <v>15</v>
      </c>
      <c r="H452" s="2" t="s">
        <v>2159</v>
      </c>
    </row>
    <row r="453" customFormat="false" ht="13.8" hidden="false" customHeight="false" outlineLevel="0" collapsed="false">
      <c r="A453" s="1" t="s">
        <v>1308</v>
      </c>
      <c r="B453" s="48" t="s">
        <v>1975</v>
      </c>
      <c r="C453" s="48" t="s">
        <v>1976</v>
      </c>
      <c r="D453" s="48" t="s">
        <v>1977</v>
      </c>
      <c r="E453" s="48" t="s">
        <v>1593</v>
      </c>
      <c r="F453" s="48" t="n">
        <v>-4</v>
      </c>
      <c r="G453" s="12" t="s">
        <v>15</v>
      </c>
    </row>
    <row r="454" customFormat="false" ht="13.8" hidden="false" customHeight="false" outlineLevel="0" collapsed="false">
      <c r="A454" s="1" t="s">
        <v>1308</v>
      </c>
      <c r="B454" s="14" t="s">
        <v>2034</v>
      </c>
      <c r="C454" s="14" t="s">
        <v>2035</v>
      </c>
      <c r="D454" s="14" t="s">
        <v>2036</v>
      </c>
      <c r="E454" s="14" t="s">
        <v>1593</v>
      </c>
      <c r="F454" s="14" t="n">
        <v>-4</v>
      </c>
      <c r="G454" s="12" t="s">
        <v>15</v>
      </c>
    </row>
    <row r="455" customFormat="false" ht="13.8" hidden="false" customHeight="false" outlineLevel="0" collapsed="false">
      <c r="A455" s="1" t="s">
        <v>1308</v>
      </c>
      <c r="B455" s="14" t="s">
        <v>2037</v>
      </c>
      <c r="C455" s="14" t="s">
        <v>2038</v>
      </c>
      <c r="D455" s="14" t="s">
        <v>2039</v>
      </c>
      <c r="E455" s="14" t="s">
        <v>1593</v>
      </c>
      <c r="F455" s="14" t="n">
        <v>-4</v>
      </c>
      <c r="G455" s="12" t="s">
        <v>15</v>
      </c>
    </row>
    <row r="456" customFormat="false" ht="13.8" hidden="false" customHeight="false" outlineLevel="0" collapsed="false">
      <c r="A456" s="1" t="s">
        <v>1308</v>
      </c>
      <c r="B456" s="14" t="s">
        <v>2040</v>
      </c>
      <c r="C456" s="14" t="s">
        <v>2041</v>
      </c>
      <c r="D456" s="14" t="s">
        <v>2042</v>
      </c>
      <c r="E456" s="14" t="s">
        <v>1593</v>
      </c>
      <c r="F456" s="14" t="n">
        <v>-4</v>
      </c>
      <c r="G456" s="12" t="s">
        <v>15</v>
      </c>
    </row>
    <row r="457" customFormat="false" ht="13.8" hidden="false" customHeight="false" outlineLevel="0" collapsed="false">
      <c r="A457" s="1" t="s">
        <v>1308</v>
      </c>
      <c r="B457" s="14" t="s">
        <v>2043</v>
      </c>
      <c r="C457" s="14" t="s">
        <v>2044</v>
      </c>
      <c r="D457" s="14" t="s">
        <v>2045</v>
      </c>
      <c r="E457" s="14" t="s">
        <v>1593</v>
      </c>
      <c r="F457" s="14" t="n">
        <v>-4</v>
      </c>
      <c r="G457" s="12" t="s">
        <v>15</v>
      </c>
    </row>
    <row r="458" customFormat="false" ht="13.8" hidden="false" customHeight="false" outlineLevel="0" collapsed="false">
      <c r="A458" s="1" t="s">
        <v>1308</v>
      </c>
      <c r="B458" s="14" t="s">
        <v>2204</v>
      </c>
      <c r="C458" s="14" t="s">
        <v>2205</v>
      </c>
      <c r="D458" s="14" t="s">
        <v>2206</v>
      </c>
      <c r="E458" s="14" t="s">
        <v>1593</v>
      </c>
      <c r="F458" s="14" t="n">
        <v>-1</v>
      </c>
      <c r="G458" s="12" t="s">
        <v>15</v>
      </c>
    </row>
    <row r="459" customFormat="false" ht="13.8" hidden="false" customHeight="false" outlineLevel="0" collapsed="false">
      <c r="A459" s="1" t="s">
        <v>1308</v>
      </c>
      <c r="B459" s="1" t="s">
        <v>2207</v>
      </c>
      <c r="C459" s="1" t="s">
        <v>2208</v>
      </c>
      <c r="D459" s="1" t="s">
        <v>1749</v>
      </c>
      <c r="E459" s="19" t="s">
        <v>1593</v>
      </c>
      <c r="F459" s="19" t="n">
        <v>0</v>
      </c>
      <c r="G459" s="17"/>
      <c r="H459" s="2" t="s">
        <v>2178</v>
      </c>
    </row>
    <row r="460" customFormat="false" ht="13.8" hidden="false" customHeight="false" outlineLevel="0" collapsed="false">
      <c r="A460" s="1" t="s">
        <v>1308</v>
      </c>
      <c r="B460" s="14" t="s">
        <v>1962</v>
      </c>
      <c r="C460" s="14" t="s">
        <v>1963</v>
      </c>
      <c r="D460" s="14" t="s">
        <v>1964</v>
      </c>
      <c r="E460" s="14" t="s">
        <v>1593</v>
      </c>
      <c r="F460" s="14" t="n">
        <v>-1</v>
      </c>
      <c r="G460" s="12" t="s">
        <v>15</v>
      </c>
    </row>
    <row r="461" customFormat="false" ht="13.8" hidden="false" customHeight="false" outlineLevel="0" collapsed="false">
      <c r="A461" s="1" t="s">
        <v>1308</v>
      </c>
      <c r="B461" s="1" t="s">
        <v>1308</v>
      </c>
      <c r="C461" s="1" t="s">
        <v>2209</v>
      </c>
      <c r="D461" s="19" t="s">
        <v>2210</v>
      </c>
      <c r="E461" s="19" t="s">
        <v>1593</v>
      </c>
      <c r="F461" s="19" t="n">
        <v>0</v>
      </c>
      <c r="G461" s="152"/>
      <c r="H461" s="17" t="s">
        <v>1609</v>
      </c>
    </row>
    <row r="462" customFormat="false" ht="13.8" hidden="false" customHeight="false" outlineLevel="0" collapsed="false">
      <c r="A462" s="1" t="s">
        <v>1308</v>
      </c>
      <c r="B462" s="1" t="s">
        <v>1308</v>
      </c>
      <c r="C462" s="1" t="s">
        <v>2211</v>
      </c>
      <c r="D462" s="19" t="s">
        <v>2210</v>
      </c>
      <c r="E462" s="19" t="s">
        <v>1611</v>
      </c>
      <c r="F462" s="19" t="n">
        <v>0</v>
      </c>
      <c r="G462" s="152"/>
      <c r="H462" s="17" t="s">
        <v>1609</v>
      </c>
    </row>
    <row r="463" customFormat="false" ht="13.8" hidden="false" customHeight="false" outlineLevel="0" collapsed="false">
      <c r="E463" s="48"/>
      <c r="F463" s="48"/>
      <c r="G463" s="12"/>
    </row>
    <row r="464" customFormat="false" ht="13.8" hidden="false" customHeight="false" outlineLevel="0" collapsed="false">
      <c r="E464" s="48"/>
      <c r="F464" s="48"/>
      <c r="G464" s="12"/>
    </row>
    <row r="465" customFormat="false" ht="13.8" hidden="false" customHeight="false" outlineLevel="0" collapsed="false">
      <c r="A465" s="1" t="s">
        <v>2212</v>
      </c>
      <c r="B465" s="14" t="s">
        <v>1648</v>
      </c>
      <c r="C465" s="14" t="s">
        <v>1649</v>
      </c>
      <c r="D465" s="14" t="s">
        <v>1650</v>
      </c>
      <c r="E465" s="14" t="s">
        <v>1593</v>
      </c>
      <c r="F465" s="14" t="n">
        <v>-5</v>
      </c>
      <c r="G465" s="12" t="s">
        <v>15</v>
      </c>
      <c r="H465" s="12"/>
    </row>
    <row r="466" customFormat="false" ht="13.8" hidden="false" customHeight="false" outlineLevel="0" collapsed="false">
      <c r="A466" s="1" t="s">
        <v>2212</v>
      </c>
      <c r="B466" s="14" t="s">
        <v>1938</v>
      </c>
      <c r="C466" s="14" t="s">
        <v>1939</v>
      </c>
      <c r="D466" s="14" t="s">
        <v>1650</v>
      </c>
      <c r="E466" s="14" t="s">
        <v>1593</v>
      </c>
      <c r="F466" s="14" t="n">
        <v>-5</v>
      </c>
      <c r="G466" s="12" t="s">
        <v>15</v>
      </c>
      <c r="H466" s="12"/>
    </row>
    <row r="467" customFormat="false" ht="13.8" hidden="false" customHeight="false" outlineLevel="0" collapsed="false">
      <c r="A467" s="1" t="s">
        <v>2212</v>
      </c>
      <c r="B467" s="14" t="s">
        <v>1940</v>
      </c>
      <c r="C467" s="14" t="s">
        <v>1941</v>
      </c>
      <c r="D467" s="14" t="s">
        <v>1942</v>
      </c>
      <c r="E467" s="14" t="s">
        <v>1593</v>
      </c>
      <c r="F467" s="14" t="n">
        <v>-4</v>
      </c>
      <c r="G467" s="12" t="s">
        <v>15</v>
      </c>
      <c r="H467" s="12" t="s">
        <v>1943</v>
      </c>
    </row>
    <row r="468" customFormat="false" ht="13.8" hidden="false" customHeight="false" outlineLevel="0" collapsed="false">
      <c r="A468" s="1" t="s">
        <v>2212</v>
      </c>
      <c r="B468" s="14" t="s">
        <v>1590</v>
      </c>
      <c r="C468" s="14" t="s">
        <v>1591</v>
      </c>
      <c r="D468" s="14" t="s">
        <v>1592</v>
      </c>
      <c r="E468" s="14" t="s">
        <v>1593</v>
      </c>
      <c r="F468" s="14" t="n">
        <v>-4</v>
      </c>
      <c r="G468" s="12" t="s">
        <v>15</v>
      </c>
      <c r="H468" s="12"/>
    </row>
    <row r="469" customFormat="false" ht="13.8" hidden="false" customHeight="false" outlineLevel="0" collapsed="false">
      <c r="A469" s="1" t="s">
        <v>2212</v>
      </c>
      <c r="B469" s="19" t="s">
        <v>1944</v>
      </c>
      <c r="C469" s="19" t="s">
        <v>1945</v>
      </c>
      <c r="D469" s="19" t="s">
        <v>1946</v>
      </c>
      <c r="E469" s="19" t="s">
        <v>1593</v>
      </c>
      <c r="F469" s="19" t="n">
        <v>-4</v>
      </c>
      <c r="G469" s="17"/>
      <c r="H469" s="2" t="s">
        <v>1947</v>
      </c>
    </row>
    <row r="470" customFormat="false" ht="13.8" hidden="false" customHeight="false" outlineLevel="0" collapsed="false">
      <c r="A470" s="1" t="s">
        <v>2212</v>
      </c>
      <c r="B470" s="19" t="s">
        <v>1948</v>
      </c>
      <c r="C470" s="19" t="s">
        <v>1949</v>
      </c>
      <c r="D470" s="19" t="s">
        <v>1950</v>
      </c>
      <c r="E470" s="19" t="s">
        <v>1593</v>
      </c>
      <c r="F470" s="19" t="n">
        <v>-4</v>
      </c>
      <c r="G470" s="17"/>
      <c r="H470" s="2" t="s">
        <v>1947</v>
      </c>
    </row>
    <row r="471" customFormat="false" ht="13.8" hidden="false" customHeight="false" outlineLevel="0" collapsed="false">
      <c r="A471" s="1" t="s">
        <v>2212</v>
      </c>
      <c r="B471" s="19" t="s">
        <v>1951</v>
      </c>
      <c r="C471" s="19" t="s">
        <v>1952</v>
      </c>
      <c r="D471" s="19" t="s">
        <v>1953</v>
      </c>
      <c r="E471" s="19" t="s">
        <v>1593</v>
      </c>
      <c r="F471" s="19" t="n">
        <v>-4</v>
      </c>
      <c r="G471" s="17"/>
      <c r="H471" s="2" t="s">
        <v>1947</v>
      </c>
    </row>
    <row r="472" customFormat="false" ht="13.8" hidden="false" customHeight="false" outlineLevel="0" collapsed="false">
      <c r="A472" s="1" t="s">
        <v>2212</v>
      </c>
      <c r="B472" s="19" t="s">
        <v>1954</v>
      </c>
      <c r="C472" s="19" t="s">
        <v>1955</v>
      </c>
      <c r="D472" s="19" t="s">
        <v>1956</v>
      </c>
      <c r="E472" s="19" t="s">
        <v>1593</v>
      </c>
      <c r="F472" s="19" t="n">
        <v>-4</v>
      </c>
      <c r="G472" s="17"/>
      <c r="H472" s="2" t="s">
        <v>1947</v>
      </c>
    </row>
    <row r="473" customFormat="false" ht="13.8" hidden="false" customHeight="false" outlineLevel="0" collapsed="false">
      <c r="A473" s="1" t="s">
        <v>2212</v>
      </c>
      <c r="B473" s="1" t="s">
        <v>1957</v>
      </c>
      <c r="C473" s="1" t="s">
        <v>1958</v>
      </c>
      <c r="D473" s="1" t="s">
        <v>1959</v>
      </c>
      <c r="E473" s="19" t="s">
        <v>1593</v>
      </c>
      <c r="F473" s="19" t="n">
        <v>-1</v>
      </c>
      <c r="G473" s="12"/>
      <c r="H473" s="2" t="s">
        <v>1947</v>
      </c>
    </row>
    <row r="474" customFormat="false" ht="13.8" hidden="false" customHeight="false" outlineLevel="0" collapsed="false">
      <c r="A474" s="1" t="s">
        <v>2212</v>
      </c>
      <c r="B474" s="1" t="s">
        <v>1960</v>
      </c>
      <c r="C474" s="1" t="s">
        <v>1961</v>
      </c>
      <c r="D474" s="1" t="s">
        <v>1700</v>
      </c>
      <c r="E474" s="19" t="s">
        <v>1593</v>
      </c>
      <c r="F474" s="19" t="n">
        <v>0</v>
      </c>
      <c r="G474" s="12"/>
      <c r="H474" s="2" t="s">
        <v>2213</v>
      </c>
    </row>
    <row r="475" customFormat="false" ht="13.8" hidden="false" customHeight="false" outlineLevel="0" collapsed="false">
      <c r="A475" s="1" t="s">
        <v>2212</v>
      </c>
      <c r="B475" s="1" t="s">
        <v>2214</v>
      </c>
      <c r="C475" s="1" t="s">
        <v>2215</v>
      </c>
      <c r="D475" s="1" t="s">
        <v>1703</v>
      </c>
      <c r="E475" s="19" t="s">
        <v>1593</v>
      </c>
      <c r="F475" s="19" t="n">
        <v>0</v>
      </c>
      <c r="G475" s="148"/>
      <c r="H475" s="2" t="s">
        <v>32</v>
      </c>
    </row>
    <row r="476" customFormat="false" ht="13.8" hidden="false" customHeight="false" outlineLevel="0" collapsed="false">
      <c r="A476" s="1" t="s">
        <v>2212</v>
      </c>
      <c r="B476" s="1" t="s">
        <v>2214</v>
      </c>
      <c r="C476" s="1" t="s">
        <v>2216</v>
      </c>
      <c r="D476" s="1" t="s">
        <v>1703</v>
      </c>
      <c r="E476" s="19" t="s">
        <v>1611</v>
      </c>
      <c r="F476" s="19" t="n">
        <v>0</v>
      </c>
      <c r="G476" s="148"/>
      <c r="H476" s="2" t="s">
        <v>32</v>
      </c>
    </row>
    <row r="477" customFormat="false" ht="13.8" hidden="false" customHeight="false" outlineLevel="0" collapsed="false">
      <c r="E477" s="19"/>
      <c r="F477" s="19"/>
      <c r="G477" s="12"/>
    </row>
    <row r="478" customFormat="false" ht="13.8" hidden="false" customHeight="false" outlineLevel="0" collapsed="false">
      <c r="E478" s="48"/>
      <c r="F478" s="48"/>
      <c r="G478" s="12"/>
    </row>
    <row r="479" customFormat="false" ht="13.8" hidden="false" customHeight="false" outlineLevel="0" collapsed="false">
      <c r="A479" s="1" t="s">
        <v>2217</v>
      </c>
      <c r="B479" s="55" t="s">
        <v>1688</v>
      </c>
      <c r="C479" s="55" t="s">
        <v>1689</v>
      </c>
      <c r="D479" s="55" t="s">
        <v>1690</v>
      </c>
      <c r="E479" s="55" t="s">
        <v>1593</v>
      </c>
      <c r="F479" s="55" t="n">
        <v>0</v>
      </c>
      <c r="G479" s="146" t="s">
        <v>15</v>
      </c>
    </row>
    <row r="480" customFormat="false" ht="13.8" hidden="false" customHeight="false" outlineLevel="0" collapsed="false">
      <c r="A480" s="1" t="s">
        <v>2217</v>
      </c>
      <c r="B480" s="55" t="s">
        <v>1691</v>
      </c>
      <c r="C480" s="55" t="s">
        <v>1692</v>
      </c>
      <c r="D480" s="55" t="s">
        <v>1653</v>
      </c>
      <c r="E480" s="55" t="s">
        <v>1593</v>
      </c>
      <c r="F480" s="55" t="n">
        <v>-1</v>
      </c>
      <c r="G480" s="146" t="s">
        <v>15</v>
      </c>
      <c r="H480" s="146" t="s">
        <v>1693</v>
      </c>
    </row>
    <row r="481" customFormat="false" ht="13.8" hidden="false" customHeight="false" outlineLevel="0" collapsed="false">
      <c r="A481" s="1" t="s">
        <v>2217</v>
      </c>
      <c r="B481" s="1" t="s">
        <v>1987</v>
      </c>
      <c r="C481" s="1" t="s">
        <v>1988</v>
      </c>
      <c r="D481" s="1" t="s">
        <v>1989</v>
      </c>
      <c r="E481" s="1" t="s">
        <v>1593</v>
      </c>
      <c r="F481" s="1" t="n">
        <v>-2</v>
      </c>
      <c r="G481" s="36"/>
      <c r="H481" s="2" t="s">
        <v>32</v>
      </c>
    </row>
    <row r="482" customFormat="false" ht="13.8" hidden="false" customHeight="false" outlineLevel="0" collapsed="false">
      <c r="A482" s="1" t="s">
        <v>2217</v>
      </c>
      <c r="B482" s="1" t="s">
        <v>1990</v>
      </c>
      <c r="C482" s="1" t="s">
        <v>1991</v>
      </c>
      <c r="D482" s="1" t="s">
        <v>1989</v>
      </c>
      <c r="E482" s="1" t="s">
        <v>1593</v>
      </c>
      <c r="F482" s="1" t="n">
        <v>-2</v>
      </c>
      <c r="G482" s="36"/>
      <c r="H482" s="2" t="s">
        <v>32</v>
      </c>
    </row>
    <row r="483" customFormat="false" ht="13.8" hidden="false" customHeight="false" outlineLevel="0" collapsed="false">
      <c r="A483" s="1" t="s">
        <v>2217</v>
      </c>
      <c r="B483" s="1" t="s">
        <v>1992</v>
      </c>
      <c r="C483" s="1" t="s">
        <v>1993</v>
      </c>
      <c r="D483" s="1" t="s">
        <v>1994</v>
      </c>
      <c r="E483" s="1" t="s">
        <v>1593</v>
      </c>
      <c r="F483" s="1" t="n">
        <v>-1</v>
      </c>
      <c r="G483" s="36"/>
      <c r="H483" s="2" t="s">
        <v>1995</v>
      </c>
    </row>
    <row r="484" customFormat="false" ht="13.8" hidden="false" customHeight="false" outlineLevel="0" collapsed="false">
      <c r="A484" s="1" t="s">
        <v>2217</v>
      </c>
      <c r="B484" s="19" t="s">
        <v>2218</v>
      </c>
      <c r="C484" s="19" t="s">
        <v>2219</v>
      </c>
      <c r="D484" s="19" t="s">
        <v>2220</v>
      </c>
      <c r="E484" s="1" t="s">
        <v>1593</v>
      </c>
      <c r="F484" s="1" t="n">
        <v>-2</v>
      </c>
      <c r="G484" s="36"/>
      <c r="H484" s="2" t="s">
        <v>32</v>
      </c>
    </row>
    <row r="485" customFormat="false" ht="13.8" hidden="false" customHeight="false" outlineLevel="0" collapsed="false">
      <c r="A485" s="1" t="s">
        <v>2217</v>
      </c>
      <c r="B485" s="1" t="s">
        <v>2221</v>
      </c>
      <c r="C485" s="1" t="s">
        <v>2222</v>
      </c>
      <c r="D485" s="19" t="s">
        <v>2220</v>
      </c>
      <c r="E485" s="1" t="s">
        <v>1593</v>
      </c>
      <c r="F485" s="1" t="n">
        <v>-2</v>
      </c>
      <c r="G485" s="36"/>
      <c r="H485" s="2" t="s">
        <v>32</v>
      </c>
    </row>
    <row r="486" customFormat="false" ht="13.8" hidden="false" customHeight="false" outlineLevel="0" collapsed="false">
      <c r="A486" s="1" t="s">
        <v>2217</v>
      </c>
      <c r="B486" s="1" t="s">
        <v>2223</v>
      </c>
      <c r="C486" s="1" t="s">
        <v>2224</v>
      </c>
      <c r="D486" s="1" t="s">
        <v>1696</v>
      </c>
      <c r="E486" s="1" t="s">
        <v>1593</v>
      </c>
      <c r="F486" s="0" t="n">
        <v>-1</v>
      </c>
      <c r="G486" s="36"/>
      <c r="H486" s="2" t="s">
        <v>2225</v>
      </c>
    </row>
    <row r="487" customFormat="false" ht="13.8" hidden="false" customHeight="false" outlineLevel="0" collapsed="false">
      <c r="A487" s="1" t="s">
        <v>2217</v>
      </c>
      <c r="B487" s="1" t="s">
        <v>1960</v>
      </c>
      <c r="C487" s="1" t="s">
        <v>1961</v>
      </c>
      <c r="D487" s="1" t="s">
        <v>1700</v>
      </c>
      <c r="E487" s="19" t="s">
        <v>1593</v>
      </c>
      <c r="F487" s="19" t="n">
        <v>0</v>
      </c>
      <c r="G487" s="12"/>
      <c r="H487" s="2" t="s">
        <v>2213</v>
      </c>
    </row>
    <row r="488" customFormat="false" ht="13.8" hidden="false" customHeight="false" outlineLevel="0" collapsed="false">
      <c r="A488" s="1" t="s">
        <v>2217</v>
      </c>
      <c r="B488" s="1" t="s">
        <v>2214</v>
      </c>
      <c r="C488" s="1" t="s">
        <v>2215</v>
      </c>
      <c r="D488" s="1" t="s">
        <v>1703</v>
      </c>
      <c r="E488" s="19" t="s">
        <v>1593</v>
      </c>
      <c r="F488" s="19" t="n">
        <v>0</v>
      </c>
      <c r="G488" s="148"/>
      <c r="H488" s="2" t="s">
        <v>32</v>
      </c>
    </row>
    <row r="489" customFormat="false" ht="13.8" hidden="false" customHeight="false" outlineLevel="0" collapsed="false">
      <c r="A489" s="1" t="s">
        <v>2217</v>
      </c>
      <c r="B489" s="1" t="s">
        <v>2214</v>
      </c>
      <c r="C489" s="1" t="s">
        <v>2216</v>
      </c>
      <c r="D489" s="1" t="s">
        <v>1703</v>
      </c>
      <c r="E489" s="19" t="s">
        <v>1611</v>
      </c>
      <c r="F489" s="19" t="n">
        <v>0</v>
      </c>
      <c r="G489" s="148"/>
      <c r="H489" s="2" t="s">
        <v>32</v>
      </c>
    </row>
    <row r="490" customFormat="false" ht="13.8" hidden="false" customHeight="false" outlineLevel="0" collapsed="false">
      <c r="B490" s="0"/>
      <c r="C490" s="0"/>
      <c r="D490" s="0"/>
      <c r="E490" s="0"/>
      <c r="F490" s="0"/>
      <c r="G490" s="0"/>
      <c r="H490" s="0"/>
    </row>
    <row r="491" customFormat="false" ht="13.8" hidden="false" customHeight="false" outlineLevel="0" collapsed="false">
      <c r="E491" s="48"/>
      <c r="F491" s="48"/>
      <c r="G491" s="12"/>
    </row>
    <row r="492" s="1" customFormat="true" ht="13.8" hidden="false" customHeight="false" outlineLevel="0" collapsed="false">
      <c r="A492" s="19" t="s">
        <v>1366</v>
      </c>
      <c r="B492" s="55" t="s">
        <v>1407</v>
      </c>
      <c r="C492" s="55" t="s">
        <v>1754</v>
      </c>
      <c r="D492" s="55" t="s">
        <v>1755</v>
      </c>
      <c r="E492" s="55" t="s">
        <v>1593</v>
      </c>
      <c r="F492" s="55" t="n">
        <v>-1</v>
      </c>
      <c r="G492" s="146" t="s">
        <v>15</v>
      </c>
    </row>
    <row r="493" s="1" customFormat="true" ht="13.8" hidden="false" customHeight="false" outlineLevel="0" collapsed="false">
      <c r="A493" s="19" t="s">
        <v>1366</v>
      </c>
      <c r="B493" s="55" t="s">
        <v>1756</v>
      </c>
      <c r="C493" s="55" t="s">
        <v>1757</v>
      </c>
      <c r="D493" s="55" t="s">
        <v>1758</v>
      </c>
      <c r="E493" s="55" t="s">
        <v>1593</v>
      </c>
      <c r="F493" s="55" t="n">
        <v>-3</v>
      </c>
      <c r="G493" s="146" t="s">
        <v>15</v>
      </c>
    </row>
    <row r="494" s="1" customFormat="true" ht="13.8" hidden="false" customHeight="false" outlineLevel="0" collapsed="false">
      <c r="A494" s="19" t="s">
        <v>1366</v>
      </c>
      <c r="B494" s="55" t="s">
        <v>1759</v>
      </c>
      <c r="C494" s="55" t="s">
        <v>1760</v>
      </c>
      <c r="D494" s="55" t="s">
        <v>1761</v>
      </c>
      <c r="E494" s="55" t="s">
        <v>1593</v>
      </c>
      <c r="F494" s="55" t="n">
        <v>-3</v>
      </c>
      <c r="G494" s="146" t="s">
        <v>15</v>
      </c>
    </row>
    <row r="495" s="1" customFormat="true" ht="13.8" hidden="false" customHeight="false" outlineLevel="0" collapsed="false">
      <c r="A495" s="19" t="s">
        <v>1366</v>
      </c>
      <c r="B495" s="55" t="s">
        <v>1762</v>
      </c>
      <c r="C495" s="55" t="s">
        <v>1763</v>
      </c>
      <c r="D495" s="55" t="s">
        <v>1764</v>
      </c>
      <c r="E495" s="55" t="s">
        <v>1593</v>
      </c>
      <c r="F495" s="55" t="n">
        <v>-4</v>
      </c>
      <c r="G495" s="146" t="s">
        <v>15</v>
      </c>
    </row>
    <row r="496" s="1" customFormat="true" ht="13.8" hidden="false" customHeight="false" outlineLevel="0" collapsed="false">
      <c r="A496" s="19" t="s">
        <v>1366</v>
      </c>
      <c r="B496" s="55" t="s">
        <v>1765</v>
      </c>
      <c r="C496" s="55" t="s">
        <v>1766</v>
      </c>
      <c r="D496" s="55" t="s">
        <v>1767</v>
      </c>
      <c r="E496" s="55" t="s">
        <v>1593</v>
      </c>
      <c r="F496" s="55" t="n">
        <v>-2</v>
      </c>
      <c r="G496" s="146" t="s">
        <v>15</v>
      </c>
    </row>
    <row r="497" s="1" customFormat="true" ht="13.8" hidden="false" customHeight="false" outlineLevel="0" collapsed="false">
      <c r="A497" s="19" t="s">
        <v>1366</v>
      </c>
      <c r="B497" s="48" t="s">
        <v>1768</v>
      </c>
      <c r="C497" s="48" t="s">
        <v>1769</v>
      </c>
      <c r="D497" s="48" t="s">
        <v>1767</v>
      </c>
      <c r="E497" s="48" t="s">
        <v>1593</v>
      </c>
      <c r="F497" s="48" t="n">
        <v>-2</v>
      </c>
      <c r="G497" s="76" t="s">
        <v>15</v>
      </c>
    </row>
    <row r="498" customFormat="false" ht="13.8" hidden="false" customHeight="false" outlineLevel="0" collapsed="false">
      <c r="A498" s="19" t="s">
        <v>1366</v>
      </c>
      <c r="B498" s="71" t="s">
        <v>1770</v>
      </c>
      <c r="C498" s="71" t="s">
        <v>1771</v>
      </c>
      <c r="D498" s="48" t="s">
        <v>1772</v>
      </c>
      <c r="E498" s="48" t="s">
        <v>1593</v>
      </c>
      <c r="F498" s="48" t="n">
        <v>-1</v>
      </c>
      <c r="G498" s="76" t="s">
        <v>15</v>
      </c>
    </row>
    <row r="499" customFormat="false" ht="13.8" hidden="false" customHeight="false" outlineLevel="0" collapsed="false">
      <c r="A499" s="19" t="s">
        <v>1366</v>
      </c>
      <c r="B499" s="48" t="s">
        <v>1773</v>
      </c>
      <c r="C499" s="48" t="s">
        <v>1622</v>
      </c>
      <c r="D499" s="48" t="s">
        <v>1623</v>
      </c>
      <c r="E499" s="48" t="s">
        <v>1593</v>
      </c>
      <c r="F499" s="48" t="n">
        <v>-1</v>
      </c>
      <c r="G499" s="76" t="s">
        <v>15</v>
      </c>
    </row>
    <row r="500" customFormat="false" ht="13.8" hidden="false" customHeight="false" outlineLevel="0" collapsed="false">
      <c r="A500" s="19" t="s">
        <v>1366</v>
      </c>
      <c r="B500" s="76" t="s">
        <v>1774</v>
      </c>
      <c r="C500" s="76" t="s">
        <v>1625</v>
      </c>
      <c r="D500" s="76" t="s">
        <v>1626</v>
      </c>
      <c r="E500" s="12" t="s">
        <v>1593</v>
      </c>
      <c r="F500" s="149" t="n">
        <v>-2</v>
      </c>
      <c r="G500" s="12" t="s">
        <v>15</v>
      </c>
      <c r="H500" s="150" t="s">
        <v>1775</v>
      </c>
    </row>
    <row r="501" s="1" customFormat="true" ht="13.8" hidden="false" customHeight="false" outlineLevel="0" collapsed="false">
      <c r="A501" s="19" t="s">
        <v>1366</v>
      </c>
      <c r="B501" s="14" t="s">
        <v>1776</v>
      </c>
      <c r="C501" s="14" t="s">
        <v>1777</v>
      </c>
      <c r="D501" s="14" t="s">
        <v>1778</v>
      </c>
      <c r="E501" s="14" t="s">
        <v>1593</v>
      </c>
      <c r="F501" s="14" t="n">
        <v>0</v>
      </c>
      <c r="G501" s="12" t="s">
        <v>15</v>
      </c>
    </row>
    <row r="502" s="1" customFormat="true" ht="13.8" hidden="false" customHeight="false" outlineLevel="0" collapsed="false">
      <c r="A502" s="19" t="s">
        <v>1366</v>
      </c>
      <c r="B502" s="56" t="s">
        <v>1612</v>
      </c>
      <c r="C502" s="56" t="s">
        <v>1613</v>
      </c>
      <c r="D502" s="56" t="s">
        <v>1614</v>
      </c>
      <c r="E502" s="56" t="s">
        <v>1593</v>
      </c>
      <c r="F502" s="56" t="n">
        <v>-1</v>
      </c>
      <c r="G502" s="144" t="s">
        <v>15</v>
      </c>
    </row>
    <row r="503" customFormat="false" ht="13.8" hidden="false" customHeight="false" outlineLevel="0" collapsed="false">
      <c r="A503" s="19" t="s">
        <v>1366</v>
      </c>
      <c r="B503" s="19" t="s">
        <v>1366</v>
      </c>
      <c r="C503" s="19" t="s">
        <v>2226</v>
      </c>
      <c r="D503" s="19" t="s">
        <v>2227</v>
      </c>
      <c r="E503" s="19" t="s">
        <v>1593</v>
      </c>
      <c r="F503" s="19" t="n">
        <v>0</v>
      </c>
      <c r="G503" s="17"/>
      <c r="H503" s="1" t="s">
        <v>2228</v>
      </c>
    </row>
    <row r="504" customFormat="false" ht="13.8" hidden="false" customHeight="false" outlineLevel="0" collapsed="false">
      <c r="A504" s="19" t="s">
        <v>1366</v>
      </c>
      <c r="B504" s="19" t="s">
        <v>1366</v>
      </c>
      <c r="C504" s="19" t="s">
        <v>2229</v>
      </c>
      <c r="D504" s="19" t="s">
        <v>2227</v>
      </c>
      <c r="E504" s="19" t="s">
        <v>1611</v>
      </c>
      <c r="F504" s="19" t="n">
        <v>0</v>
      </c>
      <c r="G504" s="17"/>
      <c r="H504" s="1" t="s">
        <v>2228</v>
      </c>
    </row>
    <row r="505" customFormat="false" ht="13.8" hidden="false" customHeight="false" outlineLevel="0" collapsed="false">
      <c r="E505" s="48"/>
      <c r="F505" s="48"/>
      <c r="G505" s="12"/>
    </row>
    <row r="506" customFormat="false" ht="13.8" hidden="false" customHeight="false" outlineLevel="0" collapsed="false">
      <c r="E506" s="48"/>
      <c r="F506" s="48"/>
      <c r="G506" s="12"/>
    </row>
    <row r="507" customFormat="false" ht="13.8" hidden="false" customHeight="false" outlineLevel="0" collapsed="false">
      <c r="A507" s="1" t="s">
        <v>2230</v>
      </c>
      <c r="B507" s="14" t="s">
        <v>1590</v>
      </c>
      <c r="C507" s="14" t="s">
        <v>1591</v>
      </c>
      <c r="D507" s="14" t="s">
        <v>1592</v>
      </c>
      <c r="E507" s="14" t="s">
        <v>1593</v>
      </c>
      <c r="F507" s="14" t="n">
        <v>-4</v>
      </c>
      <c r="G507" s="12" t="s">
        <v>15</v>
      </c>
    </row>
    <row r="508" customFormat="false" ht="13.8" hidden="false" customHeight="false" outlineLevel="0" collapsed="false">
      <c r="A508" s="1" t="s">
        <v>2230</v>
      </c>
      <c r="B508" s="14" t="s">
        <v>1594</v>
      </c>
      <c r="C508" s="14" t="s">
        <v>1595</v>
      </c>
      <c r="D508" s="14" t="s">
        <v>1596</v>
      </c>
      <c r="E508" s="14" t="s">
        <v>1593</v>
      </c>
      <c r="F508" s="14" t="n">
        <v>-4</v>
      </c>
      <c r="G508" s="12" t="s">
        <v>15</v>
      </c>
      <c r="H508" s="12" t="s">
        <v>1597</v>
      </c>
    </row>
    <row r="509" customFormat="false" ht="13.8" hidden="false" customHeight="false" outlineLevel="0" collapsed="false">
      <c r="A509" s="1" t="s">
        <v>2230</v>
      </c>
      <c r="B509" s="14" t="s">
        <v>1970</v>
      </c>
      <c r="C509" s="14" t="s">
        <v>1971</v>
      </c>
      <c r="D509" s="14" t="s">
        <v>1600</v>
      </c>
      <c r="E509" s="14" t="s">
        <v>1593</v>
      </c>
      <c r="F509" s="14" t="n">
        <v>-4</v>
      </c>
      <c r="G509" s="12" t="s">
        <v>15</v>
      </c>
    </row>
    <row r="510" customFormat="false" ht="13.8" hidden="false" customHeight="false" outlineLevel="0" collapsed="false">
      <c r="A510" s="1" t="s">
        <v>2230</v>
      </c>
      <c r="B510" s="14" t="s">
        <v>2033</v>
      </c>
      <c r="C510" s="14" t="s">
        <v>1973</v>
      </c>
      <c r="D510" s="14" t="s">
        <v>1974</v>
      </c>
      <c r="E510" s="14" t="s">
        <v>1593</v>
      </c>
      <c r="F510" s="14" t="n">
        <v>-4</v>
      </c>
      <c r="G510" s="12" t="s">
        <v>15</v>
      </c>
      <c r="H510" s="2" t="s">
        <v>2159</v>
      </c>
    </row>
    <row r="511" customFormat="false" ht="13.8" hidden="false" customHeight="false" outlineLevel="0" collapsed="false">
      <c r="A511" s="1" t="s">
        <v>2230</v>
      </c>
      <c r="B511" s="48" t="s">
        <v>1975</v>
      </c>
      <c r="C511" s="48" t="s">
        <v>1976</v>
      </c>
      <c r="D511" s="48" t="s">
        <v>1977</v>
      </c>
      <c r="E511" s="48" t="s">
        <v>1593</v>
      </c>
      <c r="F511" s="48" t="n">
        <v>-4</v>
      </c>
      <c r="G511" s="12" t="s">
        <v>15</v>
      </c>
    </row>
    <row r="512" customFormat="false" ht="13.8" hidden="false" customHeight="false" outlineLevel="0" collapsed="false">
      <c r="A512" s="1" t="s">
        <v>2230</v>
      </c>
      <c r="B512" s="48" t="s">
        <v>1996</v>
      </c>
      <c r="C512" s="48" t="s">
        <v>1997</v>
      </c>
      <c r="D512" s="48" t="s">
        <v>1998</v>
      </c>
      <c r="E512" s="48" t="s">
        <v>1593</v>
      </c>
      <c r="F512" s="48" t="n">
        <v>-1</v>
      </c>
      <c r="G512" s="12" t="s">
        <v>15</v>
      </c>
      <c r="H512" s="0"/>
    </row>
    <row r="513" customFormat="false" ht="13.8" hidden="false" customHeight="false" outlineLevel="0" collapsed="false">
      <c r="A513" s="1" t="s">
        <v>2230</v>
      </c>
      <c r="B513" s="56" t="s">
        <v>1978</v>
      </c>
      <c r="C513" s="56" t="s">
        <v>1979</v>
      </c>
      <c r="D513" s="56" t="s">
        <v>1980</v>
      </c>
      <c r="E513" s="56" t="s">
        <v>1593</v>
      </c>
      <c r="F513" s="56" t="n">
        <v>0</v>
      </c>
      <c r="G513" s="144" t="s">
        <v>15</v>
      </c>
      <c r="H513" s="0"/>
    </row>
    <row r="514" customFormat="false" ht="13.8" hidden="false" customHeight="false" outlineLevel="0" collapsed="false">
      <c r="A514" s="1" t="s">
        <v>2230</v>
      </c>
      <c r="B514" s="14" t="s">
        <v>1962</v>
      </c>
      <c r="C514" s="14" t="s">
        <v>1963</v>
      </c>
      <c r="D514" s="14" t="s">
        <v>1964</v>
      </c>
      <c r="E514" s="14" t="s">
        <v>1593</v>
      </c>
      <c r="F514" s="14" t="n">
        <v>-1</v>
      </c>
      <c r="G514" s="12" t="s">
        <v>15</v>
      </c>
      <c r="H514" s="0"/>
    </row>
    <row r="515" customFormat="false" ht="13.8" hidden="false" customHeight="false" outlineLevel="0" collapsed="false">
      <c r="A515" s="1" t="s">
        <v>2230</v>
      </c>
      <c r="B515" s="1" t="s">
        <v>2231</v>
      </c>
      <c r="C515" s="1" t="s">
        <v>2232</v>
      </c>
      <c r="D515" s="1" t="s">
        <v>2233</v>
      </c>
      <c r="E515" s="19" t="s">
        <v>1593</v>
      </c>
      <c r="F515" s="19" t="n">
        <v>0</v>
      </c>
      <c r="G515" s="152"/>
      <c r="H515" s="17" t="s">
        <v>1609</v>
      </c>
    </row>
    <row r="516" customFormat="false" ht="13.8" hidden="false" customHeight="false" outlineLevel="0" collapsed="false">
      <c r="A516" s="1" t="s">
        <v>2230</v>
      </c>
      <c r="B516" s="1" t="s">
        <v>2231</v>
      </c>
      <c r="C516" s="1" t="s">
        <v>2234</v>
      </c>
      <c r="D516" s="1" t="s">
        <v>2233</v>
      </c>
      <c r="E516" s="19" t="s">
        <v>1611</v>
      </c>
      <c r="F516" s="19" t="n">
        <v>0</v>
      </c>
      <c r="G516" s="152"/>
      <c r="H516" s="17" t="s">
        <v>1609</v>
      </c>
    </row>
    <row r="517" customFormat="false" ht="13.8" hidden="false" customHeight="false" outlineLevel="0" collapsed="false">
      <c r="A517" s="0"/>
      <c r="B517" s="0"/>
      <c r="C517" s="0"/>
      <c r="D517" s="0"/>
      <c r="E517" s="0"/>
      <c r="F517" s="0"/>
      <c r="G517" s="0"/>
      <c r="H517" s="0"/>
    </row>
    <row r="518" customFormat="false" ht="13.8" hidden="false" customHeight="false" outlineLevel="0" collapsed="false">
      <c r="A518" s="0"/>
      <c r="B518" s="0"/>
      <c r="C518" s="0"/>
      <c r="D518" s="0"/>
      <c r="E518" s="0"/>
      <c r="F518" s="0"/>
      <c r="G518" s="0"/>
      <c r="H518" s="0"/>
    </row>
    <row r="519" customFormat="false" ht="13.8" hidden="false" customHeight="false" outlineLevel="0" collapsed="false">
      <c r="A519" s="1" t="s">
        <v>2235</v>
      </c>
      <c r="B519" s="56" t="s">
        <v>1612</v>
      </c>
      <c r="C519" s="56" t="s">
        <v>1613</v>
      </c>
      <c r="D519" s="56" t="s">
        <v>1614</v>
      </c>
      <c r="E519" s="56" t="s">
        <v>1593</v>
      </c>
      <c r="F519" s="56" t="n">
        <v>-1</v>
      </c>
      <c r="G519" s="144" t="s">
        <v>15</v>
      </c>
      <c r="H519" s="56"/>
    </row>
    <row r="520" customFormat="false" ht="13.8" hidden="false" customHeight="false" outlineLevel="0" collapsed="false">
      <c r="A520" s="1" t="s">
        <v>2235</v>
      </c>
      <c r="B520" s="56" t="s">
        <v>1706</v>
      </c>
      <c r="C520" s="56" t="s">
        <v>1707</v>
      </c>
      <c r="D520" s="56" t="s">
        <v>1708</v>
      </c>
      <c r="E520" s="56" t="s">
        <v>1593</v>
      </c>
      <c r="F520" s="56" t="n">
        <v>-1</v>
      </c>
      <c r="G520" s="144" t="s">
        <v>15</v>
      </c>
      <c r="H520" s="56"/>
    </row>
    <row r="521" customFormat="false" ht="14.25" hidden="false" customHeight="false" outlineLevel="0" collapsed="false">
      <c r="A521" s="1" t="s">
        <v>2235</v>
      </c>
      <c r="B521" s="56" t="s">
        <v>2093</v>
      </c>
      <c r="C521" s="56" t="s">
        <v>2094</v>
      </c>
      <c r="D521" s="56" t="s">
        <v>2095</v>
      </c>
      <c r="E521" s="56" t="s">
        <v>1593</v>
      </c>
      <c r="F521" s="56" t="n">
        <v>-1</v>
      </c>
      <c r="G521" s="144" t="s">
        <v>15</v>
      </c>
      <c r="H521" s="56" t="s">
        <v>2236</v>
      </c>
    </row>
    <row r="522" customFormat="false" ht="14.25" hidden="false" customHeight="false" outlineLevel="0" collapsed="false">
      <c r="A522" s="1" t="s">
        <v>2235</v>
      </c>
      <c r="B522" s="56" t="s">
        <v>2097</v>
      </c>
      <c r="C522" s="56" t="s">
        <v>2098</v>
      </c>
      <c r="D522" s="56" t="s">
        <v>1994</v>
      </c>
      <c r="E522" s="56" t="s">
        <v>1593</v>
      </c>
      <c r="F522" s="56" t="n">
        <v>-1</v>
      </c>
      <c r="G522" s="144" t="s">
        <v>15</v>
      </c>
      <c r="H522" s="56" t="s">
        <v>2099</v>
      </c>
    </row>
    <row r="523" customFormat="false" ht="14.25" hidden="false" customHeight="false" outlineLevel="0" collapsed="false">
      <c r="A523" s="1" t="s">
        <v>2235</v>
      </c>
      <c r="B523" s="1" t="s">
        <v>2237</v>
      </c>
      <c r="C523" s="1" t="s">
        <v>2101</v>
      </c>
      <c r="D523" s="1" t="s">
        <v>1980</v>
      </c>
      <c r="E523" s="1" t="s">
        <v>1593</v>
      </c>
      <c r="F523" s="1" t="n">
        <v>0</v>
      </c>
      <c r="H523" s="1" t="s">
        <v>2102</v>
      </c>
    </row>
    <row r="524" customFormat="false" ht="14.25" hidden="false" customHeight="false" outlineLevel="0" collapsed="false">
      <c r="A524" s="1" t="s">
        <v>2235</v>
      </c>
      <c r="B524" s="1" t="s">
        <v>2231</v>
      </c>
      <c r="C524" s="1" t="s">
        <v>2232</v>
      </c>
      <c r="D524" s="1" t="s">
        <v>2233</v>
      </c>
      <c r="E524" s="19" t="s">
        <v>1593</v>
      </c>
      <c r="F524" s="19" t="n">
        <v>0</v>
      </c>
      <c r="G524" s="152"/>
      <c r="H524" s="17" t="s">
        <v>1609</v>
      </c>
    </row>
    <row r="525" customFormat="false" ht="14.25" hidden="false" customHeight="false" outlineLevel="0" collapsed="false">
      <c r="A525" s="1" t="s">
        <v>2235</v>
      </c>
      <c r="B525" s="1" t="s">
        <v>2231</v>
      </c>
      <c r="C525" s="1" t="s">
        <v>2234</v>
      </c>
      <c r="D525" s="1" t="s">
        <v>2233</v>
      </c>
      <c r="E525" s="19" t="s">
        <v>1611</v>
      </c>
      <c r="F525" s="19" t="n">
        <v>0</v>
      </c>
      <c r="G525" s="152"/>
      <c r="H525" s="17" t="s">
        <v>1609</v>
      </c>
    </row>
    <row r="526" customFormat="false" ht="13.8" hidden="false" customHeight="false" outlineLevel="0" collapsed="false">
      <c r="A526" s="0"/>
      <c r="B526" s="0"/>
      <c r="C526" s="0"/>
      <c r="D526" s="0"/>
      <c r="E526" s="0"/>
      <c r="F526" s="0"/>
      <c r="G526" s="0"/>
      <c r="H526" s="0"/>
    </row>
    <row r="527" customFormat="false" ht="13.8" hidden="false" customHeight="false" outlineLevel="0" collapsed="false">
      <c r="A527" s="0"/>
      <c r="C527" s="0"/>
      <c r="D527" s="0"/>
      <c r="E527" s="0"/>
      <c r="F527" s="0"/>
      <c r="G527" s="0"/>
      <c r="H527" s="0"/>
    </row>
    <row r="528" customFormat="false" ht="13.8" hidden="false" customHeight="false" outlineLevel="0" collapsed="false">
      <c r="A528" s="1" t="s">
        <v>1407</v>
      </c>
      <c r="B528" s="55" t="s">
        <v>1759</v>
      </c>
      <c r="C528" s="55" t="s">
        <v>1760</v>
      </c>
      <c r="D528" s="55" t="s">
        <v>1761</v>
      </c>
      <c r="E528" s="55" t="s">
        <v>1593</v>
      </c>
      <c r="F528" s="55" t="n">
        <v>-3</v>
      </c>
      <c r="G528" s="146" t="s">
        <v>15</v>
      </c>
      <c r="H528" s="1" t="s">
        <v>2238</v>
      </c>
    </row>
    <row r="529" customFormat="false" ht="13.8" hidden="false" customHeight="false" outlineLevel="0" collapsed="false">
      <c r="A529" s="1" t="s">
        <v>1407</v>
      </c>
      <c r="B529" s="116" t="s">
        <v>2239</v>
      </c>
      <c r="C529" s="116" t="s">
        <v>2240</v>
      </c>
      <c r="D529" s="116" t="s">
        <v>2241</v>
      </c>
      <c r="E529" s="116" t="s">
        <v>1593</v>
      </c>
      <c r="F529" s="116" t="n">
        <v>-2</v>
      </c>
      <c r="G529" s="146" t="s">
        <v>15</v>
      </c>
      <c r="H529" s="1" t="s">
        <v>2242</v>
      </c>
    </row>
    <row r="530" customFormat="false" ht="13.8" hidden="false" customHeight="false" outlineLevel="0" collapsed="false">
      <c r="A530" s="1" t="s">
        <v>1407</v>
      </c>
      <c r="B530" s="116" t="s">
        <v>2243</v>
      </c>
      <c r="C530" s="116" t="s">
        <v>2244</v>
      </c>
      <c r="D530" s="116" t="s">
        <v>2245</v>
      </c>
      <c r="E530" s="116" t="s">
        <v>1593</v>
      </c>
      <c r="F530" s="116" t="n">
        <v>-3</v>
      </c>
      <c r="G530" s="146" t="s">
        <v>15</v>
      </c>
      <c r="H530" s="0"/>
    </row>
    <row r="531" customFormat="false" ht="13.8" hidden="false" customHeight="false" outlineLevel="0" collapsed="false">
      <c r="A531" s="1" t="s">
        <v>1407</v>
      </c>
      <c r="B531" s="116" t="s">
        <v>2246</v>
      </c>
      <c r="C531" s="116" t="s">
        <v>2247</v>
      </c>
      <c r="D531" s="116" t="s">
        <v>2248</v>
      </c>
      <c r="E531" s="116" t="s">
        <v>1593</v>
      </c>
      <c r="F531" s="116" t="n">
        <v>-1</v>
      </c>
      <c r="G531" s="146" t="s">
        <v>15</v>
      </c>
      <c r="H531" s="0"/>
    </row>
    <row r="532" customFormat="false" ht="13.8" hidden="false" customHeight="false" outlineLevel="0" collapsed="false">
      <c r="A532" s="1" t="s">
        <v>1407</v>
      </c>
      <c r="B532" s="116" t="s">
        <v>1716</v>
      </c>
      <c r="C532" s="116" t="s">
        <v>1717</v>
      </c>
      <c r="D532" s="116" t="s">
        <v>1718</v>
      </c>
      <c r="E532" s="116" t="s">
        <v>1593</v>
      </c>
      <c r="F532" s="116" t="n">
        <v>-1</v>
      </c>
      <c r="G532" s="146" t="s">
        <v>15</v>
      </c>
      <c r="H532" s="0"/>
    </row>
    <row r="533" customFormat="false" ht="13.8" hidden="false" customHeight="false" outlineLevel="0" collapsed="false">
      <c r="A533" s="1" t="s">
        <v>1407</v>
      </c>
      <c r="B533" s="55" t="s">
        <v>1407</v>
      </c>
      <c r="C533" s="55" t="s">
        <v>1754</v>
      </c>
      <c r="D533" s="55" t="s">
        <v>1755</v>
      </c>
      <c r="E533" s="55" t="s">
        <v>1593</v>
      </c>
      <c r="F533" s="55" t="n">
        <v>-1</v>
      </c>
      <c r="G533" s="146" t="s">
        <v>15</v>
      </c>
      <c r="H533" s="0"/>
    </row>
    <row r="534" customFormat="false" ht="13.8" hidden="false" customHeight="false" outlineLevel="0" collapsed="false">
      <c r="A534" s="1" t="s">
        <v>1407</v>
      </c>
      <c r="B534" s="55" t="s">
        <v>1407</v>
      </c>
      <c r="C534" s="55" t="s">
        <v>2249</v>
      </c>
      <c r="D534" s="55" t="s">
        <v>1755</v>
      </c>
      <c r="E534" s="55" t="s">
        <v>1593</v>
      </c>
      <c r="F534" s="55" t="n">
        <v>-1</v>
      </c>
      <c r="G534" s="146" t="s">
        <v>15</v>
      </c>
      <c r="H534" s="0"/>
    </row>
    <row r="535" customFormat="false" ht="13.8" hidden="false" customHeight="false" outlineLevel="0" collapsed="false">
      <c r="A535" s="0"/>
      <c r="B535" s="0"/>
      <c r="C535" s="0"/>
      <c r="D535" s="0"/>
      <c r="E535" s="0"/>
      <c r="F535" s="0"/>
      <c r="G535" s="0"/>
      <c r="H535" s="0"/>
    </row>
    <row r="536" customFormat="false" ht="13.8" hidden="false" customHeight="false" outlineLevel="0" collapsed="false">
      <c r="A536" s="0"/>
      <c r="B536" s="0"/>
      <c r="C536" s="0"/>
      <c r="D536" s="0"/>
      <c r="E536" s="0"/>
      <c r="F536" s="0"/>
      <c r="G536" s="0"/>
      <c r="H536" s="0"/>
    </row>
    <row r="537" s="1" customFormat="true" ht="13.8" hidden="false" customHeight="false" outlineLevel="0" collapsed="false">
      <c r="A537" s="1" t="s">
        <v>1434</v>
      </c>
      <c r="B537" s="55" t="s">
        <v>1407</v>
      </c>
      <c r="C537" s="55" t="s">
        <v>1754</v>
      </c>
      <c r="D537" s="55" t="s">
        <v>1755</v>
      </c>
      <c r="E537" s="55" t="s">
        <v>1593</v>
      </c>
      <c r="F537" s="55" t="n">
        <v>-1</v>
      </c>
      <c r="G537" s="146" t="s">
        <v>15</v>
      </c>
    </row>
    <row r="538" s="1" customFormat="true" ht="13.8" hidden="false" customHeight="false" outlineLevel="0" collapsed="false">
      <c r="A538" s="1" t="s">
        <v>1434</v>
      </c>
      <c r="B538" s="55" t="s">
        <v>1756</v>
      </c>
      <c r="C538" s="55" t="s">
        <v>1757</v>
      </c>
      <c r="D538" s="55" t="s">
        <v>1758</v>
      </c>
      <c r="E538" s="55" t="s">
        <v>1593</v>
      </c>
      <c r="F538" s="55" t="n">
        <v>-3</v>
      </c>
      <c r="G538" s="146" t="s">
        <v>15</v>
      </c>
    </row>
    <row r="539" s="1" customFormat="true" ht="13.8" hidden="false" customHeight="false" outlineLevel="0" collapsed="false">
      <c r="A539" s="1" t="s">
        <v>1434</v>
      </c>
      <c r="B539" s="55" t="s">
        <v>1759</v>
      </c>
      <c r="C539" s="55" t="s">
        <v>1760</v>
      </c>
      <c r="D539" s="55" t="s">
        <v>1761</v>
      </c>
      <c r="E539" s="55" t="s">
        <v>1593</v>
      </c>
      <c r="F539" s="55" t="n">
        <v>-3</v>
      </c>
      <c r="G539" s="146" t="s">
        <v>15</v>
      </c>
    </row>
    <row r="540" s="1" customFormat="true" ht="13.8" hidden="false" customHeight="false" outlineLevel="0" collapsed="false">
      <c r="A540" s="1" t="s">
        <v>1434</v>
      </c>
      <c r="B540" s="55" t="s">
        <v>1762</v>
      </c>
      <c r="C540" s="55" t="s">
        <v>1763</v>
      </c>
      <c r="D540" s="55" t="s">
        <v>1764</v>
      </c>
      <c r="E540" s="55" t="s">
        <v>1593</v>
      </c>
      <c r="F540" s="55" t="n">
        <v>-4</v>
      </c>
      <c r="G540" s="146" t="s">
        <v>15</v>
      </c>
    </row>
    <row r="541" s="1" customFormat="true" ht="13.8" hidden="false" customHeight="false" outlineLevel="0" collapsed="false">
      <c r="A541" s="1" t="s">
        <v>1434</v>
      </c>
      <c r="B541" s="55" t="s">
        <v>1765</v>
      </c>
      <c r="C541" s="55" t="s">
        <v>1766</v>
      </c>
      <c r="D541" s="55" t="s">
        <v>1767</v>
      </c>
      <c r="E541" s="55" t="s">
        <v>1593</v>
      </c>
      <c r="F541" s="55" t="n">
        <v>-2</v>
      </c>
      <c r="G541" s="146" t="s">
        <v>15</v>
      </c>
    </row>
    <row r="542" s="1" customFormat="true" ht="13.8" hidden="false" customHeight="false" outlineLevel="0" collapsed="false">
      <c r="A542" s="1" t="s">
        <v>1434</v>
      </c>
      <c r="B542" s="48" t="s">
        <v>1768</v>
      </c>
      <c r="C542" s="48" t="s">
        <v>1769</v>
      </c>
      <c r="D542" s="48" t="s">
        <v>1767</v>
      </c>
      <c r="E542" s="48" t="s">
        <v>1593</v>
      </c>
      <c r="F542" s="48" t="n">
        <v>-2</v>
      </c>
      <c r="G542" s="76" t="s">
        <v>15</v>
      </c>
    </row>
    <row r="543" customFormat="false" ht="13.8" hidden="false" customHeight="false" outlineLevel="0" collapsed="false">
      <c r="A543" s="1" t="s">
        <v>1434</v>
      </c>
      <c r="B543" s="48" t="s">
        <v>1883</v>
      </c>
      <c r="C543" s="48" t="s">
        <v>1884</v>
      </c>
      <c r="D543" s="48" t="s">
        <v>1781</v>
      </c>
      <c r="E543" s="48" t="s">
        <v>1593</v>
      </c>
      <c r="F543" s="48" t="n">
        <v>-1</v>
      </c>
      <c r="G543" s="76" t="s">
        <v>15</v>
      </c>
    </row>
    <row r="544" customFormat="false" ht="13.8" hidden="false" customHeight="false" outlineLevel="0" collapsed="false">
      <c r="A544" s="1" t="s">
        <v>1434</v>
      </c>
      <c r="B544" s="48" t="s">
        <v>1773</v>
      </c>
      <c r="C544" s="48" t="s">
        <v>1622</v>
      </c>
      <c r="D544" s="48" t="s">
        <v>1623</v>
      </c>
      <c r="E544" s="48" t="s">
        <v>1593</v>
      </c>
      <c r="F544" s="48" t="n">
        <v>-1</v>
      </c>
      <c r="G544" s="76" t="s">
        <v>15</v>
      </c>
    </row>
    <row r="545" customFormat="false" ht="13.8" hidden="false" customHeight="false" outlineLevel="0" collapsed="false">
      <c r="A545" s="1" t="s">
        <v>1434</v>
      </c>
      <c r="B545" s="76" t="s">
        <v>1774</v>
      </c>
      <c r="C545" s="76" t="s">
        <v>1625</v>
      </c>
      <c r="D545" s="76" t="s">
        <v>1626</v>
      </c>
      <c r="E545" s="12" t="s">
        <v>1593</v>
      </c>
      <c r="F545" s="149" t="n">
        <v>-2</v>
      </c>
      <c r="G545" s="12" t="s">
        <v>15</v>
      </c>
      <c r="H545" s="150" t="s">
        <v>1775</v>
      </c>
    </row>
    <row r="546" s="1" customFormat="true" ht="13.8" hidden="false" customHeight="false" outlineLevel="0" collapsed="false">
      <c r="A546" s="1" t="s">
        <v>1434</v>
      </c>
      <c r="B546" s="14" t="s">
        <v>1847</v>
      </c>
      <c r="C546" s="14" t="s">
        <v>1848</v>
      </c>
      <c r="D546" s="14" t="s">
        <v>1849</v>
      </c>
      <c r="E546" s="14" t="s">
        <v>1593</v>
      </c>
      <c r="F546" s="14" t="n">
        <v>0</v>
      </c>
      <c r="G546" s="12" t="s">
        <v>15</v>
      </c>
    </row>
    <row r="547" s="1" customFormat="true" ht="13.8" hidden="false" customHeight="false" outlineLevel="0" collapsed="false">
      <c r="A547" s="1" t="s">
        <v>1434</v>
      </c>
      <c r="B547" s="48" t="s">
        <v>1850</v>
      </c>
      <c r="C547" s="48" t="s">
        <v>1851</v>
      </c>
      <c r="D547" s="48" t="s">
        <v>1852</v>
      </c>
      <c r="E547" s="48" t="s">
        <v>1593</v>
      </c>
      <c r="F547" s="48" t="n">
        <v>-1</v>
      </c>
      <c r="G547" s="76" t="s">
        <v>15</v>
      </c>
    </row>
    <row r="548" customFormat="false" ht="13.8" hidden="false" customHeight="false" outlineLevel="0" collapsed="false">
      <c r="A548" s="1" t="s">
        <v>1434</v>
      </c>
      <c r="B548" s="19" t="s">
        <v>1434</v>
      </c>
      <c r="C548" s="19" t="s">
        <v>2250</v>
      </c>
      <c r="D548" s="19" t="s">
        <v>2251</v>
      </c>
      <c r="E548" s="19" t="s">
        <v>1593</v>
      </c>
      <c r="F548" s="19" t="n">
        <v>0</v>
      </c>
      <c r="G548" s="152"/>
      <c r="H548" s="19" t="s">
        <v>2252</v>
      </c>
      <c r="I548" s="19"/>
    </row>
    <row r="549" customFormat="false" ht="13.8" hidden="false" customHeight="false" outlineLevel="0" collapsed="false">
      <c r="A549" s="1" t="s">
        <v>1434</v>
      </c>
      <c r="B549" s="19" t="s">
        <v>1434</v>
      </c>
      <c r="C549" s="19" t="s">
        <v>2253</v>
      </c>
      <c r="D549" s="19" t="s">
        <v>2251</v>
      </c>
      <c r="E549" s="19" t="s">
        <v>1611</v>
      </c>
      <c r="F549" s="19" t="n">
        <v>0</v>
      </c>
      <c r="G549" s="152"/>
      <c r="H549" s="19" t="s">
        <v>2252</v>
      </c>
    </row>
    <row r="550" customFormat="false" ht="13.8" hidden="false" customHeight="false" outlineLevel="0" collapsed="false">
      <c r="B550" s="19"/>
      <c r="C550" s="19"/>
      <c r="D550" s="19"/>
      <c r="E550" s="19"/>
      <c r="F550" s="19"/>
      <c r="G550" s="17"/>
      <c r="H550" s="19"/>
    </row>
    <row r="551" customFormat="false" ht="13.8" hidden="false" customHeight="false" outlineLevel="0" collapsed="false">
      <c r="B551" s="19"/>
      <c r="C551" s="19"/>
      <c r="D551" s="19"/>
      <c r="E551" s="19"/>
      <c r="F551" s="19"/>
      <c r="G551" s="17"/>
      <c r="H551" s="19"/>
    </row>
    <row r="552" customFormat="false" ht="13.8" hidden="false" customHeight="false" outlineLevel="0" collapsed="false">
      <c r="B552" s="19"/>
      <c r="C552" s="19"/>
      <c r="D552" s="19"/>
      <c r="E552" s="19"/>
      <c r="F552" s="19"/>
      <c r="G552" s="17"/>
      <c r="H552" s="19"/>
    </row>
    <row r="553" customFormat="false" ht="13.8" hidden="false" customHeight="false" outlineLevel="0" collapsed="false">
      <c r="B553" s="19"/>
      <c r="C553" s="19"/>
      <c r="D553" s="19"/>
      <c r="E553" s="19"/>
      <c r="F553" s="19"/>
      <c r="G553" s="17"/>
      <c r="H553" s="19"/>
    </row>
    <row r="554" customFormat="false" ht="13.8" hidden="false" customHeight="false" outlineLevel="0" collapsed="false">
      <c r="B554" s="19"/>
      <c r="C554" s="19"/>
      <c r="D554" s="19"/>
      <c r="E554" s="19"/>
      <c r="F554" s="19"/>
      <c r="G554" s="17"/>
      <c r="H554" s="19"/>
    </row>
    <row r="555" customFormat="false" ht="13.8" hidden="false" customHeight="false" outlineLevel="0" collapsed="false">
      <c r="B555" s="19"/>
      <c r="C555" s="19"/>
      <c r="D555" s="19"/>
      <c r="E555" s="19"/>
      <c r="F555" s="19"/>
      <c r="G555" s="17"/>
      <c r="H555" s="19"/>
    </row>
    <row r="556" customFormat="false" ht="13.8" hidden="false" customHeight="false" outlineLevel="0" collapsed="false">
      <c r="B556" s="19"/>
      <c r="C556" s="19"/>
      <c r="D556" s="19"/>
      <c r="E556" s="19"/>
      <c r="F556" s="19"/>
      <c r="G556" s="17"/>
      <c r="H556" s="19"/>
    </row>
    <row r="557" customFormat="false" ht="13.8" hidden="false" customHeight="false" outlineLevel="0" collapsed="false">
      <c r="B557" s="19"/>
      <c r="C557" s="19"/>
      <c r="D557" s="19"/>
      <c r="E557" s="19"/>
      <c r="F557" s="19"/>
      <c r="G557" s="17"/>
      <c r="H557" s="19"/>
    </row>
    <row r="558" customFormat="false" ht="13.8" hidden="false" customHeight="false" outlineLevel="0" collapsed="false">
      <c r="A558" s="0"/>
      <c r="B558" s="0"/>
      <c r="C558" s="0"/>
      <c r="D558" s="0"/>
      <c r="E558" s="0"/>
      <c r="F558" s="0"/>
      <c r="G558" s="0"/>
      <c r="H558" s="0"/>
    </row>
    <row r="559" customFormat="false" ht="13.8" hidden="false" customHeight="false" outlineLevel="0" collapsed="false">
      <c r="A559" s="0"/>
      <c r="B559" s="0"/>
      <c r="C559" s="0"/>
      <c r="D559" s="0"/>
      <c r="E559" s="0"/>
      <c r="F559" s="0"/>
      <c r="G559" s="0"/>
      <c r="H559" s="0"/>
    </row>
    <row r="560" customFormat="false" ht="13.8" hidden="false" customHeight="false" outlineLevel="0" collapsed="false">
      <c r="A560" s="0"/>
      <c r="B560" s="0"/>
      <c r="C560" s="0"/>
      <c r="D560" s="0"/>
      <c r="E560" s="0"/>
      <c r="F560" s="0"/>
      <c r="G560" s="0"/>
      <c r="H560" s="0"/>
    </row>
    <row r="561" customFormat="false" ht="13.8" hidden="false" customHeight="false" outlineLevel="0" collapsed="false">
      <c r="A561" s="0"/>
      <c r="B561" s="0"/>
      <c r="C561" s="0"/>
      <c r="D561" s="0"/>
      <c r="E561" s="0"/>
      <c r="F561" s="0"/>
      <c r="G561" s="0"/>
      <c r="H561" s="0"/>
    </row>
    <row r="562" customFormat="false" ht="13.8" hidden="false" customHeight="false" outlineLevel="0" collapsed="false">
      <c r="A562" s="0"/>
      <c r="B562" s="0"/>
      <c r="C562" s="0"/>
      <c r="D562" s="0"/>
      <c r="E562" s="0"/>
      <c r="F562" s="0"/>
      <c r="G562" s="0"/>
      <c r="H562" s="0"/>
    </row>
    <row r="563" customFormat="false" ht="13.8" hidden="false" customHeight="false" outlineLevel="0" collapsed="false">
      <c r="A563" s="0"/>
      <c r="B563" s="0"/>
      <c r="C563" s="0"/>
      <c r="D563" s="0"/>
      <c r="E563" s="0"/>
      <c r="F563" s="0"/>
      <c r="G563" s="0"/>
      <c r="H563" s="0"/>
    </row>
    <row r="564" customFormat="false" ht="13.8" hidden="false" customHeight="false" outlineLevel="0" collapsed="false">
      <c r="A564" s="0"/>
      <c r="B564" s="0"/>
      <c r="C564" s="0"/>
      <c r="D564" s="0"/>
      <c r="E564" s="0"/>
      <c r="F564" s="0"/>
      <c r="G564" s="0"/>
      <c r="H564" s="0"/>
    </row>
    <row r="565" customFormat="false" ht="13.8" hidden="false" customHeight="false" outlineLevel="0" collapsed="false">
      <c r="A565" s="0"/>
      <c r="B565" s="0"/>
      <c r="C565" s="0"/>
      <c r="D565" s="0"/>
      <c r="E565" s="0"/>
      <c r="F565" s="0"/>
      <c r="G565" s="0"/>
      <c r="H565" s="0"/>
    </row>
    <row r="566" customFormat="false" ht="13.8" hidden="false" customHeight="false" outlineLevel="0" collapsed="false">
      <c r="A566" s="0"/>
      <c r="B566" s="0"/>
      <c r="C566" s="0"/>
      <c r="D566" s="0"/>
      <c r="E566" s="0"/>
      <c r="F566" s="0"/>
      <c r="G566" s="0"/>
      <c r="H566" s="0"/>
    </row>
    <row r="567" customFormat="false" ht="13.8" hidden="false" customHeight="false" outlineLevel="0" collapsed="false">
      <c r="F567" s="19"/>
      <c r="G567" s="17"/>
      <c r="H567" s="19"/>
    </row>
    <row r="568" customFormat="false" ht="13.8" hidden="false" customHeight="false" outlineLevel="0" collapsed="false">
      <c r="B568" s="19"/>
      <c r="C568" s="19"/>
      <c r="D568" s="19"/>
      <c r="E568" s="19"/>
      <c r="F568" s="19"/>
      <c r="G568" s="17"/>
      <c r="H568" s="19"/>
    </row>
    <row r="569" customFormat="false" ht="13.8" hidden="false" customHeight="false" outlineLevel="0" collapsed="false">
      <c r="B569" s="19"/>
      <c r="C569" s="19"/>
      <c r="D569" s="19"/>
      <c r="E569" s="19"/>
      <c r="F569" s="19"/>
      <c r="G569" s="17"/>
      <c r="H569" s="19"/>
    </row>
    <row r="571" customFormat="false" ht="13.8" hidden="false" customHeight="false" outlineLevel="0" collapsed="false">
      <c r="A571" s="156" t="s">
        <v>2254</v>
      </c>
    </row>
    <row r="573" customFormat="false" ht="13.8" hidden="false" customHeight="false" outlineLevel="0" collapsed="false">
      <c r="A573" s="1" t="s">
        <v>2255</v>
      </c>
      <c r="B573" s="14" t="s">
        <v>2256</v>
      </c>
      <c r="C573" s="14" t="s">
        <v>2257</v>
      </c>
      <c r="D573" s="14" t="s">
        <v>2258</v>
      </c>
      <c r="E573" s="14" t="s">
        <v>1593</v>
      </c>
      <c r="F573" s="14" t="n">
        <v>0</v>
      </c>
      <c r="G573" s="12" t="s">
        <v>15</v>
      </c>
    </row>
    <row r="574" customFormat="false" ht="13.8" hidden="false" customHeight="false" outlineLevel="0" collapsed="false">
      <c r="A574" s="1" t="s">
        <v>2255</v>
      </c>
      <c r="B574" s="1" t="s">
        <v>2259</v>
      </c>
      <c r="C574" s="1" t="s">
        <v>2260</v>
      </c>
      <c r="D574" s="1" t="s">
        <v>2258</v>
      </c>
      <c r="E574" s="1" t="s">
        <v>1593</v>
      </c>
      <c r="F574" s="1" t="n">
        <v>0</v>
      </c>
      <c r="H574" s="2" t="s">
        <v>497</v>
      </c>
    </row>
    <row r="575" customFormat="false" ht="13.8" hidden="false" customHeight="false" outlineLevel="0" collapsed="false">
      <c r="A575" s="1" t="s">
        <v>2255</v>
      </c>
      <c r="B575" s="140" t="s">
        <v>2261</v>
      </c>
      <c r="C575" s="140" t="s">
        <v>2262</v>
      </c>
      <c r="D575" s="140" t="s">
        <v>2263</v>
      </c>
      <c r="E575" s="140" t="s">
        <v>1593</v>
      </c>
      <c r="F575" s="140" t="n">
        <v>-1</v>
      </c>
      <c r="G575" s="140"/>
      <c r="H575" s="141" t="s">
        <v>2264</v>
      </c>
    </row>
    <row r="576" customFormat="false" ht="13.8" hidden="false" customHeight="false" outlineLevel="0" collapsed="false">
      <c r="A576" s="1" t="s">
        <v>2255</v>
      </c>
      <c r="B576" s="1" t="s">
        <v>1787</v>
      </c>
      <c r="C576" s="1" t="s">
        <v>1795</v>
      </c>
      <c r="D576" s="1" t="s">
        <v>1796</v>
      </c>
      <c r="E576" s="1" t="s">
        <v>1593</v>
      </c>
      <c r="F576" s="1" t="n">
        <v>0</v>
      </c>
      <c r="H576" s="2" t="s">
        <v>2265</v>
      </c>
    </row>
    <row r="577" customFormat="false" ht="13.8" hidden="false" customHeight="false" outlineLevel="0" collapsed="false">
      <c r="A577" s="1" t="s">
        <v>2255</v>
      </c>
      <c r="B577" s="1" t="s">
        <v>1787</v>
      </c>
      <c r="C577" s="1" t="s">
        <v>1798</v>
      </c>
      <c r="D577" s="1" t="s">
        <v>1796</v>
      </c>
      <c r="E577" s="1" t="s">
        <v>1611</v>
      </c>
      <c r="F577" s="1" t="n">
        <v>0</v>
      </c>
      <c r="H577" s="2" t="s">
        <v>2265</v>
      </c>
    </row>
    <row r="580" customFormat="false" ht="13.8" hidden="false" customHeight="false" outlineLevel="0" collapsed="false">
      <c r="A580" s="1" t="s">
        <v>1556</v>
      </c>
      <c r="B580" s="48" t="s">
        <v>2256</v>
      </c>
      <c r="C580" s="48" t="s">
        <v>2257</v>
      </c>
      <c r="D580" s="48" t="s">
        <v>2258</v>
      </c>
      <c r="E580" s="48" t="s">
        <v>1593</v>
      </c>
      <c r="F580" s="48" t="n">
        <v>0</v>
      </c>
      <c r="G580" s="12" t="s">
        <v>15</v>
      </c>
    </row>
    <row r="581" customFormat="false" ht="13.8" hidden="false" customHeight="false" outlineLevel="0" collapsed="false">
      <c r="A581" s="1" t="s">
        <v>1556</v>
      </c>
      <c r="B581" s="140" t="s">
        <v>2261</v>
      </c>
      <c r="C581" s="140" t="s">
        <v>2262</v>
      </c>
      <c r="D581" s="140" t="s">
        <v>2263</v>
      </c>
      <c r="E581" s="140" t="s">
        <v>1593</v>
      </c>
      <c r="F581" s="140" t="n">
        <v>-1</v>
      </c>
      <c r="G581" s="140"/>
      <c r="H581" s="141" t="s">
        <v>2264</v>
      </c>
    </row>
    <row r="582" customFormat="false" ht="13.8" hidden="false" customHeight="false" outlineLevel="0" collapsed="false">
      <c r="A582" s="1" t="s">
        <v>1556</v>
      </c>
      <c r="B582" s="1" t="s">
        <v>2259</v>
      </c>
      <c r="C582" s="1" t="s">
        <v>2260</v>
      </c>
      <c r="D582" s="1" t="s">
        <v>2258</v>
      </c>
      <c r="E582" s="1" t="s">
        <v>1593</v>
      </c>
      <c r="F582" s="1" t="n">
        <v>0</v>
      </c>
      <c r="H582" s="2" t="s">
        <v>497</v>
      </c>
    </row>
    <row r="583" customFormat="false" ht="13.8" hidden="false" customHeight="false" outlineLevel="0" collapsed="false">
      <c r="A583" s="1" t="s">
        <v>1556</v>
      </c>
      <c r="B583" s="1" t="s">
        <v>1787</v>
      </c>
      <c r="C583" s="1" t="s">
        <v>1795</v>
      </c>
      <c r="D583" s="1" t="s">
        <v>1796</v>
      </c>
      <c r="E583" s="1" t="s">
        <v>1593</v>
      </c>
      <c r="F583" s="1" t="n">
        <v>0</v>
      </c>
      <c r="H583" s="2" t="s">
        <v>2265</v>
      </c>
    </row>
    <row r="584" customFormat="false" ht="13.8" hidden="false" customHeight="false" outlineLevel="0" collapsed="false">
      <c r="A584" s="1" t="s">
        <v>1556</v>
      </c>
      <c r="B584" s="76" t="s">
        <v>1624</v>
      </c>
      <c r="C584" s="76" t="s">
        <v>1625</v>
      </c>
      <c r="D584" s="76" t="s">
        <v>1626</v>
      </c>
      <c r="E584" s="12" t="s">
        <v>1593</v>
      </c>
      <c r="F584" s="149" t="n">
        <v>-2</v>
      </c>
      <c r="G584" s="12" t="s">
        <v>15</v>
      </c>
    </row>
    <row r="585" customFormat="false" ht="13.8" hidden="false" customHeight="false" outlineLevel="0" collapsed="false">
      <c r="A585" s="1" t="s">
        <v>1556</v>
      </c>
      <c r="B585" s="48" t="s">
        <v>1773</v>
      </c>
      <c r="C585" s="48" t="s">
        <v>1622</v>
      </c>
      <c r="D585" s="48" t="s">
        <v>1623</v>
      </c>
      <c r="E585" s="48" t="s">
        <v>1593</v>
      </c>
      <c r="F585" s="48" t="n">
        <v>-1</v>
      </c>
      <c r="G585" s="76" t="s">
        <v>15</v>
      </c>
    </row>
    <row r="586" customFormat="false" ht="13.8" hidden="false" customHeight="false" outlineLevel="0" collapsed="false">
      <c r="A586" s="1" t="s">
        <v>1556</v>
      </c>
      <c r="B586" s="1" t="s">
        <v>2026</v>
      </c>
      <c r="C586" s="1" t="s">
        <v>2027</v>
      </c>
      <c r="D586" s="1" t="s">
        <v>1994</v>
      </c>
      <c r="E586" s="1" t="s">
        <v>1593</v>
      </c>
      <c r="F586" s="1" t="n">
        <v>-1</v>
      </c>
      <c r="H586" s="2" t="s">
        <v>2028</v>
      </c>
    </row>
    <row r="587" customFormat="false" ht="13.8" hidden="false" customHeight="false" outlineLevel="0" collapsed="false">
      <c r="A587" s="1" t="s">
        <v>1556</v>
      </c>
      <c r="B587" s="1" t="s">
        <v>939</v>
      </c>
      <c r="C587" s="1" t="s">
        <v>2029</v>
      </c>
      <c r="D587" s="1" t="s">
        <v>2030</v>
      </c>
      <c r="E587" s="1" t="s">
        <v>1593</v>
      </c>
      <c r="F587" s="1" t="n">
        <v>-2</v>
      </c>
      <c r="H587" s="2" t="s">
        <v>2031</v>
      </c>
    </row>
    <row r="588" customFormat="false" ht="13.8" hidden="false" customHeight="false" outlineLevel="0" collapsed="false">
      <c r="A588" s="1" t="s">
        <v>1556</v>
      </c>
      <c r="B588" s="1" t="s">
        <v>939</v>
      </c>
      <c r="C588" s="1" t="s">
        <v>2032</v>
      </c>
      <c r="D588" s="1" t="s">
        <v>2030</v>
      </c>
      <c r="E588" s="1" t="s">
        <v>1611</v>
      </c>
      <c r="F588" s="1" t="n">
        <v>-2</v>
      </c>
      <c r="H588" s="2" t="s">
        <v>2031</v>
      </c>
    </row>
    <row r="591" s="1" customFormat="true" ht="13.8" hidden="false" customHeight="false" outlineLevel="0" collapsed="false">
      <c r="A591" s="19" t="s">
        <v>1538</v>
      </c>
      <c r="B591" s="55" t="s">
        <v>1407</v>
      </c>
      <c r="C591" s="55" t="s">
        <v>1754</v>
      </c>
      <c r="D591" s="55" t="s">
        <v>1755</v>
      </c>
      <c r="E591" s="55" t="s">
        <v>1593</v>
      </c>
      <c r="F591" s="55" t="n">
        <v>-1</v>
      </c>
      <c r="G591" s="146" t="s">
        <v>15</v>
      </c>
    </row>
    <row r="592" s="1" customFormat="true" ht="13.8" hidden="false" customHeight="false" outlineLevel="0" collapsed="false">
      <c r="A592" s="19" t="s">
        <v>1538</v>
      </c>
      <c r="B592" s="55" t="s">
        <v>1756</v>
      </c>
      <c r="C592" s="55" t="s">
        <v>1757</v>
      </c>
      <c r="D592" s="55" t="s">
        <v>1758</v>
      </c>
      <c r="E592" s="55" t="s">
        <v>1593</v>
      </c>
      <c r="F592" s="55" t="n">
        <v>-3</v>
      </c>
      <c r="G592" s="146" t="s">
        <v>15</v>
      </c>
    </row>
    <row r="593" s="1" customFormat="true" ht="13.8" hidden="false" customHeight="false" outlineLevel="0" collapsed="false">
      <c r="A593" s="19" t="s">
        <v>1538</v>
      </c>
      <c r="B593" s="55" t="s">
        <v>1759</v>
      </c>
      <c r="C593" s="55" t="s">
        <v>1760</v>
      </c>
      <c r="D593" s="55" t="s">
        <v>1761</v>
      </c>
      <c r="E593" s="55" t="s">
        <v>1593</v>
      </c>
      <c r="F593" s="55" t="n">
        <v>-3</v>
      </c>
      <c r="G593" s="146" t="s">
        <v>15</v>
      </c>
    </row>
    <row r="594" s="1" customFormat="true" ht="13.8" hidden="false" customHeight="false" outlineLevel="0" collapsed="false">
      <c r="A594" s="19" t="s">
        <v>1538</v>
      </c>
      <c r="B594" s="55" t="s">
        <v>1762</v>
      </c>
      <c r="C594" s="55" t="s">
        <v>1763</v>
      </c>
      <c r="D594" s="55" t="s">
        <v>1764</v>
      </c>
      <c r="E594" s="55" t="s">
        <v>1593</v>
      </c>
      <c r="F594" s="55" t="n">
        <v>-4</v>
      </c>
      <c r="G594" s="146" t="s">
        <v>15</v>
      </c>
    </row>
    <row r="595" s="1" customFormat="true" ht="13.8" hidden="false" customHeight="false" outlineLevel="0" collapsed="false">
      <c r="A595" s="19" t="s">
        <v>1538</v>
      </c>
      <c r="B595" s="55" t="s">
        <v>1765</v>
      </c>
      <c r="C595" s="55" t="s">
        <v>1766</v>
      </c>
      <c r="D595" s="55" t="s">
        <v>1767</v>
      </c>
      <c r="E595" s="55" t="s">
        <v>1593</v>
      </c>
      <c r="F595" s="55" t="n">
        <v>-2</v>
      </c>
      <c r="G595" s="146" t="s">
        <v>15</v>
      </c>
    </row>
    <row r="596" s="1" customFormat="true" ht="13.8" hidden="false" customHeight="false" outlineLevel="0" collapsed="false">
      <c r="A596" s="19" t="s">
        <v>1538</v>
      </c>
      <c r="B596" s="48" t="s">
        <v>1768</v>
      </c>
      <c r="C596" s="48" t="s">
        <v>1769</v>
      </c>
      <c r="D596" s="48" t="s">
        <v>1767</v>
      </c>
      <c r="E596" s="48" t="s">
        <v>1593</v>
      </c>
      <c r="F596" s="48" t="n">
        <v>-2</v>
      </c>
      <c r="G596" s="76" t="s">
        <v>15</v>
      </c>
    </row>
    <row r="597" customFormat="false" ht="13.8" hidden="false" customHeight="false" outlineLevel="0" collapsed="false">
      <c r="A597" s="19" t="s">
        <v>1538</v>
      </c>
      <c r="B597" s="48" t="s">
        <v>1883</v>
      </c>
      <c r="C597" s="70" t="s">
        <v>1884</v>
      </c>
      <c r="D597" s="48" t="s">
        <v>1781</v>
      </c>
      <c r="E597" s="48" t="s">
        <v>1593</v>
      </c>
      <c r="F597" s="48" t="n">
        <v>-1</v>
      </c>
      <c r="G597" s="76" t="s">
        <v>15</v>
      </c>
    </row>
    <row r="598" customFormat="false" ht="13.8" hidden="false" customHeight="false" outlineLevel="0" collapsed="false">
      <c r="A598" s="19" t="s">
        <v>1538</v>
      </c>
      <c r="B598" s="48" t="s">
        <v>1773</v>
      </c>
      <c r="C598" s="48" t="s">
        <v>1622</v>
      </c>
      <c r="D598" s="48" t="s">
        <v>1623</v>
      </c>
      <c r="E598" s="48" t="s">
        <v>1593</v>
      </c>
      <c r="F598" s="48" t="n">
        <v>-1</v>
      </c>
      <c r="G598" s="76" t="s">
        <v>15</v>
      </c>
    </row>
    <row r="599" customFormat="false" ht="13.8" hidden="false" customHeight="false" outlineLevel="0" collapsed="false">
      <c r="A599" s="19" t="s">
        <v>1538</v>
      </c>
      <c r="B599" s="76" t="s">
        <v>1774</v>
      </c>
      <c r="C599" s="76" t="s">
        <v>1625</v>
      </c>
      <c r="D599" s="76" t="s">
        <v>1626</v>
      </c>
      <c r="E599" s="12" t="s">
        <v>1593</v>
      </c>
      <c r="F599" s="149" t="n">
        <v>-2</v>
      </c>
      <c r="G599" s="12" t="s">
        <v>15</v>
      </c>
      <c r="H599" s="150" t="s">
        <v>1775</v>
      </c>
    </row>
    <row r="600" s="1" customFormat="true" ht="13.8" hidden="false" customHeight="false" outlineLevel="0" collapsed="false">
      <c r="A600" s="19" t="s">
        <v>1538</v>
      </c>
      <c r="B600" s="14" t="s">
        <v>1847</v>
      </c>
      <c r="C600" s="14" t="s">
        <v>1848</v>
      </c>
      <c r="D600" s="14" t="s">
        <v>1849</v>
      </c>
      <c r="E600" s="14" t="s">
        <v>1593</v>
      </c>
      <c r="F600" s="14" t="n">
        <v>0</v>
      </c>
      <c r="G600" s="12" t="s">
        <v>15</v>
      </c>
    </row>
    <row r="601" s="1" customFormat="true" ht="13.8" hidden="false" customHeight="false" outlineLevel="0" collapsed="false">
      <c r="A601" s="19" t="s">
        <v>1538</v>
      </c>
      <c r="B601" s="48" t="s">
        <v>1850</v>
      </c>
      <c r="C601" s="48" t="s">
        <v>1851</v>
      </c>
      <c r="D601" s="48" t="s">
        <v>1852</v>
      </c>
      <c r="E601" s="48" t="s">
        <v>1593</v>
      </c>
      <c r="F601" s="48" t="n">
        <v>-1</v>
      </c>
      <c r="G601" s="76" t="s">
        <v>15</v>
      </c>
    </row>
    <row r="602" customFormat="false" ht="13.8" hidden="false" customHeight="false" outlineLevel="0" collapsed="false">
      <c r="A602" s="19" t="s">
        <v>1538</v>
      </c>
      <c r="B602" s="19" t="s">
        <v>1434</v>
      </c>
      <c r="C602" s="19" t="s">
        <v>2250</v>
      </c>
      <c r="D602" s="19" t="s">
        <v>2251</v>
      </c>
      <c r="E602" s="19" t="s">
        <v>1593</v>
      </c>
      <c r="F602" s="19" t="n">
        <v>0</v>
      </c>
      <c r="G602" s="152"/>
      <c r="H602" s="19" t="s">
        <v>2252</v>
      </c>
    </row>
    <row r="603" customFormat="false" ht="13.8" hidden="false" customHeight="false" outlineLevel="0" collapsed="false">
      <c r="A603" s="19" t="s">
        <v>1538</v>
      </c>
      <c r="B603" s="19" t="s">
        <v>1538</v>
      </c>
      <c r="C603" s="19" t="s">
        <v>2266</v>
      </c>
      <c r="D603" s="19" t="s">
        <v>2267</v>
      </c>
      <c r="E603" s="19" t="s">
        <v>1593</v>
      </c>
      <c r="F603" s="19" t="n">
        <v>0</v>
      </c>
      <c r="G603" s="152"/>
      <c r="H603" s="19" t="s">
        <v>2268</v>
      </c>
    </row>
    <row r="604" customFormat="false" ht="13.8" hidden="false" customHeight="false" outlineLevel="0" collapsed="false">
      <c r="A604" s="19" t="s">
        <v>1538</v>
      </c>
      <c r="B604" s="19" t="s">
        <v>1538</v>
      </c>
      <c r="C604" s="19" t="s">
        <v>2269</v>
      </c>
      <c r="D604" s="19" t="s">
        <v>2267</v>
      </c>
      <c r="E604" s="19" t="s">
        <v>1611</v>
      </c>
      <c r="F604" s="19" t="n">
        <v>0</v>
      </c>
      <c r="G604" s="152"/>
      <c r="H604" s="19" t="s">
        <v>2268</v>
      </c>
    </row>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875" right="0.7875" top="1.05277777777778" bottom="1.05277777777778" header="0.7875" footer="0.787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sheetPr filterMode="false">
    <pageSetUpPr fitToPage="false"/>
  </sheetPr>
  <dimension ref="A1:R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L32" activePane="bottomRight" state="frozen"/>
      <selection pane="topLeft" activeCell="A1" activeCellId="0" sqref="A1"/>
      <selection pane="topRight" activeCell="L1" activeCellId="0" sqref="L1"/>
      <selection pane="bottomLeft" activeCell="A32" activeCellId="0" sqref="A32"/>
      <selection pane="bottomRight" activeCell="L57" activeCellId="0" sqref="L57"/>
    </sheetView>
  </sheetViews>
  <sheetFormatPr defaultRowHeight="13.8" zeroHeight="false" outlineLevelRow="0" outlineLevelCol="0"/>
  <cols>
    <col collapsed="false" customWidth="true" hidden="false" outlineLevel="0" max="1" min="1" style="1" width="29.99"/>
    <col collapsed="false" customWidth="true" hidden="false" outlineLevel="0" max="2" min="2" style="157" width="12.78"/>
    <col collapsed="false" customWidth="true" hidden="false" outlineLevel="0" max="3" min="3" style="1" width="10.4"/>
    <col collapsed="false" customWidth="true" hidden="false" outlineLevel="0" max="4" min="4" style="1" width="5.65"/>
    <col collapsed="false" customWidth="true" hidden="false" outlineLevel="0" max="5" min="5" style="1" width="4.68"/>
    <col collapsed="false" customWidth="true" hidden="false" outlineLevel="0" max="6" min="6" style="1" width="4.82"/>
    <col collapsed="false" customWidth="true" hidden="false" outlineLevel="0" max="7" min="7" style="1" width="4.68"/>
    <col collapsed="false" customWidth="true" hidden="false" outlineLevel="0" max="8" min="8" style="1" width="10.75"/>
    <col collapsed="false" customWidth="true" hidden="false" outlineLevel="0" max="9" min="9" style="1" width="10.53"/>
    <col collapsed="false" customWidth="true" hidden="false" outlineLevel="0" max="10" min="10" style="1" width="12.49"/>
    <col collapsed="false" customWidth="true" hidden="false" outlineLevel="0" max="11" min="11" style="1" width="13.02"/>
    <col collapsed="false" customWidth="true" hidden="false" outlineLevel="0" max="12" min="12" style="1" width="22.74"/>
    <col collapsed="false" customWidth="true" hidden="false" outlineLevel="0" max="13" min="13" style="1" width="27.66"/>
    <col collapsed="false" customWidth="true" hidden="false" outlineLevel="0" max="14" min="14" style="1" width="16.32"/>
    <col collapsed="false" customWidth="true" hidden="false" outlineLevel="0" max="15" min="15" style="1" width="14.02"/>
    <col collapsed="false" customWidth="true" hidden="false" outlineLevel="0" max="16" min="16" style="1" width="10.92"/>
    <col collapsed="false" customWidth="true" hidden="false" outlineLevel="0" max="17" min="17" style="1" width="64.68"/>
    <col collapsed="false" customWidth="true" hidden="false" outlineLevel="0" max="1021" min="18" style="1" width="9.14"/>
    <col collapsed="false" customWidth="true" hidden="false" outlineLevel="0" max="1025" min="1022" style="0" width="9.14"/>
  </cols>
  <sheetData>
    <row r="1" customFormat="false" ht="13.8" hidden="false" customHeight="false" outlineLevel="0" collapsed="false">
      <c r="A1" s="158" t="s">
        <v>2270</v>
      </c>
      <c r="B1" s="158" t="s">
        <v>2271</v>
      </c>
      <c r="C1" s="158" t="s">
        <v>2272</v>
      </c>
      <c r="D1" s="158" t="s">
        <v>2273</v>
      </c>
      <c r="E1" s="158" t="s">
        <v>2274</v>
      </c>
      <c r="F1" s="158" t="s">
        <v>2275</v>
      </c>
      <c r="G1" s="158" t="s">
        <v>2276</v>
      </c>
      <c r="H1" s="158" t="s">
        <v>2277</v>
      </c>
      <c r="I1" s="158" t="s">
        <v>2278</v>
      </c>
      <c r="J1" s="158" t="s">
        <v>2279</v>
      </c>
      <c r="K1" s="158" t="s">
        <v>2280</v>
      </c>
      <c r="L1" s="158" t="s">
        <v>2281</v>
      </c>
      <c r="M1" s="158" t="s">
        <v>2282</v>
      </c>
      <c r="N1" s="158" t="s">
        <v>2283</v>
      </c>
      <c r="O1" s="158" t="s">
        <v>2284</v>
      </c>
      <c r="P1" s="158" t="s">
        <v>2285</v>
      </c>
      <c r="Q1" s="159" t="s">
        <v>2286</v>
      </c>
      <c r="R1" s="160" t="s">
        <v>2287</v>
      </c>
    </row>
    <row r="2" customFormat="false" ht="13.8" hidden="false" customHeight="false" outlineLevel="0" collapsed="false">
      <c r="A2" s="2" t="s">
        <v>2288</v>
      </c>
      <c r="B2" s="157" t="s">
        <v>2289</v>
      </c>
      <c r="C2" s="161" t="s">
        <v>1632</v>
      </c>
      <c r="D2" s="161" t="n">
        <v>3</v>
      </c>
      <c r="E2" s="161" t="n">
        <v>12</v>
      </c>
      <c r="F2" s="161" t="n">
        <v>0</v>
      </c>
      <c r="G2" s="161" t="n">
        <v>2</v>
      </c>
      <c r="H2" s="161" t="n">
        <f aca="false">Metabolites!F23</f>
        <v>2</v>
      </c>
      <c r="I2" s="162" t="n">
        <f aca="false">(D2*4+E2*1+F2*-2+G2*-3)/D2</f>
        <v>6</v>
      </c>
      <c r="J2" s="157" t="n">
        <f aca="false">D2*12.0107+E2*1.00784+F2*15.999+G2*14.0067</f>
        <v>76.13958</v>
      </c>
      <c r="K2" s="162" t="n">
        <v>139.3</v>
      </c>
      <c r="L2" s="161" t="s">
        <v>2290</v>
      </c>
      <c r="M2" s="161" t="s">
        <v>2291</v>
      </c>
      <c r="N2" s="161" t="str">
        <f aca="false">IF(K2&gt;37,"Proton symporter", "Diffusion")</f>
        <v>Proton symporter</v>
      </c>
      <c r="O2" s="161" t="s">
        <v>85</v>
      </c>
      <c r="P2" s="157" t="s">
        <v>1631</v>
      </c>
      <c r="Q2" s="17" t="s">
        <v>2292</v>
      </c>
      <c r="R2" s="161" t="s">
        <v>2293</v>
      </c>
    </row>
    <row r="3" customFormat="false" ht="13.8" hidden="false" customHeight="false" outlineLevel="0" collapsed="false">
      <c r="A3" s="17" t="s">
        <v>2294</v>
      </c>
      <c r="B3" s="157" t="s">
        <v>2289</v>
      </c>
      <c r="C3" s="161" t="s">
        <v>1644</v>
      </c>
      <c r="D3" s="161" t="n">
        <v>3</v>
      </c>
      <c r="E3" s="161" t="n">
        <v>8</v>
      </c>
      <c r="F3" s="161" t="n">
        <v>2</v>
      </c>
      <c r="G3" s="161" t="n">
        <v>0</v>
      </c>
      <c r="H3" s="161" t="n">
        <f aca="false">Metabolites!F29</f>
        <v>0</v>
      </c>
      <c r="I3" s="162" t="n">
        <f aca="false">(D3*4+E3*1+F3*-2+G3*-3)/D3</f>
        <v>5.33333333333333</v>
      </c>
      <c r="J3" s="157" t="n">
        <f aca="false">D3*12.0107+E3*1.00784+F3*15.999+G3*14.0067</f>
        <v>76.09282</v>
      </c>
      <c r="K3" s="162" t="n">
        <v>213</v>
      </c>
      <c r="L3" s="161" t="s">
        <v>2295</v>
      </c>
      <c r="M3" s="161" t="s">
        <v>2296</v>
      </c>
      <c r="N3" s="161" t="str">
        <f aca="false">IF(K3&gt;37,"Proton symporter", "Diffusion")</f>
        <v>Proton symporter</v>
      </c>
      <c r="O3" s="161" t="s">
        <v>132</v>
      </c>
      <c r="P3" s="157" t="s">
        <v>1643</v>
      </c>
      <c r="R3" s="161" t="s">
        <v>2297</v>
      </c>
    </row>
    <row r="4" customFormat="false" ht="13.8" hidden="false" customHeight="false" outlineLevel="0" collapsed="false">
      <c r="A4" s="17" t="s">
        <v>2298</v>
      </c>
      <c r="B4" s="157" t="s">
        <v>2289</v>
      </c>
      <c r="C4" s="161" t="s">
        <v>1703</v>
      </c>
      <c r="D4" s="161" t="n">
        <v>5</v>
      </c>
      <c r="E4" s="161" t="n">
        <v>12</v>
      </c>
      <c r="F4" s="161" t="n">
        <v>1</v>
      </c>
      <c r="G4" s="161" t="n">
        <v>0</v>
      </c>
      <c r="H4" s="161" t="n">
        <f aca="false">Metabolites!F60</f>
        <v>0</v>
      </c>
      <c r="I4" s="162" t="n">
        <f aca="false">(D4*4+E4*1+F4*-2+G4*-3)/D4</f>
        <v>6</v>
      </c>
      <c r="J4" s="157" t="n">
        <f aca="false">D4*12.0107+E4*1.00784+F4*15.999+G4*14.0067</f>
        <v>88.14658</v>
      </c>
      <c r="K4" s="162" t="n">
        <v>129</v>
      </c>
      <c r="L4" s="161" t="s">
        <v>2299</v>
      </c>
      <c r="M4" s="161" t="s">
        <v>2300</v>
      </c>
      <c r="N4" s="161" t="str">
        <f aca="false">IF(K4&gt;37,"Proton symporter", "Diffusion")</f>
        <v>Proton symporter</v>
      </c>
      <c r="O4" s="161" t="s">
        <v>276</v>
      </c>
      <c r="P4" s="157" t="s">
        <v>1702</v>
      </c>
      <c r="Q4" s="19" t="s">
        <v>2301</v>
      </c>
      <c r="R4" s="161" t="s">
        <v>2297</v>
      </c>
    </row>
    <row r="5" customFormat="false" ht="13.8" hidden="false" customHeight="false" outlineLevel="0" collapsed="false">
      <c r="A5" s="17" t="s">
        <v>281</v>
      </c>
      <c r="B5" s="157" t="s">
        <v>2289</v>
      </c>
      <c r="C5" s="161" t="s">
        <v>1728</v>
      </c>
      <c r="D5" s="161" t="n">
        <v>7</v>
      </c>
      <c r="E5" s="161" t="n">
        <v>2</v>
      </c>
      <c r="F5" s="161" t="n">
        <v>6</v>
      </c>
      <c r="G5" s="161" t="n">
        <v>0</v>
      </c>
      <c r="H5" s="161" t="n">
        <f aca="false">Metabolites!F74</f>
        <v>-2</v>
      </c>
      <c r="I5" s="162" t="n">
        <f aca="false">(D5*4+E5*1+F5*-2+G5*-3)/D5</f>
        <v>2.57142857142857</v>
      </c>
      <c r="J5" s="157" t="n">
        <f aca="false">D5*12.0107+E5*1.00784+F5*15.999+G5*14.0067</f>
        <v>182.08458</v>
      </c>
      <c r="K5" s="162" t="n">
        <v>355.5</v>
      </c>
      <c r="L5" s="161" t="s">
        <v>2302</v>
      </c>
      <c r="M5" s="161" t="s">
        <v>2296</v>
      </c>
      <c r="N5" s="161" t="str">
        <f aca="false">IF(K5&gt;37,"Proton symporter", "Diffusion")</f>
        <v>Proton symporter</v>
      </c>
      <c r="O5" s="163" t="s">
        <v>302</v>
      </c>
      <c r="P5" s="163" t="s">
        <v>1727</v>
      </c>
      <c r="R5" s="164" t="s">
        <v>2303</v>
      </c>
    </row>
    <row r="6" customFormat="false" ht="13.8" hidden="false" customHeight="false" outlineLevel="0" collapsed="false">
      <c r="A6" s="17" t="s">
        <v>2304</v>
      </c>
      <c r="B6" s="157" t="s">
        <v>2289</v>
      </c>
      <c r="C6" s="161" t="s">
        <v>1752</v>
      </c>
      <c r="D6" s="161" t="n">
        <v>6</v>
      </c>
      <c r="E6" s="161" t="n">
        <v>14</v>
      </c>
      <c r="F6" s="161" t="n">
        <v>1</v>
      </c>
      <c r="G6" s="161" t="n">
        <v>0</v>
      </c>
      <c r="H6" s="161" t="n">
        <f aca="false">Metabolites!F85</f>
        <v>0</v>
      </c>
      <c r="I6" s="162" t="n">
        <f aca="false">(D6*4+E6*1+F6*-2+G6*-3)/D6</f>
        <v>6</v>
      </c>
      <c r="J6" s="157" t="n">
        <f aca="false">D6*12.0107+E6*1.00784+F6*15.999+G6*14.0067</f>
        <v>102.17296</v>
      </c>
      <c r="K6" s="162" t="n">
        <v>153</v>
      </c>
      <c r="L6" s="161" t="s">
        <v>2299</v>
      </c>
      <c r="M6" s="161" t="s">
        <v>2129</v>
      </c>
      <c r="N6" s="161" t="str">
        <f aca="false">IF(K6&gt;37,"Proton symporter", "Diffusion")</f>
        <v>Proton symporter</v>
      </c>
      <c r="O6" s="163" t="s">
        <v>345</v>
      </c>
      <c r="P6" s="163" t="s">
        <v>1751</v>
      </c>
      <c r="R6" s="161" t="s">
        <v>2297</v>
      </c>
    </row>
    <row r="7" customFormat="false" ht="13.8" hidden="false" customHeight="false" outlineLevel="0" collapsed="false">
      <c r="A7" s="17" t="s">
        <v>1787</v>
      </c>
      <c r="B7" s="157" t="s">
        <v>2289</v>
      </c>
      <c r="C7" s="161" t="s">
        <v>1796</v>
      </c>
      <c r="D7" s="161" t="n">
        <v>5</v>
      </c>
      <c r="E7" s="161" t="n">
        <v>11</v>
      </c>
      <c r="F7" s="161" t="n">
        <v>2</v>
      </c>
      <c r="G7" s="161" t="n">
        <v>1</v>
      </c>
      <c r="H7" s="161" t="n">
        <f aca="false">Metabolites!F108</f>
        <v>0</v>
      </c>
      <c r="I7" s="162" t="n">
        <f aca="false">(D7*4+E7*1+F7*-2+G7*-3)/D7</f>
        <v>4.8</v>
      </c>
      <c r="J7" s="157" t="n">
        <f aca="false">D7*12.0107+E7*1.00784+F7*15.999+G7*14.0067</f>
        <v>117.14444</v>
      </c>
      <c r="K7" s="162" t="n">
        <v>247.5</v>
      </c>
      <c r="L7" s="161" t="s">
        <v>2305</v>
      </c>
      <c r="M7" s="161" t="s">
        <v>2129</v>
      </c>
      <c r="N7" s="161" t="str">
        <f aca="false">IF(K7&gt;37,"Proton symporter", "Diffusion")</f>
        <v>Proton symporter</v>
      </c>
      <c r="O7" s="161" t="s">
        <v>413</v>
      </c>
      <c r="P7" s="157" t="s">
        <v>1795</v>
      </c>
      <c r="Q7" s="1" t="s">
        <v>2306</v>
      </c>
      <c r="R7" s="164" t="s">
        <v>2307</v>
      </c>
    </row>
    <row r="8" customFormat="false" ht="13.8" hidden="false" customHeight="false" outlineLevel="0" collapsed="false">
      <c r="A8" s="17" t="s">
        <v>418</v>
      </c>
      <c r="B8" s="157" t="s">
        <v>2289</v>
      </c>
      <c r="C8" s="161" t="s">
        <v>1681</v>
      </c>
      <c r="D8" s="161" t="n">
        <v>3</v>
      </c>
      <c r="E8" s="161" t="n">
        <v>6</v>
      </c>
      <c r="F8" s="161" t="n">
        <v>1</v>
      </c>
      <c r="G8" s="161" t="n">
        <v>0</v>
      </c>
      <c r="H8" s="161" t="n">
        <f aca="false">Metabolites!F112</f>
        <v>0</v>
      </c>
      <c r="I8" s="162" t="n">
        <f aca="false">(D8*4+E8*1+F8*-2+G8*-3)/D8</f>
        <v>5.33333333333333</v>
      </c>
      <c r="J8" s="157" t="n">
        <f aca="false">D8*12.0107+E8*1.00784+F8*15.999+G8*14.0067</f>
        <v>58.07814</v>
      </c>
      <c r="K8" s="162" t="n">
        <v>56</v>
      </c>
      <c r="L8" s="161" t="s">
        <v>2308</v>
      </c>
      <c r="M8" s="161" t="s">
        <v>1590</v>
      </c>
      <c r="N8" s="161" t="str">
        <f aca="false">IF(K8&gt;37,"Proton symporter", "Diffusion")</f>
        <v>Proton symporter</v>
      </c>
      <c r="O8" s="161" t="s">
        <v>437</v>
      </c>
      <c r="P8" s="157" t="s">
        <v>1801</v>
      </c>
      <c r="R8" s="164" t="s">
        <v>2297</v>
      </c>
    </row>
    <row r="9" customFormat="false" ht="13.8" hidden="false" customHeight="false" outlineLevel="0" collapsed="false">
      <c r="A9" s="17" t="s">
        <v>2309</v>
      </c>
      <c r="B9" s="157" t="s">
        <v>2289</v>
      </c>
      <c r="C9" s="161" t="s">
        <v>1819</v>
      </c>
      <c r="D9" s="161" t="n">
        <v>3</v>
      </c>
      <c r="E9" s="161" t="n">
        <v>3</v>
      </c>
      <c r="F9" s="161" t="n">
        <v>2</v>
      </c>
      <c r="G9" s="161" t="n">
        <v>0</v>
      </c>
      <c r="H9" s="161" t="n">
        <f aca="false">Metabolites!F121</f>
        <v>-1</v>
      </c>
      <c r="I9" s="162" t="n">
        <f aca="false">(D9*4+E9*1+F9*-2+G9*-3)/D9</f>
        <v>3.66666666666667</v>
      </c>
      <c r="J9" s="157" t="n">
        <f aca="false">D9*12.0107+E9*1.00784+F9*15.999+G9*14.0067</f>
        <v>71.05362</v>
      </c>
      <c r="K9" s="162" t="n">
        <v>80</v>
      </c>
      <c r="L9" s="161" t="s">
        <v>2310</v>
      </c>
      <c r="M9" s="161" t="s">
        <v>2296</v>
      </c>
      <c r="N9" s="161" t="str">
        <f aca="false">IF(K9&gt;37,"Proton symporter", "Diffusion")</f>
        <v>Proton symporter</v>
      </c>
      <c r="O9" s="163" t="s">
        <v>469</v>
      </c>
      <c r="P9" s="157" t="s">
        <v>1818</v>
      </c>
      <c r="R9" s="161" t="s">
        <v>2293</v>
      </c>
    </row>
    <row r="10" customFormat="false" ht="13.8" hidden="false" customHeight="false" outlineLevel="0" collapsed="false">
      <c r="A10" s="17" t="s">
        <v>2311</v>
      </c>
      <c r="B10" s="157" t="s">
        <v>2289</v>
      </c>
      <c r="C10" s="161" t="s">
        <v>1819</v>
      </c>
      <c r="D10" s="161" t="n">
        <v>3</v>
      </c>
      <c r="E10" s="161" t="n">
        <v>3</v>
      </c>
      <c r="F10" s="161" t="n">
        <v>2</v>
      </c>
      <c r="G10" s="161" t="n">
        <v>0</v>
      </c>
      <c r="H10" s="161" t="n">
        <f aca="false">Metabolites!F129</f>
        <v>-1</v>
      </c>
      <c r="I10" s="162" t="n">
        <f aca="false">(D10*4+E10*1+F10*-2+G10*-3)/D10</f>
        <v>3.66666666666667</v>
      </c>
      <c r="J10" s="157" t="n">
        <f aca="false">D10*12.0107+E10*1.00784+F10*15.999+G10*14.0067</f>
        <v>71.05362</v>
      </c>
      <c r="K10" s="162" t="n">
        <v>80</v>
      </c>
      <c r="L10" s="161" t="s">
        <v>2310</v>
      </c>
      <c r="M10" s="161" t="s">
        <v>1612</v>
      </c>
      <c r="N10" s="161" t="str">
        <f aca="false">IF(K10&gt;37,"Proton symporter", "Diffusion")</f>
        <v>Proton symporter</v>
      </c>
      <c r="O10" s="163" t="s">
        <v>469</v>
      </c>
      <c r="P10" s="157" t="s">
        <v>1818</v>
      </c>
      <c r="R10" s="161" t="s">
        <v>2293</v>
      </c>
    </row>
    <row r="11" customFormat="false" ht="13.8" hidden="false" customHeight="false" outlineLevel="0" collapsed="false">
      <c r="A11" s="17" t="s">
        <v>2312</v>
      </c>
      <c r="B11" s="157" t="s">
        <v>2289</v>
      </c>
      <c r="C11" s="161" t="s">
        <v>1863</v>
      </c>
      <c r="D11" s="161" t="n">
        <v>7</v>
      </c>
      <c r="E11" s="161" t="n">
        <v>5</v>
      </c>
      <c r="F11" s="161" t="n">
        <v>2</v>
      </c>
      <c r="G11" s="161" t="n">
        <v>0</v>
      </c>
      <c r="H11" s="161" t="n">
        <f aca="false">Metabolites!F146</f>
        <v>-1</v>
      </c>
      <c r="I11" s="162" t="n">
        <f aca="false">(D11*4+E11*1+F11*-2+G11*-3)/D11</f>
        <v>4.14285714285714</v>
      </c>
      <c r="J11" s="157" t="n">
        <f aca="false">D11*12.0107+E11*1.00784+F11*15.999+G11*14.0067</f>
        <v>121.1121</v>
      </c>
      <c r="K11" s="162" t="n">
        <v>249.2</v>
      </c>
      <c r="L11" s="161" t="s">
        <v>2313</v>
      </c>
      <c r="M11" s="161" t="s">
        <v>2314</v>
      </c>
      <c r="N11" s="161" t="str">
        <f aca="false">IF(K11&gt;37,"Proton symporter", "Diffusion")</f>
        <v>Proton symporter</v>
      </c>
      <c r="O11" s="161" t="s">
        <v>553</v>
      </c>
      <c r="P11" s="157" t="s">
        <v>1862</v>
      </c>
      <c r="R11" s="157" t="s">
        <v>2293</v>
      </c>
    </row>
    <row r="12" customFormat="false" ht="13.8" hidden="false" customHeight="false" outlineLevel="0" collapsed="false">
      <c r="A12" s="17" t="s">
        <v>2315</v>
      </c>
      <c r="B12" s="157" t="s">
        <v>2289</v>
      </c>
      <c r="C12" s="161" t="s">
        <v>1863</v>
      </c>
      <c r="D12" s="161" t="n">
        <v>7</v>
      </c>
      <c r="E12" s="161" t="n">
        <v>5</v>
      </c>
      <c r="F12" s="161" t="n">
        <v>2</v>
      </c>
      <c r="G12" s="161" t="n">
        <v>0</v>
      </c>
      <c r="H12" s="161" t="n">
        <f aca="false">Metabolites!F156</f>
        <v>-1</v>
      </c>
      <c r="I12" s="162" t="n">
        <f aca="false">(D12*4+E12*1+F12*-2+G12*-3)/D12</f>
        <v>4.14285714285714</v>
      </c>
      <c r="J12" s="157" t="n">
        <f aca="false">D12*12.0107+E12*1.00784+F12*15.999+G12*14.0067</f>
        <v>121.1121</v>
      </c>
      <c r="K12" s="162" t="n">
        <v>249.2</v>
      </c>
      <c r="L12" s="161" t="s">
        <v>2313</v>
      </c>
      <c r="M12" s="161" t="s">
        <v>2314</v>
      </c>
      <c r="N12" s="161" t="str">
        <f aca="false">IF(K12&gt;37,"Proton symporter", "Diffusion")</f>
        <v>Proton symporter</v>
      </c>
      <c r="O12" s="161" t="s">
        <v>553</v>
      </c>
      <c r="P12" s="157" t="s">
        <v>1862</v>
      </c>
      <c r="R12" s="157" t="s">
        <v>2293</v>
      </c>
    </row>
    <row r="13" customFormat="false" ht="14.15" hidden="false" customHeight="false" outlineLevel="0" collapsed="false">
      <c r="A13" s="17" t="s">
        <v>2316</v>
      </c>
      <c r="B13" s="157" t="s">
        <v>2289</v>
      </c>
      <c r="C13" s="161" t="s">
        <v>1933</v>
      </c>
      <c r="D13" s="161" t="n">
        <v>40</v>
      </c>
      <c r="E13" s="161" t="n">
        <v>56</v>
      </c>
      <c r="F13" s="161" t="n">
        <v>0</v>
      </c>
      <c r="G13" s="161" t="n">
        <v>0</v>
      </c>
      <c r="H13" s="161" t="n">
        <f aca="false">Metabolites!F182</f>
        <v>0</v>
      </c>
      <c r="I13" s="162" t="n">
        <f aca="false">(D13*4+E13*1+F13*-2+G13*-3)/D13</f>
        <v>5.4</v>
      </c>
      <c r="J13" s="157" t="n">
        <f aca="false">D13*12.0107+E13*1.00784+F13*15.999+G13*14.0067</f>
        <v>536.86704</v>
      </c>
      <c r="K13" s="162" t="n">
        <v>633</v>
      </c>
      <c r="L13" s="161" t="s">
        <v>2317</v>
      </c>
      <c r="M13" s="161" t="s">
        <v>1590</v>
      </c>
      <c r="N13" s="161" t="s">
        <v>2318</v>
      </c>
      <c r="O13" s="163" t="s">
        <v>678</v>
      </c>
      <c r="P13" s="157" t="s">
        <v>1936</v>
      </c>
      <c r="R13" s="161" t="s">
        <v>2319</v>
      </c>
    </row>
    <row r="14" customFormat="false" ht="13.8" hidden="false" customHeight="false" outlineLevel="0" collapsed="false">
      <c r="A14" s="17" t="s">
        <v>809</v>
      </c>
      <c r="B14" s="157" t="s">
        <v>2289</v>
      </c>
      <c r="C14" s="161" t="s">
        <v>1998</v>
      </c>
      <c r="D14" s="161" t="n">
        <v>4</v>
      </c>
      <c r="E14" s="161" t="n">
        <v>7</v>
      </c>
      <c r="F14" s="161" t="n">
        <v>2</v>
      </c>
      <c r="G14" s="161" t="n">
        <v>0</v>
      </c>
      <c r="H14" s="161" t="n">
        <f aca="false">Metabolites!F228</f>
        <v>-1</v>
      </c>
      <c r="I14" s="162" t="n">
        <f aca="false">(D14*4+E14*1+F14*-2+G14*-3)/D14</f>
        <v>4.75</v>
      </c>
      <c r="J14" s="157" t="n">
        <f aca="false">D14*12.0107+E14*1.00784+F14*15.999+G14*14.0067</f>
        <v>87.09568</v>
      </c>
      <c r="K14" s="162" t="n">
        <v>163.5</v>
      </c>
      <c r="L14" s="161" t="s">
        <v>2310</v>
      </c>
      <c r="M14" s="161" t="s">
        <v>1590</v>
      </c>
      <c r="N14" s="161" t="str">
        <f aca="false">IF(K14&gt;37,"Proton symporter", "Diffusion")</f>
        <v>Proton symporter</v>
      </c>
      <c r="O14" s="161" t="s">
        <v>828</v>
      </c>
      <c r="P14" s="161" t="s">
        <v>1997</v>
      </c>
      <c r="Q14" s="1" t="s">
        <v>2320</v>
      </c>
      <c r="R14" s="161" t="s">
        <v>2293</v>
      </c>
    </row>
    <row r="15" customFormat="false" ht="13.8" hidden="false" customHeight="false" outlineLevel="0" collapsed="false">
      <c r="A15" s="17" t="s">
        <v>2321</v>
      </c>
      <c r="B15" s="157" t="s">
        <v>2289</v>
      </c>
      <c r="C15" s="161" t="s">
        <v>1840</v>
      </c>
      <c r="D15" s="161" t="n">
        <v>6</v>
      </c>
      <c r="E15" s="161" t="n">
        <v>4</v>
      </c>
      <c r="F15" s="161" t="n">
        <v>4</v>
      </c>
      <c r="G15" s="161" t="n">
        <v>0</v>
      </c>
      <c r="H15" s="161" t="n">
        <f aca="false">Metabolites!F241</f>
        <v>-2</v>
      </c>
      <c r="I15" s="162" t="n">
        <f aca="false">(D15*4+E15*1+F15*-2+G15*-3)/D15</f>
        <v>3.33333333333333</v>
      </c>
      <c r="J15" s="157" t="n">
        <f aca="false">D15*12.0107+E15*1.00784+F15*15.999+G15*14.0067</f>
        <v>140.09156</v>
      </c>
      <c r="K15" s="162" t="n">
        <v>345.4</v>
      </c>
      <c r="L15" s="161" t="s">
        <v>2302</v>
      </c>
      <c r="M15" s="161" t="s">
        <v>2296</v>
      </c>
      <c r="N15" s="161" t="str">
        <f aca="false">IF(K15&gt;37,"Proton symporter", "Diffusion")</f>
        <v>Proton symporter</v>
      </c>
      <c r="O15" s="163" t="s">
        <v>857</v>
      </c>
      <c r="P15" s="157" t="s">
        <v>1839</v>
      </c>
      <c r="R15" s="164" t="s">
        <v>2303</v>
      </c>
    </row>
    <row r="16" customFormat="false" ht="13.8" hidden="false" customHeight="false" outlineLevel="0" collapsed="false">
      <c r="A16" s="17" t="s">
        <v>2015</v>
      </c>
      <c r="B16" s="157" t="s">
        <v>2289</v>
      </c>
      <c r="C16" s="161" t="s">
        <v>2017</v>
      </c>
      <c r="D16" s="161" t="n">
        <v>15</v>
      </c>
      <c r="E16" s="161" t="n">
        <v>24</v>
      </c>
      <c r="F16" s="161" t="n">
        <v>0</v>
      </c>
      <c r="G16" s="161" t="n">
        <v>0</v>
      </c>
      <c r="H16" s="161" t="n">
        <f aca="false">Metabolites!F277</f>
        <v>0</v>
      </c>
      <c r="I16" s="162" t="n">
        <f aca="false">(D16*4+E16*1+F16*-2+G16*-3)/D16</f>
        <v>5.6</v>
      </c>
      <c r="J16" s="157" t="n">
        <f aca="false">D16*12.0107+E16*1.00784+F16*15.999+G16*14.0067</f>
        <v>204.34866</v>
      </c>
      <c r="K16" s="162" t="s">
        <v>2322</v>
      </c>
      <c r="L16" s="161" t="s">
        <v>2323</v>
      </c>
      <c r="M16" s="161" t="s">
        <v>1590</v>
      </c>
      <c r="N16" s="161" t="str">
        <f aca="false">IF(K16&gt;37,"Proton symporter", "Diffusion")</f>
        <v>Proton symporter</v>
      </c>
      <c r="O16" s="163" t="s">
        <v>913</v>
      </c>
      <c r="P16" s="163" t="s">
        <v>2016</v>
      </c>
      <c r="Q16" s="1" t="s">
        <v>2324</v>
      </c>
      <c r="R16" s="164" t="s">
        <v>2325</v>
      </c>
    </row>
    <row r="17" customFormat="false" ht="13.8" hidden="false" customHeight="false" outlineLevel="0" collapsed="false">
      <c r="A17" s="17" t="s">
        <v>2326</v>
      </c>
      <c r="B17" s="157" t="s">
        <v>2289</v>
      </c>
      <c r="C17" s="161" t="s">
        <v>2022</v>
      </c>
      <c r="D17" s="161" t="n">
        <v>4</v>
      </c>
      <c r="E17" s="161" t="n">
        <v>6</v>
      </c>
      <c r="F17" s="161" t="n">
        <v>2</v>
      </c>
      <c r="G17" s="161" t="n">
        <v>0</v>
      </c>
      <c r="H17" s="161" t="n">
        <f aca="false">Metabolites!F283</f>
        <v>0</v>
      </c>
      <c r="I17" s="162" t="n">
        <f aca="false">(D17*4+E17*1+F17*-2+G17*-3)/D17</f>
        <v>4.5</v>
      </c>
      <c r="J17" s="157" t="n">
        <f aca="false">D17*12.0107+E17*1.00784+F17*15.999+G17*14.0067</f>
        <v>86.08784</v>
      </c>
      <c r="K17" s="162" t="n">
        <v>204</v>
      </c>
      <c r="L17" s="161" t="s">
        <v>2327</v>
      </c>
      <c r="M17" s="161" t="s">
        <v>2328</v>
      </c>
      <c r="N17" s="161" t="str">
        <f aca="false">IF(K17&gt;37,"Proton symporter", "Diffusion")</f>
        <v>Proton symporter</v>
      </c>
      <c r="O17" s="163" t="s">
        <v>934</v>
      </c>
      <c r="P17" s="157" t="s">
        <v>2021</v>
      </c>
      <c r="R17" s="161" t="s">
        <v>2307</v>
      </c>
    </row>
    <row r="18" customFormat="false" ht="13.8" hidden="false" customHeight="false" outlineLevel="0" collapsed="false">
      <c r="A18" s="17" t="s">
        <v>939</v>
      </c>
      <c r="B18" s="157" t="s">
        <v>2289</v>
      </c>
      <c r="C18" s="161" t="s">
        <v>2030</v>
      </c>
      <c r="D18" s="161" t="n">
        <v>5</v>
      </c>
      <c r="E18" s="161" t="n">
        <v>6</v>
      </c>
      <c r="F18" s="161" t="n">
        <v>4</v>
      </c>
      <c r="G18" s="161" t="n">
        <v>0</v>
      </c>
      <c r="H18" s="161" t="n">
        <f aca="false">Metabolites!F293</f>
        <v>-2</v>
      </c>
      <c r="I18" s="162" t="n">
        <f aca="false">(D18*4+E18*1+F18*-2+G18*-3)/D18</f>
        <v>3.6</v>
      </c>
      <c r="J18" s="157" t="n">
        <f aca="false">D18*12.0107+E18*1.00784+F18*15.999+G18*14.0067</f>
        <v>130.09654</v>
      </c>
      <c r="K18" s="162" t="n">
        <v>200</v>
      </c>
      <c r="L18" s="161" t="s">
        <v>2302</v>
      </c>
      <c r="M18" s="161" t="s">
        <v>2291</v>
      </c>
      <c r="N18" s="161" t="str">
        <f aca="false">IF(K18&gt;37,"Proton symporter", "Diffusion")</f>
        <v>Proton symporter</v>
      </c>
      <c r="O18" s="161" t="s">
        <v>956</v>
      </c>
      <c r="P18" s="157" t="s">
        <v>2029</v>
      </c>
      <c r="R18" s="161" t="s">
        <v>2293</v>
      </c>
    </row>
    <row r="19" customFormat="false" ht="13.8" hidden="false" customHeight="false" outlineLevel="0" collapsed="false">
      <c r="A19" s="17" t="s">
        <v>1085</v>
      </c>
      <c r="B19" s="157" t="s">
        <v>2289</v>
      </c>
      <c r="C19" s="161" t="s">
        <v>1998</v>
      </c>
      <c r="D19" s="161" t="n">
        <v>4</v>
      </c>
      <c r="E19" s="161" t="n">
        <v>7</v>
      </c>
      <c r="F19" s="161" t="n">
        <v>2</v>
      </c>
      <c r="G19" s="161" t="n">
        <v>0</v>
      </c>
      <c r="H19" s="161" t="n">
        <f aca="false">Metabolites!F351</f>
        <v>-1</v>
      </c>
      <c r="I19" s="162" t="n">
        <f aca="false">(D19*4+E19*1+F19*-2+G19*-3)/D19</f>
        <v>4.75</v>
      </c>
      <c r="J19" s="157" t="n">
        <f aca="false">D19*12.0107+E19*1.00784+F19*15.999+G19*14.0067</f>
        <v>87.09568</v>
      </c>
      <c r="K19" s="162" t="n">
        <v>155</v>
      </c>
      <c r="L19" s="161" t="s">
        <v>2310</v>
      </c>
      <c r="M19" s="161" t="s">
        <v>1612</v>
      </c>
      <c r="N19" s="161" t="str">
        <f aca="false">IF(K19&gt;37,"Proton symporter", "Diffusion")</f>
        <v>Proton symporter</v>
      </c>
      <c r="O19" s="161" t="s">
        <v>1112</v>
      </c>
      <c r="P19" s="157" t="s">
        <v>2117</v>
      </c>
      <c r="R19" s="161" t="s">
        <v>2293</v>
      </c>
    </row>
    <row r="20" customFormat="false" ht="13.8" hidden="false" customHeight="false" outlineLevel="0" collapsed="false">
      <c r="A20" s="17" t="s">
        <v>1138</v>
      </c>
      <c r="B20" s="157" t="s">
        <v>2289</v>
      </c>
      <c r="C20" s="161" t="s">
        <v>1685</v>
      </c>
      <c r="D20" s="161" t="n">
        <v>3</v>
      </c>
      <c r="E20" s="161" t="n">
        <v>8</v>
      </c>
      <c r="F20" s="161" t="n">
        <v>1</v>
      </c>
      <c r="G20" s="161" t="n">
        <v>0</v>
      </c>
      <c r="H20" s="161" t="n">
        <f aca="false">Metabolites!F369</f>
        <v>0</v>
      </c>
      <c r="I20" s="162" t="n">
        <f aca="false">(D20*4+E20*1+F20*-2+G20*-3)/D20</f>
        <v>6</v>
      </c>
      <c r="J20" s="157" t="n">
        <f aca="false">D20*12.0107+E20*1.00784+F20*15.999+G20*14.0067</f>
        <v>60.09382</v>
      </c>
      <c r="K20" s="162" t="n">
        <v>82.5</v>
      </c>
      <c r="L20" s="161" t="s">
        <v>2299</v>
      </c>
      <c r="M20" s="161" t="s">
        <v>1590</v>
      </c>
      <c r="N20" s="161" t="str">
        <f aca="false">IF(K20&gt;37,"Proton symporter", "Diffusion")</f>
        <v>Proton symporter</v>
      </c>
      <c r="O20" s="163" t="s">
        <v>1150</v>
      </c>
      <c r="P20" s="157" t="s">
        <v>2125</v>
      </c>
      <c r="R20" s="157" t="s">
        <v>2297</v>
      </c>
    </row>
    <row r="21" customFormat="false" ht="13.8" hidden="false" customHeight="false" outlineLevel="0" collapsed="false">
      <c r="A21" s="17" t="s">
        <v>1201</v>
      </c>
      <c r="B21" s="157" t="s">
        <v>2289</v>
      </c>
      <c r="C21" s="161" t="s">
        <v>2156</v>
      </c>
      <c r="D21" s="161" t="n">
        <v>3</v>
      </c>
      <c r="E21" s="161" t="n">
        <v>2</v>
      </c>
      <c r="F21" s="161" t="n">
        <v>4</v>
      </c>
      <c r="G21" s="161" t="n">
        <v>0</v>
      </c>
      <c r="H21" s="161" t="n">
        <f aca="false">Metabolites!F398</f>
        <v>-2</v>
      </c>
      <c r="I21" s="162" t="n">
        <f aca="false">(D21*4+E21*1+F21*-2+G21*-3)/D21</f>
        <v>2</v>
      </c>
      <c r="J21" s="157" t="n">
        <f aca="false">D21*12.0107+E21*1.00784+F21*15.999+G21*14.0067</f>
        <v>102.04378</v>
      </c>
      <c r="K21" s="162" t="n">
        <v>199</v>
      </c>
      <c r="L21" s="161" t="s">
        <v>2302</v>
      </c>
      <c r="M21" s="161" t="s">
        <v>2129</v>
      </c>
      <c r="N21" s="161" t="str">
        <f aca="false">IF(K21&gt;37,"Proton symporter", "Diffusion")</f>
        <v>Proton symporter</v>
      </c>
      <c r="O21" s="163" t="s">
        <v>1222</v>
      </c>
      <c r="P21" s="157" t="s">
        <v>2155</v>
      </c>
      <c r="R21" s="164" t="s">
        <v>2329</v>
      </c>
    </row>
    <row r="22" customFormat="false" ht="13.8" hidden="false" customHeight="false" outlineLevel="0" collapsed="false">
      <c r="A22" s="1" t="s">
        <v>2330</v>
      </c>
      <c r="B22" s="157" t="s">
        <v>2331</v>
      </c>
      <c r="C22" s="157" t="s">
        <v>1608</v>
      </c>
      <c r="D22" s="157" t="n">
        <v>4</v>
      </c>
      <c r="E22" s="157" t="n">
        <v>10</v>
      </c>
      <c r="F22" s="157" t="n">
        <v>2</v>
      </c>
      <c r="G22" s="157" t="n">
        <v>0</v>
      </c>
      <c r="H22" s="157" t="n">
        <v>0</v>
      </c>
      <c r="I22" s="162" t="n">
        <f aca="false">(D22*4+E22*1+F22*-2+G22*-3)/D22</f>
        <v>5.5</v>
      </c>
      <c r="J22" s="157" t="n">
        <f aca="false">D22*12.0107+E22*1.00784+F22*15.999+G22*14.0067</f>
        <v>90.1192</v>
      </c>
      <c r="K22" s="162" t="n">
        <v>207</v>
      </c>
      <c r="L22" s="161" t="s">
        <v>2295</v>
      </c>
      <c r="M22" s="157" t="s">
        <v>1590</v>
      </c>
      <c r="N22" s="161" t="str">
        <f aca="false">IF(K22&gt;37,"Proton symporter", "Diffusion")</f>
        <v>Proton symporter</v>
      </c>
      <c r="O22" s="165" t="s">
        <v>37</v>
      </c>
      <c r="P22" s="165" t="s">
        <v>1607</v>
      </c>
      <c r="Q22" s="1" t="s">
        <v>2332</v>
      </c>
      <c r="R22" s="164" t="s">
        <v>2297</v>
      </c>
    </row>
    <row r="23" customFormat="false" ht="13.8" hidden="false" customHeight="false" outlineLevel="0" collapsed="false">
      <c r="A23" s="1" t="s">
        <v>2333</v>
      </c>
      <c r="B23" s="157" t="s">
        <v>2331</v>
      </c>
      <c r="C23" s="157" t="s">
        <v>1608</v>
      </c>
      <c r="D23" s="157" t="n">
        <v>4</v>
      </c>
      <c r="E23" s="157" t="n">
        <v>10</v>
      </c>
      <c r="F23" s="157" t="n">
        <v>2</v>
      </c>
      <c r="G23" s="157" t="n">
        <v>0</v>
      </c>
      <c r="H23" s="157" t="n">
        <v>0</v>
      </c>
      <c r="I23" s="162" t="n">
        <f aca="false">(D23*4+E23*1+F23*-2+G23*-3)/D23</f>
        <v>5.5</v>
      </c>
      <c r="J23" s="157" t="n">
        <f aca="false">D23*12.0107+E23*1.00784+F23*15.999+G23*14.0067</f>
        <v>90.1192</v>
      </c>
      <c r="K23" s="162" t="n">
        <v>207</v>
      </c>
      <c r="L23" s="161" t="s">
        <v>2295</v>
      </c>
      <c r="M23" s="157" t="s">
        <v>2334</v>
      </c>
      <c r="N23" s="161" t="str">
        <f aca="false">IF(K23&gt;37,"Proton symporter", "Diffusion")</f>
        <v>Proton symporter</v>
      </c>
      <c r="O23" s="165" t="s">
        <v>37</v>
      </c>
      <c r="P23" s="165" t="s">
        <v>1607</v>
      </c>
      <c r="Q23" s="1" t="s">
        <v>2332</v>
      </c>
      <c r="R23" s="164" t="s">
        <v>2335</v>
      </c>
    </row>
    <row r="24" customFormat="false" ht="13.8" hidden="false" customHeight="false" outlineLevel="0" collapsed="false">
      <c r="A24" s="1" t="s">
        <v>2336</v>
      </c>
      <c r="B24" s="157" t="s">
        <v>2331</v>
      </c>
      <c r="C24" s="157" t="s">
        <v>1608</v>
      </c>
      <c r="D24" s="157" t="n">
        <v>4</v>
      </c>
      <c r="E24" s="157" t="n">
        <v>10</v>
      </c>
      <c r="F24" s="157" t="n">
        <v>2</v>
      </c>
      <c r="G24" s="157" t="n">
        <v>0</v>
      </c>
      <c r="H24" s="157" t="n">
        <v>0</v>
      </c>
      <c r="I24" s="162" t="n">
        <f aca="false">(D24*4+E24*1+F24*-2+G24*-3)/D24</f>
        <v>5.5</v>
      </c>
      <c r="J24" s="157" t="n">
        <f aca="false">D24*12.0107+E24*1.00784+F24*15.999+G24*14.0067</f>
        <v>90.1192</v>
      </c>
      <c r="K24" s="162" t="n">
        <v>230</v>
      </c>
      <c r="L24" s="161" t="s">
        <v>2295</v>
      </c>
      <c r="M24" s="157" t="s">
        <v>2328</v>
      </c>
      <c r="N24" s="161" t="str">
        <f aca="false">IF(K24&gt;37,"Proton symporter", "Diffusion")</f>
        <v>Proton symporter</v>
      </c>
      <c r="O24" s="163" t="s">
        <v>172</v>
      </c>
      <c r="P24" s="165" t="s">
        <v>1667</v>
      </c>
      <c r="Q24" s="1" t="s">
        <v>2337</v>
      </c>
      <c r="R24" s="164" t="s">
        <v>2335</v>
      </c>
    </row>
    <row r="25" customFormat="false" ht="13.8" hidden="false" customHeight="false" outlineLevel="0" collapsed="false">
      <c r="A25" s="1" t="s">
        <v>2338</v>
      </c>
      <c r="B25" s="157" t="s">
        <v>2331</v>
      </c>
      <c r="C25" s="157" t="s">
        <v>1608</v>
      </c>
      <c r="D25" s="157" t="n">
        <v>4</v>
      </c>
      <c r="E25" s="157" t="n">
        <v>10</v>
      </c>
      <c r="F25" s="157" t="n">
        <v>2</v>
      </c>
      <c r="G25" s="157" t="n">
        <v>0</v>
      </c>
      <c r="H25" s="157" t="n">
        <v>0</v>
      </c>
      <c r="I25" s="162" t="n">
        <f aca="false">(D25*4+E25*1+F25*-2+G25*-3)/D25</f>
        <v>5.5</v>
      </c>
      <c r="J25" s="157" t="n">
        <f aca="false">D25*12.0107+E25*1.00784+F25*15.999+G25*14.0067</f>
        <v>90.1192</v>
      </c>
      <c r="K25" s="162" t="n">
        <v>177</v>
      </c>
      <c r="L25" s="157" t="s">
        <v>2295</v>
      </c>
      <c r="M25" s="157" t="s">
        <v>1612</v>
      </c>
      <c r="N25" s="161" t="str">
        <f aca="false">IF(K25&gt;37,"Proton symporter", "Diffusion")</f>
        <v>Proton symporter</v>
      </c>
      <c r="O25" s="157" t="s">
        <v>247</v>
      </c>
      <c r="P25" s="1" t="s">
        <v>1713</v>
      </c>
      <c r="Q25" s="1" t="s">
        <v>2339</v>
      </c>
      <c r="R25" s="164" t="s">
        <v>2335</v>
      </c>
    </row>
    <row r="26" customFormat="false" ht="13.8" hidden="false" customHeight="false" outlineLevel="0" collapsed="false">
      <c r="A26" s="1" t="s">
        <v>350</v>
      </c>
      <c r="B26" s="157" t="s">
        <v>2331</v>
      </c>
      <c r="C26" s="157" t="s">
        <v>1784</v>
      </c>
      <c r="D26" s="157" t="n">
        <v>8</v>
      </c>
      <c r="E26" s="157" t="n">
        <v>8</v>
      </c>
      <c r="F26" s="157" t="n">
        <v>1</v>
      </c>
      <c r="G26" s="157" t="n">
        <v>0</v>
      </c>
      <c r="H26" s="157" t="n">
        <v>0</v>
      </c>
      <c r="I26" s="162" t="n">
        <f aca="false">(D26*4+E26*1+F26*-2+G26*-3)/D26</f>
        <v>4.75</v>
      </c>
      <c r="J26" s="157" t="n">
        <f aca="false">D26*12.0107+E26*1.00784+F26*15.999+G26*14.0067</f>
        <v>120.14732</v>
      </c>
      <c r="K26" s="162" t="n">
        <v>229</v>
      </c>
      <c r="L26" s="157" t="s">
        <v>2340</v>
      </c>
      <c r="M26" s="161" t="s">
        <v>2341</v>
      </c>
      <c r="N26" s="161" t="str">
        <f aca="false">IF(K26&gt;37,"Proton symporter", "Diffusion")</f>
        <v>Proton symporter</v>
      </c>
      <c r="O26" s="163" t="s">
        <v>388</v>
      </c>
      <c r="P26" s="165" t="s">
        <v>1783</v>
      </c>
      <c r="Q26" s="1" t="s">
        <v>2342</v>
      </c>
      <c r="R26" s="164" t="s">
        <v>2335</v>
      </c>
    </row>
    <row r="27" customFormat="false" ht="13.8" hidden="false" customHeight="false" outlineLevel="0" collapsed="false">
      <c r="A27" s="1" t="s">
        <v>495</v>
      </c>
      <c r="B27" s="157" t="s">
        <v>2331</v>
      </c>
      <c r="C27" s="157" t="s">
        <v>1843</v>
      </c>
      <c r="D27" s="157" t="n">
        <v>6</v>
      </c>
      <c r="E27" s="157" t="n">
        <v>8</v>
      </c>
      <c r="F27" s="157" t="n">
        <v>4</v>
      </c>
      <c r="G27" s="157" t="n">
        <v>0</v>
      </c>
      <c r="H27" s="157" t="n">
        <v>-2</v>
      </c>
      <c r="I27" s="162" t="n">
        <f aca="false">(D27*4+E27*1+F27*-2+G27*-3)/D27</f>
        <v>4</v>
      </c>
      <c r="J27" s="157" t="n">
        <f aca="false">D27*12.0107+E27*1.00784+F27*15.999+G27*14.0067</f>
        <v>144.12292</v>
      </c>
      <c r="K27" s="162" t="n">
        <v>337.5</v>
      </c>
      <c r="L27" s="161" t="s">
        <v>2302</v>
      </c>
      <c r="M27" s="161" t="s">
        <v>2296</v>
      </c>
      <c r="N27" s="161" t="str">
        <f aca="false">IF(K27&gt;37,"Proton symporter", "Diffusion")</f>
        <v>Proton symporter</v>
      </c>
      <c r="O27" s="157" t="s">
        <v>517</v>
      </c>
      <c r="P27" s="1" t="s">
        <v>1842</v>
      </c>
      <c r="Q27" s="1" t="s">
        <v>2343</v>
      </c>
      <c r="R27" s="164" t="s">
        <v>2297</v>
      </c>
    </row>
    <row r="28" customFormat="false" ht="13.8" hidden="false" customHeight="false" outlineLevel="0" collapsed="false">
      <c r="A28" s="1" t="s">
        <v>2344</v>
      </c>
      <c r="B28" s="157" t="s">
        <v>2331</v>
      </c>
      <c r="C28" s="157" t="s">
        <v>1893</v>
      </c>
      <c r="D28" s="157" t="n">
        <v>7</v>
      </c>
      <c r="E28" s="157" t="n">
        <v>8</v>
      </c>
      <c r="F28" s="157" t="n">
        <v>1</v>
      </c>
      <c r="G28" s="157" t="n">
        <v>0</v>
      </c>
      <c r="H28" s="157" t="n">
        <v>0</v>
      </c>
      <c r="I28" s="162" t="n">
        <f aca="false">(D28*4+E28*1+F28*-2+G28*-3)/D28</f>
        <v>4.85714285714286</v>
      </c>
      <c r="J28" s="157" t="n">
        <f aca="false">D28*12.0107+E28*1.00784+F28*15.999+G28*14.0067</f>
        <v>108.13662</v>
      </c>
      <c r="K28" s="162" t="n">
        <v>205</v>
      </c>
      <c r="L28" s="157" t="s">
        <v>2340</v>
      </c>
      <c r="M28" s="157" t="s">
        <v>2345</v>
      </c>
      <c r="N28" s="161" t="str">
        <f aca="false">IF(K28&gt;37,"Proton symporter", "Diffusion")</f>
        <v>Proton symporter</v>
      </c>
      <c r="O28" s="161" t="s">
        <v>617</v>
      </c>
      <c r="P28" s="1" t="s">
        <v>1892</v>
      </c>
      <c r="Q28" s="1" t="s">
        <v>2346</v>
      </c>
      <c r="R28" s="164" t="s">
        <v>2297</v>
      </c>
    </row>
    <row r="29" customFormat="false" ht="13.8" hidden="false" customHeight="false" outlineLevel="0" collapsed="false">
      <c r="A29" s="17" t="s">
        <v>692</v>
      </c>
      <c r="B29" s="157" t="s">
        <v>2331</v>
      </c>
      <c r="C29" s="161" t="s">
        <v>1966</v>
      </c>
      <c r="D29" s="161" t="n">
        <v>4</v>
      </c>
      <c r="E29" s="161" t="n">
        <v>10</v>
      </c>
      <c r="F29" s="161" t="n">
        <v>0</v>
      </c>
      <c r="G29" s="161" t="n">
        <v>0</v>
      </c>
      <c r="H29" s="161" t="n">
        <f aca="false">Metabolites!F197</f>
        <v>0</v>
      </c>
      <c r="I29" s="162" t="n">
        <f aca="false">(D29*4+E29*1+F29*-2+G29*-3)/D29</f>
        <v>6.5</v>
      </c>
      <c r="J29" s="157" t="n">
        <f aca="false">D29*12.0107+E29*1.00784+F29*15.999+G29*14.0067</f>
        <v>58.1212</v>
      </c>
      <c r="K29" s="166" t="n">
        <v>-1</v>
      </c>
      <c r="L29" s="157" t="s">
        <v>2347</v>
      </c>
      <c r="M29" s="161" t="s">
        <v>2348</v>
      </c>
      <c r="N29" s="167" t="str">
        <f aca="false">IF(K29&gt;37,"Proton symporter", "Diffusion")</f>
        <v>Diffusion</v>
      </c>
      <c r="O29" s="163" t="s">
        <v>742</v>
      </c>
      <c r="P29" s="163" t="s">
        <v>1965</v>
      </c>
      <c r="R29" s="168" t="s">
        <v>2297</v>
      </c>
    </row>
    <row r="30" customFormat="false" ht="13.8" hidden="false" customHeight="false" outlineLevel="0" collapsed="false">
      <c r="A30" s="1" t="s">
        <v>2349</v>
      </c>
      <c r="B30" s="157" t="s">
        <v>2331</v>
      </c>
      <c r="C30" s="157" t="s">
        <v>1983</v>
      </c>
      <c r="D30" s="157" t="n">
        <v>4</v>
      </c>
      <c r="E30" s="157" t="n">
        <v>10</v>
      </c>
      <c r="F30" s="157" t="n">
        <v>1</v>
      </c>
      <c r="G30" s="157" t="n">
        <v>0</v>
      </c>
      <c r="H30" s="157" t="n">
        <v>0</v>
      </c>
      <c r="I30" s="162" t="n">
        <f aca="false">(D30*4+E30*1+F30*-2+G30*-3)/D30</f>
        <v>6</v>
      </c>
      <c r="J30" s="157" t="n">
        <f aca="false">D30*12.0107+E30*1.00784+F30*15.999+G30*14.0067</f>
        <v>74.1202</v>
      </c>
      <c r="K30" s="162" t="n">
        <v>117.7</v>
      </c>
      <c r="L30" s="157" t="s">
        <v>2299</v>
      </c>
      <c r="M30" s="161" t="s">
        <v>1590</v>
      </c>
      <c r="N30" s="161" t="str">
        <f aca="false">IF(K30&gt;37,"Proton symporter", "Diffusion")</f>
        <v>Proton symporter</v>
      </c>
      <c r="O30" s="157" t="s">
        <v>784</v>
      </c>
      <c r="P30" s="1" t="s">
        <v>1982</v>
      </c>
      <c r="Q30" s="1" t="s">
        <v>2350</v>
      </c>
      <c r="R30" s="157" t="s">
        <v>2297</v>
      </c>
    </row>
    <row r="31" customFormat="false" ht="13.8" hidden="false" customHeight="false" outlineLevel="0" collapsed="false">
      <c r="A31" s="1" t="s">
        <v>2351</v>
      </c>
      <c r="B31" s="157" t="s">
        <v>2331</v>
      </c>
      <c r="C31" s="157" t="s">
        <v>1983</v>
      </c>
      <c r="D31" s="157" t="n">
        <v>4</v>
      </c>
      <c r="E31" s="157" t="n">
        <v>10</v>
      </c>
      <c r="F31" s="157" t="n">
        <v>1</v>
      </c>
      <c r="G31" s="157" t="n">
        <v>0</v>
      </c>
      <c r="H31" s="157" t="n">
        <v>0</v>
      </c>
      <c r="I31" s="162" t="n">
        <f aca="false">(D31*4+E31*1+F31*-2+G31*-3)/D31</f>
        <v>6</v>
      </c>
      <c r="J31" s="157" t="n">
        <f aca="false">D31*12.0107+E31*1.00784+F31*15.999+G31*14.0067</f>
        <v>74.1202</v>
      </c>
      <c r="K31" s="162" t="n">
        <v>117.7</v>
      </c>
      <c r="L31" s="157" t="s">
        <v>2299</v>
      </c>
      <c r="M31" s="157" t="s">
        <v>2129</v>
      </c>
      <c r="N31" s="161" t="str">
        <f aca="false">IF(K31&gt;37,"Proton symporter", "Diffusion")</f>
        <v>Proton symporter</v>
      </c>
      <c r="O31" s="157" t="s">
        <v>784</v>
      </c>
      <c r="P31" s="1" t="s">
        <v>1982</v>
      </c>
      <c r="Q31" s="1" t="s">
        <v>2350</v>
      </c>
      <c r="R31" s="161" t="s">
        <v>2297</v>
      </c>
    </row>
    <row r="32" customFormat="false" ht="13.8" hidden="false" customHeight="false" outlineLevel="0" collapsed="false">
      <c r="A32" s="1" t="s">
        <v>835</v>
      </c>
      <c r="B32" s="157" t="s">
        <v>2331</v>
      </c>
      <c r="C32" s="1" t="s">
        <v>1836</v>
      </c>
      <c r="D32" s="157" t="n">
        <v>6</v>
      </c>
      <c r="E32" s="157" t="n">
        <v>6</v>
      </c>
      <c r="F32" s="157" t="n">
        <v>2</v>
      </c>
      <c r="G32" s="157" t="n">
        <v>0</v>
      </c>
      <c r="H32" s="157" t="n">
        <v>0</v>
      </c>
      <c r="I32" s="162" t="n">
        <f aca="false">(D32*4+E32*1+F32*-2+G32*-3)/D32</f>
        <v>4.33333333333333</v>
      </c>
      <c r="J32" s="157" t="n">
        <f aca="false">D32*12.0107+E32*1.00784+F32*15.999+G32*14.0067</f>
        <v>110.10924</v>
      </c>
      <c r="K32" s="162" t="n">
        <v>245</v>
      </c>
      <c r="L32" s="157" t="s">
        <v>2352</v>
      </c>
      <c r="M32" s="161" t="s">
        <v>2296</v>
      </c>
      <c r="N32" s="161" t="str">
        <f aca="false">IF(K32&gt;37,"Proton symporter", "Diffusion")</f>
        <v>Proton symporter</v>
      </c>
      <c r="O32" s="157" t="s">
        <v>846</v>
      </c>
      <c r="P32" s="1" t="s">
        <v>1835</v>
      </c>
      <c r="Q32" s="2" t="s">
        <v>2353</v>
      </c>
      <c r="R32" s="161" t="s">
        <v>2297</v>
      </c>
    </row>
    <row r="33" customFormat="false" ht="13.8" hidden="false" customHeight="false" outlineLevel="0" collapsed="false">
      <c r="A33" s="1" t="s">
        <v>2354</v>
      </c>
      <c r="B33" s="157" t="s">
        <v>2331</v>
      </c>
      <c r="C33" s="157" t="s">
        <v>1781</v>
      </c>
      <c r="D33" s="157" t="n">
        <v>9</v>
      </c>
      <c r="E33" s="157" t="n">
        <v>7</v>
      </c>
      <c r="F33" s="157" t="n">
        <v>3</v>
      </c>
      <c r="G33" s="157" t="n">
        <v>0</v>
      </c>
      <c r="H33" s="157" t="n">
        <v>-1</v>
      </c>
      <c r="I33" s="162" t="n">
        <f aca="false">(D33*4+E33*1+F33*-2+G33*-3)/D33</f>
        <v>4.11111111111111</v>
      </c>
      <c r="J33" s="157" t="n">
        <f aca="false">D33*12.0107+E33*1.00784+F33*15.999+G33*14.0067</f>
        <v>163.14818</v>
      </c>
      <c r="K33" s="162" t="n">
        <v>346</v>
      </c>
      <c r="L33" s="2" t="s">
        <v>2355</v>
      </c>
      <c r="M33" s="161" t="s">
        <v>2341</v>
      </c>
      <c r="N33" s="161" t="str">
        <f aca="false">IF(K33&gt;37,"Proton symporter", "Diffusion")</f>
        <v>Proton symporter</v>
      </c>
      <c r="O33" s="161" t="s">
        <v>871</v>
      </c>
      <c r="P33" s="19" t="s">
        <v>1780</v>
      </c>
      <c r="Q33" s="1" t="s">
        <v>2356</v>
      </c>
      <c r="R33" s="161" t="s">
        <v>2297</v>
      </c>
    </row>
    <row r="34" customFormat="false" ht="13.8" hidden="false" customHeight="false" outlineLevel="0" collapsed="false">
      <c r="A34" s="1" t="s">
        <v>2357</v>
      </c>
      <c r="B34" s="157" t="s">
        <v>2331</v>
      </c>
      <c r="C34" s="157" t="s">
        <v>1604</v>
      </c>
      <c r="D34" s="157" t="n">
        <v>4</v>
      </c>
      <c r="E34" s="157" t="n">
        <v>8</v>
      </c>
      <c r="F34" s="157" t="n">
        <v>2</v>
      </c>
      <c r="G34" s="157" t="n">
        <v>0</v>
      </c>
      <c r="H34" s="157" t="n">
        <v>0</v>
      </c>
      <c r="I34" s="162" t="n">
        <f aca="false">(D34*4+E34*1+F34*-2+G34*-3)/D34</f>
        <v>5</v>
      </c>
      <c r="J34" s="157" t="n">
        <f aca="false">D34*12.0107+E34*1.00784+F34*15.999+G34*14.0067</f>
        <v>88.10352</v>
      </c>
      <c r="K34" s="162" t="n">
        <v>77.1</v>
      </c>
      <c r="L34" s="157" t="s">
        <v>2358</v>
      </c>
      <c r="M34" s="157" t="s">
        <v>1590</v>
      </c>
      <c r="N34" s="161" t="str">
        <f aca="false">IF(K34&gt;37,"Proton symporter", "Diffusion")</f>
        <v>Proton symporter</v>
      </c>
      <c r="O34" s="157" t="s">
        <v>2359</v>
      </c>
      <c r="P34" s="1" t="s">
        <v>2012</v>
      </c>
      <c r="Q34" s="1" t="s">
        <v>2360</v>
      </c>
      <c r="R34" s="161" t="s">
        <v>2297</v>
      </c>
    </row>
    <row r="35" customFormat="false" ht="13.8" hidden="false" customHeight="false" outlineLevel="0" collapsed="false">
      <c r="A35" s="1" t="s">
        <v>960</v>
      </c>
      <c r="B35" s="157" t="s">
        <v>2331</v>
      </c>
      <c r="C35" s="157" t="s">
        <v>2066</v>
      </c>
      <c r="D35" s="157" t="n">
        <v>7</v>
      </c>
      <c r="E35" s="157" t="n">
        <v>16</v>
      </c>
      <c r="F35" s="157" t="n">
        <v>0</v>
      </c>
      <c r="G35" s="157" t="n">
        <v>0</v>
      </c>
      <c r="H35" s="157" t="n">
        <v>0</v>
      </c>
      <c r="I35" s="162" t="n">
        <f aca="false">(D35*4+E35*1+F35*-2+G35*-3)/D35</f>
        <v>6.28571428571429</v>
      </c>
      <c r="J35" s="157" t="n">
        <f aca="false">D35*12.0107+E35*1.00784+F35*15.999+G35*14.0067</f>
        <v>100.20034</v>
      </c>
      <c r="K35" s="157" t="n">
        <v>98</v>
      </c>
      <c r="L35" s="157" t="s">
        <v>2347</v>
      </c>
      <c r="M35" s="161" t="s">
        <v>1590</v>
      </c>
      <c r="N35" s="161" t="str">
        <f aca="false">IF(K35&gt;37,"Proton symporter", "Diffusion")</f>
        <v>Proton symporter</v>
      </c>
      <c r="O35" s="163" t="s">
        <v>2361</v>
      </c>
      <c r="P35" s="163" t="s">
        <v>2065</v>
      </c>
      <c r="R35" s="164" t="s">
        <v>2362</v>
      </c>
    </row>
    <row r="36" customFormat="false" ht="13.8" hidden="false" customHeight="false" outlineLevel="0" collapsed="false">
      <c r="A36" s="17" t="s">
        <v>1016</v>
      </c>
      <c r="B36" s="157" t="s">
        <v>2331</v>
      </c>
      <c r="C36" s="157" t="s">
        <v>2090</v>
      </c>
      <c r="D36" s="161" t="n">
        <v>6</v>
      </c>
      <c r="E36" s="161" t="n">
        <v>14</v>
      </c>
      <c r="F36" s="161" t="n">
        <v>0</v>
      </c>
      <c r="G36" s="161" t="n">
        <v>0</v>
      </c>
      <c r="H36" s="161" t="n">
        <v>0</v>
      </c>
      <c r="I36" s="162" t="n">
        <f aca="false">(D36*4+E36*1+F36*-2+G36*-3)/D36</f>
        <v>6.33333333333333</v>
      </c>
      <c r="J36" s="157" t="n">
        <f aca="false">D36*12.0107+E36*1.00784+F36*15.999+G36*14.0067</f>
        <v>86.17396</v>
      </c>
      <c r="K36" s="162" t="n">
        <v>69</v>
      </c>
      <c r="L36" s="157" t="s">
        <v>2347</v>
      </c>
      <c r="M36" s="161" t="s">
        <v>2348</v>
      </c>
      <c r="N36" s="161" t="str">
        <f aca="false">IF(K36&gt;37,"Proton symporter", "Diffusion")</f>
        <v>Proton symporter</v>
      </c>
      <c r="O36" s="163" t="s">
        <v>1054</v>
      </c>
      <c r="P36" s="163" t="s">
        <v>2089</v>
      </c>
      <c r="R36" s="164" t="s">
        <v>2362</v>
      </c>
    </row>
    <row r="37" customFormat="false" ht="13.8" hidden="false" customHeight="false" outlineLevel="0" collapsed="false">
      <c r="A37" s="1" t="s">
        <v>1057</v>
      </c>
      <c r="B37" s="157" t="s">
        <v>2331</v>
      </c>
      <c r="C37" s="157" t="s">
        <v>1700</v>
      </c>
      <c r="D37" s="157" t="n">
        <v>5</v>
      </c>
      <c r="E37" s="157" t="n">
        <v>10</v>
      </c>
      <c r="F37" s="157" t="n">
        <v>1</v>
      </c>
      <c r="G37" s="157" t="n">
        <v>0</v>
      </c>
      <c r="H37" s="157" t="n">
        <v>0</v>
      </c>
      <c r="I37" s="162" t="n">
        <f aca="false">(D37*4+E37*1+F37*-2+G37*-3)/D37</f>
        <v>5.6</v>
      </c>
      <c r="J37" s="157" t="n">
        <f aca="false">D37*12.0107+E37*1.00784+F37*15.999+G37*14.0067</f>
        <v>86.1309</v>
      </c>
      <c r="K37" s="162" t="n">
        <v>108</v>
      </c>
      <c r="L37" s="157" t="s">
        <v>2299</v>
      </c>
      <c r="M37" s="157" t="s">
        <v>1612</v>
      </c>
      <c r="N37" s="161" t="str">
        <f aca="false">IF(K37&gt;37,"Proton symporter", "Diffusion")</f>
        <v>Proton symporter</v>
      </c>
      <c r="O37" s="157" t="s">
        <v>1081</v>
      </c>
      <c r="P37" s="1" t="s">
        <v>2103</v>
      </c>
      <c r="R37" s="157" t="s">
        <v>2297</v>
      </c>
    </row>
    <row r="38" customFormat="false" ht="13.8" hidden="false" customHeight="false" outlineLevel="0" collapsed="false">
      <c r="A38" s="1" t="s">
        <v>2120</v>
      </c>
      <c r="B38" s="157" t="s">
        <v>2331</v>
      </c>
      <c r="C38" s="157" t="s">
        <v>2122</v>
      </c>
      <c r="D38" s="157" t="n">
        <v>5</v>
      </c>
      <c r="E38" s="157" t="n">
        <v>8</v>
      </c>
      <c r="F38" s="157" t="n">
        <v>0</v>
      </c>
      <c r="G38" s="157" t="n">
        <v>0</v>
      </c>
      <c r="H38" s="157" t="n">
        <v>0</v>
      </c>
      <c r="I38" s="162" t="n">
        <f aca="false">(D38*4+E38*1+F38*-2+G38*-3)/D38</f>
        <v>5.6</v>
      </c>
      <c r="J38" s="157" t="n">
        <f aca="false">D38*12.0107+E38*1.00784+F38*15.999+G38*14.0067</f>
        <v>68.11622</v>
      </c>
      <c r="K38" s="166" t="n">
        <v>34.07</v>
      </c>
      <c r="L38" s="157" t="s">
        <v>2323</v>
      </c>
      <c r="M38" s="157" t="s">
        <v>1590</v>
      </c>
      <c r="N38" s="167" t="str">
        <f aca="false">IF(K38&gt;37,"Proton symporter", "Diffusion")</f>
        <v>Diffusion</v>
      </c>
      <c r="O38" s="163" t="s">
        <v>1133</v>
      </c>
      <c r="P38" s="169" t="s">
        <v>2121</v>
      </c>
      <c r="Q38" s="1" t="s">
        <v>2363</v>
      </c>
      <c r="R38" s="170" t="s">
        <v>2364</v>
      </c>
    </row>
    <row r="39" customFormat="false" ht="13.8" hidden="false" customHeight="false" outlineLevel="0" collapsed="false">
      <c r="A39" s="1" t="s">
        <v>1156</v>
      </c>
      <c r="B39" s="157" t="s">
        <v>2331</v>
      </c>
      <c r="C39" s="157" t="s">
        <v>2138</v>
      </c>
      <c r="D39" s="157" t="n">
        <v>5</v>
      </c>
      <c r="E39" s="157" t="n">
        <v>4</v>
      </c>
      <c r="F39" s="157" t="n">
        <v>4</v>
      </c>
      <c r="G39" s="157" t="n">
        <v>0</v>
      </c>
      <c r="H39" s="157" t="n">
        <v>-2</v>
      </c>
      <c r="I39" s="162" t="n">
        <f aca="false">(D39*4+E39*1+F39*-2+G39*-3)/D39</f>
        <v>3.2</v>
      </c>
      <c r="J39" s="157" t="n">
        <f aca="false">D39*12.0107+E39*1.00784+F39*15.999+G39*14.0067</f>
        <v>128.08086</v>
      </c>
      <c r="K39" s="162" t="n">
        <v>381</v>
      </c>
      <c r="L39" s="157" t="s">
        <v>2302</v>
      </c>
      <c r="M39" s="157" t="s">
        <v>2365</v>
      </c>
      <c r="N39" s="161" t="str">
        <f aca="false">IF(K39&gt;37,"Proton symporter", "Diffusion")</f>
        <v>Proton symporter</v>
      </c>
      <c r="O39" s="157" t="s">
        <v>1174</v>
      </c>
      <c r="P39" s="1" t="s">
        <v>2137</v>
      </c>
      <c r="Q39" s="1" t="s">
        <v>2366</v>
      </c>
      <c r="R39" s="170"/>
    </row>
    <row r="40" customFormat="false" ht="13.8" hidden="false" customHeight="false" outlineLevel="0" collapsed="false">
      <c r="A40" s="1" t="s">
        <v>2142</v>
      </c>
      <c r="B40" s="157" t="s">
        <v>2331</v>
      </c>
      <c r="C40" s="157" t="s">
        <v>2144</v>
      </c>
      <c r="D40" s="157" t="n">
        <v>10</v>
      </c>
      <c r="E40" s="157" t="n">
        <v>16</v>
      </c>
      <c r="F40" s="157" t="n">
        <v>0</v>
      </c>
      <c r="G40" s="157" t="n">
        <v>0</v>
      </c>
      <c r="H40" s="157" t="n">
        <v>0</v>
      </c>
      <c r="I40" s="162" t="n">
        <f aca="false">(D40*4+E40*1+F40*-2+G40*-3)/D40</f>
        <v>5.6</v>
      </c>
      <c r="J40" s="157" t="n">
        <f aca="false">D40*12.0107+E40*1.00784+F40*15.999+G40*14.0067</f>
        <v>136.23244</v>
      </c>
      <c r="K40" s="162" t="n">
        <v>176</v>
      </c>
      <c r="L40" s="157" t="s">
        <v>2367</v>
      </c>
      <c r="M40" s="157" t="s">
        <v>1590</v>
      </c>
      <c r="N40" s="161" t="str">
        <f aca="false">IF(K40&gt;37,"Proton symporter", "Diffusion")</f>
        <v>Proton symporter</v>
      </c>
      <c r="O40" s="157" t="s">
        <v>1193</v>
      </c>
      <c r="P40" s="1" t="s">
        <v>2143</v>
      </c>
      <c r="Q40" s="1" t="s">
        <v>2368</v>
      </c>
      <c r="R40" s="164"/>
    </row>
    <row r="41" customFormat="false" ht="13.8" hidden="false" customHeight="false" outlineLevel="0" collapsed="false">
      <c r="A41" s="1" t="s">
        <v>1226</v>
      </c>
      <c r="B41" s="157" t="s">
        <v>2331</v>
      </c>
      <c r="C41" s="157" t="s">
        <v>2180</v>
      </c>
      <c r="D41" s="157" t="n">
        <v>9</v>
      </c>
      <c r="E41" s="157" t="n">
        <v>20</v>
      </c>
      <c r="F41" s="157" t="n">
        <v>0</v>
      </c>
      <c r="G41" s="157" t="n">
        <v>0</v>
      </c>
      <c r="H41" s="157" t="n">
        <v>0</v>
      </c>
      <c r="I41" s="162" t="n">
        <f aca="false">(D41*4+E41*1+F41*-2+G41*-3)/D41</f>
        <v>6.22222222222222</v>
      </c>
      <c r="J41" s="157" t="n">
        <f aca="false">D41*12.0107+E41*1.00784+F41*15.999+G41*14.0067</f>
        <v>128.2531</v>
      </c>
      <c r="K41" s="162" t="n">
        <v>151</v>
      </c>
      <c r="L41" s="157" t="s">
        <v>2347</v>
      </c>
      <c r="M41" s="161" t="s">
        <v>1590</v>
      </c>
      <c r="N41" s="161" t="str">
        <f aca="false">IF(K41&gt;37,"Proton symporter", "Diffusion")</f>
        <v>Proton symporter</v>
      </c>
      <c r="O41" s="169" t="s">
        <v>1262</v>
      </c>
      <c r="P41" s="163" t="s">
        <v>2179</v>
      </c>
      <c r="R41" s="157" t="s">
        <v>2293</v>
      </c>
    </row>
    <row r="42" customFormat="false" ht="13.8" hidden="false" customHeight="false" outlineLevel="0" collapsed="false">
      <c r="A42" s="17" t="s">
        <v>1265</v>
      </c>
      <c r="B42" s="157" t="s">
        <v>2331</v>
      </c>
      <c r="C42" s="161" t="s">
        <v>2202</v>
      </c>
      <c r="D42" s="161" t="n">
        <v>8</v>
      </c>
      <c r="E42" s="161" t="n">
        <v>18</v>
      </c>
      <c r="F42" s="161" t="n">
        <v>0</v>
      </c>
      <c r="G42" s="161" t="n">
        <v>0</v>
      </c>
      <c r="H42" s="161" t="n">
        <v>0</v>
      </c>
      <c r="I42" s="162" t="n">
        <f aca="false">(D42*4+E42*1+F42*-2+G42*-3)/D42</f>
        <v>6.25</v>
      </c>
      <c r="J42" s="157" t="n">
        <f aca="false">D42*12.0107+E42*1.00784+F42*15.999+G42*14.0067</f>
        <v>114.22672</v>
      </c>
      <c r="K42" s="162" t="n">
        <v>126</v>
      </c>
      <c r="L42" s="157" t="s">
        <v>2347</v>
      </c>
      <c r="M42" s="161" t="s">
        <v>2348</v>
      </c>
      <c r="N42" s="161" t="str">
        <f aca="false">IF(K42&gt;37,"Proton symporter", "Diffusion")</f>
        <v>Proton symporter</v>
      </c>
      <c r="O42" s="163" t="s">
        <v>1305</v>
      </c>
      <c r="P42" s="163" t="s">
        <v>2201</v>
      </c>
      <c r="R42" s="157"/>
    </row>
    <row r="43" customFormat="false" ht="13.8" hidden="false" customHeight="false" outlineLevel="0" collapsed="false">
      <c r="A43" s="17" t="s">
        <v>1308</v>
      </c>
      <c r="B43" s="157" t="s">
        <v>2331</v>
      </c>
      <c r="C43" s="161" t="s">
        <v>2210</v>
      </c>
      <c r="D43" s="161" t="n">
        <v>5</v>
      </c>
      <c r="E43" s="161" t="n">
        <v>12</v>
      </c>
      <c r="F43" s="161" t="n">
        <v>0</v>
      </c>
      <c r="G43" s="161" t="n">
        <v>0</v>
      </c>
      <c r="H43" s="161" t="n">
        <f aca="false">Metabolites!F461</f>
        <v>0</v>
      </c>
      <c r="I43" s="162" t="n">
        <f aca="false">(D43*4+E43*1+F43*-2+G43*-3)/D43</f>
        <v>6.4</v>
      </c>
      <c r="J43" s="157" t="n">
        <f aca="false">D43*12.0107+E43*1.00784+F43*15.999+G43*14.0067</f>
        <v>72.14758</v>
      </c>
      <c r="K43" s="166" t="n">
        <v>36.1</v>
      </c>
      <c r="L43" s="157" t="s">
        <v>2347</v>
      </c>
      <c r="M43" s="161" t="s">
        <v>1590</v>
      </c>
      <c r="N43" s="167" t="str">
        <f aca="false">IF(K43&gt;37,"Proton symporter", "Diffusion")</f>
        <v>Diffusion</v>
      </c>
      <c r="O43" s="163" t="s">
        <v>1329</v>
      </c>
      <c r="P43" s="163" t="s">
        <v>2209</v>
      </c>
      <c r="R43" s="161" t="s">
        <v>2297</v>
      </c>
    </row>
    <row r="44" customFormat="false" ht="13.8" hidden="false" customHeight="false" outlineLevel="0" collapsed="false">
      <c r="A44" s="1" t="s">
        <v>2369</v>
      </c>
      <c r="B44" s="157" t="s">
        <v>2331</v>
      </c>
      <c r="C44" s="157" t="s">
        <v>1703</v>
      </c>
      <c r="D44" s="157" t="n">
        <v>5</v>
      </c>
      <c r="E44" s="157" t="n">
        <v>12</v>
      </c>
      <c r="F44" s="157" t="n">
        <v>1</v>
      </c>
      <c r="G44" s="157" t="n">
        <v>0</v>
      </c>
      <c r="H44" s="157" t="n">
        <v>0</v>
      </c>
      <c r="I44" s="162" t="n">
        <f aca="false">(D44*4+E44*1+F44*-2+G44*-3)/D44</f>
        <v>6</v>
      </c>
      <c r="J44" s="157" t="n">
        <f aca="false">D44*12.0107+E44*1.00784+F44*15.999+G44*14.0067</f>
        <v>88.14658</v>
      </c>
      <c r="K44" s="162" t="n">
        <v>138</v>
      </c>
      <c r="L44" s="157" t="s">
        <v>2299</v>
      </c>
      <c r="M44" s="161" t="s">
        <v>2348</v>
      </c>
      <c r="N44" s="161" t="str">
        <f aca="false">IF(K44&gt;37,"Proton symporter", "Diffusion")</f>
        <v>Proton symporter</v>
      </c>
      <c r="O44" s="163" t="s">
        <v>1346</v>
      </c>
      <c r="P44" s="169" t="s">
        <v>2215</v>
      </c>
      <c r="Q44" s="1" t="s">
        <v>2370</v>
      </c>
      <c r="R44" s="157" t="s">
        <v>2293</v>
      </c>
    </row>
    <row r="45" customFormat="false" ht="13.8" hidden="false" customHeight="false" outlineLevel="0" collapsed="false">
      <c r="A45" s="1" t="s">
        <v>2371</v>
      </c>
      <c r="B45" s="157" t="s">
        <v>2331</v>
      </c>
      <c r="C45" s="157" t="s">
        <v>1703</v>
      </c>
      <c r="D45" s="157" t="n">
        <v>5</v>
      </c>
      <c r="E45" s="157" t="n">
        <v>12</v>
      </c>
      <c r="F45" s="157" t="n">
        <v>1</v>
      </c>
      <c r="G45" s="157" t="n">
        <v>0</v>
      </c>
      <c r="H45" s="157" t="n">
        <v>0</v>
      </c>
      <c r="I45" s="162" t="n">
        <f aca="false">(D45*4+E45*1+F45*-2+G45*-3)/D45</f>
        <v>6</v>
      </c>
      <c r="J45" s="157" t="n">
        <f aca="false">D45*12.0107+E45*1.00784+F45*15.999+G45*14.0067</f>
        <v>88.14658</v>
      </c>
      <c r="K45" s="162" t="n">
        <v>138</v>
      </c>
      <c r="L45" s="157" t="s">
        <v>2299</v>
      </c>
      <c r="M45" s="157" t="s">
        <v>2129</v>
      </c>
      <c r="N45" s="161" t="str">
        <f aca="false">IF(K45&gt;37,"Proton symporter", "Diffusion")</f>
        <v>Proton symporter</v>
      </c>
      <c r="O45" s="163" t="s">
        <v>1346</v>
      </c>
      <c r="P45" s="169" t="s">
        <v>2215</v>
      </c>
      <c r="Q45" s="1" t="s">
        <v>2370</v>
      </c>
      <c r="R45" s="161" t="s">
        <v>2297</v>
      </c>
    </row>
    <row r="46" customFormat="false" ht="13.8" hidden="false" customHeight="false" outlineLevel="0" collapsed="false">
      <c r="A46" s="1" t="s">
        <v>2372</v>
      </c>
      <c r="B46" s="157" t="s">
        <v>2331</v>
      </c>
      <c r="C46" s="157" t="s">
        <v>2233</v>
      </c>
      <c r="D46" s="157" t="n">
        <v>3</v>
      </c>
      <c r="E46" s="157" t="n">
        <v>8</v>
      </c>
      <c r="F46" s="157" t="n">
        <v>0</v>
      </c>
      <c r="G46" s="157" t="n">
        <v>0</v>
      </c>
      <c r="H46" s="157" t="n">
        <v>0</v>
      </c>
      <c r="I46" s="162" t="n">
        <f aca="false">(D46*4+E46*1+F46*-2+G46*-3)/D46</f>
        <v>6.66666666666667</v>
      </c>
      <c r="J46" s="157" t="n">
        <f aca="false">D46*12.0107+E46*1.00784+F46*15.999+G46*14.0067</f>
        <v>44.09482</v>
      </c>
      <c r="K46" s="166" t="n">
        <v>-42</v>
      </c>
      <c r="L46" s="157" t="s">
        <v>2317</v>
      </c>
      <c r="M46" s="161" t="s">
        <v>1590</v>
      </c>
      <c r="N46" s="167" t="str">
        <f aca="false">IF(K46&gt;37,"Proton symporter", "Diffusion")</f>
        <v>Diffusion</v>
      </c>
      <c r="O46" s="163" t="s">
        <v>1394</v>
      </c>
      <c r="P46" s="163" t="s">
        <v>2232</v>
      </c>
      <c r="R46" s="170" t="s">
        <v>2364</v>
      </c>
    </row>
    <row r="47" customFormat="false" ht="13.8" hidden="false" customHeight="false" outlineLevel="0" collapsed="false">
      <c r="A47" s="1" t="s">
        <v>2373</v>
      </c>
      <c r="B47" s="157" t="s">
        <v>2331</v>
      </c>
      <c r="C47" s="157" t="s">
        <v>2233</v>
      </c>
      <c r="D47" s="157" t="n">
        <v>3</v>
      </c>
      <c r="E47" s="157" t="n">
        <v>8</v>
      </c>
      <c r="F47" s="157" t="n">
        <v>0</v>
      </c>
      <c r="G47" s="157" t="n">
        <v>0</v>
      </c>
      <c r="H47" s="157" t="n">
        <v>0</v>
      </c>
      <c r="I47" s="162" t="n">
        <f aca="false">(D47*4+E47*1+F47*-2+G47*-3)/D47</f>
        <v>6.66666666666667</v>
      </c>
      <c r="J47" s="157" t="n">
        <f aca="false">D47*12.0107+E47*1.00784+F47*15.999+G47*14.0067</f>
        <v>44.09482</v>
      </c>
      <c r="K47" s="166" t="n">
        <v>-42</v>
      </c>
      <c r="L47" s="157" t="s">
        <v>2317</v>
      </c>
      <c r="M47" s="157" t="s">
        <v>2129</v>
      </c>
      <c r="N47" s="167" t="str">
        <f aca="false">IF(K47&gt;37,"Proton symporter", "Diffusion")</f>
        <v>Diffusion</v>
      </c>
      <c r="O47" s="163" t="s">
        <v>1394</v>
      </c>
      <c r="P47" s="163" t="s">
        <v>2232</v>
      </c>
      <c r="R47" s="157" t="s">
        <v>2293</v>
      </c>
    </row>
    <row r="48" customFormat="false" ht="13.8" hidden="false" customHeight="false" outlineLevel="0" collapsed="false">
      <c r="A48" s="19" t="s">
        <v>1407</v>
      </c>
      <c r="B48" s="157" t="s">
        <v>2331</v>
      </c>
      <c r="C48" s="161" t="s">
        <v>1755</v>
      </c>
      <c r="D48" s="157" t="n">
        <v>7</v>
      </c>
      <c r="E48" s="157" t="n">
        <v>9</v>
      </c>
      <c r="F48" s="157" t="n">
        <v>5</v>
      </c>
      <c r="G48" s="157" t="n">
        <v>0</v>
      </c>
      <c r="H48" s="157" t="n">
        <v>-1</v>
      </c>
      <c r="I48" s="162" t="n">
        <f aca="false">(D48*4+E48*1+F48*-2+G48*-3)/D48</f>
        <v>3.85714285714286</v>
      </c>
      <c r="J48" s="157" t="n">
        <f aca="false">D48*12.0107+E48*1.00784+F48*15.999+G48*14.0067</f>
        <v>173.14046</v>
      </c>
      <c r="K48" s="162" t="n">
        <v>400.5</v>
      </c>
      <c r="L48" s="157" t="s">
        <v>2355</v>
      </c>
      <c r="M48" s="157" t="s">
        <v>2374</v>
      </c>
      <c r="N48" s="161" t="str">
        <f aca="false">IF(K48&gt;37,"Proton symporter", "Diffusion")</f>
        <v>Proton symporter</v>
      </c>
      <c r="O48" s="161" t="s">
        <v>1430</v>
      </c>
      <c r="P48" s="1" t="s">
        <v>1754</v>
      </c>
      <c r="Q48" s="1" t="s">
        <v>2375</v>
      </c>
      <c r="R48" s="161" t="s">
        <v>2297</v>
      </c>
    </row>
    <row r="49" customFormat="false" ht="13.8" hidden="false" customHeight="false" outlineLevel="0" collapsed="false">
      <c r="A49" s="1" t="s">
        <v>2376</v>
      </c>
      <c r="B49" s="157" t="s">
        <v>2377</v>
      </c>
      <c r="C49" s="157" t="s">
        <v>1685</v>
      </c>
      <c r="D49" s="157" t="n">
        <v>3</v>
      </c>
      <c r="E49" s="157" t="n">
        <v>8</v>
      </c>
      <c r="F49" s="157" t="n">
        <v>1</v>
      </c>
      <c r="G49" s="157" t="n">
        <v>0</v>
      </c>
      <c r="H49" s="157" t="n">
        <v>0</v>
      </c>
      <c r="I49" s="162" t="n">
        <f aca="false">(D49*4+E49*1+F49*-2+G49*-3)/D49</f>
        <v>6</v>
      </c>
      <c r="J49" s="157" t="n">
        <f aca="false">D49*12.0107+E49*1.00784+F49*15.999+G49*14.0067</f>
        <v>60.09382</v>
      </c>
      <c r="K49" s="162" t="n">
        <v>97</v>
      </c>
      <c r="L49" s="161" t="s">
        <v>2299</v>
      </c>
      <c r="M49" s="161" t="s">
        <v>2378</v>
      </c>
      <c r="N49" s="161" t="str">
        <f aca="false">IF(K49&gt;37,"Proton symporter", "Diffusion")</f>
        <v>Proton symporter</v>
      </c>
      <c r="O49" s="157" t="s">
        <v>203</v>
      </c>
      <c r="P49" s="1" t="s">
        <v>1684</v>
      </c>
      <c r="Q49" s="1" t="s">
        <v>2379</v>
      </c>
      <c r="R49" s="161" t="s">
        <v>2297</v>
      </c>
    </row>
    <row r="50" customFormat="false" ht="13.8" hidden="false" customHeight="false" outlineLevel="0" collapsed="false">
      <c r="A50" s="1" t="s">
        <v>2380</v>
      </c>
      <c r="B50" s="157" t="s">
        <v>2377</v>
      </c>
      <c r="C50" s="157" t="s">
        <v>1685</v>
      </c>
      <c r="D50" s="157" t="n">
        <v>3</v>
      </c>
      <c r="E50" s="157" t="n">
        <v>8</v>
      </c>
      <c r="F50" s="157" t="n">
        <v>1</v>
      </c>
      <c r="G50" s="157" t="n">
        <v>0</v>
      </c>
      <c r="H50" s="157" t="n">
        <v>0</v>
      </c>
      <c r="I50" s="162" t="n">
        <f aca="false">(D50*4+E50*1+F50*-2+G50*-3)/D50</f>
        <v>6</v>
      </c>
      <c r="J50" s="157" t="n">
        <f aca="false">D50*12.0107+E50*1.00784+F50*15.999+G50*14.0067</f>
        <v>60.09382</v>
      </c>
      <c r="K50" s="162" t="n">
        <v>97</v>
      </c>
      <c r="L50" s="161" t="s">
        <v>2299</v>
      </c>
      <c r="M50" s="157" t="s">
        <v>2129</v>
      </c>
      <c r="N50" s="161" t="str">
        <f aca="false">IF(K50&gt;37,"Proton symporter", "Diffusion")</f>
        <v>Proton symporter</v>
      </c>
      <c r="O50" s="157" t="s">
        <v>203</v>
      </c>
      <c r="P50" s="1" t="s">
        <v>1684</v>
      </c>
      <c r="Q50" s="1" t="s">
        <v>2379</v>
      </c>
      <c r="R50" s="170" t="s">
        <v>2364</v>
      </c>
    </row>
    <row r="51" customFormat="false" ht="13.8" hidden="false" customHeight="false" outlineLevel="0" collapsed="false">
      <c r="A51" s="1" t="s">
        <v>1366</v>
      </c>
      <c r="B51" s="157" t="s">
        <v>2377</v>
      </c>
      <c r="C51" s="157" t="s">
        <v>2227</v>
      </c>
      <c r="D51" s="157" t="n">
        <v>6</v>
      </c>
      <c r="E51" s="157" t="n">
        <v>6</v>
      </c>
      <c r="F51" s="157" t="n">
        <v>1</v>
      </c>
      <c r="G51" s="157" t="n">
        <v>0</v>
      </c>
      <c r="H51" s="157" t="n">
        <v>0</v>
      </c>
      <c r="I51" s="162" t="n">
        <f aca="false">(D51*4+E51*1+F51*-2+G51*-3)/D51</f>
        <v>4.66666666666667</v>
      </c>
      <c r="J51" s="157" t="n">
        <f aca="false">D51*12.0107+E51*1.00784+F51*15.999+G51*14.0067</f>
        <v>94.11024</v>
      </c>
      <c r="K51" s="162" t="n">
        <v>181.7</v>
      </c>
      <c r="L51" s="157" t="s">
        <v>2340</v>
      </c>
      <c r="M51" s="161" t="s">
        <v>2341</v>
      </c>
      <c r="N51" s="161" t="str">
        <f aca="false">IF(K51&gt;37,"Proton symporter", "Diffusion")</f>
        <v>Proton symporter</v>
      </c>
      <c r="O51" s="157" t="s">
        <v>1378</v>
      </c>
      <c r="P51" s="1" t="s">
        <v>2226</v>
      </c>
      <c r="Q51" s="1" t="s">
        <v>2381</v>
      </c>
      <c r="R51" s="170" t="s">
        <v>2364</v>
      </c>
    </row>
    <row r="52" customFormat="false" ht="13.8" hidden="false" customHeight="false" outlineLevel="0" collapsed="false">
      <c r="A52" s="1" t="s">
        <v>1434</v>
      </c>
      <c r="B52" s="157" t="s">
        <v>2377</v>
      </c>
      <c r="C52" s="157" t="s">
        <v>2251</v>
      </c>
      <c r="D52" s="157" t="n">
        <v>8</v>
      </c>
      <c r="E52" s="157" t="n">
        <v>8</v>
      </c>
      <c r="F52" s="157" t="n">
        <v>0</v>
      </c>
      <c r="G52" s="157" t="n">
        <v>0</v>
      </c>
      <c r="H52" s="157" t="n">
        <v>0</v>
      </c>
      <c r="I52" s="162" t="n">
        <f aca="false">(D52*4+E52*1+F52*-2+G52*-3)/D52</f>
        <v>5</v>
      </c>
      <c r="J52" s="157" t="n">
        <f aca="false">D52*12.0107+E52*1.00784+F52*15.999+G52*14.0067</f>
        <v>104.14832</v>
      </c>
      <c r="K52" s="162" t="n">
        <v>145</v>
      </c>
      <c r="L52" s="157" t="s">
        <v>2382</v>
      </c>
      <c r="M52" s="157" t="s">
        <v>2345</v>
      </c>
      <c r="N52" s="161" t="str">
        <f aca="false">IF(K52&gt;37,"Proton symporter", "Diffusion")</f>
        <v>Proton symporter</v>
      </c>
      <c r="O52" s="163" t="s">
        <v>1450</v>
      </c>
      <c r="P52" s="169" t="s">
        <v>2250</v>
      </c>
      <c r="Q52" s="1" t="s">
        <v>2383</v>
      </c>
      <c r="R52" s="170"/>
    </row>
    <row r="53" customFormat="false" ht="13.8" hidden="false" customHeight="false" outlineLevel="0" collapsed="false">
      <c r="A53" s="1" t="s">
        <v>1492</v>
      </c>
      <c r="B53" s="157" t="s">
        <v>15</v>
      </c>
      <c r="C53" s="157" t="s">
        <v>2133</v>
      </c>
      <c r="D53" s="157" t="n">
        <v>6</v>
      </c>
      <c r="E53" s="157" t="n">
        <v>5</v>
      </c>
      <c r="F53" s="157" t="n">
        <v>7</v>
      </c>
      <c r="G53" s="157" t="n">
        <v>0</v>
      </c>
      <c r="H53" s="157" t="n">
        <v>-3</v>
      </c>
      <c r="I53" s="162" t="n">
        <f aca="false">(D53*4+E53*1+F53*-2+G53*-3)/D53</f>
        <v>2.5</v>
      </c>
      <c r="J53" s="157" t="n">
        <f aca="false">D53*12.0107+E53*1.00784+F53*15.999+G53*14.0067</f>
        <v>189.0964</v>
      </c>
      <c r="K53" s="162" t="s">
        <v>2384</v>
      </c>
      <c r="L53" s="157" t="s">
        <v>2385</v>
      </c>
      <c r="M53" s="157" t="s">
        <v>1590</v>
      </c>
      <c r="N53" s="171" t="s">
        <v>2386</v>
      </c>
      <c r="O53" s="161" t="s">
        <v>1502</v>
      </c>
      <c r="P53" s="19" t="s">
        <v>2132</v>
      </c>
      <c r="Q53" s="1" t="s">
        <v>2387</v>
      </c>
      <c r="R53" s="170"/>
    </row>
    <row r="54" customFormat="false" ht="13.8" hidden="false" customHeight="false" outlineLevel="0" collapsed="false">
      <c r="A54" s="1" t="s">
        <v>1528</v>
      </c>
      <c r="B54" s="157" t="s">
        <v>15</v>
      </c>
      <c r="C54" s="157" t="s">
        <v>1623</v>
      </c>
      <c r="D54" s="157" t="n">
        <v>5</v>
      </c>
      <c r="E54" s="157" t="n">
        <v>8</v>
      </c>
      <c r="F54" s="157" t="n">
        <v>4</v>
      </c>
      <c r="G54" s="157" t="n">
        <v>1</v>
      </c>
      <c r="H54" s="157" t="n">
        <v>-1</v>
      </c>
      <c r="I54" s="162" t="n">
        <f aca="false">(D54*4+E54*1+F54*-2+G54*-3)/D54</f>
        <v>3.4</v>
      </c>
      <c r="J54" s="157" t="n">
        <f aca="false">D54*12.0107+E54*1.00784+F54*15.999+G54*14.0067</f>
        <v>146.11892</v>
      </c>
      <c r="K54" s="162" t="n">
        <v>333.8</v>
      </c>
      <c r="L54" s="157" t="s">
        <v>2388</v>
      </c>
      <c r="M54" s="157" t="s">
        <v>2328</v>
      </c>
      <c r="N54" s="161" t="str">
        <f aca="false">IF(K54&gt;37,"Proton symporter", "Diffusion")</f>
        <v>Proton symporter</v>
      </c>
      <c r="O54" s="161" t="s">
        <v>2389</v>
      </c>
      <c r="P54" s="19" t="s">
        <v>1622</v>
      </c>
      <c r="Q54" s="1" t="s">
        <v>2390</v>
      </c>
      <c r="R54" s="170"/>
    </row>
    <row r="55" customFormat="false" ht="13.8" hidden="false" customHeight="false" outlineLevel="0" collapsed="false">
      <c r="A55" s="1" t="s">
        <v>1507</v>
      </c>
      <c r="B55" s="157" t="s">
        <v>15</v>
      </c>
      <c r="C55" s="157" t="s">
        <v>2391</v>
      </c>
      <c r="D55" s="157" t="n">
        <v>2</v>
      </c>
      <c r="E55" s="157" t="n">
        <v>3</v>
      </c>
      <c r="F55" s="157" t="n">
        <v>3</v>
      </c>
      <c r="G55" s="157" t="n">
        <v>0</v>
      </c>
      <c r="H55" s="157" t="n">
        <v>-1</v>
      </c>
      <c r="I55" s="162" t="n">
        <f aca="false">(D55*4+E55*1+F55*-2+G55*-3)/D55</f>
        <v>2.5</v>
      </c>
      <c r="J55" s="157" t="n">
        <f aca="false">D55*12.0107+E55*1.00784+F55*15.999+G55*14.0067</f>
        <v>75.04192</v>
      </c>
      <c r="K55" s="162" t="n">
        <v>112</v>
      </c>
      <c r="L55" s="157" t="s">
        <v>2392</v>
      </c>
      <c r="M55" s="157" t="s">
        <v>2393</v>
      </c>
      <c r="N55" s="161" t="str">
        <f aca="false">IF(K55&gt;37,"Proton symporter", "Diffusion")</f>
        <v>Proton symporter</v>
      </c>
      <c r="O55" s="161" t="s">
        <v>1525</v>
      </c>
      <c r="P55" s="19" t="s">
        <v>2394</v>
      </c>
      <c r="Q55" s="1" t="s">
        <v>2390</v>
      </c>
      <c r="R55" s="170"/>
    </row>
    <row r="56" customFormat="false" ht="13.8" hidden="false" customHeight="false" outlineLevel="0" collapsed="false">
      <c r="A56" s="1" t="s">
        <v>1532</v>
      </c>
      <c r="B56" s="157" t="s">
        <v>15</v>
      </c>
      <c r="C56" s="157" t="s">
        <v>1790</v>
      </c>
      <c r="D56" s="157" t="n">
        <v>6</v>
      </c>
      <c r="E56" s="157" t="n">
        <v>15</v>
      </c>
      <c r="F56" s="157" t="n">
        <v>2</v>
      </c>
      <c r="G56" s="157" t="n">
        <v>2</v>
      </c>
      <c r="H56" s="157" t="n">
        <v>1</v>
      </c>
      <c r="I56" s="162" t="n">
        <f aca="false">(D56*4+E56*1+F56*-2+G56*-3)/D56</f>
        <v>4.83333333333333</v>
      </c>
      <c r="J56" s="157" t="n">
        <f aca="false">D56*12.0107+E56*1.00784+F56*15.999+G56*14.0067</f>
        <v>147.1932</v>
      </c>
      <c r="K56" s="162" t="s">
        <v>2384</v>
      </c>
      <c r="L56" s="157" t="s">
        <v>2388</v>
      </c>
      <c r="M56" s="157" t="s">
        <v>2129</v>
      </c>
      <c r="N56" s="171" t="s">
        <v>2386</v>
      </c>
      <c r="O56" s="161" t="s">
        <v>2395</v>
      </c>
      <c r="P56" s="19" t="s">
        <v>2396</v>
      </c>
      <c r="Q56" s="1" t="s">
        <v>2387</v>
      </c>
      <c r="R56" s="170"/>
    </row>
    <row r="57" customFormat="false" ht="13.8" hidden="false" customHeight="false" outlineLevel="0" collapsed="false">
      <c r="A57" s="1" t="s">
        <v>2397</v>
      </c>
      <c r="B57" s="157" t="s">
        <v>15</v>
      </c>
      <c r="C57" s="157" t="s">
        <v>2398</v>
      </c>
      <c r="D57" s="157" t="n">
        <v>4</v>
      </c>
      <c r="E57" s="157" t="n">
        <v>4</v>
      </c>
      <c r="F57" s="157" t="n">
        <v>5</v>
      </c>
      <c r="G57" s="157" t="n">
        <v>0</v>
      </c>
      <c r="H57" s="157" t="n">
        <v>-2</v>
      </c>
      <c r="I57" s="162" t="n">
        <f aca="false">(D57*4+E57*1+F57*-2+G57*-3)/D57</f>
        <v>2.5</v>
      </c>
      <c r="J57" s="157" t="n">
        <f aca="false">D57*12.0107+E57*1.00784+F57*15.999+G57*14.0067</f>
        <v>132.06916</v>
      </c>
      <c r="K57" s="162" t="s">
        <v>2384</v>
      </c>
      <c r="L57" s="157" t="s">
        <v>2302</v>
      </c>
      <c r="M57" s="157" t="s">
        <v>2129</v>
      </c>
      <c r="N57" s="161" t="s">
        <v>2293</v>
      </c>
      <c r="O57" s="161" t="s">
        <v>1471</v>
      </c>
      <c r="P57" s="19" t="s">
        <v>2399</v>
      </c>
      <c r="Q57" s="1" t="s">
        <v>2400</v>
      </c>
      <c r="R57" s="170"/>
    </row>
    <row r="58" customFormat="false" ht="13.8" hidden="false" customHeight="false" outlineLevel="0" collapsed="false">
      <c r="A58" s="1" t="s">
        <v>1475</v>
      </c>
      <c r="B58" s="157" t="s">
        <v>15</v>
      </c>
      <c r="C58" s="157" t="s">
        <v>2401</v>
      </c>
      <c r="D58" s="157" t="n">
        <v>4</v>
      </c>
      <c r="E58" s="157" t="n">
        <v>4</v>
      </c>
      <c r="F58" s="157" t="n">
        <v>4</v>
      </c>
      <c r="G58" s="157" t="n">
        <v>0</v>
      </c>
      <c r="H58" s="157" t="n">
        <v>-2</v>
      </c>
      <c r="I58" s="162" t="n">
        <f aca="false">(D58*4+E58*1+F58*-2+G58*-3)/D58</f>
        <v>3</v>
      </c>
      <c r="J58" s="157" t="n">
        <f aca="false">D58*12.0107+E58*1.00784+F58*15.999+G58*14.0067</f>
        <v>116.07016</v>
      </c>
      <c r="K58" s="162" t="n">
        <v>235</v>
      </c>
      <c r="L58" s="157" t="s">
        <v>2302</v>
      </c>
      <c r="M58" s="157" t="s">
        <v>2129</v>
      </c>
      <c r="N58" s="161" t="str">
        <f aca="false">IF(K58&gt;37,"Proton symporter", "Diffusion")</f>
        <v>Proton symporter</v>
      </c>
      <c r="O58" s="161" t="s">
        <v>1488</v>
      </c>
      <c r="P58" s="19" t="s">
        <v>2402</v>
      </c>
      <c r="Q58" s="1" t="s">
        <v>2400</v>
      </c>
      <c r="R58" s="164" t="s">
        <v>2403</v>
      </c>
    </row>
    <row r="59" customFormat="false" ht="13.8" hidden="false" customHeight="false" outlineLevel="0" collapsed="false">
      <c r="A59" s="1" t="s">
        <v>2404</v>
      </c>
      <c r="B59" s="157" t="s">
        <v>2405</v>
      </c>
      <c r="C59" s="157" t="s">
        <v>2406</v>
      </c>
      <c r="D59" s="157" t="n">
        <v>8</v>
      </c>
      <c r="E59" s="157" t="n">
        <v>16</v>
      </c>
      <c r="F59" s="157" t="n">
        <v>2</v>
      </c>
      <c r="G59" s="157" t="n">
        <v>0</v>
      </c>
      <c r="H59" s="157" t="n">
        <v>0</v>
      </c>
      <c r="I59" s="162" t="n">
        <f aca="false">(D59*4+E59*1+F59*-2+G59*-3)/D59</f>
        <v>5.5</v>
      </c>
      <c r="J59" s="157" t="n">
        <f aca="false">D59*12.0107+E59*1.00784+F59*15.999+G59*14.0067</f>
        <v>144.20904</v>
      </c>
      <c r="K59" s="162" t="n">
        <v>166</v>
      </c>
      <c r="L59" s="157" t="s">
        <v>2358</v>
      </c>
      <c r="M59" s="157"/>
      <c r="N59" s="161" t="str">
        <f aca="false">IF(K59&gt;37,"Proton symporter", "Diffusion")</f>
        <v>Proton symporter</v>
      </c>
      <c r="O59" s="157"/>
      <c r="P59" s="1" t="s">
        <v>2407</v>
      </c>
      <c r="Q59" s="1" t="s">
        <v>2408</v>
      </c>
      <c r="R59" s="161" t="s">
        <v>2293</v>
      </c>
    </row>
    <row r="60" customFormat="false" ht="13.8" hidden="false" customHeight="false" outlineLevel="0" collapsed="false">
      <c r="A60" s="1" t="s">
        <v>2409</v>
      </c>
      <c r="B60" s="157" t="s">
        <v>2405</v>
      </c>
      <c r="C60" s="157" t="s">
        <v>2410</v>
      </c>
      <c r="D60" s="157" t="n">
        <v>20</v>
      </c>
      <c r="E60" s="157" t="n">
        <v>32</v>
      </c>
      <c r="F60" s="157" t="n">
        <v>0</v>
      </c>
      <c r="G60" s="157" t="n">
        <v>0</v>
      </c>
      <c r="H60" s="157" t="n">
        <v>0</v>
      </c>
      <c r="I60" s="162" t="n">
        <f aca="false">(D60*4+E60*1+F60*-2+G60*-3)/D60</f>
        <v>5.6</v>
      </c>
      <c r="J60" s="157" t="n">
        <f aca="false">D60*12.0107+E60*1.00784+F60*15.999+G60*14.0067</f>
        <v>272.46488</v>
      </c>
      <c r="K60" s="162" t="n">
        <v>357.7</v>
      </c>
      <c r="L60" s="157" t="s">
        <v>2411</v>
      </c>
      <c r="M60" s="157"/>
      <c r="N60" s="161" t="str">
        <f aca="false">IF(K60&gt;37,"Proton symporter", "Diffusion")</f>
        <v>Proton symporter</v>
      </c>
      <c r="O60" s="157"/>
      <c r="P60" s="36"/>
      <c r="Q60" s="1" t="s">
        <v>2342</v>
      </c>
      <c r="R60" s="161" t="s">
        <v>2293</v>
      </c>
    </row>
    <row r="61" customFormat="false" ht="13.8" hidden="false" customHeight="false" outlineLevel="0" collapsed="false">
      <c r="A61" s="1" t="s">
        <v>2412</v>
      </c>
      <c r="B61" s="157" t="s">
        <v>2405</v>
      </c>
      <c r="C61" s="157" t="s">
        <v>2413</v>
      </c>
      <c r="D61" s="157" t="n">
        <v>6</v>
      </c>
      <c r="E61" s="157" t="n">
        <v>12</v>
      </c>
      <c r="F61" s="157" t="n">
        <v>2</v>
      </c>
      <c r="G61" s="157" t="n">
        <v>0</v>
      </c>
      <c r="H61" s="157" t="n">
        <v>0</v>
      </c>
      <c r="I61" s="162" t="n">
        <f aca="false">(D61*4+E61*1+F61*-2+G61*-3)/D61</f>
        <v>5.33333333333333</v>
      </c>
      <c r="J61" s="157" t="n">
        <f aca="false">D61*12.0107+E61*1.00784+F61*15.999+G61*14.0067</f>
        <v>116.15628</v>
      </c>
      <c r="K61" s="162" t="n">
        <v>121</v>
      </c>
      <c r="L61" s="157" t="s">
        <v>2358</v>
      </c>
      <c r="M61" s="157"/>
      <c r="N61" s="161" t="str">
        <f aca="false">IF(K61&gt;37,"Proton symporter", "Diffusion")</f>
        <v>Proton symporter</v>
      </c>
      <c r="O61" s="157"/>
      <c r="P61" s="36"/>
      <c r="Q61" s="1" t="s">
        <v>2408</v>
      </c>
      <c r="R61" s="157" t="s">
        <v>2293</v>
      </c>
    </row>
    <row r="62" customFormat="false" ht="13.8" hidden="false" customHeight="false" outlineLevel="0" collapsed="false">
      <c r="A62" s="1" t="s">
        <v>2414</v>
      </c>
      <c r="B62" s="157" t="s">
        <v>2405</v>
      </c>
      <c r="C62" s="157" t="s">
        <v>2415</v>
      </c>
      <c r="D62" s="157" t="n">
        <v>7</v>
      </c>
      <c r="E62" s="157" t="n">
        <v>14</v>
      </c>
      <c r="F62" s="157" t="n">
        <v>2</v>
      </c>
      <c r="G62" s="157" t="n">
        <v>0</v>
      </c>
      <c r="H62" s="157" t="n">
        <v>0</v>
      </c>
      <c r="I62" s="162" t="n">
        <f aca="false">(D62*4+E62*1+F62*-2+G62*-3)/D62</f>
        <v>5.42857142857143</v>
      </c>
      <c r="J62" s="157" t="n">
        <f aca="false">D62*12.0107+E62*1.00784+F62*15.999+G62*14.0067</f>
        <v>130.18266</v>
      </c>
      <c r="K62" s="162" t="n">
        <v>145</v>
      </c>
      <c r="L62" s="157" t="s">
        <v>2358</v>
      </c>
      <c r="M62" s="157"/>
      <c r="N62" s="161" t="str">
        <f aca="false">IF(K62&gt;37,"Proton symporter", "Diffusion")</f>
        <v>Proton symporter</v>
      </c>
      <c r="O62" s="157"/>
      <c r="P62" s="36"/>
      <c r="Q62" s="1" t="s">
        <v>2416</v>
      </c>
      <c r="R62" s="161" t="s">
        <v>2297</v>
      </c>
    </row>
    <row r="63" customFormat="false" ht="13.8" hidden="false" customHeight="false" outlineLevel="0" collapsed="false">
      <c r="A63" s="1" t="s">
        <v>2417</v>
      </c>
      <c r="B63" s="157" t="s">
        <v>2405</v>
      </c>
      <c r="C63" s="157" t="s">
        <v>2413</v>
      </c>
      <c r="D63" s="157" t="n">
        <v>6</v>
      </c>
      <c r="E63" s="157" t="n">
        <v>12</v>
      </c>
      <c r="F63" s="157" t="n">
        <v>2</v>
      </c>
      <c r="G63" s="157" t="n">
        <v>0</v>
      </c>
      <c r="H63" s="157" t="n">
        <v>0</v>
      </c>
      <c r="I63" s="162" t="n">
        <f aca="false">(D63*4+E63*1+F63*-2+G63*-3)/D63</f>
        <v>5.33333333333333</v>
      </c>
      <c r="J63" s="157" t="n">
        <f aca="false">D63*12.0107+E63*1.00784+F63*15.999+G63*14.0067</f>
        <v>116.15628</v>
      </c>
      <c r="K63" s="162" t="n">
        <v>118</v>
      </c>
      <c r="L63" s="157" t="s">
        <v>2358</v>
      </c>
      <c r="M63" s="157"/>
      <c r="N63" s="161" t="str">
        <f aca="false">IF(K63&gt;37,"Proton symporter", "Diffusion")</f>
        <v>Proton symporter</v>
      </c>
      <c r="O63" s="157" t="s">
        <v>2418</v>
      </c>
      <c r="P63" s="1" t="s">
        <v>2419</v>
      </c>
      <c r="Q63" s="1" t="s">
        <v>2420</v>
      </c>
      <c r="R63" s="161" t="s">
        <v>2297</v>
      </c>
    </row>
    <row r="64" customFormat="false" ht="13.8" hidden="false" customHeight="false" outlineLevel="0" collapsed="false">
      <c r="A64" s="1" t="s">
        <v>2421</v>
      </c>
      <c r="B64" s="157" t="s">
        <v>2405</v>
      </c>
      <c r="C64" s="157" t="s">
        <v>2406</v>
      </c>
      <c r="D64" s="157" t="n">
        <v>8</v>
      </c>
      <c r="E64" s="157" t="n">
        <v>16</v>
      </c>
      <c r="F64" s="157" t="n">
        <v>2</v>
      </c>
      <c r="G64" s="157" t="n">
        <v>0</v>
      </c>
      <c r="H64" s="157" t="n">
        <v>0</v>
      </c>
      <c r="I64" s="162" t="n">
        <f aca="false">(D64*4+E64*1+F64*-2+G64*-3)/D64</f>
        <v>5.5</v>
      </c>
      <c r="J64" s="157" t="n">
        <f aca="false">D64*12.0107+E64*1.00784+F64*15.999+G64*14.0067</f>
        <v>144.20904</v>
      </c>
      <c r="K64" s="162" t="n">
        <v>157.5</v>
      </c>
      <c r="L64" s="157" t="s">
        <v>2358</v>
      </c>
      <c r="M64" s="157"/>
      <c r="N64" s="161" t="str">
        <f aca="false">IF(K64&gt;37,"Proton symporter", "Diffusion")</f>
        <v>Proton symporter</v>
      </c>
      <c r="O64" s="157"/>
      <c r="P64" s="36"/>
      <c r="Q64" s="1" t="s">
        <v>2422</v>
      </c>
      <c r="R64" s="170" t="s">
        <v>2362</v>
      </c>
    </row>
    <row r="65" customFormat="false" ht="13.8" hidden="false" customHeight="false" outlineLevel="0" collapsed="false">
      <c r="A65" s="1" t="s">
        <v>2423</v>
      </c>
      <c r="B65" s="157" t="s">
        <v>2405</v>
      </c>
      <c r="C65" s="157" t="s">
        <v>2424</v>
      </c>
      <c r="D65" s="157" t="n">
        <v>9</v>
      </c>
      <c r="E65" s="157" t="n">
        <v>18</v>
      </c>
      <c r="F65" s="157" t="n">
        <v>2</v>
      </c>
      <c r="G65" s="157" t="n">
        <v>0</v>
      </c>
      <c r="H65" s="157" t="n">
        <v>0</v>
      </c>
      <c r="I65" s="162" t="n">
        <f aca="false">(D65*4+E65*1+F65*-2+G65*-3)/D65</f>
        <v>5.55555555555556</v>
      </c>
      <c r="J65" s="157" t="n">
        <f aca="false">D65*12.0107+E65*1.00784+F65*15.999+G65*14.0067</f>
        <v>158.23542</v>
      </c>
      <c r="K65" s="162" t="n">
        <v>176.5</v>
      </c>
      <c r="L65" s="157" t="s">
        <v>2358</v>
      </c>
      <c r="M65" s="157"/>
      <c r="N65" s="161" t="str">
        <f aca="false">IF(K65&gt;37,"Proton symporter", "Diffusion")</f>
        <v>Proton symporter</v>
      </c>
      <c r="O65" s="157"/>
      <c r="P65" s="36"/>
      <c r="Q65" s="1" t="s">
        <v>2425</v>
      </c>
      <c r="R65" s="157" t="s">
        <v>2293</v>
      </c>
    </row>
    <row r="66" customFormat="false" ht="13.8" hidden="false" customHeight="false" outlineLevel="0" collapsed="false">
      <c r="A66" s="1" t="s">
        <v>2426</v>
      </c>
      <c r="B66" s="157" t="s">
        <v>2405</v>
      </c>
      <c r="C66" s="157" t="s">
        <v>2144</v>
      </c>
      <c r="D66" s="157" t="n">
        <v>10</v>
      </c>
      <c r="E66" s="157" t="n">
        <v>16</v>
      </c>
      <c r="F66" s="157" t="n">
        <v>0</v>
      </c>
      <c r="G66" s="157" t="n">
        <v>0</v>
      </c>
      <c r="H66" s="157" t="n">
        <v>0</v>
      </c>
      <c r="I66" s="162" t="n">
        <f aca="false">(D66*4+E66*1+F66*-2+G66*-3)/D66</f>
        <v>5.6</v>
      </c>
      <c r="J66" s="157" t="n">
        <f aca="false">D66*12.0107+E66*1.00784+F66*15.999+G66*14.0067</f>
        <v>136.23244</v>
      </c>
      <c r="K66" s="162" t="n">
        <v>167</v>
      </c>
      <c r="L66" s="157" t="s">
        <v>2427</v>
      </c>
      <c r="M66" s="157"/>
      <c r="N66" s="161" t="str">
        <f aca="false">IF(K66&gt;37,"Proton symporter", "Diffusion")</f>
        <v>Proton symporter</v>
      </c>
      <c r="O66" s="157"/>
      <c r="P66" s="36"/>
      <c r="Q66" s="1" t="s">
        <v>2428</v>
      </c>
      <c r="R66" s="170" t="s">
        <v>2362</v>
      </c>
    </row>
    <row r="67" customFormat="false" ht="13.8" hidden="false" customHeight="false" outlineLevel="0" collapsed="false">
      <c r="A67" s="1" t="s">
        <v>2429</v>
      </c>
      <c r="B67" s="157" t="s">
        <v>2405</v>
      </c>
      <c r="C67" s="157" t="s">
        <v>2430</v>
      </c>
      <c r="D67" s="157" t="n">
        <v>10</v>
      </c>
      <c r="E67" s="157" t="n">
        <v>20</v>
      </c>
      <c r="F67" s="157" t="n">
        <v>2</v>
      </c>
      <c r="G67" s="157" t="n">
        <v>0</v>
      </c>
      <c r="H67" s="157" t="n">
        <v>0</v>
      </c>
      <c r="I67" s="162" t="n">
        <f aca="false">(D67*4+E67*1+F67*-2+G67*-3)/D67</f>
        <v>5.6</v>
      </c>
      <c r="J67" s="157" t="n">
        <f aca="false">D67*12.0107+E67*1.00784+F67*15.999+G67*14.0067</f>
        <v>172.2618</v>
      </c>
      <c r="K67" s="162" t="n">
        <v>207</v>
      </c>
      <c r="L67" s="157" t="s">
        <v>2358</v>
      </c>
      <c r="M67" s="157"/>
      <c r="N67" s="161" t="str">
        <f aca="false">IF(K67&gt;37,"Proton symporter", "Diffusion")</f>
        <v>Proton symporter</v>
      </c>
      <c r="O67" s="157"/>
      <c r="P67" s="36"/>
      <c r="Q67" s="1" t="s">
        <v>2431</v>
      </c>
      <c r="R67" s="157" t="s">
        <v>2293</v>
      </c>
    </row>
    <row r="68" customFormat="false" ht="13.8" hidden="false" customHeight="false" outlineLevel="0" collapsed="false">
      <c r="A68" s="1" t="s">
        <v>2432</v>
      </c>
      <c r="B68" s="157" t="s">
        <v>2405</v>
      </c>
      <c r="C68" s="157" t="s">
        <v>2415</v>
      </c>
      <c r="D68" s="157" t="n">
        <v>7</v>
      </c>
      <c r="E68" s="157" t="n">
        <v>14</v>
      </c>
      <c r="F68" s="157" t="n">
        <v>2</v>
      </c>
      <c r="G68" s="157" t="n">
        <v>0</v>
      </c>
      <c r="H68" s="157" t="n">
        <v>0</v>
      </c>
      <c r="I68" s="162" t="n">
        <f aca="false">(D68*4+E68*1+F68*-2+G68*-3)/D68</f>
        <v>5.42857142857143</v>
      </c>
      <c r="J68" s="157" t="n">
        <f aca="false">D68*12.0107+E68*1.00784+F68*15.999+G68*14.0067</f>
        <v>130.18266</v>
      </c>
      <c r="K68" s="162" t="n">
        <v>143</v>
      </c>
      <c r="L68" s="157" t="s">
        <v>2358</v>
      </c>
      <c r="M68" s="157"/>
      <c r="N68" s="161" t="str">
        <f aca="false">IF(K68&gt;37,"Proton symporter", "Diffusion")</f>
        <v>Proton symporter</v>
      </c>
      <c r="O68" s="157"/>
      <c r="P68" s="36"/>
      <c r="Q68" s="1" t="s">
        <v>2433</v>
      </c>
      <c r="R68" s="157" t="s">
        <v>2293</v>
      </c>
    </row>
    <row r="69" customFormat="false" ht="13.8" hidden="false" customHeight="false" outlineLevel="0" collapsed="false">
      <c r="A69" s="172" t="s">
        <v>2434</v>
      </c>
      <c r="B69" s="157" t="s">
        <v>2405</v>
      </c>
      <c r="C69" s="157" t="s">
        <v>2435</v>
      </c>
      <c r="D69" s="157" t="n">
        <v>8</v>
      </c>
      <c r="E69" s="157" t="n">
        <v>8</v>
      </c>
      <c r="F69" s="157" t="n">
        <v>3</v>
      </c>
      <c r="G69" s="157" t="n">
        <v>0</v>
      </c>
      <c r="H69" s="157" t="n">
        <v>0</v>
      </c>
      <c r="I69" s="162" t="n">
        <f aca="false">(D69*4+E69*1+F69*-2+G69*-3)/D69</f>
        <v>4.25</v>
      </c>
      <c r="J69" s="157" t="n">
        <f aca="false">D69*12.0107+E69*1.00784+F69*15.999+G69*14.0067</f>
        <v>152.14532</v>
      </c>
      <c r="K69" s="162" t="n">
        <v>285</v>
      </c>
      <c r="L69" s="2" t="s">
        <v>2436</v>
      </c>
      <c r="M69" s="157"/>
      <c r="N69" s="161" t="str">
        <f aca="false">IF(K69&gt;37,"Proton symporter", "Diffusion")</f>
        <v>Proton symporter</v>
      </c>
      <c r="O69" s="157" t="s">
        <v>2437</v>
      </c>
      <c r="P69" s="1" t="s">
        <v>2438</v>
      </c>
      <c r="Q69" s="1" t="s">
        <v>2439</v>
      </c>
      <c r="R69" s="157"/>
    </row>
    <row r="70" customFormat="false" ht="13.8" hidden="false" customHeight="false" outlineLevel="0" collapsed="false">
      <c r="A70" s="173" t="s">
        <v>2440</v>
      </c>
      <c r="B70" s="157" t="s">
        <v>2441</v>
      </c>
      <c r="C70" s="157"/>
      <c r="D70" s="157"/>
      <c r="E70" s="157"/>
      <c r="F70" s="157"/>
      <c r="G70" s="157"/>
      <c r="H70" s="157"/>
      <c r="I70" s="162"/>
      <c r="J70" s="157"/>
      <c r="K70" s="162"/>
      <c r="L70" s="157"/>
      <c r="M70" s="157"/>
      <c r="N70" s="161"/>
      <c r="O70" s="157"/>
      <c r="R70" s="164" t="s">
        <v>2362</v>
      </c>
    </row>
    <row r="71" customFormat="false" ht="13.8" hidden="false" customHeight="false" outlineLevel="0" collapsed="false">
      <c r="A71" s="173" t="s">
        <v>1535</v>
      </c>
      <c r="B71" s="157" t="s">
        <v>2442</v>
      </c>
      <c r="C71" s="157" t="s">
        <v>2443</v>
      </c>
      <c r="D71" s="157" t="n">
        <v>6</v>
      </c>
      <c r="E71" s="157" t="n">
        <v>8</v>
      </c>
      <c r="F71" s="157" t="n">
        <v>8</v>
      </c>
      <c r="G71" s="157" t="n">
        <v>0</v>
      </c>
      <c r="H71" s="157" t="n">
        <v>-2</v>
      </c>
      <c r="I71" s="162" t="n">
        <f aca="false">(D71*4+E71*1+F71*-2+G71*-3)/D71</f>
        <v>2.66666666666667</v>
      </c>
      <c r="J71" s="157" t="n">
        <f aca="false">D71*12.0107+E71*1.00784+F71*15.999+G71*14.0067</f>
        <v>208.11892</v>
      </c>
      <c r="K71" s="162" t="s">
        <v>2384</v>
      </c>
      <c r="L71" s="157" t="s">
        <v>2444</v>
      </c>
      <c r="M71" s="157"/>
      <c r="N71" s="161" t="s">
        <v>2293</v>
      </c>
      <c r="O71" s="161" t="s">
        <v>2445</v>
      </c>
      <c r="P71" s="19" t="s">
        <v>2446</v>
      </c>
      <c r="Q71" s="1" t="s">
        <v>2390</v>
      </c>
      <c r="R71" s="157" t="s">
        <v>2293</v>
      </c>
    </row>
    <row r="72" customFormat="false" ht="13.8" hidden="false" customHeight="false" outlineLevel="0" collapsed="false">
      <c r="A72" s="173" t="s">
        <v>1538</v>
      </c>
      <c r="B72" s="157" t="s">
        <v>2447</v>
      </c>
      <c r="C72" s="157" t="s">
        <v>2267</v>
      </c>
      <c r="D72" s="157" t="n">
        <v>8</v>
      </c>
      <c r="E72" s="157" t="n">
        <v>10</v>
      </c>
      <c r="F72" s="157" t="n">
        <v>0</v>
      </c>
      <c r="G72" s="157" t="n">
        <v>0</v>
      </c>
      <c r="H72" s="157" t="n">
        <v>0</v>
      </c>
      <c r="I72" s="162" t="n">
        <f aca="false">(D72*4+E72*1+F72*-2+G72*-3)/D72</f>
        <v>5.25</v>
      </c>
      <c r="J72" s="157" t="n">
        <f aca="false">D72*12.0107+E72*1.00784+F72*15.999+G72*14.0067</f>
        <v>106.164</v>
      </c>
      <c r="K72" s="162" t="n">
        <v>136</v>
      </c>
      <c r="L72" s="157" t="s">
        <v>2448</v>
      </c>
      <c r="M72" s="157"/>
      <c r="N72" s="161" t="str">
        <f aca="false">IF(K72&gt;37,"Proton symporter", "Diffusion")</f>
        <v>Proton symporter</v>
      </c>
      <c r="O72" s="157"/>
      <c r="P72" s="36"/>
      <c r="Q72" s="1" t="s">
        <v>2449</v>
      </c>
      <c r="R72" s="157"/>
    </row>
    <row r="73" customFormat="false" ht="13.8" hidden="false" customHeight="false" outlineLevel="0" collapsed="false">
      <c r="A73" s="173" t="s">
        <v>2450</v>
      </c>
      <c r="B73" s="157" t="s">
        <v>2447</v>
      </c>
      <c r="C73" s="157" t="s">
        <v>2451</v>
      </c>
      <c r="D73" s="157" t="n">
        <v>6</v>
      </c>
      <c r="E73" s="157" t="n">
        <v>6</v>
      </c>
      <c r="F73" s="157" t="n">
        <v>3</v>
      </c>
      <c r="G73" s="157" t="n">
        <v>0</v>
      </c>
      <c r="H73" s="157" t="n">
        <v>0</v>
      </c>
      <c r="I73" s="162" t="n">
        <f aca="false">(D73*4+E73*1+F73*-2+G73*-3)/D73</f>
        <v>4</v>
      </c>
      <c r="J73" s="157" t="n">
        <f aca="false">D73*12.0107+E73*1.00784+F73*15.999+G73*14.0067</f>
        <v>126.10824</v>
      </c>
      <c r="K73" s="162" t="n">
        <v>115</v>
      </c>
      <c r="L73" s="2" t="s">
        <v>2436</v>
      </c>
      <c r="M73" s="157"/>
      <c r="N73" s="161" t="str">
        <f aca="false">IF(K73&gt;37,"Proton symporter", "Diffusion")</f>
        <v>Proton symporter</v>
      </c>
      <c r="O73" s="157"/>
      <c r="P73" s="36"/>
      <c r="Q73" s="1" t="s">
        <v>2452</v>
      </c>
      <c r="R73" s="157"/>
    </row>
    <row r="74" customFormat="false" ht="13.8" hidden="false" customHeight="false" outlineLevel="0" collapsed="false">
      <c r="A74" s="173" t="s">
        <v>2453</v>
      </c>
      <c r="B74" s="157" t="s">
        <v>2447</v>
      </c>
      <c r="C74" s="157" t="s">
        <v>1994</v>
      </c>
      <c r="D74" s="157" t="n">
        <v>5</v>
      </c>
      <c r="E74" s="157" t="n">
        <v>7</v>
      </c>
      <c r="F74" s="157" t="n">
        <v>3</v>
      </c>
      <c r="G74" s="157" t="n">
        <v>0</v>
      </c>
      <c r="H74" s="157" t="n">
        <v>-1</v>
      </c>
      <c r="I74" s="162" t="n">
        <f aca="false">(D74*4+E74*1+F74*-2+G74*-3)/D74</f>
        <v>4.2</v>
      </c>
      <c r="J74" s="157" t="n">
        <f aca="false">D74*12.0107+E74*1.00784+F74*15.999+G74*14.0067</f>
        <v>115.10538</v>
      </c>
      <c r="K74" s="162" t="n">
        <v>245</v>
      </c>
      <c r="L74" s="157" t="s">
        <v>2310</v>
      </c>
      <c r="M74" s="157"/>
      <c r="N74" s="161" t="str">
        <f aca="false">IF(K74&gt;37,"Proton symporter", "Diffusion")</f>
        <v>Proton symporter</v>
      </c>
      <c r="O74" s="157" t="s">
        <v>2454</v>
      </c>
      <c r="P74" s="1" t="s">
        <v>2455</v>
      </c>
      <c r="Q74" s="1" t="s">
        <v>2456</v>
      </c>
      <c r="R74" s="157"/>
    </row>
    <row r="75" customFormat="false" ht="13.8" hidden="false" customHeight="false" outlineLevel="0" collapsed="false">
      <c r="A75" s="173" t="s">
        <v>2457</v>
      </c>
      <c r="B75" s="157" t="s">
        <v>2447</v>
      </c>
      <c r="C75" s="157" t="s">
        <v>2267</v>
      </c>
      <c r="D75" s="157" t="n">
        <v>8</v>
      </c>
      <c r="E75" s="157" t="n">
        <v>10</v>
      </c>
      <c r="F75" s="157" t="n">
        <v>0</v>
      </c>
      <c r="G75" s="157" t="n">
        <v>0</v>
      </c>
      <c r="H75" s="157" t="n">
        <v>0</v>
      </c>
      <c r="I75" s="162" t="n">
        <f aca="false">(D75*4+E75*1+F75*-2+G75*-3)/D75</f>
        <v>5.25</v>
      </c>
      <c r="J75" s="157" t="n">
        <f aca="false">D75*12.0107+E75*1.00784+F75*15.999+G75*14.0067</f>
        <v>106.164</v>
      </c>
      <c r="K75" s="162" t="n">
        <v>138.4</v>
      </c>
      <c r="L75" s="157" t="s">
        <v>2448</v>
      </c>
      <c r="M75" s="157"/>
      <c r="N75" s="161" t="str">
        <f aca="false">IF(K75&gt;37,"Proton symporter", "Diffusion")</f>
        <v>Proton symporter</v>
      </c>
      <c r="O75" s="165" t="s">
        <v>2458</v>
      </c>
      <c r="P75" s="20" t="s">
        <v>2459</v>
      </c>
      <c r="Q75" s="1" t="s">
        <v>2460</v>
      </c>
      <c r="R75" s="170"/>
    </row>
    <row r="76" customFormat="false" ht="13.8" hidden="false" customHeight="false" outlineLevel="0" collapsed="false">
      <c r="C76" s="157"/>
      <c r="D76" s="157"/>
      <c r="E76" s="157"/>
      <c r="F76" s="157"/>
      <c r="G76" s="157"/>
      <c r="H76" s="157"/>
      <c r="I76" s="157"/>
      <c r="J76" s="157"/>
      <c r="K76" s="157"/>
      <c r="L76" s="157"/>
      <c r="M76" s="157"/>
      <c r="N76" s="157"/>
      <c r="O76" s="157"/>
    </row>
    <row r="77" customFormat="false" ht="30.75" hidden="false" customHeight="true" outlineLevel="0" collapsed="false">
      <c r="A77" s="174" t="s">
        <v>2461</v>
      </c>
      <c r="B77" s="174"/>
      <c r="C77" s="174"/>
      <c r="D77" s="174"/>
      <c r="E77" s="174"/>
      <c r="F77" s="174"/>
      <c r="G77" s="174"/>
      <c r="H77" s="174"/>
      <c r="I77" s="174"/>
      <c r="J77" s="174"/>
      <c r="K77" s="174"/>
      <c r="L77" s="174"/>
      <c r="M77" s="174"/>
      <c r="N77" s="174"/>
      <c r="O77" s="174"/>
      <c r="P77" s="174"/>
      <c r="Q77" s="174"/>
    </row>
    <row r="78" customFormat="false" ht="14.15" hidden="false" customHeight="false" outlineLevel="0" collapsed="false">
      <c r="A78" s="1" t="s">
        <v>2462</v>
      </c>
    </row>
    <row r="82" customFormat="false" ht="13.8" hidden="false" customHeight="false" outlineLevel="0" collapsed="false">
      <c r="A82" s="1" t="s">
        <v>2463</v>
      </c>
      <c r="B82" s="157" t="s">
        <v>2405</v>
      </c>
      <c r="C82" s="157" t="s">
        <v>2464</v>
      </c>
      <c r="D82" s="157" t="n">
        <v>3</v>
      </c>
      <c r="E82" s="157" t="n">
        <v>4</v>
      </c>
      <c r="F82" s="157" t="n">
        <v>2</v>
      </c>
      <c r="G82" s="157" t="n">
        <v>0</v>
      </c>
      <c r="H82" s="175" t="n">
        <v>0</v>
      </c>
      <c r="I82" s="162" t="n">
        <f aca="false">(D82*4+E82*1+F82*-2+G82*-3)/D82</f>
        <v>4</v>
      </c>
      <c r="J82" s="175"/>
      <c r="K82" s="162"/>
      <c r="L82" s="157" t="s">
        <v>2465</v>
      </c>
      <c r="M82" s="157"/>
      <c r="N82" s="161"/>
      <c r="O82" s="157"/>
      <c r="P82" s="36"/>
      <c r="Q82" s="1" t="s">
        <v>2466</v>
      </c>
      <c r="R82" s="157" t="s">
        <v>2467</v>
      </c>
    </row>
    <row r="1048575" customFormat="false" ht="12.8" hidden="false" customHeight="false" outlineLevel="0" collapsed="false"/>
    <row r="1048576" customFormat="false" ht="12.8" hidden="false" customHeight="false" outlineLevel="0" collapsed="false"/>
  </sheetData>
  <autoFilter ref="A1:Q75"/>
  <mergeCells count="1">
    <mergeCell ref="A77:Q77"/>
  </mergeCells>
  <printOptions headings="false" gridLines="false" gridLinesSet="true" horizontalCentered="false" verticalCentered="false"/>
  <pageMargins left="0.7875" right="0.7875" top="1.05277777777778" bottom="1.05277777777778" header="0.7875" footer="0.787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drawing r:id="rId2"/>
  <legacyDrawing r:id="rId3"/>
</worksheet>
</file>

<file path=xl/worksheets/sheet4.xml><?xml version="1.0" encoding="utf-8"?>
<worksheet xmlns="http://schemas.openxmlformats.org/spreadsheetml/2006/main" xmlns:r="http://schemas.openxmlformats.org/officeDocument/2006/relationships">
  <sheetPr filterMode="false">
    <pageSetUpPr fitToPage="false"/>
  </sheetPr>
  <dimension ref="A1:P1048576"/>
  <sheetViews>
    <sheetView showFormulas="false" showGridLines="true" showRowColHeaders="true" showZeros="true" rightToLeft="false" tabSelected="false" showOutlineSymbols="true" defaultGridColor="true" view="normal" topLeftCell="A19" colorId="64" zoomScale="100" zoomScaleNormal="100" zoomScalePageLayoutView="100" workbookViewId="0">
      <pane xSplit="1" ySplit="0" topLeftCell="B19" activePane="topRight" state="frozen"/>
      <selection pane="topLeft" activeCell="A19" activeCellId="0" sqref="A19"/>
      <selection pane="topRight" activeCell="A58" activeCellId="0" sqref="A58"/>
    </sheetView>
  </sheetViews>
  <sheetFormatPr defaultRowHeight="13.8" zeroHeight="false" outlineLevelRow="0" outlineLevelCol="0"/>
  <cols>
    <col collapsed="false" customWidth="true" hidden="false" outlineLevel="0" max="1" min="1" style="1" width="29.99"/>
    <col collapsed="false" customWidth="true" hidden="false" outlineLevel="0" max="2" min="2" style="157" width="12.78"/>
    <col collapsed="false" customWidth="true" hidden="false" outlineLevel="0" max="3" min="3" style="1" width="10.4"/>
    <col collapsed="false" customWidth="true" hidden="false" outlineLevel="0" max="5" min="4" style="1" width="3.23"/>
    <col collapsed="false" customWidth="true" hidden="false" outlineLevel="0" max="7" min="6" style="1" width="2.57"/>
    <col collapsed="false" customWidth="true" hidden="false" outlineLevel="0" max="8" min="8" style="1" width="7.42"/>
    <col collapsed="false" customWidth="true" hidden="false" outlineLevel="0" max="9" min="9" style="1" width="23.91"/>
    <col collapsed="false" customWidth="true" hidden="false" outlineLevel="0" max="10" min="10" style="1" width="19.66"/>
    <col collapsed="false" customWidth="true" hidden="false" outlineLevel="0" max="11" min="11" style="1" width="22.74"/>
    <col collapsed="false" customWidth="true" hidden="false" outlineLevel="0" max="12" min="12" style="1" width="16.32"/>
    <col collapsed="false" customWidth="true" hidden="false" outlineLevel="0" max="13" min="13" style="1" width="14.02"/>
    <col collapsed="false" customWidth="true" hidden="false" outlineLevel="0" max="14" min="14" style="1" width="9.14"/>
    <col collapsed="false" customWidth="true" hidden="false" outlineLevel="0" max="15" min="15" style="1" width="8.05"/>
    <col collapsed="false" customWidth="true" hidden="false" outlineLevel="0" max="16" min="16" style="1" width="43.11"/>
    <col collapsed="false" customWidth="true" hidden="false" outlineLevel="0" max="1025" min="17" style="1" width="9.14"/>
  </cols>
  <sheetData>
    <row r="1" customFormat="false" ht="13.8" hidden="false" customHeight="false" outlineLevel="0" collapsed="false">
      <c r="A1" s="158" t="s">
        <v>2270</v>
      </c>
      <c r="B1" s="158" t="s">
        <v>2271</v>
      </c>
      <c r="C1" s="158" t="s">
        <v>2272</v>
      </c>
      <c r="D1" s="158" t="s">
        <v>2273</v>
      </c>
      <c r="E1" s="158" t="s">
        <v>2274</v>
      </c>
      <c r="F1" s="158" t="s">
        <v>2275</v>
      </c>
      <c r="G1" s="158" t="s">
        <v>2276</v>
      </c>
      <c r="H1" s="158" t="s">
        <v>2277</v>
      </c>
      <c r="I1" s="158" t="s">
        <v>2281</v>
      </c>
      <c r="J1" s="158" t="s">
        <v>2468</v>
      </c>
      <c r="K1" s="158" t="s">
        <v>2282</v>
      </c>
      <c r="L1" s="160" t="s">
        <v>2283</v>
      </c>
      <c r="M1" s="158" t="s">
        <v>2284</v>
      </c>
      <c r="N1" s="158" t="s">
        <v>2469</v>
      </c>
      <c r="O1" s="158" t="s">
        <v>2285</v>
      </c>
      <c r="P1" s="159" t="s">
        <v>2286</v>
      </c>
    </row>
    <row r="2" customFormat="false" ht="13.8" hidden="false" customHeight="false" outlineLevel="0" collapsed="false">
      <c r="A2" s="2" t="s">
        <v>2288</v>
      </c>
      <c r="B2" s="157" t="s">
        <v>2289</v>
      </c>
      <c r="C2" s="161" t="s">
        <v>1632</v>
      </c>
      <c r="D2" s="161" t="n">
        <v>3</v>
      </c>
      <c r="E2" s="161" t="n">
        <v>12</v>
      </c>
      <c r="F2" s="161" t="n">
        <v>0</v>
      </c>
      <c r="G2" s="161" t="n">
        <v>2</v>
      </c>
      <c r="H2" s="161" t="n">
        <f aca="false">Metabolites!F23</f>
        <v>2</v>
      </c>
      <c r="I2" s="161" t="s">
        <v>2290</v>
      </c>
      <c r="J2" s="162" t="n">
        <f aca="false">(D2*4+E2*1+F2*-2+G2*-3)/D2</f>
        <v>6</v>
      </c>
      <c r="K2" s="161" t="s">
        <v>2291</v>
      </c>
      <c r="L2" s="161" t="s">
        <v>2293</v>
      </c>
      <c r="M2" s="161" t="s">
        <v>85</v>
      </c>
      <c r="N2" s="157" t="n">
        <f aca="false">D2*12.0107+E2*1.00784+F2*15.999+G2*14.0067</f>
        <v>76.13958</v>
      </c>
      <c r="O2" s="157"/>
      <c r="P2" s="17" t="s">
        <v>2292</v>
      </c>
    </row>
    <row r="3" customFormat="false" ht="13.8" hidden="false" customHeight="false" outlineLevel="0" collapsed="false">
      <c r="A3" s="17" t="s">
        <v>2294</v>
      </c>
      <c r="B3" s="157" t="s">
        <v>2289</v>
      </c>
      <c r="C3" s="161" t="s">
        <v>1644</v>
      </c>
      <c r="D3" s="161" t="n">
        <v>3</v>
      </c>
      <c r="E3" s="161" t="n">
        <v>8</v>
      </c>
      <c r="F3" s="161" t="n">
        <v>2</v>
      </c>
      <c r="G3" s="161" t="n">
        <v>0</v>
      </c>
      <c r="H3" s="161" t="n">
        <f aca="false">Metabolites!F29</f>
        <v>0</v>
      </c>
      <c r="I3" s="161" t="s">
        <v>2295</v>
      </c>
      <c r="J3" s="162" t="n">
        <f aca="false">(D3*4+E3*1+F3*-2+G3*-3)/D3</f>
        <v>5.33333333333333</v>
      </c>
      <c r="K3" s="161" t="s">
        <v>2296</v>
      </c>
      <c r="L3" s="161" t="s">
        <v>2297</v>
      </c>
      <c r="M3" s="161" t="s">
        <v>132</v>
      </c>
      <c r="N3" s="157" t="n">
        <f aca="false">D3*12.0107+E3*1.00784+F3*15.999+G3*14.0067</f>
        <v>76.09282</v>
      </c>
      <c r="O3" s="157"/>
    </row>
    <row r="4" customFormat="false" ht="13.8" hidden="false" customHeight="false" outlineLevel="0" collapsed="false">
      <c r="A4" s="17" t="s">
        <v>2298</v>
      </c>
      <c r="B4" s="157" t="s">
        <v>2289</v>
      </c>
      <c r="C4" s="161" t="s">
        <v>1703</v>
      </c>
      <c r="D4" s="161" t="n">
        <v>5</v>
      </c>
      <c r="E4" s="161" t="n">
        <v>12</v>
      </c>
      <c r="F4" s="161" t="n">
        <v>1</v>
      </c>
      <c r="G4" s="161" t="n">
        <v>0</v>
      </c>
      <c r="H4" s="161" t="n">
        <f aca="false">Metabolites!F60</f>
        <v>0</v>
      </c>
      <c r="I4" s="161" t="s">
        <v>2299</v>
      </c>
      <c r="J4" s="162" t="n">
        <f aca="false">(D4*4+E4*1+F4*-2+G4*-3)/D4</f>
        <v>6</v>
      </c>
      <c r="K4" s="161" t="s">
        <v>2300</v>
      </c>
      <c r="L4" s="161" t="s">
        <v>2297</v>
      </c>
      <c r="M4" s="161" t="s">
        <v>276</v>
      </c>
      <c r="N4" s="157" t="n">
        <f aca="false">D4*12.0107+E4*1.00784+F4*15.999+G4*14.0067</f>
        <v>88.14658</v>
      </c>
      <c r="O4" s="157"/>
    </row>
    <row r="5" customFormat="false" ht="13.8" hidden="false" customHeight="false" outlineLevel="0" collapsed="false">
      <c r="A5" s="17" t="s">
        <v>281</v>
      </c>
      <c r="B5" s="157" t="s">
        <v>2289</v>
      </c>
      <c r="C5" s="161" t="s">
        <v>1728</v>
      </c>
      <c r="D5" s="161" t="n">
        <v>7</v>
      </c>
      <c r="E5" s="161" t="n">
        <v>2</v>
      </c>
      <c r="F5" s="161" t="n">
        <v>6</v>
      </c>
      <c r="G5" s="161" t="n">
        <v>0</v>
      </c>
      <c r="H5" s="161" t="n">
        <f aca="false">Metabolites!F74</f>
        <v>-2</v>
      </c>
      <c r="I5" s="161" t="s">
        <v>2302</v>
      </c>
      <c r="J5" s="162" t="n">
        <f aca="false">(D5*4+E5*1+F5*-2+G5*-3)/D5</f>
        <v>2.57142857142857</v>
      </c>
      <c r="K5" s="161" t="s">
        <v>2296</v>
      </c>
      <c r="L5" s="164" t="s">
        <v>2303</v>
      </c>
      <c r="M5" s="161" t="s">
        <v>302</v>
      </c>
      <c r="N5" s="157" t="n">
        <f aca="false">D5*12.0107+E5*1.00784+F5*15.999+G5*14.0067</f>
        <v>182.08458</v>
      </c>
      <c r="O5" s="157"/>
    </row>
    <row r="6" customFormat="false" ht="13.8" hidden="false" customHeight="false" outlineLevel="0" collapsed="false">
      <c r="A6" s="17" t="s">
        <v>2304</v>
      </c>
      <c r="B6" s="157" t="s">
        <v>2289</v>
      </c>
      <c r="C6" s="161" t="s">
        <v>1752</v>
      </c>
      <c r="D6" s="161" t="n">
        <v>6</v>
      </c>
      <c r="E6" s="161" t="n">
        <v>14</v>
      </c>
      <c r="F6" s="161" t="n">
        <v>1</v>
      </c>
      <c r="G6" s="161" t="n">
        <v>0</v>
      </c>
      <c r="H6" s="161" t="n">
        <f aca="false">Metabolites!F85</f>
        <v>0</v>
      </c>
      <c r="I6" s="161" t="s">
        <v>2299</v>
      </c>
      <c r="J6" s="162" t="n">
        <f aca="false">(D6*4+E6*1+F6*-2+G6*-3)/D6</f>
        <v>6</v>
      </c>
      <c r="K6" s="161" t="s">
        <v>2129</v>
      </c>
      <c r="L6" s="164" t="s">
        <v>2470</v>
      </c>
      <c r="M6" s="161" t="s">
        <v>345</v>
      </c>
      <c r="N6" s="157" t="n">
        <f aca="false">D6*12.0107+E6*1.00784+F6*15.999+G6*14.0067</f>
        <v>102.17296</v>
      </c>
      <c r="O6" s="157"/>
    </row>
    <row r="7" customFormat="false" ht="13.8" hidden="false" customHeight="false" outlineLevel="0" collapsed="false">
      <c r="A7" s="17" t="s">
        <v>2471</v>
      </c>
      <c r="B7" s="157" t="s">
        <v>2289</v>
      </c>
      <c r="C7" s="161" t="s">
        <v>1796</v>
      </c>
      <c r="D7" s="161" t="n">
        <v>5</v>
      </c>
      <c r="E7" s="161" t="n">
        <v>11</v>
      </c>
      <c r="F7" s="161" t="n">
        <v>2</v>
      </c>
      <c r="G7" s="161" t="n">
        <v>1</v>
      </c>
      <c r="H7" s="161" t="n">
        <f aca="false">Metabolites!F108</f>
        <v>0</v>
      </c>
      <c r="I7" s="161" t="s">
        <v>2305</v>
      </c>
      <c r="J7" s="162" t="n">
        <f aca="false">(D7*4+E7*1+F7*-2+G7*-3)/D7</f>
        <v>4.8</v>
      </c>
      <c r="K7" s="161" t="s">
        <v>2129</v>
      </c>
      <c r="L7" s="164" t="s">
        <v>2307</v>
      </c>
      <c r="M7" s="161" t="s">
        <v>413</v>
      </c>
      <c r="N7" s="157" t="n">
        <f aca="false">D7*12.0107+E7*1.00784+F7*15.999+G7*14.0067</f>
        <v>117.14444</v>
      </c>
      <c r="O7" s="157"/>
      <c r="P7" s="1" t="s">
        <v>2306</v>
      </c>
    </row>
    <row r="8" customFormat="false" ht="13.8" hidden="false" customHeight="false" outlineLevel="0" collapsed="false">
      <c r="A8" s="17" t="s">
        <v>418</v>
      </c>
      <c r="B8" s="157" t="s">
        <v>2289</v>
      </c>
      <c r="C8" s="161" t="s">
        <v>1681</v>
      </c>
      <c r="D8" s="161" t="n">
        <v>3</v>
      </c>
      <c r="E8" s="161" t="n">
        <v>6</v>
      </c>
      <c r="F8" s="161" t="n">
        <v>1</v>
      </c>
      <c r="G8" s="161" t="n">
        <v>0</v>
      </c>
      <c r="H8" s="161" t="n">
        <f aca="false">Metabolites!F112</f>
        <v>0</v>
      </c>
      <c r="I8" s="161" t="s">
        <v>2308</v>
      </c>
      <c r="J8" s="162" t="n">
        <f aca="false">(D8*4+E8*1+F8*-2+G8*-3)/D8</f>
        <v>5.33333333333333</v>
      </c>
      <c r="K8" s="161" t="s">
        <v>1590</v>
      </c>
      <c r="L8" s="164" t="s">
        <v>2303</v>
      </c>
      <c r="M8" s="161" t="s">
        <v>437</v>
      </c>
      <c r="N8" s="157" t="n">
        <f aca="false">D8*12.0107+E8*1.00784+F8*15.999+G8*14.0067</f>
        <v>58.07814</v>
      </c>
      <c r="O8" s="157"/>
    </row>
    <row r="9" customFormat="false" ht="13.8" hidden="false" customHeight="false" outlineLevel="0" collapsed="false">
      <c r="A9" s="17" t="s">
        <v>2309</v>
      </c>
      <c r="B9" s="157" t="s">
        <v>2289</v>
      </c>
      <c r="C9" s="161" t="s">
        <v>1819</v>
      </c>
      <c r="D9" s="161" t="n">
        <v>3</v>
      </c>
      <c r="E9" s="161" t="n">
        <v>3</v>
      </c>
      <c r="F9" s="161" t="n">
        <v>2</v>
      </c>
      <c r="G9" s="161" t="n">
        <v>0</v>
      </c>
      <c r="H9" s="161" t="n">
        <f aca="false">Metabolites!F121</f>
        <v>-1</v>
      </c>
      <c r="I9" s="161" t="s">
        <v>2310</v>
      </c>
      <c r="J9" s="162" t="n">
        <f aca="false">(D9*4+E9*1+F9*-2+G9*-3)/D9</f>
        <v>3.66666666666667</v>
      </c>
      <c r="K9" s="161" t="s">
        <v>2296</v>
      </c>
      <c r="L9" s="164" t="s">
        <v>2303</v>
      </c>
      <c r="M9" s="161" t="s">
        <v>469</v>
      </c>
      <c r="N9" s="157" t="n">
        <f aca="false">D9*12.0107+E9*1.00784+F9*15.999+G9*14.0067</f>
        <v>71.05362</v>
      </c>
      <c r="O9" s="157"/>
    </row>
    <row r="10" customFormat="false" ht="13.8" hidden="false" customHeight="false" outlineLevel="0" collapsed="false">
      <c r="A10" s="17" t="s">
        <v>2311</v>
      </c>
      <c r="B10" s="157" t="s">
        <v>2289</v>
      </c>
      <c r="C10" s="161" t="s">
        <v>1819</v>
      </c>
      <c r="D10" s="161" t="n">
        <v>3</v>
      </c>
      <c r="E10" s="161" t="n">
        <v>3</v>
      </c>
      <c r="F10" s="161" t="n">
        <v>2</v>
      </c>
      <c r="G10" s="161" t="n">
        <v>0</v>
      </c>
      <c r="H10" s="161" t="n">
        <f aca="false">Metabolites!F129</f>
        <v>-1</v>
      </c>
      <c r="I10" s="161" t="s">
        <v>2310</v>
      </c>
      <c r="J10" s="162" t="n">
        <f aca="false">(D10*4+E10*1+F10*-2+G10*-3)/D10</f>
        <v>3.66666666666667</v>
      </c>
      <c r="K10" s="161" t="s">
        <v>1612</v>
      </c>
      <c r="L10" s="164" t="s">
        <v>2303</v>
      </c>
      <c r="M10" s="161" t="s">
        <v>469</v>
      </c>
      <c r="N10" s="157" t="n">
        <f aca="false">D10*12.0107+E10*1.00784+F10*15.999+G10*14.0067</f>
        <v>71.05362</v>
      </c>
      <c r="O10" s="157"/>
    </row>
    <row r="11" customFormat="false" ht="13.8" hidden="false" customHeight="false" outlineLevel="0" collapsed="false">
      <c r="A11" s="17" t="s">
        <v>2312</v>
      </c>
      <c r="B11" s="157" t="s">
        <v>2289</v>
      </c>
      <c r="C11" s="161" t="s">
        <v>1863</v>
      </c>
      <c r="D11" s="161" t="n">
        <v>7</v>
      </c>
      <c r="E11" s="161" t="n">
        <v>5</v>
      </c>
      <c r="F11" s="161" t="n">
        <v>2</v>
      </c>
      <c r="G11" s="161" t="n">
        <v>0</v>
      </c>
      <c r="H11" s="161" t="n">
        <f aca="false">Metabolites!F146</f>
        <v>-1</v>
      </c>
      <c r="I11" s="161" t="s">
        <v>2472</v>
      </c>
      <c r="J11" s="162" t="n">
        <f aca="false">(D11*4+E11*1+F11*-2+G11*-3)/D11</f>
        <v>4.14285714285714</v>
      </c>
      <c r="K11" s="161" t="s">
        <v>2314</v>
      </c>
      <c r="L11" s="161" t="s">
        <v>2293</v>
      </c>
      <c r="M11" s="161" t="s">
        <v>553</v>
      </c>
      <c r="N11" s="157" t="n">
        <f aca="false">D11*12.0107+E11*1.00784+F11*15.999+G11*14.0067</f>
        <v>121.1121</v>
      </c>
      <c r="O11" s="157"/>
    </row>
    <row r="12" customFormat="false" ht="13.8" hidden="false" customHeight="false" outlineLevel="0" collapsed="false">
      <c r="A12" s="17" t="s">
        <v>2315</v>
      </c>
      <c r="B12" s="157" t="s">
        <v>2289</v>
      </c>
      <c r="C12" s="161" t="s">
        <v>1863</v>
      </c>
      <c r="D12" s="161" t="n">
        <v>7</v>
      </c>
      <c r="E12" s="161" t="n">
        <v>5</v>
      </c>
      <c r="F12" s="161" t="n">
        <v>2</v>
      </c>
      <c r="G12" s="161" t="n">
        <v>0</v>
      </c>
      <c r="H12" s="161" t="n">
        <f aca="false">Metabolites!F156</f>
        <v>-1</v>
      </c>
      <c r="I12" s="161" t="s">
        <v>2472</v>
      </c>
      <c r="J12" s="162" t="n">
        <f aca="false">(D12*4+E12*1+F12*-2+G12*-3)/D12</f>
        <v>4.14285714285714</v>
      </c>
      <c r="K12" s="161" t="s">
        <v>2314</v>
      </c>
      <c r="L12" s="161" t="s">
        <v>2293</v>
      </c>
      <c r="M12" s="161" t="s">
        <v>553</v>
      </c>
      <c r="N12" s="157" t="n">
        <f aca="false">D12*12.0107+E12*1.00784+F12*15.999+G12*14.0067</f>
        <v>121.1121</v>
      </c>
      <c r="O12" s="157"/>
    </row>
    <row r="13" customFormat="false" ht="13.8" hidden="false" customHeight="false" outlineLevel="0" collapsed="false">
      <c r="A13" s="17" t="s">
        <v>2316</v>
      </c>
      <c r="B13" s="157" t="s">
        <v>2289</v>
      </c>
      <c r="C13" s="161" t="s">
        <v>1933</v>
      </c>
      <c r="D13" s="161" t="n">
        <v>40</v>
      </c>
      <c r="E13" s="161" t="n">
        <v>56</v>
      </c>
      <c r="F13" s="161" t="n">
        <v>0</v>
      </c>
      <c r="G13" s="161" t="n">
        <v>0</v>
      </c>
      <c r="H13" s="161" t="n">
        <f aca="false">Metabolites!F182</f>
        <v>0</v>
      </c>
      <c r="I13" s="161" t="s">
        <v>2317</v>
      </c>
      <c r="J13" s="162" t="n">
        <f aca="false">(D13*4+E13*1+F13*-2+G13*-3)/D13</f>
        <v>5.4</v>
      </c>
      <c r="K13" s="161" t="s">
        <v>1590</v>
      </c>
      <c r="L13" s="161" t="s">
        <v>2473</v>
      </c>
      <c r="M13" s="161" t="s">
        <v>678</v>
      </c>
      <c r="N13" s="157" t="n">
        <f aca="false">D13*12.0107+E13*1.00784+F13*15.999+G13*14.0067</f>
        <v>536.86704</v>
      </c>
      <c r="O13" s="157"/>
    </row>
    <row r="14" customFormat="false" ht="13.8" hidden="false" customHeight="false" outlineLevel="0" collapsed="false">
      <c r="A14" s="17" t="s">
        <v>692</v>
      </c>
      <c r="B14" s="157" t="s">
        <v>2331</v>
      </c>
      <c r="C14" s="161" t="s">
        <v>1966</v>
      </c>
      <c r="D14" s="161" t="n">
        <v>4</v>
      </c>
      <c r="E14" s="161" t="n">
        <v>10</v>
      </c>
      <c r="F14" s="161" t="n">
        <v>0</v>
      </c>
      <c r="G14" s="161" t="n">
        <v>0</v>
      </c>
      <c r="H14" s="161" t="n">
        <f aca="false">Metabolites!F197</f>
        <v>0</v>
      </c>
      <c r="I14" s="157" t="s">
        <v>2347</v>
      </c>
      <c r="J14" s="162" t="n">
        <f aca="false">(D14*4+E14*1+F14*-2+G14*-3)/D14</f>
        <v>6.5</v>
      </c>
      <c r="K14" s="161" t="s">
        <v>2348</v>
      </c>
      <c r="L14" s="164" t="s">
        <v>2364</v>
      </c>
      <c r="M14" s="161" t="s">
        <v>742</v>
      </c>
      <c r="N14" s="157" t="n">
        <f aca="false">D14*12.0107+E14*1.00784+F14*15.999+G14*14.0067</f>
        <v>58.1212</v>
      </c>
      <c r="O14" s="157"/>
    </row>
    <row r="15" customFormat="false" ht="13.8" hidden="false" customHeight="false" outlineLevel="0" collapsed="false">
      <c r="A15" s="17" t="s">
        <v>809</v>
      </c>
      <c r="B15" s="157" t="s">
        <v>2289</v>
      </c>
      <c r="C15" s="161" t="s">
        <v>1998</v>
      </c>
      <c r="D15" s="161" t="n">
        <v>4</v>
      </c>
      <c r="E15" s="161" t="n">
        <v>7</v>
      </c>
      <c r="F15" s="161" t="n">
        <v>2</v>
      </c>
      <c r="G15" s="161" t="n">
        <v>0</v>
      </c>
      <c r="H15" s="161" t="n">
        <f aca="false">Metabolites!F228</f>
        <v>-1</v>
      </c>
      <c r="I15" s="161" t="s">
        <v>2310</v>
      </c>
      <c r="J15" s="162" t="n">
        <f aca="false">(D15*4+E15*1+F15*-2+G15*-3)/D15</f>
        <v>4.75</v>
      </c>
      <c r="K15" s="161" t="s">
        <v>1590</v>
      </c>
      <c r="L15" s="161" t="s">
        <v>2293</v>
      </c>
      <c r="M15" s="161" t="s">
        <v>828</v>
      </c>
      <c r="N15" s="157" t="n">
        <f aca="false">D15*12.0107+E15*1.00784+F15*15.999+G15*14.0067</f>
        <v>87.09568</v>
      </c>
      <c r="O15" s="157"/>
    </row>
    <row r="16" customFormat="false" ht="13.8" hidden="false" customHeight="false" outlineLevel="0" collapsed="false">
      <c r="A16" s="17" t="s">
        <v>2321</v>
      </c>
      <c r="B16" s="157" t="s">
        <v>2289</v>
      </c>
      <c r="C16" s="161" t="s">
        <v>1840</v>
      </c>
      <c r="D16" s="161" t="n">
        <v>6</v>
      </c>
      <c r="E16" s="161" t="n">
        <v>4</v>
      </c>
      <c r="F16" s="161" t="n">
        <v>4</v>
      </c>
      <c r="G16" s="161" t="n">
        <v>0</v>
      </c>
      <c r="H16" s="161" t="n">
        <f aca="false">Metabolites!F241</f>
        <v>-2</v>
      </c>
      <c r="I16" s="161" t="s">
        <v>2302</v>
      </c>
      <c r="J16" s="162" t="n">
        <f aca="false">(D16*4+E16*1+F16*-2+G16*-3)/D16</f>
        <v>3.33333333333333</v>
      </c>
      <c r="K16" s="161" t="s">
        <v>2296</v>
      </c>
      <c r="L16" s="164" t="s">
        <v>2303</v>
      </c>
      <c r="M16" s="161" t="s">
        <v>857</v>
      </c>
      <c r="N16" s="157" t="n">
        <f aca="false">D16*12.0107+E16*1.00784+F16*15.999+G16*14.0067</f>
        <v>140.09156</v>
      </c>
      <c r="O16" s="157"/>
    </row>
    <row r="17" customFormat="false" ht="13.8" hidden="false" customHeight="false" outlineLevel="0" collapsed="false">
      <c r="A17" s="17" t="s">
        <v>2015</v>
      </c>
      <c r="B17" s="157" t="s">
        <v>2289</v>
      </c>
      <c r="C17" s="161" t="s">
        <v>2017</v>
      </c>
      <c r="D17" s="161" t="n">
        <v>15</v>
      </c>
      <c r="E17" s="161" t="n">
        <v>24</v>
      </c>
      <c r="F17" s="161" t="n">
        <v>0</v>
      </c>
      <c r="G17" s="161" t="n">
        <v>0</v>
      </c>
      <c r="H17" s="161" t="n">
        <f aca="false">Metabolites!F277</f>
        <v>0</v>
      </c>
      <c r="I17" s="161" t="s">
        <v>2317</v>
      </c>
      <c r="J17" s="162" t="n">
        <f aca="false">(D17*4+E17*1+F17*-2+G17*-3)/D17</f>
        <v>5.6</v>
      </c>
      <c r="K17" s="161" t="s">
        <v>1590</v>
      </c>
      <c r="L17" s="164" t="s">
        <v>2303</v>
      </c>
      <c r="M17" s="161" t="s">
        <v>913</v>
      </c>
      <c r="N17" s="157" t="n">
        <f aca="false">D17*12.0107+E17*1.00784+F17*15.999+G17*14.0067</f>
        <v>204.34866</v>
      </c>
      <c r="O17" s="157"/>
      <c r="P17" s="1" t="s">
        <v>2324</v>
      </c>
    </row>
    <row r="18" customFormat="false" ht="13.8" hidden="false" customHeight="false" outlineLevel="0" collapsed="false">
      <c r="A18" s="17" t="s">
        <v>2326</v>
      </c>
      <c r="B18" s="157" t="s">
        <v>2289</v>
      </c>
      <c r="C18" s="161" t="s">
        <v>2022</v>
      </c>
      <c r="D18" s="161" t="n">
        <v>4</v>
      </c>
      <c r="E18" s="161" t="n">
        <v>6</v>
      </c>
      <c r="F18" s="161" t="n">
        <v>2</v>
      </c>
      <c r="G18" s="161" t="n">
        <v>0</v>
      </c>
      <c r="H18" s="161" t="n">
        <f aca="false">Metabolites!F283</f>
        <v>0</v>
      </c>
      <c r="I18" s="161" t="s">
        <v>2327</v>
      </c>
      <c r="J18" s="162" t="n">
        <f aca="false">(D18*4+E18*1+F18*-2+G18*-3)/D18</f>
        <v>4.5</v>
      </c>
      <c r="K18" s="161" t="s">
        <v>2328</v>
      </c>
      <c r="L18" s="164" t="s">
        <v>2362</v>
      </c>
      <c r="M18" s="161" t="s">
        <v>934</v>
      </c>
      <c r="N18" s="157" t="n">
        <f aca="false">D18*12.0107+E18*1.00784+F18*15.999+G18*14.0067</f>
        <v>86.08784</v>
      </c>
      <c r="O18" s="157"/>
    </row>
    <row r="19" customFormat="false" ht="13.8" hidden="false" customHeight="false" outlineLevel="0" collapsed="false">
      <c r="A19" s="17" t="s">
        <v>939</v>
      </c>
      <c r="B19" s="157" t="s">
        <v>2289</v>
      </c>
      <c r="C19" s="161" t="s">
        <v>2030</v>
      </c>
      <c r="D19" s="161" t="n">
        <v>5</v>
      </c>
      <c r="E19" s="161" t="n">
        <v>6</v>
      </c>
      <c r="F19" s="161" t="n">
        <v>4</v>
      </c>
      <c r="G19" s="161" t="n">
        <v>0</v>
      </c>
      <c r="H19" s="161" t="n">
        <f aca="false">Metabolites!F293</f>
        <v>-2</v>
      </c>
      <c r="I19" s="161" t="s">
        <v>2302</v>
      </c>
      <c r="J19" s="162" t="n">
        <f aca="false">(D19*4+E19*1+F19*-2+G19*-3)/D19</f>
        <v>3.6</v>
      </c>
      <c r="K19" s="161" t="s">
        <v>2291</v>
      </c>
      <c r="L19" s="161" t="s">
        <v>2293</v>
      </c>
      <c r="M19" s="161" t="s">
        <v>956</v>
      </c>
      <c r="N19" s="157" t="n">
        <f aca="false">D19*12.0107+E19*1.00784+F19*15.999+G19*14.0067</f>
        <v>130.09654</v>
      </c>
      <c r="O19" s="157"/>
    </row>
    <row r="20" customFormat="false" ht="14.15" hidden="false" customHeight="false" outlineLevel="0" collapsed="false">
      <c r="A20" s="1" t="s">
        <v>960</v>
      </c>
      <c r="B20" s="157" t="s">
        <v>2331</v>
      </c>
      <c r="C20" s="157" t="s">
        <v>2066</v>
      </c>
      <c r="D20" s="157" t="n">
        <v>7</v>
      </c>
      <c r="E20" s="157" t="n">
        <v>16</v>
      </c>
      <c r="F20" s="157" t="n">
        <v>0</v>
      </c>
      <c r="G20" s="157" t="n">
        <v>0</v>
      </c>
      <c r="H20" s="157" t="n">
        <v>0</v>
      </c>
      <c r="I20" s="157" t="s">
        <v>2347</v>
      </c>
      <c r="J20" s="162" t="n">
        <f aca="false">(D20*4+E20*1+F20*-2+G20*-3)/D20</f>
        <v>6.28571428571429</v>
      </c>
      <c r="K20" s="157"/>
      <c r="L20" s="164" t="s">
        <v>2364</v>
      </c>
      <c r="M20" s="157"/>
      <c r="N20" s="157" t="n">
        <f aca="false">D20*12.0107+E20*1.00784+F20*15.999+G20*14.0067</f>
        <v>100.20034</v>
      </c>
      <c r="O20" s="36"/>
      <c r="P20" s="1" t="s">
        <v>2474</v>
      </c>
    </row>
    <row r="21" customFormat="false" ht="13.8" hidden="false" customHeight="false" outlineLevel="0" collapsed="false">
      <c r="A21" s="17" t="s">
        <v>1016</v>
      </c>
      <c r="B21" s="157" t="s">
        <v>2331</v>
      </c>
      <c r="C21" s="157" t="s">
        <v>2090</v>
      </c>
      <c r="D21" s="161" t="n">
        <v>6</v>
      </c>
      <c r="E21" s="161" t="n">
        <v>14</v>
      </c>
      <c r="F21" s="161" t="n">
        <v>0</v>
      </c>
      <c r="G21" s="161" t="n">
        <v>0</v>
      </c>
      <c r="H21" s="161" t="n">
        <v>0</v>
      </c>
      <c r="I21" s="157" t="s">
        <v>2347</v>
      </c>
      <c r="J21" s="162" t="n">
        <f aca="false">(D21*4+E21*1+F21*-2+G21*-3)/D21</f>
        <v>6.33333333333333</v>
      </c>
      <c r="K21" s="161" t="s">
        <v>1590</v>
      </c>
      <c r="L21" s="164" t="s">
        <v>2364</v>
      </c>
      <c r="M21" s="161" t="s">
        <v>1054</v>
      </c>
      <c r="N21" s="157" t="n">
        <f aca="false">D21*12.0107+E21*1.00784+F21*15.999+G21*14.0067</f>
        <v>86.17396</v>
      </c>
      <c r="O21" s="157"/>
    </row>
    <row r="22" customFormat="false" ht="13.8" hidden="false" customHeight="false" outlineLevel="0" collapsed="false">
      <c r="A22" s="17" t="s">
        <v>1085</v>
      </c>
      <c r="B22" s="157" t="s">
        <v>2289</v>
      </c>
      <c r="C22" s="161" t="s">
        <v>1998</v>
      </c>
      <c r="D22" s="161" t="n">
        <v>4</v>
      </c>
      <c r="E22" s="161" t="n">
        <v>7</v>
      </c>
      <c r="F22" s="161" t="n">
        <v>2</v>
      </c>
      <c r="G22" s="161" t="n">
        <v>0</v>
      </c>
      <c r="H22" s="161" t="n">
        <f aca="false">Metabolites!F351</f>
        <v>-1</v>
      </c>
      <c r="I22" s="161" t="s">
        <v>2310</v>
      </c>
      <c r="J22" s="162" t="n">
        <f aca="false">(D22*4+E22*1+F22*-2+G22*-3)/D22</f>
        <v>4.75</v>
      </c>
      <c r="K22" s="161" t="s">
        <v>1612</v>
      </c>
      <c r="L22" s="164" t="s">
        <v>2329</v>
      </c>
      <c r="M22" s="161" t="s">
        <v>1112</v>
      </c>
      <c r="N22" s="157" t="n">
        <f aca="false">D22*12.0107+E22*1.00784+F22*15.999+G22*14.0067</f>
        <v>87.09568</v>
      </c>
      <c r="O22" s="157"/>
    </row>
    <row r="23" customFormat="false" ht="13.8" hidden="false" customHeight="false" outlineLevel="0" collapsed="false">
      <c r="A23" s="17" t="s">
        <v>1138</v>
      </c>
      <c r="B23" s="157" t="s">
        <v>2289</v>
      </c>
      <c r="C23" s="161" t="s">
        <v>1685</v>
      </c>
      <c r="D23" s="161" t="n">
        <v>3</v>
      </c>
      <c r="E23" s="161" t="n">
        <v>8</v>
      </c>
      <c r="F23" s="161" t="n">
        <v>1</v>
      </c>
      <c r="G23" s="161" t="n">
        <v>0</v>
      </c>
      <c r="H23" s="161" t="n">
        <f aca="false">Metabolites!F369</f>
        <v>0</v>
      </c>
      <c r="I23" s="161" t="s">
        <v>2299</v>
      </c>
      <c r="J23" s="162" t="n">
        <f aca="false">(D23*4+E23*1+F23*-2+G23*-3)/D23</f>
        <v>6</v>
      </c>
      <c r="K23" s="161" t="s">
        <v>1590</v>
      </c>
      <c r="L23" s="164" t="s">
        <v>2329</v>
      </c>
      <c r="M23" s="161" t="s">
        <v>2475</v>
      </c>
      <c r="N23" s="157" t="n">
        <f aca="false">D23*12.0107+E23*1.00784+F23*15.999+G23*14.0067</f>
        <v>60.09382</v>
      </c>
      <c r="O23" s="157"/>
    </row>
    <row r="24" customFormat="false" ht="13.8" hidden="false" customHeight="false" outlineLevel="0" collapsed="false">
      <c r="A24" s="17" t="s">
        <v>1201</v>
      </c>
      <c r="B24" s="157" t="s">
        <v>2289</v>
      </c>
      <c r="C24" s="161" t="s">
        <v>2156</v>
      </c>
      <c r="D24" s="161" t="n">
        <v>3</v>
      </c>
      <c r="E24" s="161" t="n">
        <v>2</v>
      </c>
      <c r="F24" s="161" t="n">
        <v>4</v>
      </c>
      <c r="G24" s="161" t="n">
        <v>0</v>
      </c>
      <c r="H24" s="161" t="n">
        <f aca="false">Metabolites!F398</f>
        <v>-2</v>
      </c>
      <c r="I24" s="161" t="s">
        <v>2302</v>
      </c>
      <c r="J24" s="162" t="n">
        <f aca="false">(D24*4+E24*1+F24*-2+G24*-3)/D24</f>
        <v>2</v>
      </c>
      <c r="K24" s="161" t="s">
        <v>2129</v>
      </c>
      <c r="L24" s="164" t="s">
        <v>2329</v>
      </c>
      <c r="M24" s="161" t="s">
        <v>1222</v>
      </c>
      <c r="N24" s="157" t="n">
        <f aca="false">D24*12.0107+E24*1.00784+F24*15.999+G24*14.0067</f>
        <v>102.04378</v>
      </c>
      <c r="O24" s="157"/>
    </row>
    <row r="25" customFormat="false" ht="14.15" hidden="false" customHeight="false" outlineLevel="0" collapsed="false">
      <c r="A25" s="1" t="s">
        <v>1226</v>
      </c>
      <c r="B25" s="157" t="s">
        <v>2331</v>
      </c>
      <c r="C25" s="157" t="s">
        <v>2180</v>
      </c>
      <c r="D25" s="157" t="n">
        <v>9</v>
      </c>
      <c r="E25" s="157" t="n">
        <v>20</v>
      </c>
      <c r="F25" s="157" t="n">
        <v>0</v>
      </c>
      <c r="G25" s="157" t="n">
        <v>0</v>
      </c>
      <c r="H25" s="157" t="n">
        <v>0</v>
      </c>
      <c r="I25" s="157" t="s">
        <v>2347</v>
      </c>
      <c r="J25" s="162" t="n">
        <f aca="false">(D25*4+E25*1+F25*-2+G25*-3)/D25</f>
        <v>6.22222222222222</v>
      </c>
      <c r="K25" s="157"/>
      <c r="L25" s="164" t="s">
        <v>2364</v>
      </c>
      <c r="N25" s="157" t="n">
        <f aca="false">D25*12.0107+E25*1.00784+F25*15.999+G25*14.0067</f>
        <v>128.2531</v>
      </c>
      <c r="O25" s="36"/>
      <c r="P25" s="1" t="s">
        <v>2474</v>
      </c>
    </row>
    <row r="26" customFormat="false" ht="13.8" hidden="false" customHeight="false" outlineLevel="0" collapsed="false">
      <c r="A26" s="17" t="s">
        <v>1265</v>
      </c>
      <c r="B26" s="157" t="s">
        <v>2331</v>
      </c>
      <c r="C26" s="161" t="s">
        <v>2202</v>
      </c>
      <c r="D26" s="161" t="n">
        <v>8</v>
      </c>
      <c r="E26" s="161" t="n">
        <v>18</v>
      </c>
      <c r="F26" s="161" t="n">
        <v>0</v>
      </c>
      <c r="G26" s="161" t="n">
        <v>0</v>
      </c>
      <c r="H26" s="161" t="n">
        <v>0</v>
      </c>
      <c r="I26" s="157" t="s">
        <v>2347</v>
      </c>
      <c r="J26" s="162" t="n">
        <f aca="false">(D26*4+E26*1+F26*-2+G26*-3)/D26</f>
        <v>6.25</v>
      </c>
      <c r="K26" s="161" t="s">
        <v>1590</v>
      </c>
      <c r="L26" s="164" t="s">
        <v>2364</v>
      </c>
      <c r="M26" s="161" t="s">
        <v>1305</v>
      </c>
      <c r="N26" s="157" t="n">
        <f aca="false">D26*12.0107+E26*1.00784+F26*15.999+G26*14.0067</f>
        <v>114.22672</v>
      </c>
      <c r="O26" s="157"/>
    </row>
    <row r="27" customFormat="false" ht="13.8" hidden="false" customHeight="false" outlineLevel="0" collapsed="false">
      <c r="A27" s="17" t="s">
        <v>1308</v>
      </c>
      <c r="B27" s="157" t="s">
        <v>2331</v>
      </c>
      <c r="C27" s="161" t="s">
        <v>2210</v>
      </c>
      <c r="D27" s="161" t="n">
        <v>5</v>
      </c>
      <c r="E27" s="161" t="n">
        <v>12</v>
      </c>
      <c r="F27" s="161" t="n">
        <v>0</v>
      </c>
      <c r="G27" s="161" t="n">
        <v>0</v>
      </c>
      <c r="H27" s="161" t="n">
        <f aca="false">Metabolites!F461</f>
        <v>0</v>
      </c>
      <c r="I27" s="157" t="s">
        <v>2347</v>
      </c>
      <c r="J27" s="162" t="n">
        <f aca="false">(D27*4+E27*1+F27*-2+G27*-3)/D27</f>
        <v>6.4</v>
      </c>
      <c r="K27" s="161" t="s">
        <v>1590</v>
      </c>
      <c r="L27" s="164" t="s">
        <v>2364</v>
      </c>
      <c r="M27" s="161" t="s">
        <v>1329</v>
      </c>
      <c r="N27" s="157" t="n">
        <f aca="false">D27*12.0107+E27*1.00784+F27*15.999+G27*14.0067</f>
        <v>72.14758</v>
      </c>
      <c r="O27" s="157"/>
    </row>
    <row r="28" customFormat="false" ht="14.15" hidden="false" customHeight="false" outlineLevel="0" collapsed="false">
      <c r="A28" s="1" t="s">
        <v>2372</v>
      </c>
      <c r="B28" s="157" t="s">
        <v>2331</v>
      </c>
      <c r="C28" s="157" t="s">
        <v>1685</v>
      </c>
      <c r="D28" s="157" t="n">
        <v>3</v>
      </c>
      <c r="E28" s="157" t="n">
        <v>8</v>
      </c>
      <c r="F28" s="157" t="n">
        <v>0</v>
      </c>
      <c r="G28" s="157" t="n">
        <v>0</v>
      </c>
      <c r="H28" s="157" t="n">
        <v>0</v>
      </c>
      <c r="I28" s="157" t="s">
        <v>2317</v>
      </c>
      <c r="J28" s="162" t="n">
        <f aca="false">(D28*4+E28*1+F28*-2+G28*-3)/D28</f>
        <v>6.66666666666667</v>
      </c>
      <c r="K28" s="157"/>
      <c r="L28" s="164" t="s">
        <v>2364</v>
      </c>
      <c r="M28" s="157"/>
      <c r="N28" s="157" t="n">
        <f aca="false">D28*12.0107+E28*1.00784+F28*15.999+G28*14.0067</f>
        <v>44.09482</v>
      </c>
      <c r="O28" s="36"/>
      <c r="P28" s="1" t="s">
        <v>2474</v>
      </c>
    </row>
    <row r="29" customFormat="false" ht="14.25" hidden="false" customHeight="false" outlineLevel="0" collapsed="false">
      <c r="A29" s="176" t="s">
        <v>2373</v>
      </c>
      <c r="B29" s="177" t="s">
        <v>2331</v>
      </c>
      <c r="C29" s="177" t="s">
        <v>1685</v>
      </c>
      <c r="D29" s="177" t="n">
        <v>3</v>
      </c>
      <c r="E29" s="177" t="n">
        <v>8</v>
      </c>
      <c r="F29" s="177" t="n">
        <v>0</v>
      </c>
      <c r="G29" s="177" t="n">
        <v>0</v>
      </c>
      <c r="H29" s="177" t="n">
        <v>0</v>
      </c>
      <c r="I29" s="177" t="s">
        <v>2317</v>
      </c>
      <c r="J29" s="178" t="n">
        <f aca="false">(D29*4+E29*1+F29*-2+G29*-3)/D29</f>
        <v>6.66666666666667</v>
      </c>
      <c r="K29" s="177"/>
      <c r="L29" s="168" t="s">
        <v>2364</v>
      </c>
      <c r="M29" s="177"/>
      <c r="N29" s="177" t="n">
        <f aca="false">D29*12.0107+E29*1.00784+F29*15.999+G29*14.0067</f>
        <v>44.09482</v>
      </c>
      <c r="O29" s="36"/>
      <c r="P29" s="1" t="s">
        <v>2474</v>
      </c>
    </row>
    <row r="30" customFormat="false" ht="13.8" hidden="false" customHeight="false" outlineLevel="0" collapsed="false">
      <c r="A30" s="36"/>
      <c r="B30" s="179"/>
      <c r="C30" s="36"/>
      <c r="D30" s="36"/>
      <c r="E30" s="36"/>
      <c r="F30" s="36"/>
      <c r="G30" s="36"/>
      <c r="H30" s="36"/>
      <c r="I30" s="36"/>
      <c r="J30" s="36"/>
      <c r="K30" s="36"/>
      <c r="L30" s="36"/>
      <c r="M30" s="36"/>
      <c r="N30" s="36"/>
      <c r="O30" s="36"/>
      <c r="P30" s="36"/>
    </row>
    <row r="31" customFormat="false" ht="13.8" hidden="false" customHeight="false" outlineLevel="0" collapsed="false">
      <c r="A31" s="1" t="s">
        <v>2476</v>
      </c>
      <c r="B31" s="157" t="s">
        <v>2405</v>
      </c>
      <c r="C31" s="157" t="s">
        <v>1608</v>
      </c>
      <c r="D31" s="157" t="n">
        <v>4</v>
      </c>
      <c r="E31" s="157" t="n">
        <v>10</v>
      </c>
      <c r="F31" s="157" t="n">
        <v>2</v>
      </c>
      <c r="G31" s="157" t="n">
        <v>0</v>
      </c>
      <c r="H31" s="157" t="n">
        <v>0</v>
      </c>
      <c r="I31" s="161" t="s">
        <v>2295</v>
      </c>
      <c r="J31" s="162" t="n">
        <f aca="false">(D31*4+E31*1+F31*-2+G31*-3)/D31</f>
        <v>5.5</v>
      </c>
      <c r="K31" s="157"/>
      <c r="L31" s="161" t="s">
        <v>2297</v>
      </c>
      <c r="M31" s="157"/>
      <c r="N31" s="157" t="n">
        <f aca="false">D31*12.0107+E31*1.00784+F31*15.999+G31*14.0067</f>
        <v>90.1192</v>
      </c>
      <c r="O31" s="165" t="s">
        <v>2477</v>
      </c>
      <c r="P31" s="1" t="s">
        <v>2332</v>
      </c>
    </row>
    <row r="32" customFormat="false" ht="13.8" hidden="false" customHeight="false" outlineLevel="0" collapsed="false">
      <c r="A32" s="1" t="s">
        <v>2478</v>
      </c>
      <c r="B32" s="157" t="s">
        <v>2405</v>
      </c>
      <c r="C32" s="157" t="s">
        <v>1608</v>
      </c>
      <c r="D32" s="157" t="n">
        <v>4</v>
      </c>
      <c r="E32" s="157" t="n">
        <v>10</v>
      </c>
      <c r="F32" s="157" t="n">
        <v>2</v>
      </c>
      <c r="G32" s="157" t="n">
        <v>0</v>
      </c>
      <c r="H32" s="157" t="n">
        <v>0</v>
      </c>
      <c r="I32" s="161" t="s">
        <v>2295</v>
      </c>
      <c r="J32" s="162" t="n">
        <f aca="false">(D32*4+E32*1+F32*-2+G32*-3)/D32</f>
        <v>5.5</v>
      </c>
      <c r="K32" s="157"/>
      <c r="L32" s="161" t="s">
        <v>2297</v>
      </c>
      <c r="M32" s="157"/>
      <c r="N32" s="157" t="n">
        <f aca="false">D32*12.0107+E32*1.00784+F32*15.999+G32*14.0067</f>
        <v>90.1192</v>
      </c>
      <c r="O32" s="165" t="s">
        <v>2479</v>
      </c>
      <c r="P32" s="1" t="s">
        <v>2337</v>
      </c>
    </row>
    <row r="33" customFormat="false" ht="13.8" hidden="false" customHeight="false" outlineLevel="0" collapsed="false">
      <c r="A33" s="53" t="s">
        <v>2480</v>
      </c>
      <c r="B33" s="157" t="s">
        <v>2405</v>
      </c>
      <c r="C33" s="157" t="s">
        <v>1685</v>
      </c>
      <c r="D33" s="157" t="n">
        <v>3</v>
      </c>
      <c r="E33" s="157" t="n">
        <v>8</v>
      </c>
      <c r="F33" s="157" t="n">
        <v>1</v>
      </c>
      <c r="G33" s="157" t="n">
        <v>0</v>
      </c>
      <c r="H33" s="157" t="n">
        <v>0</v>
      </c>
      <c r="I33" s="161" t="s">
        <v>2299</v>
      </c>
      <c r="J33" s="162" t="n">
        <f aca="false">(D33*4+E33*1+F33*-2+G33*-3)/D33</f>
        <v>6</v>
      </c>
      <c r="K33" s="157"/>
      <c r="L33" s="161" t="s">
        <v>2293</v>
      </c>
      <c r="M33" s="157" t="s">
        <v>203</v>
      </c>
      <c r="N33" s="157" t="n">
        <f aca="false">D33*12.0107+E33*1.00784+F33*15.999+G33*14.0067</f>
        <v>60.09382</v>
      </c>
      <c r="O33" s="1" t="s">
        <v>1684</v>
      </c>
      <c r="P33" s="1" t="s">
        <v>2379</v>
      </c>
    </row>
    <row r="34" customFormat="false" ht="14.25" hidden="false" customHeight="false" outlineLevel="0" collapsed="false">
      <c r="A34" s="1" t="s">
        <v>2481</v>
      </c>
      <c r="B34" s="157" t="s">
        <v>2405</v>
      </c>
      <c r="C34" s="157" t="s">
        <v>1608</v>
      </c>
      <c r="D34" s="157" t="n">
        <v>4</v>
      </c>
      <c r="E34" s="157" t="n">
        <v>10</v>
      </c>
      <c r="F34" s="157" t="n">
        <v>2</v>
      </c>
      <c r="G34" s="157" t="n">
        <v>0</v>
      </c>
      <c r="H34" s="157" t="n">
        <v>0</v>
      </c>
      <c r="I34" s="157" t="s">
        <v>2295</v>
      </c>
      <c r="J34" s="162" t="n">
        <f aca="false">(D34*4+E34*1+F34*-2+G34*-3)/D34</f>
        <v>5.5</v>
      </c>
      <c r="K34" s="157"/>
      <c r="L34" s="161" t="s">
        <v>2297</v>
      </c>
      <c r="M34" s="157" t="s">
        <v>247</v>
      </c>
      <c r="N34" s="157" t="n">
        <f aca="false">D34*12.0107+E34*1.00784+F34*15.999+G34*14.0067</f>
        <v>90.1192</v>
      </c>
      <c r="O34" s="1" t="s">
        <v>2482</v>
      </c>
      <c r="P34" s="1" t="s">
        <v>2339</v>
      </c>
    </row>
    <row r="35" customFormat="false" ht="13.8" hidden="false" customHeight="false" outlineLevel="0" collapsed="false">
      <c r="A35" s="1" t="s">
        <v>495</v>
      </c>
      <c r="B35" s="157" t="s">
        <v>2405</v>
      </c>
      <c r="C35" s="157" t="s">
        <v>1843</v>
      </c>
      <c r="D35" s="157" t="n">
        <v>6</v>
      </c>
      <c r="E35" s="157" t="n">
        <v>8</v>
      </c>
      <c r="F35" s="157" t="n">
        <v>4</v>
      </c>
      <c r="G35" s="157" t="n">
        <v>0</v>
      </c>
      <c r="H35" s="157" t="n">
        <v>-2</v>
      </c>
      <c r="I35" s="161" t="s">
        <v>2302</v>
      </c>
      <c r="J35" s="162" t="n">
        <f aca="false">(D35*4+E35*1+F35*-2+G35*-3)/D35</f>
        <v>4</v>
      </c>
      <c r="K35" s="157"/>
      <c r="L35" s="164" t="s">
        <v>2362</v>
      </c>
      <c r="M35" s="157" t="s">
        <v>517</v>
      </c>
      <c r="N35" s="157" t="n">
        <f aca="false">D35*12.0107+E35*1.00784+F35*15.999+G35*14.0067</f>
        <v>144.12292</v>
      </c>
      <c r="O35" s="1" t="s">
        <v>1842</v>
      </c>
      <c r="P35" s="1" t="s">
        <v>2343</v>
      </c>
    </row>
    <row r="36" customFormat="false" ht="13.8" hidden="false" customHeight="false" outlineLevel="0" collapsed="false">
      <c r="A36" s="53" t="s">
        <v>1981</v>
      </c>
      <c r="B36" s="157" t="s">
        <v>2405</v>
      </c>
      <c r="C36" s="157" t="s">
        <v>1983</v>
      </c>
      <c r="D36" s="157" t="n">
        <v>4</v>
      </c>
      <c r="E36" s="157" t="n">
        <v>10</v>
      </c>
      <c r="F36" s="157" t="n">
        <v>1</v>
      </c>
      <c r="G36" s="157" t="n">
        <v>0</v>
      </c>
      <c r="H36" s="157" t="n">
        <v>0</v>
      </c>
      <c r="I36" s="157" t="s">
        <v>2299</v>
      </c>
      <c r="J36" s="162" t="n">
        <f aca="false">(D36*4+E36*1+F36*-2+G36*-3)/D36</f>
        <v>6</v>
      </c>
      <c r="K36" s="157"/>
      <c r="L36" s="157" t="s">
        <v>2297</v>
      </c>
      <c r="M36" s="157" t="s">
        <v>784</v>
      </c>
      <c r="N36" s="157" t="n">
        <f aca="false">D36*12.0107+E36*1.00784+F36*15.999+G36*14.0067</f>
        <v>74.1202</v>
      </c>
      <c r="O36" s="1" t="s">
        <v>1982</v>
      </c>
      <c r="P36" s="1" t="s">
        <v>2350</v>
      </c>
    </row>
    <row r="37" customFormat="false" ht="13.8" hidden="false" customHeight="false" outlineLevel="0" collapsed="false">
      <c r="A37" s="1" t="s">
        <v>2404</v>
      </c>
      <c r="B37" s="157" t="s">
        <v>2405</v>
      </c>
      <c r="C37" s="157" t="s">
        <v>2406</v>
      </c>
      <c r="D37" s="157" t="n">
        <v>8</v>
      </c>
      <c r="E37" s="157" t="n">
        <v>16</v>
      </c>
      <c r="F37" s="157" t="n">
        <v>2</v>
      </c>
      <c r="G37" s="157" t="n">
        <v>0</v>
      </c>
      <c r="H37" s="157" t="n">
        <v>0</v>
      </c>
      <c r="I37" s="157" t="s">
        <v>2358</v>
      </c>
      <c r="J37" s="162" t="n">
        <f aca="false">(D37*4+E37*1+F37*-2+G37*-3)/D37</f>
        <v>5.5</v>
      </c>
      <c r="K37" s="157"/>
      <c r="L37" s="164" t="s">
        <v>2364</v>
      </c>
      <c r="M37" s="157"/>
      <c r="N37" s="157" t="n">
        <f aca="false">D37*12.0107+E37*1.00784+F37*15.999+G37*14.0067</f>
        <v>144.20904</v>
      </c>
      <c r="O37" s="1" t="s">
        <v>2407</v>
      </c>
      <c r="P37" s="1" t="s">
        <v>2408</v>
      </c>
    </row>
    <row r="38" customFormat="false" ht="13.8" hidden="false" customHeight="false" outlineLevel="0" collapsed="false">
      <c r="A38" s="1" t="s">
        <v>2409</v>
      </c>
      <c r="B38" s="157" t="s">
        <v>2405</v>
      </c>
      <c r="C38" s="157" t="s">
        <v>2410</v>
      </c>
      <c r="D38" s="157" t="n">
        <v>20</v>
      </c>
      <c r="E38" s="157" t="n">
        <v>32</v>
      </c>
      <c r="F38" s="157" t="n">
        <v>0</v>
      </c>
      <c r="G38" s="157" t="n">
        <v>0</v>
      </c>
      <c r="H38" s="157" t="n">
        <v>0</v>
      </c>
      <c r="I38" s="157" t="s">
        <v>2411</v>
      </c>
      <c r="J38" s="162" t="n">
        <f aca="false">(D38*4+E38*1+F38*-2+G38*-3)/D38</f>
        <v>5.6</v>
      </c>
      <c r="K38" s="157"/>
      <c r="L38" s="164" t="s">
        <v>2362</v>
      </c>
      <c r="M38" s="157"/>
      <c r="N38" s="157" t="n">
        <f aca="false">D38*12.0107+E38*1.00784+F38*15.999+G38*14.0067</f>
        <v>272.46488</v>
      </c>
      <c r="O38" s="36"/>
      <c r="P38" s="1" t="s">
        <v>2342</v>
      </c>
    </row>
    <row r="39" customFormat="false" ht="14.25" hidden="false" customHeight="false" outlineLevel="0" collapsed="false">
      <c r="A39" s="53" t="s">
        <v>835</v>
      </c>
      <c r="B39" s="157" t="s">
        <v>2405</v>
      </c>
      <c r="C39" s="1" t="s">
        <v>1836</v>
      </c>
      <c r="D39" s="157" t="n">
        <v>6</v>
      </c>
      <c r="E39" s="157" t="n">
        <v>6</v>
      </c>
      <c r="F39" s="157" t="n">
        <v>2</v>
      </c>
      <c r="G39" s="157" t="n">
        <v>0</v>
      </c>
      <c r="H39" s="157" t="n">
        <v>0</v>
      </c>
      <c r="I39" s="157" t="s">
        <v>2483</v>
      </c>
      <c r="J39" s="162" t="n">
        <f aca="false">(D39*4+E39*1+F39*-2+G39*-3)/D39</f>
        <v>4.33333333333333</v>
      </c>
      <c r="K39" s="157"/>
      <c r="L39" s="157" t="s">
        <v>2297</v>
      </c>
      <c r="M39" s="157" t="s">
        <v>846</v>
      </c>
      <c r="N39" s="157" t="n">
        <f aca="false">D39*12.0107+E39*1.00784+F39*15.999+G39*14.0067</f>
        <v>110.10924</v>
      </c>
      <c r="O39" s="1" t="s">
        <v>1835</v>
      </c>
      <c r="P39" s="2" t="s">
        <v>2353</v>
      </c>
    </row>
    <row r="40" customFormat="false" ht="14.25" hidden="false" customHeight="false" outlineLevel="0" collapsed="false">
      <c r="A40" s="1" t="s">
        <v>2357</v>
      </c>
      <c r="B40" s="157" t="s">
        <v>2405</v>
      </c>
      <c r="C40" s="157" t="s">
        <v>1604</v>
      </c>
      <c r="D40" s="157" t="n">
        <v>4</v>
      </c>
      <c r="E40" s="157" t="n">
        <v>8</v>
      </c>
      <c r="F40" s="157" t="n">
        <v>2</v>
      </c>
      <c r="G40" s="157" t="n">
        <v>0</v>
      </c>
      <c r="H40" s="157" t="n">
        <v>0</v>
      </c>
      <c r="I40" s="157" t="s">
        <v>2358</v>
      </c>
      <c r="J40" s="162" t="n">
        <f aca="false">(D40*4+E40*1+F40*-2+G40*-3)/D40</f>
        <v>5</v>
      </c>
      <c r="K40" s="157"/>
      <c r="L40" s="164" t="s">
        <v>2364</v>
      </c>
      <c r="M40" s="157" t="s">
        <v>2359</v>
      </c>
      <c r="N40" s="157" t="n">
        <f aca="false">D40*12.0107+E40*1.00784+F40*15.999+G40*14.0067</f>
        <v>88.10352</v>
      </c>
      <c r="O40" s="1" t="s">
        <v>2012</v>
      </c>
      <c r="P40" s="1" t="s">
        <v>2360</v>
      </c>
    </row>
    <row r="41" customFormat="false" ht="14.25" hidden="false" customHeight="false" outlineLevel="0" collapsed="false">
      <c r="A41" s="1" t="s">
        <v>2412</v>
      </c>
      <c r="B41" s="157" t="s">
        <v>2405</v>
      </c>
      <c r="C41" s="157" t="s">
        <v>2413</v>
      </c>
      <c r="D41" s="157" t="n">
        <v>6</v>
      </c>
      <c r="E41" s="157" t="n">
        <v>12</v>
      </c>
      <c r="F41" s="157" t="n">
        <v>2</v>
      </c>
      <c r="G41" s="157" t="n">
        <v>0</v>
      </c>
      <c r="H41" s="157" t="n">
        <v>0</v>
      </c>
      <c r="I41" s="157" t="s">
        <v>2358</v>
      </c>
      <c r="J41" s="162" t="n">
        <f aca="false">(D41*4+E41*1+F41*-2+G41*-3)/D41</f>
        <v>5.33333333333333</v>
      </c>
      <c r="K41" s="157"/>
      <c r="L41" s="164" t="s">
        <v>2364</v>
      </c>
      <c r="M41" s="157"/>
      <c r="N41" s="157" t="n">
        <f aca="false">D41*12.0107+E41*1.00784+F41*15.999+G41*14.0067</f>
        <v>116.15628</v>
      </c>
      <c r="O41" s="36"/>
      <c r="P41" s="1" t="s">
        <v>2408</v>
      </c>
    </row>
    <row r="42" customFormat="false" ht="14.25" hidden="false" customHeight="false" outlineLevel="0" collapsed="false">
      <c r="A42" s="1" t="s">
        <v>2414</v>
      </c>
      <c r="B42" s="157" t="s">
        <v>2405</v>
      </c>
      <c r="C42" s="157" t="s">
        <v>2415</v>
      </c>
      <c r="D42" s="157" t="n">
        <v>7</v>
      </c>
      <c r="E42" s="157" t="n">
        <v>14</v>
      </c>
      <c r="F42" s="157" t="n">
        <v>2</v>
      </c>
      <c r="G42" s="157" t="n">
        <v>0</v>
      </c>
      <c r="H42" s="157" t="n">
        <v>0</v>
      </c>
      <c r="I42" s="157" t="s">
        <v>2358</v>
      </c>
      <c r="J42" s="162" t="n">
        <f aca="false">(D42*4+E42*1+F42*-2+G42*-3)/D42</f>
        <v>5.42857142857143</v>
      </c>
      <c r="K42" s="157"/>
      <c r="L42" s="164" t="s">
        <v>2364</v>
      </c>
      <c r="M42" s="157"/>
      <c r="N42" s="157" t="n">
        <f aca="false">D42*12.0107+E42*1.00784+F42*15.999+G42*14.0067</f>
        <v>130.18266</v>
      </c>
      <c r="O42" s="36"/>
      <c r="P42" s="1" t="s">
        <v>2416</v>
      </c>
    </row>
    <row r="43" customFormat="false" ht="13.8" hidden="false" customHeight="false" outlineLevel="0" collapsed="false">
      <c r="A43" s="1" t="s">
        <v>1538</v>
      </c>
      <c r="B43" s="157" t="s">
        <v>2405</v>
      </c>
      <c r="C43" s="157" t="s">
        <v>2267</v>
      </c>
      <c r="D43" s="157" t="n">
        <v>8</v>
      </c>
      <c r="E43" s="157" t="n">
        <v>10</v>
      </c>
      <c r="F43" s="157" t="n">
        <v>0</v>
      </c>
      <c r="G43" s="157" t="n">
        <v>0</v>
      </c>
      <c r="H43" s="157" t="n">
        <v>0</v>
      </c>
      <c r="I43" s="157" t="s">
        <v>2382</v>
      </c>
      <c r="J43" s="162" t="n">
        <f aca="false">(D43*4+E43*1+F43*-2+G43*-3)/D43</f>
        <v>5.25</v>
      </c>
      <c r="K43" s="157"/>
      <c r="L43" s="164" t="s">
        <v>2362</v>
      </c>
      <c r="M43" s="157"/>
      <c r="N43" s="157" t="n">
        <f aca="false">D43*12.0107+E43*1.00784+F43*15.999+G43*14.0067</f>
        <v>106.164</v>
      </c>
      <c r="O43" s="36"/>
      <c r="P43" s="1" t="s">
        <v>2449</v>
      </c>
    </row>
    <row r="44" customFormat="false" ht="13.8" hidden="false" customHeight="false" outlineLevel="0" collapsed="false">
      <c r="A44" s="180" t="s">
        <v>2484</v>
      </c>
      <c r="B44" s="181" t="s">
        <v>2405</v>
      </c>
      <c r="C44" s="181" t="s">
        <v>2485</v>
      </c>
      <c r="D44" s="181" t="n">
        <v>2</v>
      </c>
      <c r="E44" s="181" t="n">
        <v>4</v>
      </c>
      <c r="F44" s="181" t="n">
        <v>0</v>
      </c>
      <c r="G44" s="181" t="n">
        <v>0</v>
      </c>
      <c r="H44" s="181" t="n">
        <v>0</v>
      </c>
      <c r="I44" s="181" t="s">
        <v>2317</v>
      </c>
      <c r="J44" s="182" t="n">
        <f aca="false">(D44*4+E44*1+F44*-2+G44*-3)/D44</f>
        <v>6</v>
      </c>
      <c r="K44" s="181"/>
      <c r="L44" s="181" t="s">
        <v>2297</v>
      </c>
      <c r="M44" s="181"/>
      <c r="N44" s="181" t="n">
        <f aca="false">D44*12.0107+E44*1.00784+F44*15.999+G44*14.0067</f>
        <v>28.05276</v>
      </c>
      <c r="O44" s="180" t="s">
        <v>2486</v>
      </c>
      <c r="P44" s="180" t="s">
        <v>2487</v>
      </c>
    </row>
    <row r="45" customFormat="false" ht="14.25" hidden="false" customHeight="false" outlineLevel="0" collapsed="false">
      <c r="A45" s="1" t="s">
        <v>2450</v>
      </c>
      <c r="B45" s="157" t="s">
        <v>2405</v>
      </c>
      <c r="C45" s="157" t="s">
        <v>2451</v>
      </c>
      <c r="D45" s="157" t="n">
        <v>6</v>
      </c>
      <c r="E45" s="157" t="n">
        <v>6</v>
      </c>
      <c r="F45" s="157" t="n">
        <v>3</v>
      </c>
      <c r="G45" s="157" t="n">
        <v>0</v>
      </c>
      <c r="H45" s="157" t="n">
        <v>0</v>
      </c>
      <c r="I45" s="2" t="s">
        <v>2488</v>
      </c>
      <c r="J45" s="162" t="n">
        <f aca="false">(D45*4+E45*1+F45*-2+G45*-3)/D45</f>
        <v>4</v>
      </c>
      <c r="K45" s="157"/>
      <c r="L45" s="164" t="s">
        <v>2362</v>
      </c>
      <c r="M45" s="157"/>
      <c r="N45" s="157" t="n">
        <f aca="false">D45*12.0107+E45*1.00784+F45*15.999+G45*14.0067</f>
        <v>126.10824</v>
      </c>
      <c r="O45" s="36"/>
      <c r="P45" s="1" t="s">
        <v>2452</v>
      </c>
    </row>
    <row r="46" customFormat="false" ht="13.8" hidden="false" customHeight="false" outlineLevel="0" collapsed="false">
      <c r="A46" s="53" t="s">
        <v>1057</v>
      </c>
      <c r="B46" s="157" t="s">
        <v>2405</v>
      </c>
      <c r="C46" s="157" t="s">
        <v>1700</v>
      </c>
      <c r="D46" s="157" t="n">
        <v>5</v>
      </c>
      <c r="E46" s="157" t="n">
        <v>10</v>
      </c>
      <c r="F46" s="157" t="n">
        <v>1</v>
      </c>
      <c r="G46" s="157" t="n">
        <v>0</v>
      </c>
      <c r="H46" s="157" t="n">
        <v>0</v>
      </c>
      <c r="I46" s="157" t="s">
        <v>2299</v>
      </c>
      <c r="J46" s="162" t="n">
        <f aca="false">(D46*4+E46*1+F46*-2+G46*-3)/D46</f>
        <v>5.6</v>
      </c>
      <c r="K46" s="157"/>
      <c r="L46" s="161" t="s">
        <v>2297</v>
      </c>
      <c r="M46" s="157" t="s">
        <v>2489</v>
      </c>
      <c r="N46" s="157" t="n">
        <f aca="false">D46*12.0107+E46*1.00784+F46*15.999+G46*14.0067</f>
        <v>86.1309</v>
      </c>
      <c r="O46" s="1" t="s">
        <v>2490</v>
      </c>
      <c r="P46" s="1" t="s">
        <v>2491</v>
      </c>
    </row>
    <row r="47" customFormat="false" ht="14.25" hidden="false" customHeight="false" outlineLevel="0" collapsed="false">
      <c r="A47" s="1" t="s">
        <v>2417</v>
      </c>
      <c r="B47" s="157" t="s">
        <v>2405</v>
      </c>
      <c r="C47" s="157" t="s">
        <v>2413</v>
      </c>
      <c r="D47" s="157" t="n">
        <v>6</v>
      </c>
      <c r="E47" s="157" t="n">
        <v>12</v>
      </c>
      <c r="F47" s="157" t="n">
        <v>2</v>
      </c>
      <c r="G47" s="157" t="n">
        <v>0</v>
      </c>
      <c r="H47" s="157" t="n">
        <v>0</v>
      </c>
      <c r="I47" s="157" t="s">
        <v>2358</v>
      </c>
      <c r="J47" s="162" t="n">
        <f aca="false">(D47*4+E47*1+F47*-2+G47*-3)/D47</f>
        <v>5.33333333333333</v>
      </c>
      <c r="K47" s="157"/>
      <c r="L47" s="161" t="s">
        <v>2297</v>
      </c>
      <c r="M47" s="157" t="s">
        <v>2418</v>
      </c>
      <c r="N47" s="157" t="n">
        <f aca="false">D47*12.0107+E47*1.00784+F47*15.999+G47*14.0067</f>
        <v>116.15628</v>
      </c>
      <c r="O47" s="1" t="s">
        <v>2419</v>
      </c>
      <c r="P47" s="1" t="s">
        <v>2420</v>
      </c>
    </row>
    <row r="48" customFormat="false" ht="14.25" hidden="false" customHeight="false" outlineLevel="0" collapsed="false">
      <c r="A48" s="1" t="s">
        <v>2421</v>
      </c>
      <c r="B48" s="157" t="s">
        <v>2405</v>
      </c>
      <c r="C48" s="157" t="s">
        <v>2406</v>
      </c>
      <c r="D48" s="157" t="n">
        <v>8</v>
      </c>
      <c r="E48" s="157" t="n">
        <v>16</v>
      </c>
      <c r="F48" s="157" t="n">
        <v>2</v>
      </c>
      <c r="G48" s="157" t="n">
        <v>0</v>
      </c>
      <c r="H48" s="157" t="n">
        <v>0</v>
      </c>
      <c r="I48" s="157" t="s">
        <v>2358</v>
      </c>
      <c r="J48" s="162" t="n">
        <f aca="false">(D48*4+E48*1+F48*-2+G48*-3)/D48</f>
        <v>5.5</v>
      </c>
      <c r="K48" s="157"/>
      <c r="L48" s="164" t="s">
        <v>2364</v>
      </c>
      <c r="M48" s="157"/>
      <c r="N48" s="157" t="n">
        <f aca="false">D48*12.0107+E48*1.00784+F48*15.999+G48*14.0067</f>
        <v>144.20904</v>
      </c>
      <c r="O48" s="36"/>
      <c r="P48" s="1" t="s">
        <v>2422</v>
      </c>
    </row>
    <row r="49" customFormat="false" ht="14.25" hidden="false" customHeight="false" outlineLevel="0" collapsed="false">
      <c r="A49" s="1" t="s">
        <v>2423</v>
      </c>
      <c r="B49" s="157" t="s">
        <v>2405</v>
      </c>
      <c r="C49" s="157" t="s">
        <v>2424</v>
      </c>
      <c r="D49" s="157" t="n">
        <v>9</v>
      </c>
      <c r="E49" s="157" t="n">
        <v>18</v>
      </c>
      <c r="F49" s="157" t="n">
        <v>2</v>
      </c>
      <c r="G49" s="157" t="n">
        <v>0</v>
      </c>
      <c r="H49" s="157" t="n">
        <v>0</v>
      </c>
      <c r="I49" s="157" t="s">
        <v>2358</v>
      </c>
      <c r="J49" s="162" t="n">
        <f aca="false">(D49*4+E49*1+F49*-2+G49*-3)/D49</f>
        <v>5.55555555555556</v>
      </c>
      <c r="K49" s="157"/>
      <c r="L49" s="164" t="s">
        <v>2364</v>
      </c>
      <c r="M49" s="157"/>
      <c r="N49" s="157" t="n">
        <f aca="false">D49*12.0107+E49*1.00784+F49*15.999+G49*14.0067</f>
        <v>158.23542</v>
      </c>
      <c r="O49" s="36"/>
      <c r="P49" s="1" t="s">
        <v>2425</v>
      </c>
    </row>
    <row r="50" customFormat="false" ht="13.8" hidden="false" customHeight="false" outlineLevel="0" collapsed="false">
      <c r="A50" s="1" t="s">
        <v>2120</v>
      </c>
      <c r="B50" s="157" t="s">
        <v>2405</v>
      </c>
      <c r="C50" s="157" t="s">
        <v>2122</v>
      </c>
      <c r="D50" s="157" t="n">
        <v>5</v>
      </c>
      <c r="E50" s="157" t="n">
        <v>8</v>
      </c>
      <c r="F50" s="157" t="n">
        <v>0</v>
      </c>
      <c r="G50" s="157" t="n">
        <v>0</v>
      </c>
      <c r="H50" s="157" t="n">
        <v>0</v>
      </c>
      <c r="I50" s="157" t="s">
        <v>2317</v>
      </c>
      <c r="J50" s="162" t="n">
        <f aca="false">(D50*4+E50*1+F50*-2+G50*-3)/D50</f>
        <v>5.6</v>
      </c>
      <c r="K50" s="157"/>
      <c r="L50" s="164" t="s">
        <v>2364</v>
      </c>
      <c r="M50" s="157"/>
      <c r="N50" s="157" t="n">
        <f aca="false">D50*12.0107+E50*1.00784+F50*15.999+G50*14.0067</f>
        <v>68.11622</v>
      </c>
      <c r="O50" s="36"/>
      <c r="P50" s="1" t="s">
        <v>2363</v>
      </c>
    </row>
    <row r="51" customFormat="false" ht="13.8" hidden="false" customHeight="false" outlineLevel="0" collapsed="false">
      <c r="A51" s="1" t="s">
        <v>1156</v>
      </c>
      <c r="B51" s="157" t="s">
        <v>2405</v>
      </c>
      <c r="C51" s="157" t="s">
        <v>2138</v>
      </c>
      <c r="D51" s="157" t="n">
        <v>5</v>
      </c>
      <c r="E51" s="157" t="n">
        <v>4</v>
      </c>
      <c r="F51" s="157" t="n">
        <v>4</v>
      </c>
      <c r="G51" s="157" t="n">
        <v>0</v>
      </c>
      <c r="H51" s="157" t="n">
        <v>-2</v>
      </c>
      <c r="I51" s="157" t="s">
        <v>2302</v>
      </c>
      <c r="J51" s="162" t="n">
        <f aca="false">(D51*4+E51*1+F51*-2+G51*-3)/D51</f>
        <v>3.2</v>
      </c>
      <c r="K51" s="157"/>
      <c r="L51" s="164" t="s">
        <v>2362</v>
      </c>
      <c r="M51" s="157" t="s">
        <v>1174</v>
      </c>
      <c r="N51" s="157" t="n">
        <f aca="false">D51*12.0107+E51*1.00784+F51*15.999+G51*14.0067</f>
        <v>128.08086</v>
      </c>
      <c r="O51" s="1" t="s">
        <v>2137</v>
      </c>
      <c r="P51" s="1" t="s">
        <v>2366</v>
      </c>
    </row>
    <row r="52" customFormat="false" ht="13.8" hidden="false" customHeight="false" outlineLevel="0" collapsed="false">
      <c r="A52" s="1" t="s">
        <v>2453</v>
      </c>
      <c r="B52" s="157" t="s">
        <v>2405</v>
      </c>
      <c r="C52" s="157" t="s">
        <v>1994</v>
      </c>
      <c r="D52" s="157" t="n">
        <v>5</v>
      </c>
      <c r="E52" s="157" t="n">
        <v>7</v>
      </c>
      <c r="F52" s="157" t="n">
        <v>3</v>
      </c>
      <c r="G52" s="157" t="n">
        <v>0</v>
      </c>
      <c r="H52" s="157" t="n">
        <v>-1</v>
      </c>
      <c r="I52" s="157" t="s">
        <v>2310</v>
      </c>
      <c r="J52" s="162" t="n">
        <f aca="false">(D52*4+E52*1+F52*-2+G52*-3)/D52</f>
        <v>4.2</v>
      </c>
      <c r="K52" s="157"/>
      <c r="L52" s="157" t="s">
        <v>2492</v>
      </c>
      <c r="M52" s="157" t="s">
        <v>2454</v>
      </c>
      <c r="N52" s="157" t="n">
        <f aca="false">D52*12.0107+E52*1.00784+F52*15.999+G52*14.0067</f>
        <v>115.10538</v>
      </c>
      <c r="O52" s="1" t="s">
        <v>2455</v>
      </c>
      <c r="P52" s="1" t="s">
        <v>2456</v>
      </c>
    </row>
    <row r="53" customFormat="false" ht="13.8" hidden="false" customHeight="false" outlineLevel="0" collapsed="false">
      <c r="A53" s="1" t="s">
        <v>2142</v>
      </c>
      <c r="B53" s="157" t="s">
        <v>2405</v>
      </c>
      <c r="C53" s="157" t="s">
        <v>2144</v>
      </c>
      <c r="D53" s="157" t="n">
        <v>10</v>
      </c>
      <c r="E53" s="157" t="n">
        <v>16</v>
      </c>
      <c r="F53" s="157" t="n">
        <v>0</v>
      </c>
      <c r="G53" s="157" t="n">
        <v>0</v>
      </c>
      <c r="H53" s="157" t="n">
        <v>0</v>
      </c>
      <c r="I53" s="157" t="s">
        <v>2382</v>
      </c>
      <c r="J53" s="162" t="n">
        <f aca="false">(D53*4+E53*1+F53*-2+G53*-3)/D53</f>
        <v>5.6</v>
      </c>
      <c r="K53" s="157"/>
      <c r="L53" s="164" t="s">
        <v>2362</v>
      </c>
      <c r="M53" s="157" t="s">
        <v>1193</v>
      </c>
      <c r="N53" s="157" t="n">
        <f aca="false">D53*12.0107+E53*1.00784+F53*15.999+G53*14.0067</f>
        <v>136.23244</v>
      </c>
      <c r="O53" s="1" t="s">
        <v>2143</v>
      </c>
      <c r="P53" s="1" t="s">
        <v>2368</v>
      </c>
    </row>
    <row r="54" customFormat="false" ht="13.8" hidden="false" customHeight="false" outlineLevel="0" collapsed="false">
      <c r="A54" s="1" t="s">
        <v>2426</v>
      </c>
      <c r="B54" s="157" t="s">
        <v>2405</v>
      </c>
      <c r="C54" s="157" t="s">
        <v>2144</v>
      </c>
      <c r="D54" s="157" t="n">
        <v>10</v>
      </c>
      <c r="E54" s="157" t="n">
        <v>16</v>
      </c>
      <c r="F54" s="157" t="n">
        <v>0</v>
      </c>
      <c r="G54" s="157" t="n">
        <v>0</v>
      </c>
      <c r="H54" s="157" t="n">
        <v>0</v>
      </c>
      <c r="I54" s="157" t="s">
        <v>2427</v>
      </c>
      <c r="J54" s="162" t="n">
        <f aca="false">(D54*4+E54*1+F54*-2+G54*-3)/D54</f>
        <v>5.6</v>
      </c>
      <c r="K54" s="157"/>
      <c r="L54" s="164" t="s">
        <v>2362</v>
      </c>
      <c r="M54" s="157"/>
      <c r="N54" s="157" t="n">
        <f aca="false">D54*12.0107+E54*1.00784+F54*15.999+G54*14.0067</f>
        <v>136.23244</v>
      </c>
      <c r="O54" s="36"/>
      <c r="P54" s="1" t="s">
        <v>2428</v>
      </c>
    </row>
    <row r="55" customFormat="false" ht="13.8" hidden="false" customHeight="false" outlineLevel="0" collapsed="false">
      <c r="A55" s="53" t="s">
        <v>2214</v>
      </c>
      <c r="B55" s="157" t="s">
        <v>2405</v>
      </c>
      <c r="C55" s="157" t="s">
        <v>1703</v>
      </c>
      <c r="D55" s="157" t="n">
        <v>5</v>
      </c>
      <c r="E55" s="157" t="n">
        <v>12</v>
      </c>
      <c r="F55" s="157" t="n">
        <v>1</v>
      </c>
      <c r="G55" s="157" t="n">
        <v>0</v>
      </c>
      <c r="H55" s="157" t="n">
        <v>0</v>
      </c>
      <c r="I55" s="157" t="s">
        <v>2299</v>
      </c>
      <c r="J55" s="162" t="n">
        <f aca="false">(D55*4+E55*1+F55*-2+G55*-3)/D55</f>
        <v>6</v>
      </c>
      <c r="K55" s="157"/>
      <c r="L55" s="164" t="s">
        <v>2493</v>
      </c>
      <c r="M55" s="157"/>
      <c r="N55" s="157" t="n">
        <f aca="false">D55*12.0107+E55*1.00784+F55*15.999+G55*14.0067</f>
        <v>88.14658</v>
      </c>
      <c r="O55" s="36"/>
      <c r="P55" s="1" t="s">
        <v>2370</v>
      </c>
    </row>
    <row r="56" customFormat="false" ht="13.8" hidden="false" customHeight="false" outlineLevel="0" collapsed="false">
      <c r="A56" s="1" t="s">
        <v>2429</v>
      </c>
      <c r="B56" s="157" t="s">
        <v>2405</v>
      </c>
      <c r="C56" s="157" t="s">
        <v>2430</v>
      </c>
      <c r="D56" s="157" t="n">
        <v>10</v>
      </c>
      <c r="E56" s="157" t="n">
        <v>20</v>
      </c>
      <c r="F56" s="157" t="n">
        <v>2</v>
      </c>
      <c r="G56" s="157" t="n">
        <v>0</v>
      </c>
      <c r="H56" s="157" t="n">
        <v>0</v>
      </c>
      <c r="I56" s="157" t="s">
        <v>2358</v>
      </c>
      <c r="J56" s="162" t="n">
        <f aca="false">(D56*4+E56*1+F56*-2+G56*-3)/D56</f>
        <v>5.6</v>
      </c>
      <c r="K56" s="157"/>
      <c r="L56" s="164" t="s">
        <v>2362</v>
      </c>
      <c r="M56" s="157"/>
      <c r="N56" s="157" t="n">
        <f aca="false">D56*12.0107+E56*1.00784+F56*15.999+G56*14.0067</f>
        <v>172.2618</v>
      </c>
      <c r="O56" s="36"/>
      <c r="P56" s="1" t="s">
        <v>2431</v>
      </c>
    </row>
    <row r="57" customFormat="false" ht="13.8" hidden="false" customHeight="false" outlineLevel="0" collapsed="false">
      <c r="A57" s="1" t="s">
        <v>1366</v>
      </c>
      <c r="B57" s="157" t="s">
        <v>2405</v>
      </c>
      <c r="C57" s="157" t="s">
        <v>2227</v>
      </c>
      <c r="D57" s="157" t="n">
        <v>6</v>
      </c>
      <c r="E57" s="157" t="n">
        <v>6</v>
      </c>
      <c r="F57" s="157" t="n">
        <v>1</v>
      </c>
      <c r="G57" s="157" t="n">
        <v>0</v>
      </c>
      <c r="H57" s="157" t="n">
        <v>0</v>
      </c>
      <c r="I57" s="157" t="s">
        <v>2494</v>
      </c>
      <c r="J57" s="162" t="n">
        <f aca="false">(D57*4+E57*1+F57*-2+G57*-3)/D57</f>
        <v>4.66666666666667</v>
      </c>
      <c r="K57" s="157"/>
      <c r="L57" s="157" t="s">
        <v>2293</v>
      </c>
      <c r="M57" s="157" t="s">
        <v>1378</v>
      </c>
      <c r="N57" s="157" t="n">
        <f aca="false">D57*12.0107+E57*1.00784+F57*15.999+G57*14.0067</f>
        <v>94.11024</v>
      </c>
      <c r="O57" s="1" t="s">
        <v>2226</v>
      </c>
      <c r="P57" s="1" t="s">
        <v>2381</v>
      </c>
    </row>
    <row r="58" customFormat="false" ht="14.25" hidden="false" customHeight="false" outlineLevel="0" collapsed="false">
      <c r="A58" s="1" t="s">
        <v>2463</v>
      </c>
      <c r="B58" s="157" t="s">
        <v>2405</v>
      </c>
      <c r="C58" s="157" t="s">
        <v>2464</v>
      </c>
      <c r="D58" s="157" t="n">
        <v>3</v>
      </c>
      <c r="E58" s="157" t="n">
        <v>4</v>
      </c>
      <c r="F58" s="157" t="n">
        <v>2</v>
      </c>
      <c r="G58" s="157" t="n">
        <v>0</v>
      </c>
      <c r="H58" s="175" t="n">
        <v>0</v>
      </c>
      <c r="I58" s="157" t="s">
        <v>2465</v>
      </c>
      <c r="J58" s="162" t="n">
        <f aca="false">(D58*4+E58*1+F58*-2+G58*-3)/D58</f>
        <v>4</v>
      </c>
      <c r="K58" s="157"/>
      <c r="L58" s="157" t="s">
        <v>2467</v>
      </c>
      <c r="M58" s="157"/>
      <c r="N58" s="175"/>
      <c r="O58" s="36"/>
      <c r="P58" s="1" t="s">
        <v>2466</v>
      </c>
    </row>
    <row r="59" customFormat="false" ht="14.25" hidden="false" customHeight="false" outlineLevel="0" collapsed="false">
      <c r="A59" s="1" t="s">
        <v>2432</v>
      </c>
      <c r="B59" s="157" t="s">
        <v>2405</v>
      </c>
      <c r="C59" s="157" t="s">
        <v>2415</v>
      </c>
      <c r="D59" s="157" t="n">
        <v>7</v>
      </c>
      <c r="E59" s="157" t="n">
        <v>14</v>
      </c>
      <c r="F59" s="157" t="n">
        <v>2</v>
      </c>
      <c r="G59" s="157" t="n">
        <v>0</v>
      </c>
      <c r="H59" s="157" t="n">
        <v>0</v>
      </c>
      <c r="I59" s="157" t="s">
        <v>2358</v>
      </c>
      <c r="J59" s="162" t="n">
        <f aca="false">(D59*4+E59*1+F59*-2+G59*-3)/D59</f>
        <v>5.42857142857143</v>
      </c>
      <c r="K59" s="157"/>
      <c r="L59" s="164" t="s">
        <v>2362</v>
      </c>
      <c r="M59" s="157"/>
      <c r="N59" s="157" t="n">
        <f aca="false">D59*12.0107+E59*1.00784+F59*15.999+G59*14.0067</f>
        <v>130.18266</v>
      </c>
      <c r="O59" s="36"/>
      <c r="P59" s="1" t="s">
        <v>2433</v>
      </c>
    </row>
    <row r="60" customFormat="false" ht="14.25" hidden="false" customHeight="false" outlineLevel="0" collapsed="false">
      <c r="A60" s="1" t="s">
        <v>1434</v>
      </c>
      <c r="B60" s="157" t="s">
        <v>2405</v>
      </c>
      <c r="C60" s="157" t="s">
        <v>2251</v>
      </c>
      <c r="D60" s="157" t="n">
        <v>8</v>
      </c>
      <c r="E60" s="157" t="n">
        <v>8</v>
      </c>
      <c r="F60" s="157" t="n">
        <v>0</v>
      </c>
      <c r="G60" s="157" t="n">
        <v>0</v>
      </c>
      <c r="H60" s="157" t="n">
        <v>0</v>
      </c>
      <c r="I60" s="157" t="s">
        <v>2382</v>
      </c>
      <c r="J60" s="162" t="n">
        <f aca="false">(D60*4+E60*1+F60*-2+G60*-3)/D60</f>
        <v>5</v>
      </c>
      <c r="K60" s="157"/>
      <c r="L60" s="164" t="s">
        <v>2495</v>
      </c>
      <c r="M60" s="157"/>
      <c r="N60" s="157" t="n">
        <f aca="false">D60*12.0107+E60*1.00784+F60*15.999+G60*14.0067</f>
        <v>104.14832</v>
      </c>
      <c r="O60" s="36"/>
      <c r="P60" s="1" t="s">
        <v>2383</v>
      </c>
    </row>
    <row r="61" customFormat="false" ht="13.8" hidden="false" customHeight="false" outlineLevel="0" collapsed="false">
      <c r="A61" s="1" t="s">
        <v>2434</v>
      </c>
      <c r="B61" s="157" t="s">
        <v>2405</v>
      </c>
      <c r="C61" s="157" t="s">
        <v>2435</v>
      </c>
      <c r="D61" s="157" t="n">
        <v>8</v>
      </c>
      <c r="E61" s="157" t="n">
        <v>8</v>
      </c>
      <c r="F61" s="157" t="n">
        <v>3</v>
      </c>
      <c r="G61" s="157" t="n">
        <v>0</v>
      </c>
      <c r="H61" s="157" t="n">
        <v>0</v>
      </c>
      <c r="I61" s="2" t="s">
        <v>2488</v>
      </c>
      <c r="J61" s="162" t="n">
        <f aca="false">(D61*4+E61*1+F61*-2+G61*-3)/D61</f>
        <v>4.25</v>
      </c>
      <c r="K61" s="157"/>
      <c r="L61" s="157" t="s">
        <v>2293</v>
      </c>
      <c r="M61" s="157" t="s">
        <v>2437</v>
      </c>
      <c r="N61" s="157" t="n">
        <f aca="false">D61*12.0107+E61*1.00784+F61*15.999+G61*14.0067</f>
        <v>152.14532</v>
      </c>
      <c r="O61" s="1" t="s">
        <v>2438</v>
      </c>
      <c r="P61" s="1" t="s">
        <v>2439</v>
      </c>
    </row>
    <row r="62" customFormat="false" ht="13.8" hidden="false" customHeight="false" outlineLevel="0" collapsed="false">
      <c r="A62" s="1" t="s">
        <v>2457</v>
      </c>
      <c r="B62" s="157" t="s">
        <v>2405</v>
      </c>
      <c r="C62" s="157" t="s">
        <v>2267</v>
      </c>
      <c r="D62" s="157" t="n">
        <v>8</v>
      </c>
      <c r="E62" s="157" t="n">
        <v>10</v>
      </c>
      <c r="F62" s="157" t="n">
        <v>0</v>
      </c>
      <c r="G62" s="157" t="n">
        <v>0</v>
      </c>
      <c r="H62" s="157" t="n">
        <v>0</v>
      </c>
      <c r="I62" s="157" t="s">
        <v>2382</v>
      </c>
      <c r="J62" s="162" t="n">
        <f aca="false">(D62*4+E62*1+F62*-2+G62*-3)/D62</f>
        <v>5.25</v>
      </c>
      <c r="K62" s="157"/>
      <c r="L62" s="164" t="s">
        <v>2362</v>
      </c>
      <c r="M62" s="165" t="s">
        <v>2458</v>
      </c>
      <c r="N62" s="157" t="n">
        <f aca="false">D62*12.0107+E62*1.00784+F62*15.999+G62*14.0067</f>
        <v>106.164</v>
      </c>
      <c r="O62" s="20" t="s">
        <v>2459</v>
      </c>
      <c r="P62" s="1" t="s">
        <v>2460</v>
      </c>
    </row>
    <row r="63" customFormat="false" ht="13.8" hidden="false" customHeight="false" outlineLevel="0" collapsed="false">
      <c r="C63" s="157"/>
      <c r="D63" s="157"/>
      <c r="E63" s="157"/>
      <c r="F63" s="157"/>
      <c r="G63" s="157"/>
      <c r="H63" s="157"/>
      <c r="I63" s="157"/>
      <c r="J63" s="157"/>
      <c r="K63" s="157"/>
      <c r="L63" s="157"/>
      <c r="M63" s="157"/>
      <c r="N63" s="157"/>
    </row>
    <row r="64" customFormat="false" ht="13.8" hidden="false" customHeight="false" outlineLevel="0" collapsed="false">
      <c r="C64" s="157"/>
      <c r="D64" s="157"/>
      <c r="E64" s="157"/>
      <c r="F64" s="157"/>
      <c r="G64" s="157"/>
      <c r="H64" s="157"/>
      <c r="I64" s="157"/>
      <c r="J64" s="157"/>
      <c r="K64" s="157"/>
      <c r="L64" s="157"/>
      <c r="M64" s="157"/>
      <c r="N64" s="157"/>
    </row>
    <row r="65" customFormat="false" ht="13.8" hidden="false" customHeight="false" outlineLevel="0" collapsed="false">
      <c r="C65" s="157"/>
      <c r="D65" s="157"/>
      <c r="E65" s="157"/>
      <c r="F65" s="157"/>
      <c r="G65" s="157"/>
      <c r="H65" s="157"/>
      <c r="I65" s="157"/>
      <c r="J65" s="157"/>
      <c r="K65" s="157"/>
      <c r="L65" s="157"/>
      <c r="M65" s="157"/>
      <c r="N65" s="157"/>
    </row>
    <row r="66" customFormat="false" ht="30.75" hidden="false" customHeight="true" outlineLevel="0" collapsed="false">
      <c r="A66" s="174" t="s">
        <v>2461</v>
      </c>
      <c r="B66" s="174"/>
      <c r="C66" s="174"/>
      <c r="D66" s="174"/>
      <c r="E66" s="174"/>
      <c r="F66" s="174"/>
      <c r="G66" s="174"/>
      <c r="H66" s="174"/>
      <c r="I66" s="174"/>
      <c r="J66" s="174"/>
      <c r="K66" s="174"/>
      <c r="L66" s="174"/>
      <c r="M66" s="174"/>
      <c r="N66" s="174"/>
      <c r="O66" s="174"/>
      <c r="P66" s="174"/>
    </row>
    <row r="67" customFormat="false" ht="14.25" hidden="false" customHeight="false" outlineLevel="0" collapsed="false">
      <c r="A67" s="1" t="s">
        <v>2462</v>
      </c>
    </row>
    <row r="1048576" customFormat="false" ht="12.8" hidden="false" customHeight="false" outlineLevel="0" collapsed="false"/>
  </sheetData>
  <mergeCells count="1">
    <mergeCell ref="A66:P66"/>
  </mergeCells>
  <hyperlinks>
    <hyperlink ref="P58" r:id="rId1" display="Not in BiGG db at all. Polylactic acid  is the polymer of lactic acid. Yang (2010)/Jung (2009) (same group) engineered propionate-CoA transferase from Clostridium propionicum and polyhydroxyalkanoate (PHA) synthase from Pseudomonas in E. coli for polylactic acid production. See MetaCyc for more info on PHA synthase: https://metacyc.org/META/NEW-IMAGE?type=REACTION&amp;object=RXN-21039 . In Yang (2010) they say they measured the PHA accumulated in cells suggesting it’s an intracellular product (likely true if large polymer). Not sure what size PLA they made..."/>
  </hyperlinks>
  <printOptions headings="false" gridLines="false" gridLinesSet="true" horizontalCentered="false" verticalCentered="false"/>
  <pageMargins left="0.7875" right="0.7875" top="1.05277777777778" bottom="1.05277777777778" header="0.7875" footer="0.787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sheetPr filterMode="false">
    <pageSetUpPr fitToPage="false"/>
  </sheetPr>
  <dimension ref="A1:Q291"/>
  <sheetViews>
    <sheetView showFormulas="false" showGridLines="true" showRowColHeaders="true" showZeros="true" rightToLeft="false" tabSelected="false" showOutlineSymbols="true" defaultGridColor="true" view="normal" topLeftCell="A88" colorId="64" zoomScale="100" zoomScaleNormal="100" zoomScalePageLayoutView="100" workbookViewId="0">
      <selection pane="topLeft" activeCell="L103" activeCellId="0" sqref="L103"/>
    </sheetView>
  </sheetViews>
  <sheetFormatPr defaultRowHeight="15" zeroHeight="false" outlineLevelRow="0" outlineLevelCol="0"/>
  <cols>
    <col collapsed="false" customWidth="true" hidden="false" outlineLevel="0" max="1025" min="1" style="0" width="8.53"/>
  </cols>
  <sheetData>
    <row r="1" customFormat="false" ht="15" hidden="false" customHeight="false" outlineLevel="0" collapsed="false">
      <c r="A1" s="183" t="s">
        <v>2476</v>
      </c>
      <c r="C1" s="184" t="s">
        <v>2496</v>
      </c>
    </row>
    <row r="2" customFormat="false" ht="15" hidden="false" customHeight="false" outlineLevel="0" collapsed="false">
      <c r="A2" s="0" t="s">
        <v>2497</v>
      </c>
    </row>
    <row r="3" customFormat="false" ht="15" hidden="false" customHeight="false" outlineLevel="0" collapsed="false">
      <c r="A3" s="0" t="s">
        <v>2498</v>
      </c>
    </row>
    <row r="5" customFormat="false" ht="15" hidden="false" customHeight="false" outlineLevel="0" collapsed="false">
      <c r="A5" s="183" t="s">
        <v>2478</v>
      </c>
      <c r="C5" s="184" t="s">
        <v>2499</v>
      </c>
    </row>
    <row r="6" customFormat="false" ht="15" hidden="false" customHeight="false" outlineLevel="0" collapsed="false">
      <c r="A6" s="0" t="s">
        <v>2500</v>
      </c>
    </row>
    <row r="7" customFormat="false" ht="15" hidden="false" customHeight="false" outlineLevel="0" collapsed="false">
      <c r="A7" s="0" t="s">
        <v>2501</v>
      </c>
    </row>
    <row r="8" customFormat="false" ht="15" hidden="false" customHeight="false" outlineLevel="0" collapsed="false">
      <c r="A8" s="0" t="s">
        <v>2502</v>
      </c>
    </row>
    <row r="9" customFormat="false" ht="15" hidden="false" customHeight="false" outlineLevel="0" collapsed="false">
      <c r="A9" s="0" t="s">
        <v>2503</v>
      </c>
    </row>
    <row r="11" customFormat="false" ht="15" hidden="false" customHeight="false" outlineLevel="0" collapsed="false">
      <c r="A11" s="183" t="s">
        <v>2480</v>
      </c>
      <c r="C11" s="184" t="s">
        <v>2504</v>
      </c>
    </row>
    <row r="12" customFormat="false" ht="15" hidden="false" customHeight="false" outlineLevel="0" collapsed="false">
      <c r="A12" s="0" t="s">
        <v>2505</v>
      </c>
    </row>
    <row r="13" customFormat="false" ht="15" hidden="false" customHeight="false" outlineLevel="0" collapsed="false">
      <c r="A13" s="0" t="s">
        <v>2506</v>
      </c>
    </row>
    <row r="15" customFormat="false" ht="15" hidden="false" customHeight="false" outlineLevel="0" collapsed="false">
      <c r="A15" s="183" t="s">
        <v>2481</v>
      </c>
      <c r="C15" s="184" t="s">
        <v>2507</v>
      </c>
    </row>
    <row r="16" customFormat="false" ht="15" hidden="false" customHeight="false" outlineLevel="0" collapsed="false">
      <c r="A16" s="0" t="s">
        <v>2508</v>
      </c>
    </row>
    <row r="17" customFormat="false" ht="15" hidden="false" customHeight="false" outlineLevel="0" collapsed="false">
      <c r="A17" s="0" t="s">
        <v>2509</v>
      </c>
    </row>
    <row r="19" customFormat="false" ht="15" hidden="false" customHeight="false" outlineLevel="0" collapsed="false">
      <c r="A19" s="183" t="s">
        <v>2510</v>
      </c>
      <c r="C19" s="184" t="s">
        <v>2511</v>
      </c>
    </row>
    <row r="20" customFormat="false" ht="15" hidden="false" customHeight="false" outlineLevel="0" collapsed="false">
      <c r="A20" s="0" t="s">
        <v>2512</v>
      </c>
    </row>
    <row r="21" customFormat="false" ht="15" hidden="false" customHeight="false" outlineLevel="0" collapsed="false">
      <c r="A21" s="0" t="s">
        <v>2513</v>
      </c>
    </row>
    <row r="22" customFormat="false" ht="15" hidden="false" customHeight="false" outlineLevel="0" collapsed="false">
      <c r="A22" s="0" t="s">
        <v>2514</v>
      </c>
    </row>
    <row r="23" customFormat="false" ht="15" hidden="false" customHeight="false" outlineLevel="0" collapsed="false">
      <c r="A23" s="0" t="s">
        <v>2515</v>
      </c>
    </row>
    <row r="25" customFormat="false" ht="15" hidden="false" customHeight="false" outlineLevel="0" collapsed="false">
      <c r="A25" s="183" t="s">
        <v>2516</v>
      </c>
      <c r="C25" s="184" t="s">
        <v>2517</v>
      </c>
    </row>
    <row r="26" customFormat="false" ht="15" hidden="false" customHeight="false" outlineLevel="0" collapsed="false">
      <c r="A26" s="0" t="s">
        <v>2518</v>
      </c>
    </row>
    <row r="28" customFormat="false" ht="15" hidden="false" customHeight="false" outlineLevel="0" collapsed="false">
      <c r="A28" s="183" t="s">
        <v>692</v>
      </c>
      <c r="C28" s="184" t="s">
        <v>2519</v>
      </c>
    </row>
    <row r="29" customFormat="false" ht="15" hidden="false" customHeight="false" outlineLevel="0" collapsed="false">
      <c r="A29" s="0" t="s">
        <v>2520</v>
      </c>
    </row>
    <row r="30" customFormat="false" ht="15" hidden="false" customHeight="false" outlineLevel="0" collapsed="false">
      <c r="A30" s="0" t="s">
        <v>2521</v>
      </c>
    </row>
    <row r="31" customFormat="false" ht="15" hidden="false" customHeight="false" outlineLevel="0" collapsed="false">
      <c r="A31" s="0" t="s">
        <v>2522</v>
      </c>
    </row>
    <row r="32" customFormat="false" ht="15" hidden="false" customHeight="false" outlineLevel="0" collapsed="false">
      <c r="A32" s="0" t="s">
        <v>2523</v>
      </c>
    </row>
    <row r="33" customFormat="false" ht="15" hidden="false" customHeight="false" outlineLevel="0" collapsed="false">
      <c r="A33" s="0" t="s">
        <v>2524</v>
      </c>
    </row>
    <row r="34" customFormat="false" ht="15" hidden="false" customHeight="false" outlineLevel="0" collapsed="false">
      <c r="A34" s="0" t="s">
        <v>2525</v>
      </c>
    </row>
    <row r="35" customFormat="false" ht="15" hidden="false" customHeight="false" outlineLevel="0" collapsed="false">
      <c r="A35" s="0" t="s">
        <v>2526</v>
      </c>
    </row>
    <row r="37" customFormat="false" ht="15" hidden="false" customHeight="false" outlineLevel="0" collapsed="false">
      <c r="A37" s="183" t="s">
        <v>1981</v>
      </c>
      <c r="C37" s="184" t="s">
        <v>2527</v>
      </c>
    </row>
    <row r="38" customFormat="false" ht="15" hidden="false" customHeight="false" outlineLevel="0" collapsed="false">
      <c r="A38" s="0" t="s">
        <v>2528</v>
      </c>
    </row>
    <row r="40" customFormat="false" ht="15" hidden="false" customHeight="false" outlineLevel="0" collapsed="false">
      <c r="A40" s="183" t="s">
        <v>2529</v>
      </c>
      <c r="C40" s="184" t="s">
        <v>2527</v>
      </c>
    </row>
    <row r="41" customFormat="false" ht="15" hidden="false" customHeight="false" outlineLevel="0" collapsed="false">
      <c r="A41" s="0" t="s">
        <v>2530</v>
      </c>
    </row>
    <row r="43" customFormat="false" ht="15" hidden="false" customHeight="false" outlineLevel="0" collapsed="false">
      <c r="A43" s="183" t="s">
        <v>2409</v>
      </c>
      <c r="C43" s="184" t="s">
        <v>2517</v>
      </c>
    </row>
    <row r="44" customFormat="false" ht="15" hidden="false" customHeight="false" outlineLevel="0" collapsed="false">
      <c r="A44" s="0" t="s">
        <v>2531</v>
      </c>
    </row>
    <row r="45" customFormat="false" ht="15" hidden="false" customHeight="false" outlineLevel="0" collapsed="false">
      <c r="A45" s="0" t="s">
        <v>2532</v>
      </c>
    </row>
    <row r="47" customFormat="false" ht="15" hidden="false" customHeight="false" outlineLevel="0" collapsed="false">
      <c r="A47" s="183" t="s">
        <v>835</v>
      </c>
      <c r="C47" s="184" t="s">
        <v>2511</v>
      </c>
    </row>
    <row r="48" customFormat="false" ht="15" hidden="false" customHeight="false" outlineLevel="0" collapsed="false">
      <c r="A48" s="0" t="s">
        <v>2512</v>
      </c>
    </row>
    <row r="49" customFormat="false" ht="15" hidden="false" customHeight="false" outlineLevel="0" collapsed="false">
      <c r="A49" s="0" t="s">
        <v>2513</v>
      </c>
    </row>
    <row r="51" customFormat="false" ht="15" hidden="false" customHeight="false" outlineLevel="0" collapsed="false">
      <c r="A51" s="183" t="s">
        <v>2007</v>
      </c>
      <c r="C51" s="184" t="s">
        <v>2527</v>
      </c>
    </row>
    <row r="52" customFormat="false" ht="15" hidden="false" customHeight="false" outlineLevel="0" collapsed="false">
      <c r="A52" s="0" t="s">
        <v>2533</v>
      </c>
    </row>
    <row r="54" customFormat="false" ht="15" hidden="false" customHeight="false" outlineLevel="0" collapsed="false">
      <c r="A54" s="183" t="s">
        <v>2534</v>
      </c>
      <c r="C54" s="184" t="s">
        <v>2527</v>
      </c>
    </row>
    <row r="55" customFormat="false" ht="15" hidden="false" customHeight="false" outlineLevel="0" collapsed="false">
      <c r="A55" s="0" t="s">
        <v>2535</v>
      </c>
    </row>
    <row r="57" customFormat="false" ht="15" hidden="false" customHeight="false" outlineLevel="0" collapsed="false">
      <c r="A57" s="183" t="s">
        <v>2536</v>
      </c>
      <c r="C57" s="184" t="s">
        <v>2527</v>
      </c>
    </row>
    <row r="58" customFormat="false" ht="15" hidden="false" customHeight="false" outlineLevel="0" collapsed="false">
      <c r="A58" s="0" t="s">
        <v>2537</v>
      </c>
    </row>
    <row r="60" customFormat="false" ht="15" hidden="false" customHeight="false" outlineLevel="0" collapsed="false">
      <c r="A60" s="183" t="s">
        <v>1538</v>
      </c>
      <c r="C60" s="0" t="s">
        <v>2538</v>
      </c>
    </row>
    <row r="61" customFormat="false" ht="15" hidden="false" customHeight="false" outlineLevel="0" collapsed="false">
      <c r="A61" s="0" t="s">
        <v>2539</v>
      </c>
    </row>
    <row r="62" customFormat="false" ht="15" hidden="false" customHeight="false" outlineLevel="0" collapsed="false">
      <c r="A62" s="0" t="s">
        <v>2540</v>
      </c>
    </row>
    <row r="63" customFormat="false" ht="15" hidden="false" customHeight="false" outlineLevel="0" collapsed="false">
      <c r="A63" s="0" t="s">
        <v>2541</v>
      </c>
    </row>
    <row r="64" customFormat="false" ht="15" hidden="false" customHeight="false" outlineLevel="0" collapsed="false">
      <c r="A64" s="0" t="s">
        <v>2542</v>
      </c>
    </row>
    <row r="65" customFormat="false" ht="15" hidden="false" customHeight="false" outlineLevel="0" collapsed="false">
      <c r="A65" s="0" t="s">
        <v>2543</v>
      </c>
    </row>
    <row r="66" customFormat="false" ht="15" hidden="false" customHeight="false" outlineLevel="0" collapsed="false">
      <c r="A66" s="0" t="s">
        <v>2544</v>
      </c>
    </row>
    <row r="67" customFormat="false" ht="15" hidden="false" customHeight="false" outlineLevel="0" collapsed="false">
      <c r="A67" s="0" t="s">
        <v>2545</v>
      </c>
    </row>
    <row r="68" customFormat="false" ht="15" hidden="false" customHeight="false" outlineLevel="0" collapsed="false">
      <c r="A68" s="0" t="s">
        <v>2546</v>
      </c>
    </row>
    <row r="69" customFormat="false" ht="15" hidden="false" customHeight="false" outlineLevel="0" collapsed="false">
      <c r="A69" s="0" t="s">
        <v>2547</v>
      </c>
    </row>
    <row r="71" customFormat="false" ht="13.8" hidden="false" customHeight="false" outlineLevel="0" collapsed="false">
      <c r="A71" s="183" t="s">
        <v>2484</v>
      </c>
      <c r="C71" s="184" t="s">
        <v>2548</v>
      </c>
    </row>
    <row r="72" customFormat="false" ht="15" hidden="false" customHeight="false" outlineLevel="0" collapsed="false">
      <c r="A72" s="0" t="s">
        <v>2549</v>
      </c>
    </row>
    <row r="74" customFormat="false" ht="15" hidden="false" customHeight="false" outlineLevel="0" collapsed="false">
      <c r="A74" s="183" t="s">
        <v>960</v>
      </c>
      <c r="C74" s="184" t="s">
        <v>2519</v>
      </c>
    </row>
    <row r="75" customFormat="false" ht="15" hidden="false" customHeight="false" outlineLevel="0" collapsed="false">
      <c r="A75" s="0" t="s">
        <v>2550</v>
      </c>
    </row>
    <row r="76" customFormat="false" ht="15" hidden="false" customHeight="false" outlineLevel="0" collapsed="false">
      <c r="A76" s="0" t="s">
        <v>2551</v>
      </c>
    </row>
    <row r="77" customFormat="false" ht="15" hidden="false" customHeight="false" outlineLevel="0" collapsed="false">
      <c r="A77" s="0" t="s">
        <v>2552</v>
      </c>
    </row>
    <row r="78" customFormat="false" ht="15" hidden="false" customHeight="false" outlineLevel="0" collapsed="false">
      <c r="A78" s="0" t="s">
        <v>2553</v>
      </c>
    </row>
    <row r="79" customFormat="false" ht="15" hidden="false" customHeight="false" outlineLevel="0" collapsed="false">
      <c r="A79" s="0" t="s">
        <v>2554</v>
      </c>
    </row>
    <row r="81" customFormat="false" ht="15" hidden="false" customHeight="false" outlineLevel="0" collapsed="false">
      <c r="A81" s="183" t="s">
        <v>2450</v>
      </c>
      <c r="C81" s="184" t="s">
        <v>2555</v>
      </c>
    </row>
    <row r="82" customFormat="false" ht="15" hidden="false" customHeight="false" outlineLevel="0" collapsed="false">
      <c r="A82" s="0" t="s">
        <v>2556</v>
      </c>
    </row>
    <row r="83" customFormat="false" ht="15" hidden="false" customHeight="false" outlineLevel="0" collapsed="false">
      <c r="A83" s="0" t="s">
        <v>2557</v>
      </c>
    </row>
    <row r="84" customFormat="false" ht="15" hidden="false" customHeight="false" outlineLevel="0" collapsed="false">
      <c r="A84" s="0" t="s">
        <v>2558</v>
      </c>
    </row>
    <row r="85" customFormat="false" ht="15" hidden="false" customHeight="false" outlineLevel="0" collapsed="false">
      <c r="A85" s="0" t="s">
        <v>2559</v>
      </c>
    </row>
    <row r="86" customFormat="false" ht="15" hidden="false" customHeight="false" outlineLevel="0" collapsed="false">
      <c r="A86" s="0" t="s">
        <v>2560</v>
      </c>
    </row>
    <row r="87" customFormat="false" ht="15" hidden="false" customHeight="false" outlineLevel="0" collapsed="false">
      <c r="A87" s="0" t="s">
        <v>2561</v>
      </c>
    </row>
    <row r="89" customFormat="false" ht="15" hidden="false" customHeight="false" outlineLevel="0" collapsed="false">
      <c r="A89" s="183" t="s">
        <v>1057</v>
      </c>
      <c r="C89" s="184" t="s">
        <v>2562</v>
      </c>
    </row>
    <row r="90" customFormat="false" ht="15" hidden="false" customHeight="false" outlineLevel="0" collapsed="false">
      <c r="A90" s="0" t="s">
        <v>2563</v>
      </c>
    </row>
    <row r="91" customFormat="false" ht="15" hidden="false" customHeight="false" outlineLevel="0" collapsed="false">
      <c r="A91" s="0" t="s">
        <v>2564</v>
      </c>
    </row>
    <row r="93" customFormat="false" ht="15" hidden="false" customHeight="false" outlineLevel="0" collapsed="false">
      <c r="A93" s="183" t="s">
        <v>2565</v>
      </c>
      <c r="C93" s="184" t="s">
        <v>2527</v>
      </c>
    </row>
    <row r="94" customFormat="false" ht="15" hidden="false" customHeight="false" outlineLevel="0" collapsed="false">
      <c r="A94" s="0" t="s">
        <v>2566</v>
      </c>
    </row>
    <row r="96" customFormat="false" ht="15" hidden="false" customHeight="false" outlineLevel="0" collapsed="false">
      <c r="A96" s="183" t="s">
        <v>2567</v>
      </c>
      <c r="C96" s="184" t="s">
        <v>2527</v>
      </c>
    </row>
    <row r="97" customFormat="false" ht="15" hidden="false" customHeight="false" outlineLevel="0" collapsed="false">
      <c r="A97" s="0" t="s">
        <v>2568</v>
      </c>
    </row>
    <row r="99" customFormat="false" ht="15" hidden="false" customHeight="false" outlineLevel="0" collapsed="false">
      <c r="A99" s="183" t="s">
        <v>2569</v>
      </c>
      <c r="C99" s="184" t="s">
        <v>2527</v>
      </c>
    </row>
    <row r="100" customFormat="false" ht="15" hidden="false" customHeight="false" outlineLevel="0" collapsed="false">
      <c r="A100" s="0" t="s">
        <v>2570</v>
      </c>
    </row>
    <row r="102" customFormat="false" ht="15" hidden="false" customHeight="false" outlineLevel="0" collapsed="false">
      <c r="A102" s="183" t="s">
        <v>2120</v>
      </c>
      <c r="C102" s="184" t="s">
        <v>2571</v>
      </c>
    </row>
    <row r="103" customFormat="false" ht="15" hidden="false" customHeight="false" outlineLevel="0" collapsed="false">
      <c r="A103" s="0" t="s">
        <v>2572</v>
      </c>
    </row>
    <row r="105" customFormat="false" ht="15" hidden="false" customHeight="false" outlineLevel="0" collapsed="false">
      <c r="A105" s="183" t="s">
        <v>2573</v>
      </c>
      <c r="C105" s="184" t="s">
        <v>2574</v>
      </c>
    </row>
    <row r="106" customFormat="false" ht="15" hidden="false" customHeight="false" outlineLevel="0" collapsed="false">
      <c r="A106" s="0" t="s">
        <v>2575</v>
      </c>
    </row>
    <row r="107" customFormat="false" ht="15" hidden="false" customHeight="false" outlineLevel="0" collapsed="false">
      <c r="A107" s="0" t="s">
        <v>2576</v>
      </c>
    </row>
    <row r="108" customFormat="false" ht="15" hidden="false" customHeight="false" outlineLevel="0" collapsed="false">
      <c r="A108" s="0" t="s">
        <v>2577</v>
      </c>
    </row>
    <row r="110" customFormat="false" ht="15" hidden="false" customHeight="false" outlineLevel="0" collapsed="false">
      <c r="A110" s="183" t="s">
        <v>2578</v>
      </c>
      <c r="B110" s="0" t="s">
        <v>2579</v>
      </c>
      <c r="C110" s="184" t="s">
        <v>2580</v>
      </c>
    </row>
    <row r="111" customFormat="false" ht="15" hidden="false" customHeight="false" outlineLevel="0" collapsed="false">
      <c r="A111" s="0" t="s">
        <v>2581</v>
      </c>
    </row>
    <row r="113" customFormat="false" ht="15" hidden="false" customHeight="false" outlineLevel="0" collapsed="false">
      <c r="A113" s="183" t="s">
        <v>2142</v>
      </c>
      <c r="C113" s="184" t="s">
        <v>2517</v>
      </c>
    </row>
    <row r="114" customFormat="false" ht="15" hidden="false" customHeight="false" outlineLevel="0" collapsed="false">
      <c r="A114" s="0" t="s">
        <v>2582</v>
      </c>
    </row>
    <row r="116" customFormat="false" ht="15" hidden="false" customHeight="false" outlineLevel="0" collapsed="false">
      <c r="A116" s="183" t="s">
        <v>2583</v>
      </c>
      <c r="C116" s="184" t="s">
        <v>2517</v>
      </c>
    </row>
    <row r="117" customFormat="false" ht="15" hidden="false" customHeight="false" outlineLevel="0" collapsed="false">
      <c r="A117" s="0" t="s">
        <v>2584</v>
      </c>
    </row>
    <row r="119" customFormat="false" ht="15" hidden="false" customHeight="false" outlineLevel="0" collapsed="false">
      <c r="A119" s="183" t="s">
        <v>1226</v>
      </c>
      <c r="C119" s="184" t="s">
        <v>2519</v>
      </c>
    </row>
    <row r="120" customFormat="false" ht="15" hidden="false" customHeight="false" outlineLevel="0" collapsed="false">
      <c r="A120" s="0" t="s">
        <v>2585</v>
      </c>
    </row>
    <row r="121" customFormat="false" ht="15" hidden="false" customHeight="false" outlineLevel="0" collapsed="false">
      <c r="A121" s="0" t="s">
        <v>2586</v>
      </c>
    </row>
    <row r="122" customFormat="false" ht="15" hidden="false" customHeight="false" outlineLevel="0" collapsed="false">
      <c r="A122" s="0" t="s">
        <v>2587</v>
      </c>
    </row>
    <row r="123" customFormat="false" ht="15" hidden="false" customHeight="false" outlineLevel="0" collapsed="false">
      <c r="A123" s="0" t="s">
        <v>2588</v>
      </c>
    </row>
    <row r="124" customFormat="false" ht="15" hidden="false" customHeight="false" outlineLevel="0" collapsed="false">
      <c r="A124" s="0" t="s">
        <v>2589</v>
      </c>
    </row>
    <row r="126" customFormat="false" ht="15" hidden="false" customHeight="false" outlineLevel="0" collapsed="false">
      <c r="A126" s="183" t="s">
        <v>1308</v>
      </c>
      <c r="C126" s="184" t="s">
        <v>2519</v>
      </c>
    </row>
    <row r="127" customFormat="false" ht="15" hidden="false" customHeight="false" outlineLevel="0" collapsed="false">
      <c r="A127" s="0" t="s">
        <v>2590</v>
      </c>
    </row>
    <row r="128" customFormat="false" ht="15" hidden="false" customHeight="false" outlineLevel="0" collapsed="false">
      <c r="A128" s="0" t="s">
        <v>2591</v>
      </c>
    </row>
    <row r="129" customFormat="false" ht="15" hidden="false" customHeight="false" outlineLevel="0" collapsed="false">
      <c r="A129" s="0" t="s">
        <v>2592</v>
      </c>
    </row>
    <row r="130" customFormat="false" ht="15" hidden="false" customHeight="false" outlineLevel="0" collapsed="false">
      <c r="A130" s="0" t="s">
        <v>2593</v>
      </c>
    </row>
    <row r="131" customFormat="false" ht="15" hidden="false" customHeight="false" outlineLevel="0" collapsed="false">
      <c r="A131" s="0" t="s">
        <v>2594</v>
      </c>
    </row>
    <row r="133" customFormat="false" ht="15" hidden="false" customHeight="false" outlineLevel="0" collapsed="false">
      <c r="A133" s="183" t="s">
        <v>2214</v>
      </c>
      <c r="C133" s="184" t="s">
        <v>2527</v>
      </c>
    </row>
    <row r="134" customFormat="false" ht="15" hidden="false" customHeight="false" outlineLevel="0" collapsed="false">
      <c r="A134" s="0" t="s">
        <v>2595</v>
      </c>
    </row>
    <row r="136" customFormat="false" ht="15" hidden="false" customHeight="false" outlineLevel="0" collapsed="false">
      <c r="A136" s="183" t="s">
        <v>2596</v>
      </c>
      <c r="C136" s="184" t="s">
        <v>2527</v>
      </c>
    </row>
    <row r="137" customFormat="false" ht="15" hidden="false" customHeight="false" outlineLevel="0" collapsed="false">
      <c r="A137" s="0" t="s">
        <v>2597</v>
      </c>
    </row>
    <row r="139" customFormat="false" ht="15" hidden="false" customHeight="false" outlineLevel="0" collapsed="false">
      <c r="A139" s="183" t="s">
        <v>1366</v>
      </c>
      <c r="C139" s="184" t="s">
        <v>2598</v>
      </c>
    </row>
    <row r="140" customFormat="false" ht="15" hidden="false" customHeight="false" outlineLevel="0" collapsed="false">
      <c r="A140" s="0" t="s">
        <v>2599</v>
      </c>
    </row>
    <row r="141" customFormat="false" ht="15" hidden="false" customHeight="false" outlineLevel="0" collapsed="false">
      <c r="A141" s="0" t="s">
        <v>2600</v>
      </c>
    </row>
    <row r="142" customFormat="false" ht="15" hidden="false" customHeight="false" outlineLevel="0" collapsed="false">
      <c r="A142" s="0" t="s">
        <v>2601</v>
      </c>
    </row>
    <row r="143" customFormat="false" ht="15" hidden="false" customHeight="false" outlineLevel="0" collapsed="false">
      <c r="A143" s="0" t="s">
        <v>2602</v>
      </c>
    </row>
    <row r="144" customFormat="false" ht="15" hidden="false" customHeight="false" outlineLevel="0" collapsed="false">
      <c r="A144" s="0" t="s">
        <v>2603</v>
      </c>
    </row>
    <row r="145" customFormat="false" ht="15" hidden="false" customHeight="false" outlineLevel="0" collapsed="false">
      <c r="A145" s="0" t="s">
        <v>2604</v>
      </c>
    </row>
    <row r="146" customFormat="false" ht="15" hidden="false" customHeight="false" outlineLevel="0" collapsed="false">
      <c r="A146" s="0" t="s">
        <v>2605</v>
      </c>
    </row>
    <row r="147" customFormat="false" ht="15" hidden="false" customHeight="false" outlineLevel="0" collapsed="false">
      <c r="A147" s="0" t="s">
        <v>2606</v>
      </c>
    </row>
    <row r="148" customFormat="false" ht="15" hidden="false" customHeight="false" outlineLevel="0" collapsed="false">
      <c r="A148" s="0" t="s">
        <v>2607</v>
      </c>
    </row>
    <row r="149" customFormat="false" ht="15" hidden="false" customHeight="false" outlineLevel="0" collapsed="false">
      <c r="A149" s="0" t="s">
        <v>2608</v>
      </c>
    </row>
    <row r="150" customFormat="false" ht="15" hidden="false" customHeight="false" outlineLevel="0" collapsed="false">
      <c r="A150" s="0" t="s">
        <v>2609</v>
      </c>
    </row>
    <row r="152" customFormat="false" ht="15" hidden="false" customHeight="false" outlineLevel="0" collapsed="false">
      <c r="A152" s="183" t="s">
        <v>2610</v>
      </c>
      <c r="C152" s="184" t="s">
        <v>2611</v>
      </c>
    </row>
    <row r="153" customFormat="false" ht="15" hidden="false" customHeight="false" outlineLevel="0" collapsed="false">
      <c r="A153" s="0" t="s">
        <v>2612</v>
      </c>
    </row>
    <row r="154" customFormat="false" ht="15" hidden="false" customHeight="false" outlineLevel="0" collapsed="false">
      <c r="A154" s="0" t="s">
        <v>2613</v>
      </c>
    </row>
    <row r="156" customFormat="false" ht="15" hidden="false" customHeight="false" outlineLevel="0" collapsed="false">
      <c r="A156" s="183" t="s">
        <v>2231</v>
      </c>
      <c r="C156" s="184" t="s">
        <v>2614</v>
      </c>
    </row>
    <row r="157" customFormat="false" ht="15" hidden="false" customHeight="false" outlineLevel="0" collapsed="false">
      <c r="A157" s="0" t="s">
        <v>2615</v>
      </c>
    </row>
    <row r="158" customFormat="false" ht="15" hidden="false" customHeight="false" outlineLevel="0" collapsed="false">
      <c r="A158" s="0" t="s">
        <v>2616</v>
      </c>
    </row>
    <row r="159" customFormat="false" ht="15" hidden="false" customHeight="false" outlineLevel="0" collapsed="false">
      <c r="A159" s="0" t="s">
        <v>2617</v>
      </c>
    </row>
    <row r="161" customFormat="false" ht="15" hidden="false" customHeight="false" outlineLevel="0" collapsed="false">
      <c r="A161" s="183" t="s">
        <v>2618</v>
      </c>
      <c r="C161" s="184" t="s">
        <v>2527</v>
      </c>
    </row>
    <row r="162" customFormat="false" ht="15" hidden="false" customHeight="false" outlineLevel="0" collapsed="false">
      <c r="A162" s="0" t="s">
        <v>2619</v>
      </c>
    </row>
    <row r="164" customFormat="false" ht="15" hidden="false" customHeight="false" outlineLevel="0" collapsed="false">
      <c r="A164" s="183" t="s">
        <v>1434</v>
      </c>
      <c r="C164" s="184" t="s">
        <v>2620</v>
      </c>
    </row>
    <row r="165" customFormat="false" ht="15" hidden="false" customHeight="false" outlineLevel="0" collapsed="false">
      <c r="A165" s="0" t="s">
        <v>2539</v>
      </c>
    </row>
    <row r="166" customFormat="false" ht="15" hidden="false" customHeight="false" outlineLevel="0" collapsed="false">
      <c r="A166" s="0" t="s">
        <v>2540</v>
      </c>
    </row>
    <row r="167" customFormat="false" ht="15" hidden="false" customHeight="false" outlineLevel="0" collapsed="false">
      <c r="A167" s="0" t="s">
        <v>2541</v>
      </c>
    </row>
    <row r="168" customFormat="false" ht="15" hidden="false" customHeight="false" outlineLevel="0" collapsed="false">
      <c r="A168" s="0" t="s">
        <v>2542</v>
      </c>
    </row>
    <row r="169" customFormat="false" ht="15" hidden="false" customHeight="false" outlineLevel="0" collapsed="false">
      <c r="A169" s="0" t="s">
        <v>2543</v>
      </c>
    </row>
    <row r="170" customFormat="false" ht="15" hidden="false" customHeight="false" outlineLevel="0" collapsed="false">
      <c r="A170" s="0" t="s">
        <v>2544</v>
      </c>
    </row>
    <row r="171" customFormat="false" ht="15" hidden="false" customHeight="false" outlineLevel="0" collapsed="false">
      <c r="A171" s="0" t="s">
        <v>2545</v>
      </c>
    </row>
    <row r="172" customFormat="false" ht="15" hidden="false" customHeight="false" outlineLevel="0" collapsed="false">
      <c r="A172" s="0" t="s">
        <v>2546</v>
      </c>
    </row>
    <row r="174" customFormat="false" ht="15" hidden="false" customHeight="false" outlineLevel="0" collapsed="false">
      <c r="A174" s="183" t="s">
        <v>2434</v>
      </c>
      <c r="C174" s="184" t="s">
        <v>2621</v>
      </c>
    </row>
    <row r="175" customFormat="false" ht="15" hidden="false" customHeight="false" outlineLevel="0" collapsed="false">
      <c r="A175" s="0" t="s">
        <v>2622</v>
      </c>
    </row>
    <row r="176" customFormat="false" ht="15" hidden="false" customHeight="false" outlineLevel="0" collapsed="false">
      <c r="A176" s="0" t="s">
        <v>2623</v>
      </c>
    </row>
    <row r="177" customFormat="false" ht="15" hidden="false" customHeight="false" outlineLevel="0" collapsed="false">
      <c r="A177" s="0" t="s">
        <v>2624</v>
      </c>
    </row>
    <row r="178" customFormat="false" ht="15" hidden="false" customHeight="false" outlineLevel="0" collapsed="false">
      <c r="A178" s="0" t="s">
        <v>2625</v>
      </c>
    </row>
    <row r="179" customFormat="false" ht="15" hidden="false" customHeight="false" outlineLevel="0" collapsed="false">
      <c r="A179" s="0" t="s">
        <v>2626</v>
      </c>
    </row>
    <row r="180" customFormat="false" ht="15" hidden="false" customHeight="false" outlineLevel="0" collapsed="false">
      <c r="A180" s="0" t="s">
        <v>2627</v>
      </c>
    </row>
    <row r="182" customFormat="false" ht="15" hidden="false" customHeight="false" outlineLevel="0" collapsed="false">
      <c r="A182" s="183" t="s">
        <v>2628</v>
      </c>
      <c r="C182" s="184" t="s">
        <v>2629</v>
      </c>
    </row>
    <row r="183" customFormat="false" ht="15" hidden="false" customHeight="false" outlineLevel="0" collapsed="false">
      <c r="A183" s="0" t="s">
        <v>2630</v>
      </c>
    </row>
    <row r="184" customFormat="false" ht="15" hidden="false" customHeight="false" outlineLevel="0" collapsed="false">
      <c r="A184" s="0" t="s">
        <v>2631</v>
      </c>
    </row>
    <row r="185" customFormat="false" ht="15" hidden="false" customHeight="false" outlineLevel="0" collapsed="false">
      <c r="A185" s="0" t="s">
        <v>2632</v>
      </c>
    </row>
    <row r="186" customFormat="false" ht="15" hidden="false" customHeight="false" outlineLevel="0" collapsed="false">
      <c r="A186" s="0" t="s">
        <v>2633</v>
      </c>
    </row>
    <row r="187" customFormat="false" ht="15" hidden="false" customHeight="false" outlineLevel="0" collapsed="false">
      <c r="A187" s="0" t="s">
        <v>2634</v>
      </c>
    </row>
    <row r="188" customFormat="false" ht="15" hidden="false" customHeight="false" outlineLevel="0" collapsed="false">
      <c r="A188" s="0" t="s">
        <v>2635</v>
      </c>
    </row>
    <row r="189" customFormat="false" ht="15" hidden="false" customHeight="false" outlineLevel="0" collapsed="false">
      <c r="A189" s="0" t="s">
        <v>2636</v>
      </c>
    </row>
    <row r="190" customFormat="false" ht="15" hidden="false" customHeight="false" outlineLevel="0" collapsed="false">
      <c r="A190" s="0" t="s">
        <v>2637</v>
      </c>
    </row>
    <row r="191" customFormat="false" ht="15" hidden="false" customHeight="false" outlineLevel="0" collapsed="false">
      <c r="A191" s="0" t="s">
        <v>2638</v>
      </c>
    </row>
    <row r="192" customFormat="false" ht="15" hidden="false" customHeight="false" outlineLevel="0" collapsed="false">
      <c r="A192" s="0" t="s">
        <v>2639</v>
      </c>
    </row>
    <row r="193" customFormat="false" ht="15" hidden="false" customHeight="false" outlineLevel="0" collapsed="false">
      <c r="A193" s="0" t="s">
        <v>2640</v>
      </c>
    </row>
    <row r="194" customFormat="false" ht="15" hidden="false" customHeight="false" outlineLevel="0" collapsed="false">
      <c r="A194" s="0" t="s">
        <v>2641</v>
      </c>
    </row>
    <row r="195" customFormat="false" ht="15" hidden="false" customHeight="false" outlineLevel="0" collapsed="false">
      <c r="A195" s="0" t="s">
        <v>2642</v>
      </c>
    </row>
    <row r="196" customFormat="false" ht="15" hidden="false" customHeight="false" outlineLevel="0" collapsed="false">
      <c r="A196" s="0" t="s">
        <v>2643</v>
      </c>
    </row>
    <row r="198" customFormat="false" ht="15" hidden="false" customHeight="false" outlineLevel="0" collapsed="false">
      <c r="A198" s="185" t="s">
        <v>2644</v>
      </c>
    </row>
    <row r="200" customFormat="false" ht="13.8" hidden="false" customHeight="false" outlineLevel="0" collapsed="false"/>
    <row r="201" customFormat="false" ht="13.8" hidden="false" customHeight="false" outlineLevel="0" collapsed="false"/>
    <row r="202" customFormat="false" ht="13.8" hidden="false" customHeight="false" outlineLevel="0" collapsed="false"/>
    <row r="203" customFormat="false" ht="13.8" hidden="false" customHeight="false" outlineLevel="0" collapsed="false"/>
    <row r="204" customFormat="false" ht="13.8" hidden="false" customHeight="false" outlineLevel="0" collapsed="false"/>
    <row r="205" customFormat="false" ht="13.8" hidden="false" customHeight="false" outlineLevel="0" collapsed="false"/>
    <row r="206" customFormat="false" ht="15" hidden="false" customHeight="false" outlineLevel="0" collapsed="false">
      <c r="A206" s="183" t="s">
        <v>2645</v>
      </c>
      <c r="C206" s="184" t="s">
        <v>2646</v>
      </c>
      <c r="I206" s="0" t="s">
        <v>2647</v>
      </c>
    </row>
    <row r="207" customFormat="false" ht="15" hidden="false" customHeight="false" outlineLevel="0" collapsed="false">
      <c r="A207" s="0" t="s">
        <v>2648</v>
      </c>
    </row>
    <row r="208" customFormat="false" ht="15" hidden="false" customHeight="false" outlineLevel="0" collapsed="false">
      <c r="A208" s="0" t="s">
        <v>2649</v>
      </c>
    </row>
    <row r="210" customFormat="false" ht="15" hidden="false" customHeight="false" outlineLevel="0" collapsed="false">
      <c r="A210" s="183" t="s">
        <v>418</v>
      </c>
      <c r="C210" s="184" t="s">
        <v>2650</v>
      </c>
    </row>
    <row r="211" customFormat="false" ht="15" hidden="false" customHeight="false" outlineLevel="0" collapsed="false">
      <c r="A211" s="0" t="s">
        <v>2651</v>
      </c>
    </row>
    <row r="213" customFormat="false" ht="15" hidden="false" customHeight="false" outlineLevel="0" collapsed="false">
      <c r="A213" s="183" t="s">
        <v>2652</v>
      </c>
      <c r="C213" s="184" t="s">
        <v>2653</v>
      </c>
    </row>
    <row r="214" customFormat="false" ht="15" hidden="false" customHeight="false" outlineLevel="0" collapsed="false">
      <c r="A214" s="0" t="s">
        <v>2648</v>
      </c>
    </row>
    <row r="215" customFormat="false" ht="15" hidden="false" customHeight="false" outlineLevel="0" collapsed="false">
      <c r="A215" s="0" t="s">
        <v>2654</v>
      </c>
    </row>
    <row r="216" customFormat="false" ht="15" hidden="false" customHeight="false" outlineLevel="0" collapsed="false">
      <c r="A216" s="0" t="s">
        <v>450</v>
      </c>
    </row>
    <row r="217" customFormat="false" ht="15" hidden="false" customHeight="false" outlineLevel="0" collapsed="false">
      <c r="A217" s="0" t="s">
        <v>2655</v>
      </c>
    </row>
    <row r="218" customFormat="false" ht="15" hidden="false" customHeight="false" outlineLevel="0" collapsed="false">
      <c r="A218" s="0" t="s">
        <v>2656</v>
      </c>
    </row>
    <row r="220" customFormat="false" ht="15" hidden="false" customHeight="false" outlineLevel="0" collapsed="false">
      <c r="A220" s="183" t="s">
        <v>919</v>
      </c>
      <c r="D220" s="184" t="s">
        <v>2646</v>
      </c>
      <c r="J220" s="0" t="s">
        <v>2647</v>
      </c>
    </row>
    <row r="221" customFormat="false" ht="15" hidden="false" customHeight="false" outlineLevel="0" collapsed="false">
      <c r="A221" s="0" t="s">
        <v>2657</v>
      </c>
    </row>
    <row r="222" customFormat="false" ht="15" hidden="false" customHeight="false" outlineLevel="0" collapsed="false">
      <c r="A222" s="0" t="s">
        <v>2658</v>
      </c>
    </row>
    <row r="224" customFormat="false" ht="15" hidden="false" customHeight="false" outlineLevel="0" collapsed="false">
      <c r="A224" s="183" t="s">
        <v>1895</v>
      </c>
      <c r="C224" s="184" t="s">
        <v>2659</v>
      </c>
      <c r="I224" s="184" t="s">
        <v>2660</v>
      </c>
      <c r="Q224" s="184" t="s">
        <v>2661</v>
      </c>
    </row>
    <row r="225" customFormat="false" ht="15" hidden="false" customHeight="false" outlineLevel="0" collapsed="false">
      <c r="A225" s="0" t="s">
        <v>626</v>
      </c>
    </row>
    <row r="226" customFormat="false" ht="15" hidden="false" customHeight="false" outlineLevel="0" collapsed="false">
      <c r="A226" s="0" t="s">
        <v>2662</v>
      </c>
    </row>
    <row r="227" customFormat="false" ht="15" hidden="false" customHeight="false" outlineLevel="0" collapsed="false">
      <c r="A227" s="0" t="s">
        <v>634</v>
      </c>
    </row>
    <row r="228" customFormat="false" ht="15" hidden="false" customHeight="false" outlineLevel="0" collapsed="false">
      <c r="A228" s="0" t="s">
        <v>2663</v>
      </c>
    </row>
    <row r="229" customFormat="false" ht="15" hidden="false" customHeight="false" outlineLevel="0" collapsed="false">
      <c r="A229" s="0" t="s">
        <v>2664</v>
      </c>
    </row>
    <row r="230" customFormat="false" ht="15" hidden="false" customHeight="false" outlineLevel="0" collapsed="false">
      <c r="A230" s="0" t="s">
        <v>653</v>
      </c>
    </row>
    <row r="231" customFormat="false" ht="15" hidden="false" customHeight="false" outlineLevel="0" collapsed="false">
      <c r="A231" s="0" t="s">
        <v>2665</v>
      </c>
    </row>
    <row r="232" customFormat="false" ht="15" hidden="false" customHeight="false" outlineLevel="0" collapsed="false">
      <c r="A232" s="0" t="s">
        <v>2666</v>
      </c>
      <c r="H232" s="0" t="s">
        <v>2667</v>
      </c>
      <c r="N232" s="0" t="s">
        <v>665</v>
      </c>
    </row>
    <row r="233" customFormat="false" ht="15" hidden="false" customHeight="false" outlineLevel="0" collapsed="false">
      <c r="A233" s="0" t="s">
        <v>2668</v>
      </c>
    </row>
    <row r="235" customFormat="false" ht="15" hidden="false" customHeight="false" outlineLevel="0" collapsed="false">
      <c r="A235" s="183" t="s">
        <v>2669</v>
      </c>
    </row>
    <row r="237" customFormat="false" ht="15" hidden="false" customHeight="false" outlineLevel="0" collapsed="false">
      <c r="A237" s="183" t="s">
        <v>2670</v>
      </c>
      <c r="C237" s="184" t="s">
        <v>2646</v>
      </c>
      <c r="I237" s="0" t="s">
        <v>2647</v>
      </c>
    </row>
    <row r="238" customFormat="false" ht="15" hidden="false" customHeight="false" outlineLevel="0" collapsed="false">
      <c r="A238" s="186" t="s">
        <v>2671</v>
      </c>
      <c r="I238" s="0" t="s">
        <v>2672</v>
      </c>
    </row>
    <row r="239" customFormat="false" ht="15" hidden="false" customHeight="false" outlineLevel="0" collapsed="false">
      <c r="A239" s="186" t="s">
        <v>1092</v>
      </c>
    </row>
    <row r="241" customFormat="false" ht="15" hidden="false" customHeight="false" outlineLevel="0" collapsed="false">
      <c r="A241" s="183" t="s">
        <v>1138</v>
      </c>
      <c r="C241" s="184" t="s">
        <v>2673</v>
      </c>
      <c r="L241" s="0" t="s">
        <v>2674</v>
      </c>
    </row>
    <row r="242" customFormat="false" ht="15" hidden="false" customHeight="false" outlineLevel="0" collapsed="false">
      <c r="A242" s="0" t="s">
        <v>2651</v>
      </c>
    </row>
    <row r="243" customFormat="false" ht="15" hidden="false" customHeight="false" outlineLevel="0" collapsed="false">
      <c r="A243" s="0" t="s">
        <v>1139</v>
      </c>
    </row>
    <row r="245" customFormat="false" ht="15" hidden="false" customHeight="false" outlineLevel="0" collapsed="false">
      <c r="A245" s="183" t="s">
        <v>2675</v>
      </c>
      <c r="C245" s="184" t="s">
        <v>2676</v>
      </c>
    </row>
    <row r="246" customFormat="false" ht="15" hidden="false" customHeight="false" outlineLevel="0" collapsed="false">
      <c r="A246" s="0" t="s">
        <v>2677</v>
      </c>
    </row>
    <row r="247" customFormat="false" ht="15" hidden="false" customHeight="false" outlineLevel="0" collapsed="false">
      <c r="A247" s="0" t="s">
        <v>2678</v>
      </c>
    </row>
    <row r="248" customFormat="false" ht="15" hidden="false" customHeight="false" outlineLevel="0" collapsed="false">
      <c r="A248" s="0" t="s">
        <v>2679</v>
      </c>
    </row>
    <row r="249" customFormat="false" ht="15" hidden="false" customHeight="false" outlineLevel="0" collapsed="false">
      <c r="A249" s="0" t="s">
        <v>2680</v>
      </c>
    </row>
    <row r="251" customFormat="false" ht="15" hidden="false" customHeight="false" outlineLevel="0" collapsed="false">
      <c r="A251" s="183" t="s">
        <v>2681</v>
      </c>
      <c r="D251" s="184" t="s">
        <v>2646</v>
      </c>
      <c r="J251" s="0" t="s">
        <v>2647</v>
      </c>
    </row>
    <row r="252" customFormat="false" ht="15" hidden="false" customHeight="false" outlineLevel="0" collapsed="false">
      <c r="A252" s="0" t="s">
        <v>2682</v>
      </c>
    </row>
    <row r="253" customFormat="false" ht="15" hidden="false" customHeight="false" outlineLevel="0" collapsed="false">
      <c r="A253" s="0" t="s">
        <v>2683</v>
      </c>
    </row>
    <row r="254" customFormat="false" ht="15" hidden="false" customHeight="false" outlineLevel="0" collapsed="false">
      <c r="A254" s="0" t="s">
        <v>2684</v>
      </c>
    </row>
    <row r="256" customFormat="false" ht="15" hidden="false" customHeight="false" outlineLevel="0" collapsed="false">
      <c r="A256" s="183" t="s">
        <v>2685</v>
      </c>
      <c r="E256" s="184" t="s">
        <v>2686</v>
      </c>
    </row>
    <row r="257" customFormat="false" ht="15" hidden="false" customHeight="false" outlineLevel="0" collapsed="false">
      <c r="A257" s="0" t="s">
        <v>2682</v>
      </c>
    </row>
    <row r="258" customFormat="false" ht="15" hidden="false" customHeight="false" outlineLevel="0" collapsed="false">
      <c r="A258" s="0" t="s">
        <v>2687</v>
      </c>
    </row>
    <row r="259" customFormat="false" ht="15" hidden="false" customHeight="false" outlineLevel="0" collapsed="false">
      <c r="A259" s="0" t="s">
        <v>2688</v>
      </c>
    </row>
    <row r="261" customFormat="false" ht="15" hidden="false" customHeight="false" outlineLevel="0" collapsed="false">
      <c r="A261" s="183" t="s">
        <v>253</v>
      </c>
      <c r="D261" s="184" t="s">
        <v>2689</v>
      </c>
    </row>
    <row r="262" customFormat="false" ht="15" hidden="false" customHeight="false" outlineLevel="0" collapsed="false">
      <c r="A262" s="0" t="s">
        <v>2690</v>
      </c>
    </row>
    <row r="263" customFormat="false" ht="15" hidden="false" customHeight="false" outlineLevel="0" collapsed="false">
      <c r="A263" s="0" t="s">
        <v>2691</v>
      </c>
    </row>
    <row r="265" customFormat="false" ht="15" hidden="false" customHeight="false" outlineLevel="0" collapsed="false">
      <c r="A265" s="183" t="s">
        <v>307</v>
      </c>
      <c r="D265" s="184" t="s">
        <v>2692</v>
      </c>
    </row>
    <row r="266" customFormat="false" ht="15" hidden="false" customHeight="false" outlineLevel="0" collapsed="false">
      <c r="A266" s="0" t="s">
        <v>2693</v>
      </c>
    </row>
    <row r="267" customFormat="false" ht="15" hidden="false" customHeight="false" outlineLevel="0" collapsed="false">
      <c r="A267" s="0" t="s">
        <v>2694</v>
      </c>
    </row>
    <row r="268" customFormat="false" ht="15" hidden="false" customHeight="false" outlineLevel="0" collapsed="false">
      <c r="A268" s="0" t="s">
        <v>2695</v>
      </c>
    </row>
    <row r="269" customFormat="false" ht="15" hidden="false" customHeight="false" outlineLevel="0" collapsed="false">
      <c r="A269" s="0" t="s">
        <v>2696</v>
      </c>
    </row>
    <row r="270" customFormat="false" ht="15" hidden="false" customHeight="false" outlineLevel="0" collapsed="false">
      <c r="A270" s="0" t="s">
        <v>2697</v>
      </c>
    </row>
    <row r="271" customFormat="false" ht="15" hidden="false" customHeight="false" outlineLevel="0" collapsed="false">
      <c r="A271" s="0" t="s">
        <v>2698</v>
      </c>
    </row>
    <row r="272" customFormat="false" ht="15" hidden="false" customHeight="false" outlineLevel="0" collapsed="false">
      <c r="A272" s="0" t="s">
        <v>2699</v>
      </c>
    </row>
    <row r="274" customFormat="false" ht="15" hidden="false" customHeight="false" outlineLevel="0" collapsed="false">
      <c r="A274" s="183" t="s">
        <v>2700</v>
      </c>
      <c r="C274" s="184" t="s">
        <v>2701</v>
      </c>
    </row>
    <row r="275" customFormat="false" ht="15" hidden="false" customHeight="false" outlineLevel="0" collapsed="false">
      <c r="A275" s="0" t="s">
        <v>1204</v>
      </c>
    </row>
    <row r="276" customFormat="false" ht="15" hidden="false" customHeight="false" outlineLevel="0" collapsed="false">
      <c r="A276" s="0" t="s">
        <v>2702</v>
      </c>
    </row>
    <row r="278" customFormat="false" ht="15" hidden="false" customHeight="false" outlineLevel="0" collapsed="false">
      <c r="A278" s="183" t="s">
        <v>2703</v>
      </c>
      <c r="C278" s="184" t="s">
        <v>2646</v>
      </c>
      <c r="I278" s="0" t="s">
        <v>2647</v>
      </c>
    </row>
    <row r="279" customFormat="false" ht="15" hidden="false" customHeight="false" outlineLevel="0" collapsed="false">
      <c r="A279" s="0" t="s">
        <v>396</v>
      </c>
    </row>
    <row r="280" customFormat="false" ht="15" hidden="false" customHeight="false" outlineLevel="0" collapsed="false">
      <c r="A280" s="0" t="s">
        <v>400</v>
      </c>
    </row>
    <row r="281" customFormat="false" ht="15" hidden="false" customHeight="false" outlineLevel="0" collapsed="false">
      <c r="A281" s="0" t="s">
        <v>940</v>
      </c>
    </row>
    <row r="282" customFormat="false" ht="15" hidden="false" customHeight="false" outlineLevel="0" collapsed="false">
      <c r="A282" s="0" t="s">
        <v>2704</v>
      </c>
    </row>
    <row r="284" customFormat="false" ht="15" hidden="false" customHeight="false" outlineLevel="0" collapsed="false">
      <c r="A284" s="183" t="s">
        <v>2705</v>
      </c>
      <c r="D284" s="184" t="s">
        <v>2646</v>
      </c>
      <c r="J284" s="0" t="s">
        <v>2647</v>
      </c>
    </row>
    <row r="285" customFormat="false" ht="15" hidden="false" customHeight="false" outlineLevel="0" collapsed="false">
      <c r="A285" s="0" t="s">
        <v>2706</v>
      </c>
      <c r="H285" s="183" t="s">
        <v>2707</v>
      </c>
      <c r="I285" s="0" t="s">
        <v>2708</v>
      </c>
    </row>
    <row r="286" customFormat="false" ht="15" hidden="false" customHeight="false" outlineLevel="0" collapsed="false">
      <c r="A286" s="0" t="s">
        <v>2709</v>
      </c>
    </row>
    <row r="287" customFormat="false" ht="15" hidden="false" customHeight="false" outlineLevel="0" collapsed="false">
      <c r="A287" s="0" t="s">
        <v>2710</v>
      </c>
      <c r="M287" s="0" t="s">
        <v>2711</v>
      </c>
    </row>
    <row r="289" customFormat="false" ht="15" hidden="false" customHeight="false" outlineLevel="0" collapsed="false">
      <c r="A289" s="183" t="s">
        <v>64</v>
      </c>
      <c r="D289" s="184" t="s">
        <v>2712</v>
      </c>
    </row>
    <row r="290" customFormat="false" ht="15" hidden="false" customHeight="false" outlineLevel="0" collapsed="false">
      <c r="A290" s="0" t="s">
        <v>2713</v>
      </c>
    </row>
    <row r="291" customFormat="false" ht="15" hidden="false" customHeight="false" outlineLevel="0" collapsed="false">
      <c r="A291" s="0" t="s">
        <v>2714</v>
      </c>
    </row>
  </sheetData>
  <hyperlinks>
    <hyperlink ref="C1" r:id="rId1" display="https://www.tandfonline.com/doi/pdf/10.1080/09168451.2014.891933?needAccess=true"/>
    <hyperlink ref="C5" r:id="rId2" display="https://www.genomatica.com/wp-content/uploads/2017/01/Metabolic-engineering-of-Escherichia-coli-for-direct-production-of-14-butanediol-Nature-Chemical-V1.pdf"/>
    <hyperlink ref="C11" r:id="rId3" display="https://www.sciencedirect.com/science/article/abs/pii/S1389172316300330?via%3Dihub"/>
    <hyperlink ref="C15" r:id="rId4" display="https://biotechnologyforbiofuels.biomedcentral.com/track/pdf/10.1186/s13068-019-1545-1"/>
    <hyperlink ref="C19" r:id="rId5" display="https://www.sciencedirect.com/science/article/pii/S2214030117300275"/>
    <hyperlink ref="C25" r:id="rId6" display="https://academic.oup.com/femsle/article/365/10/fny079/4953741"/>
    <hyperlink ref="C28" r:id="rId7" display="https://www.ncbi.nlm.nih.gov/pmc/articles/PMC5270751/"/>
    <hyperlink ref="C37" r:id="rId8" display="https://pubs.acs.org/doi/pdf/10.1021/acssynbio.9b00518"/>
    <hyperlink ref="C40" r:id="rId9" display="https://pubs.acs.org/doi/pdf/10.1021/acssynbio.9b00518"/>
    <hyperlink ref="C43" r:id="rId10" display="https://academic.oup.com/femsle/article/365/10/fny079/4953741"/>
    <hyperlink ref="C47" r:id="rId11" display="https://www.sciencedirect.com/science/article/pii/S2214030117300275"/>
    <hyperlink ref="C51" r:id="rId12" display="https://pubs.acs.org/doi/pdf/10.1021/acssynbio.9b00518"/>
    <hyperlink ref="C54" r:id="rId13" display="https://pubs.acs.org/doi/pdf/10.1021/acssynbio.9b00518"/>
    <hyperlink ref="C57" r:id="rId14" display="https://pubs.acs.org/doi/pdf/10.1021/acssynbio.9b00518"/>
    <hyperlink ref="C74" r:id="rId15" display="https://www.ncbi.nlm.nih.gov/pmc/articles/PMC5270751/"/>
    <hyperlink ref="C81" r:id="rId16" display="https://www.genome.jp/kegg-bin/show_pathway?map00365+C11101"/>
    <hyperlink ref="C89" r:id="rId17" location="Sec2" display="https://www.nature.com/articles/s41929-018-0212-4#Sec2"/>
    <hyperlink ref="C93" r:id="rId18" display="https://pubs.acs.org/doi/pdf/10.1021/acssynbio.9b00518"/>
    <hyperlink ref="C96" r:id="rId19" display="https://pubs.acs.org/doi/pdf/10.1021/acssynbio.9b00518"/>
    <hyperlink ref="C99" r:id="rId20" display="https://pubs.acs.org/doi/pdf/10.1021/acssynbio.9b00518"/>
    <hyperlink ref="C102" r:id="rId21" display="https://link.springer.com/article/10.1007/s00253-011-3199-1"/>
    <hyperlink ref="C105" r:id="rId22" display="https://www.genome.jp/kegg-bin/show_pathway?map00660+C00490"/>
    <hyperlink ref="C110" r:id="rId23" display="https://reader.elsevier.com/reader/sd/pii/S1364032115006048?token=0C0DBD2713B334A0234794CF2E59C21207218A9B5535235B70F12F556422AC0C38065E4A98EF48FA950E03BCFF581021 "/>
    <hyperlink ref="C113" r:id="rId24" display="https://academic.oup.com/femsle/article/365/10/fny079/4953741"/>
    <hyperlink ref="C116" r:id="rId25" display="https://academic.oup.com/femsle/article/365/10/fny079/4953741"/>
    <hyperlink ref="C119" r:id="rId26" display="https://www.ncbi.nlm.nih.gov/pmc/articles/PMC5270751/"/>
    <hyperlink ref="C126" r:id="rId27" display="https://www.ncbi.nlm.nih.gov/pmc/articles/PMC5270751/"/>
    <hyperlink ref="C133" r:id="rId28" display="https://pubs.acs.org/doi/pdf/10.1021/acssynbio.9b00518"/>
    <hyperlink ref="C136" r:id="rId29" display="https://pubs.acs.org/doi/pdf/10.1021/acssynbio.9b00518"/>
    <hyperlink ref="C139" r:id="rId30" display="https://onlinelibrary.wiley.com/doi/epdf/10.1002/biot.201300263"/>
    <hyperlink ref="C152" r:id="rId31" display="https://onlinelibrary.wiley.com/doi/epdf/10.1002/bit.22548"/>
    <hyperlink ref="C156" r:id="rId32" display="https://www.ncbi.nlm.nih.gov/pmc/articles/PMC4818529/"/>
    <hyperlink ref="C161" r:id="rId33" display="https://pubs.acs.org/doi/pdf/10.1021/acssynbio.9b00518"/>
    <hyperlink ref="C164" r:id="rId34" display="https://www.sciencedirect.com/science/article/pii/S1096717611000711"/>
    <hyperlink ref="C174" r:id="rId35" display="https://www.nature.com/articles/srep13670"/>
    <hyperlink ref="C182" r:id="rId36" display="https://www.genome.jp/kegg-bin/show_pathway?map00622+C00479"/>
    <hyperlink ref="C206" r:id="rId37" display="https://www.nature.com/articles/s41929-018-0212-4 "/>
    <hyperlink ref="C210" r:id="rId38" display=" https://microbialcellfactories.biomedcentral.com/articles/10.1186/s12934-019-1054-8"/>
    <hyperlink ref="C213" r:id="rId39" display="https://www.sciencedirect.com/science/article/pii/S1096717615001020"/>
    <hyperlink ref="D220" r:id="rId40" display="https://www.nature.com/articles/s41929-018-0212-4 "/>
    <hyperlink ref="C224" r:id="rId41" display="https://www.ncbi.nlm.nih.gov/pmc/articles/PMC101949/"/>
    <hyperlink ref="I224" r:id="rId42" display="https://www.sciencedirect.com/science/article/pii/S1937644810810056"/>
    <hyperlink ref="Q224" r:id="rId43" display="https://www.sciencedirect.com/science/article/pii/B9780123814661000286"/>
    <hyperlink ref="C237" r:id="rId44" display="https://www.nature.com/articles/s41929-018-0212-4 "/>
    <hyperlink ref="C241" r:id="rId45" display="https://microbialcellfactories.biomedcentral.com/articles/10.1186/s12934-019-1054-8"/>
    <hyperlink ref="C245" r:id="rId46" display="https://onlinelibrary.wiley.com/doi/abs/10.1111/tpj.14506"/>
    <hyperlink ref="D251" r:id="rId47" display="https://www.nature.com/articles/s41929-018-0212-4 "/>
    <hyperlink ref="E256" r:id="rId48" display="https://pubs.acs.org/doi/10.1021/acssynbio.8b00281"/>
    <hyperlink ref="D261" r:id="rId49" display="https://pubmed.ncbi.nlm.nih.gov/18758769/"/>
    <hyperlink ref="D265" r:id="rId50" display="https://www.ncbi.nlm.nih.gov/pmc/articles/PMC2634914/?tool=pmcentrez&amp;report=abstract"/>
    <hyperlink ref="C274" r:id="rId51" display="https://pubs.acs.org/doi/10.1021/acssynbio.6b00007"/>
    <hyperlink ref="C278" r:id="rId52" display="https://www.nature.com/articles/s41929-018-0212-4 "/>
    <hyperlink ref="D284" r:id="rId53" display="https://www.nature.com/articles/s41929-018-0212-4 "/>
    <hyperlink ref="D289" r:id="rId54" display="https://www.nature.com/articles/srep13040"/>
  </hyperlink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sheetPr filterMode="false">
    <pageSetUpPr fitToPage="false"/>
  </sheetPr>
  <dimension ref="A1:L87"/>
  <sheetViews>
    <sheetView showFormulas="false" showGridLines="true" showRowColHeaders="true" showZeros="true" rightToLeft="false" tabSelected="false" showOutlineSymbols="true" defaultGridColor="true" view="normal" topLeftCell="A55" colorId="64" zoomScale="100" zoomScaleNormal="100" zoomScalePageLayoutView="100" workbookViewId="0">
      <selection pane="topLeft" activeCell="A75" activeCellId="0" sqref="A75"/>
    </sheetView>
  </sheetViews>
  <sheetFormatPr defaultRowHeight="15" zeroHeight="false" outlineLevelRow="0" outlineLevelCol="0"/>
  <cols>
    <col collapsed="false" customWidth="true" hidden="false" outlineLevel="0" max="1" min="1" style="0" width="27.42"/>
    <col collapsed="false" customWidth="true" hidden="false" outlineLevel="0" max="3" min="2" style="0" width="13"/>
    <col collapsed="false" customWidth="true" hidden="false" outlineLevel="0" max="4" min="4" style="0" width="14"/>
    <col collapsed="false" customWidth="true" hidden="false" outlineLevel="0" max="5" min="5" style="0" width="34"/>
    <col collapsed="false" customWidth="true" hidden="false" outlineLevel="0" max="6" min="6" style="0" width="8.53"/>
    <col collapsed="false" customWidth="true" hidden="false" outlineLevel="0" max="7" min="7" style="0" width="14.57"/>
    <col collapsed="false" customWidth="true" hidden="false" outlineLevel="0" max="8" min="8" style="0" width="25.15"/>
    <col collapsed="false" customWidth="true" hidden="false" outlineLevel="0" max="9" min="9" style="0" width="25.85"/>
    <col collapsed="false" customWidth="true" hidden="false" outlineLevel="0" max="1025" min="10" style="0" width="8.53"/>
  </cols>
  <sheetData>
    <row r="1" customFormat="false" ht="15" hidden="false" customHeight="false" outlineLevel="0" collapsed="false">
      <c r="B1" s="0" t="s">
        <v>2715</v>
      </c>
      <c r="C1" s="0" t="s">
        <v>2716</v>
      </c>
      <c r="F1" s="0" t="s">
        <v>2717</v>
      </c>
      <c r="G1" s="0" t="s">
        <v>2718</v>
      </c>
    </row>
    <row r="2" customFormat="false" ht="15" hidden="false" customHeight="false" outlineLevel="0" collapsed="false">
      <c r="A2" s="187" t="s">
        <v>2719</v>
      </c>
      <c r="B2" s="187" t="s">
        <v>2720</v>
      </c>
      <c r="C2" s="187" t="s">
        <v>2721</v>
      </c>
      <c r="D2" s="187" t="s">
        <v>2722</v>
      </c>
      <c r="E2" s="187" t="s">
        <v>2723</v>
      </c>
      <c r="F2" s="187" t="s">
        <v>2724</v>
      </c>
      <c r="G2" s="183" t="s">
        <v>2725</v>
      </c>
      <c r="H2" s="183" t="s">
        <v>2726</v>
      </c>
    </row>
    <row r="3" customFormat="false" ht="15" hidden="false" customHeight="false" outlineLevel="0" collapsed="false">
      <c r="A3" s="0" t="s">
        <v>2727</v>
      </c>
      <c r="B3" s="0" t="n">
        <v>7.44524495677233</v>
      </c>
      <c r="C3" s="0" t="n">
        <f aca="false">94.11*B3</f>
        <v>700.672002881844</v>
      </c>
      <c r="D3" s="0" t="s">
        <v>1378</v>
      </c>
      <c r="E3" s="0" t="s">
        <v>2728</v>
      </c>
      <c r="F3" s="0" t="n">
        <f aca="false">B3/10</f>
        <v>0.744524495677233</v>
      </c>
      <c r="G3" s="0" t="n">
        <f aca="false">C3/B3</f>
        <v>94.11</v>
      </c>
    </row>
    <row r="4" customFormat="false" ht="15" hidden="false" customHeight="false" outlineLevel="0" collapsed="false">
      <c r="A4" s="0" t="s">
        <v>2729</v>
      </c>
      <c r="B4" s="0" t="n">
        <v>5.50729166666666</v>
      </c>
      <c r="C4" s="0" t="n">
        <f aca="false">104.15*B4</f>
        <v>573.584427083333</v>
      </c>
      <c r="D4" s="0" t="s">
        <v>2730</v>
      </c>
      <c r="E4" s="0" t="s">
        <v>2731</v>
      </c>
      <c r="F4" s="0" t="n">
        <f aca="false">B4/10</f>
        <v>0.550729166666666</v>
      </c>
      <c r="G4" s="0" t="n">
        <f aca="false">C4/B4</f>
        <v>104.15</v>
      </c>
      <c r="H4" s="183"/>
      <c r="J4" s="183"/>
    </row>
    <row r="5" customFormat="false" ht="15" hidden="false" customHeight="false" outlineLevel="0" collapsed="false">
      <c r="A5" s="186" t="s">
        <v>1057</v>
      </c>
      <c r="B5" s="186" t="n">
        <v>10</v>
      </c>
      <c r="C5" s="0" t="n">
        <f aca="false">74.122*B5</f>
        <v>741.22</v>
      </c>
      <c r="D5" s="0" t="s">
        <v>2489</v>
      </c>
      <c r="E5" s="0" t="s">
        <v>2732</v>
      </c>
      <c r="F5" s="0" t="n">
        <f aca="false">B5/10</f>
        <v>1</v>
      </c>
      <c r="G5" s="0" t="n">
        <f aca="false">C5/B5</f>
        <v>74.122</v>
      </c>
    </row>
    <row r="6" customFormat="false" ht="15" hidden="false" customHeight="false" outlineLevel="0" collapsed="false">
      <c r="A6" s="186" t="s">
        <v>835</v>
      </c>
      <c r="B6" s="186" t="n">
        <v>8.58796460176991</v>
      </c>
      <c r="C6" s="0" t="n">
        <f aca="false">110.1*B6</f>
        <v>945.534902654867</v>
      </c>
      <c r="D6" s="0" t="s">
        <v>846</v>
      </c>
      <c r="E6" s="0" t="s">
        <v>2733</v>
      </c>
      <c r="F6" s="0" t="n">
        <f aca="false">B6/10</f>
        <v>0.858796460176991</v>
      </c>
      <c r="G6" s="0" t="n">
        <f aca="false">C6/B6</f>
        <v>110.1</v>
      </c>
    </row>
    <row r="7" customFormat="false" ht="15" hidden="false" customHeight="false" outlineLevel="0" collapsed="false">
      <c r="A7" s="186" t="s">
        <v>2480</v>
      </c>
      <c r="B7" s="186" t="n">
        <v>12.7492307692307</v>
      </c>
      <c r="C7" s="0" t="n">
        <f aca="false">60.0952*B7</f>
        <v>766.167572923073</v>
      </c>
      <c r="D7" s="0" t="s">
        <v>203</v>
      </c>
      <c r="E7" s="0" t="s">
        <v>2734</v>
      </c>
      <c r="F7" s="0" t="n">
        <f aca="false">B7/10</f>
        <v>1.27492307692307</v>
      </c>
      <c r="G7" s="0" t="n">
        <f aca="false">C7/B7</f>
        <v>60.0952</v>
      </c>
    </row>
    <row r="8" customFormat="false" ht="15" hidden="false" customHeight="false" outlineLevel="0" collapsed="false">
      <c r="A8" s="186" t="s">
        <v>2510</v>
      </c>
      <c r="B8" s="186" t="n">
        <v>7.4992</v>
      </c>
      <c r="C8" s="0" t="n">
        <f aca="false">144.12532*B8</f>
        <v>1080.824599744</v>
      </c>
      <c r="D8" s="0" t="s">
        <v>2735</v>
      </c>
      <c r="E8" s="0" t="s">
        <v>2736</v>
      </c>
      <c r="F8" s="0" t="n">
        <f aca="false">B8/10</f>
        <v>0.74992</v>
      </c>
      <c r="G8" s="0" t="n">
        <f aca="false">C8/B8</f>
        <v>144.12532</v>
      </c>
    </row>
    <row r="9" customFormat="false" ht="15" hidden="false" customHeight="false" outlineLevel="0" collapsed="false">
      <c r="A9" s="186" t="s">
        <v>2737</v>
      </c>
      <c r="B9" s="186" t="n">
        <v>16.4623287671232</v>
      </c>
      <c r="C9" s="0" t="n">
        <f aca="false">90.08*B9</f>
        <v>1482.92657534246</v>
      </c>
      <c r="D9" s="0" t="s">
        <v>2738</v>
      </c>
      <c r="E9" s="0" t="s">
        <v>2739</v>
      </c>
      <c r="F9" s="0" t="n">
        <f aca="false">B9/10</f>
        <v>1.64623287671232</v>
      </c>
      <c r="G9" s="0" t="n">
        <f aca="false">C9/B9</f>
        <v>90.08</v>
      </c>
    </row>
    <row r="10" customFormat="false" ht="15" hidden="false" customHeight="false" outlineLevel="0" collapsed="false">
      <c r="A10" s="186" t="s">
        <v>2476</v>
      </c>
      <c r="B10" s="186" t="n">
        <v>10.9090909090909</v>
      </c>
      <c r="C10" s="0" t="n">
        <f aca="false">90.12*B10</f>
        <v>983.127272727272</v>
      </c>
      <c r="D10" s="0" t="s">
        <v>2740</v>
      </c>
      <c r="E10" s="0" t="s">
        <v>2741</v>
      </c>
      <c r="F10" s="0" t="n">
        <f aca="false">B10/10</f>
        <v>1.09090909090909</v>
      </c>
      <c r="G10" s="0" t="n">
        <f aca="false">C10/B10</f>
        <v>90.12</v>
      </c>
    </row>
    <row r="11" customFormat="false" ht="15" hidden="false" customHeight="false" outlineLevel="0" collapsed="false">
      <c r="A11" s="186" t="s">
        <v>2481</v>
      </c>
      <c r="B11" s="186" t="n">
        <v>10.9090909090909</v>
      </c>
      <c r="C11" s="0" t="n">
        <f aca="false">90.12*B11</f>
        <v>983.127272727272</v>
      </c>
      <c r="D11" s="0" t="s">
        <v>2742</v>
      </c>
      <c r="E11" s="0" t="s">
        <v>2743</v>
      </c>
      <c r="F11" s="0" t="n">
        <f aca="false">B11/10</f>
        <v>1.09090909090909</v>
      </c>
      <c r="G11" s="0" t="n">
        <f aca="false">C11/B11</f>
        <v>90.12</v>
      </c>
      <c r="J11" s="183"/>
    </row>
    <row r="12" customFormat="false" ht="15" hidden="false" customHeight="false" outlineLevel="0" collapsed="false">
      <c r="A12" s="186" t="s">
        <v>2478</v>
      </c>
      <c r="B12" s="186" t="n">
        <v>10.2833333333333</v>
      </c>
      <c r="C12" s="0" t="n">
        <f aca="false">90.12*B12</f>
        <v>926.733999999997</v>
      </c>
      <c r="D12" s="0" t="s">
        <v>2744</v>
      </c>
      <c r="E12" s="0" t="s">
        <v>2745</v>
      </c>
      <c r="F12" s="0" t="n">
        <f aca="false">B12/10</f>
        <v>1.02833333333333</v>
      </c>
      <c r="G12" s="0" t="n">
        <f aca="false">C12/B12</f>
        <v>90.12</v>
      </c>
    </row>
    <row r="13" customFormat="false" ht="15" hidden="false" customHeight="false" outlineLevel="0" collapsed="false">
      <c r="A13" s="186" t="s">
        <v>2578</v>
      </c>
      <c r="B13" s="186" t="n">
        <v>10.2060150375939</v>
      </c>
      <c r="C13" s="0" t="n">
        <f aca="false">115.10728*B13</f>
        <v>1174.78663061653</v>
      </c>
      <c r="D13" s="0" t="s">
        <v>2746</v>
      </c>
      <c r="E13" s="0" t="s">
        <v>2747</v>
      </c>
      <c r="F13" s="0" t="n">
        <f aca="false">B13/10</f>
        <v>1.02060150375939</v>
      </c>
      <c r="G13" s="0" t="n">
        <f aca="false">C13/B13</f>
        <v>115.10728</v>
      </c>
    </row>
    <row r="14" customFormat="false" ht="15" hidden="false" customHeight="false" outlineLevel="0" collapsed="false">
      <c r="A14" s="0" t="s">
        <v>1981</v>
      </c>
      <c r="B14" s="0" t="n">
        <v>10</v>
      </c>
      <c r="C14" s="0" t="n">
        <f aca="false">74.121*B14</f>
        <v>741.21</v>
      </c>
      <c r="D14" s="0" t="s">
        <v>784</v>
      </c>
      <c r="E14" s="0" t="s">
        <v>2748</v>
      </c>
      <c r="F14" s="0" t="n">
        <f aca="false">B14/10</f>
        <v>1</v>
      </c>
      <c r="G14" s="0" t="n">
        <f aca="false">C14/B14</f>
        <v>74.121</v>
      </c>
    </row>
    <row r="15" customFormat="false" ht="15" hidden="false" customHeight="false" outlineLevel="0" collapsed="false">
      <c r="A15" s="0" t="s">
        <v>2214</v>
      </c>
      <c r="B15" s="0" t="n">
        <v>7.99999999999998</v>
      </c>
      <c r="C15" s="0" t="n">
        <f aca="false">88.15*B15</f>
        <v>705.199999999998</v>
      </c>
      <c r="D15" s="0" t="s">
        <v>2749</v>
      </c>
      <c r="E15" s="0" t="s">
        <v>2750</v>
      </c>
      <c r="F15" s="0" t="n">
        <f aca="false">B15/10</f>
        <v>0.799999999999998</v>
      </c>
      <c r="G15" s="0" t="n">
        <f aca="false">C15/B15</f>
        <v>88.15</v>
      </c>
    </row>
    <row r="16" customFormat="false" ht="15" hidden="false" customHeight="false" outlineLevel="0" collapsed="false">
      <c r="A16" s="0" t="s">
        <v>2751</v>
      </c>
      <c r="B16" s="0" t="n">
        <v>11.8854545454545</v>
      </c>
      <c r="C16" s="0" t="n">
        <f aca="false">88.11*B16</f>
        <v>1047.2274</v>
      </c>
      <c r="D16" s="0" t="s">
        <v>2752</v>
      </c>
      <c r="E16" s="0" t="s">
        <v>2753</v>
      </c>
      <c r="F16" s="0" t="n">
        <f aca="false">B16/10</f>
        <v>1.18854545454545</v>
      </c>
      <c r="G16" s="0" t="n">
        <f aca="false">C16/B16</f>
        <v>88.11</v>
      </c>
    </row>
    <row r="17" customFormat="false" ht="15" hidden="false" customHeight="false" outlineLevel="0" collapsed="false">
      <c r="A17" s="0" t="s">
        <v>2754</v>
      </c>
      <c r="B17" s="0" t="n">
        <v>7.5</v>
      </c>
      <c r="C17" s="0" t="n">
        <f aca="false">116.16*B17</f>
        <v>871.2</v>
      </c>
      <c r="D17" s="0" t="s">
        <v>2418</v>
      </c>
      <c r="E17" s="0" t="s">
        <v>2755</v>
      </c>
      <c r="F17" s="0" t="n">
        <f aca="false">B17/10</f>
        <v>0.75</v>
      </c>
      <c r="G17" s="0" t="n">
        <f aca="false">C17/B17</f>
        <v>116.16</v>
      </c>
    </row>
    <row r="18" customFormat="false" ht="15" hidden="false" customHeight="false" outlineLevel="0" collapsed="false">
      <c r="A18" s="0" t="s">
        <v>2534</v>
      </c>
      <c r="B18" s="0" t="n">
        <v>7.49999999999999</v>
      </c>
      <c r="C18" s="0" t="n">
        <f aca="false">116.16*B18</f>
        <v>871.199999999999</v>
      </c>
      <c r="D18" s="0" t="s">
        <v>2756</v>
      </c>
      <c r="E18" s="0" t="s">
        <v>2757</v>
      </c>
      <c r="F18" s="0" t="n">
        <f aca="false">B18/10</f>
        <v>0.749999999999999</v>
      </c>
      <c r="G18" s="0" t="n">
        <f aca="false">C18/B18</f>
        <v>116.16</v>
      </c>
    </row>
    <row r="19" customFormat="false" ht="15" hidden="false" customHeight="false" outlineLevel="0" collapsed="false">
      <c r="A19" s="0" t="s">
        <v>2529</v>
      </c>
      <c r="B19" s="0" t="n">
        <v>5.45454545454545</v>
      </c>
      <c r="C19" s="0" t="n">
        <f aca="false">144.21*B19</f>
        <v>786.599999999999</v>
      </c>
      <c r="D19" s="0" t="s">
        <v>2758</v>
      </c>
      <c r="E19" s="0" t="s">
        <v>2759</v>
      </c>
      <c r="F19" s="0" t="n">
        <f aca="false">B19/10</f>
        <v>0.545454545454545</v>
      </c>
      <c r="G19" s="0" t="n">
        <f aca="false">C19/B19</f>
        <v>144.21</v>
      </c>
    </row>
    <row r="20" customFormat="false" ht="15" hidden="false" customHeight="false" outlineLevel="0" collapsed="false">
      <c r="A20" s="0" t="s">
        <v>2567</v>
      </c>
      <c r="B20" s="0" t="n">
        <v>5.45454545454545</v>
      </c>
      <c r="C20" s="0" t="n">
        <f aca="false">144.21*B20</f>
        <v>786.599999999999</v>
      </c>
      <c r="D20" s="0" t="s">
        <v>2760</v>
      </c>
      <c r="E20" s="0" t="s">
        <v>2761</v>
      </c>
      <c r="F20" s="0" t="n">
        <f aca="false">B20/10</f>
        <v>0.545454545454545</v>
      </c>
      <c r="G20" s="0" t="n">
        <f aca="false">C20/B20</f>
        <v>144.21</v>
      </c>
    </row>
    <row r="21" customFormat="false" ht="15" hidden="false" customHeight="false" outlineLevel="0" collapsed="false">
      <c r="A21" s="0" t="s">
        <v>2762</v>
      </c>
      <c r="B21" s="0" t="n">
        <v>6.31578947368422</v>
      </c>
      <c r="C21" s="0" t="n">
        <f aca="false">130.18*B21</f>
        <v>822.189473684212</v>
      </c>
      <c r="D21" s="0" t="s">
        <v>2763</v>
      </c>
      <c r="E21" s="0" t="s">
        <v>2764</v>
      </c>
      <c r="F21" s="0" t="n">
        <f aca="false">B21/10</f>
        <v>0.631578947368422</v>
      </c>
      <c r="G21" s="0" t="n">
        <f aca="false">C21/B21</f>
        <v>130.18</v>
      </c>
    </row>
    <row r="22" customFormat="false" ht="15" hidden="false" customHeight="false" outlineLevel="0" collapsed="false">
      <c r="A22" s="0" t="s">
        <v>2536</v>
      </c>
      <c r="B22" s="0" t="n">
        <v>6.15889724310777</v>
      </c>
      <c r="C22" s="0" t="n">
        <f aca="false">130.18*B22</f>
        <v>801.765243107769</v>
      </c>
      <c r="D22" s="0" t="s">
        <v>2765</v>
      </c>
      <c r="E22" s="0" t="s">
        <v>2766</v>
      </c>
      <c r="F22" s="0" t="n">
        <f aca="false">B22/10</f>
        <v>0.615889724310777</v>
      </c>
      <c r="G22" s="0" t="n">
        <f aca="false">C22/B22</f>
        <v>130.18</v>
      </c>
    </row>
    <row r="23" customFormat="false" ht="15" hidden="false" customHeight="false" outlineLevel="0" collapsed="false">
      <c r="A23" s="0" t="s">
        <v>2569</v>
      </c>
      <c r="B23" s="0" t="n">
        <v>4.79999999999999</v>
      </c>
      <c r="C23" s="0" t="n">
        <f aca="false">158.24*B23</f>
        <v>759.551999999998</v>
      </c>
      <c r="D23" s="0" t="s">
        <v>2767</v>
      </c>
      <c r="E23" s="0" t="s">
        <v>2768</v>
      </c>
      <c r="F23" s="0" t="n">
        <f aca="false">B23/10</f>
        <v>0.479999999999999</v>
      </c>
      <c r="G23" s="0" t="n">
        <f aca="false">C23/B23</f>
        <v>158.24</v>
      </c>
    </row>
    <row r="24" customFormat="false" ht="15" hidden="false" customHeight="false" outlineLevel="0" collapsed="false">
      <c r="A24" s="0" t="s">
        <v>2769</v>
      </c>
      <c r="B24" s="0" t="n">
        <v>4.28268733850128</v>
      </c>
      <c r="C24" s="0" t="n">
        <f aca="false">172.15*B24</f>
        <v>737.264625322995</v>
      </c>
      <c r="D24" s="0" t="s">
        <v>2770</v>
      </c>
      <c r="E24" s="0" t="s">
        <v>2771</v>
      </c>
      <c r="F24" s="0" t="n">
        <f aca="false">B24/10</f>
        <v>0.428268733850128</v>
      </c>
      <c r="G24" s="0" t="n">
        <f aca="false">C24/B24</f>
        <v>172.15</v>
      </c>
    </row>
    <row r="25" customFormat="false" ht="15" hidden="false" customHeight="false" outlineLevel="0" collapsed="false">
      <c r="A25" s="186" t="s">
        <v>2231</v>
      </c>
      <c r="B25" s="0" t="n">
        <v>9.66688311688311</v>
      </c>
      <c r="C25" s="0" t="n">
        <f aca="false">44.1*B25</f>
        <v>426.309545454545</v>
      </c>
      <c r="D25" s="0" t="s">
        <v>1394</v>
      </c>
      <c r="E25" s="0" t="s">
        <v>2772</v>
      </c>
      <c r="F25" s="0" t="n">
        <f aca="false">B25/10</f>
        <v>0.966688311688311</v>
      </c>
      <c r="G25" s="0" t="n">
        <f aca="false">C25/B25</f>
        <v>44.1</v>
      </c>
    </row>
    <row r="26" customFormat="false" ht="15" hidden="false" customHeight="false" outlineLevel="0" collapsed="false">
      <c r="A26" s="0" t="s">
        <v>2120</v>
      </c>
      <c r="B26" s="0" t="n">
        <v>8.17540983606557</v>
      </c>
      <c r="C26" s="0" t="n">
        <f aca="false">68.12*B26</f>
        <v>556.908918032787</v>
      </c>
      <c r="D26" s="0" t="s">
        <v>2773</v>
      </c>
      <c r="E26" s="0" t="s">
        <v>2774</v>
      </c>
      <c r="F26" s="0" t="n">
        <f aca="false">B26/10</f>
        <v>0.817540983606557</v>
      </c>
      <c r="G26" s="0" t="n">
        <f aca="false">C26/B26</f>
        <v>68.12</v>
      </c>
    </row>
    <row r="27" customFormat="false" ht="15" hidden="false" customHeight="false" outlineLevel="0" collapsed="false">
      <c r="A27" s="0" t="s">
        <v>2434</v>
      </c>
      <c r="B27" s="0" t="n">
        <v>3.76055846422338</v>
      </c>
      <c r="C27" s="0" t="n">
        <f aca="false">152.15*B27</f>
        <v>572.168970331587</v>
      </c>
      <c r="D27" s="0" t="s">
        <v>2437</v>
      </c>
      <c r="E27" s="0" t="s">
        <v>2775</v>
      </c>
      <c r="F27" s="0" t="n">
        <f aca="false">B27/10</f>
        <v>0.376055846422338</v>
      </c>
      <c r="G27" s="0" t="n">
        <f aca="false">C27/B27</f>
        <v>152.15</v>
      </c>
    </row>
    <row r="28" customFormat="false" ht="15" hidden="false" customHeight="false" outlineLevel="0" collapsed="false">
      <c r="A28" s="0" t="s">
        <v>2573</v>
      </c>
      <c r="B28" s="0" t="n">
        <v>11.9999999999999</v>
      </c>
      <c r="C28" s="0" t="n">
        <f aca="false">130.099*B28</f>
        <v>1561.18799999999</v>
      </c>
      <c r="D28" s="0" t="s">
        <v>1174</v>
      </c>
      <c r="E28" s="0" t="s">
        <v>2776</v>
      </c>
      <c r="F28" s="0" t="n">
        <f aca="false">B28/10</f>
        <v>1.19999999999999</v>
      </c>
      <c r="G28" s="0" t="n">
        <f aca="false">C28/B28</f>
        <v>130.099</v>
      </c>
    </row>
    <row r="29" customFormat="false" ht="15" hidden="false" customHeight="false" outlineLevel="0" collapsed="false">
      <c r="A29" s="0" t="s">
        <v>2450</v>
      </c>
      <c r="B29" s="0" t="n">
        <v>10</v>
      </c>
      <c r="C29" s="0" t="n">
        <f aca="false">126.11*B29</f>
        <v>1261.1</v>
      </c>
      <c r="D29" s="0" t="s">
        <v>2777</v>
      </c>
      <c r="E29" s="0" t="s">
        <v>2778</v>
      </c>
      <c r="F29" s="0" t="n">
        <f aca="false">B29/10</f>
        <v>1</v>
      </c>
      <c r="G29" s="0" t="n">
        <f aca="false">C29/B29</f>
        <v>126.11</v>
      </c>
    </row>
    <row r="30" customFormat="false" ht="15" hidden="false" customHeight="false" outlineLevel="0" collapsed="false">
      <c r="A30" s="186" t="s">
        <v>2484</v>
      </c>
      <c r="B30" s="0" t="n">
        <v>13.0103370786516</v>
      </c>
      <c r="C30" s="0" t="n">
        <f aca="false">28.05*B30</f>
        <v>364.939955056177</v>
      </c>
      <c r="D30" s="0" t="s">
        <v>2779</v>
      </c>
      <c r="E30" s="0" t="s">
        <v>2780</v>
      </c>
      <c r="F30" s="0" t="n">
        <f aca="false">B30/10</f>
        <v>1.30103370786516</v>
      </c>
      <c r="G30" s="0" t="n">
        <f aca="false">C30/B30</f>
        <v>28.05</v>
      </c>
    </row>
    <row r="31" customFormat="false" ht="15" hidden="false" customHeight="false" outlineLevel="0" collapsed="false">
      <c r="A31" s="186" t="s">
        <v>1538</v>
      </c>
      <c r="B31" s="0" t="n">
        <v>5.29988974641676</v>
      </c>
      <c r="C31" s="0" t="n">
        <f aca="false">106.17*B31</f>
        <v>562.689294377067</v>
      </c>
      <c r="D31" s="0" t="s">
        <v>2781</v>
      </c>
      <c r="E31" s="0" t="s">
        <v>2782</v>
      </c>
      <c r="F31" s="0" t="n">
        <f aca="false">B31/10</f>
        <v>0.529988974641676</v>
      </c>
      <c r="G31" s="0" t="n">
        <f aca="false">C31/B31</f>
        <v>106.17</v>
      </c>
    </row>
    <row r="32" customFormat="false" ht="15" hidden="false" customHeight="false" outlineLevel="0" collapsed="false">
      <c r="A32" s="0" t="s">
        <v>2783</v>
      </c>
      <c r="B32" s="0" t="n">
        <v>4.25294117647058</v>
      </c>
      <c r="C32" s="0" t="n">
        <f aca="false">128.2*B32</f>
        <v>545.227058823528</v>
      </c>
      <c r="D32" s="0" t="s">
        <v>1262</v>
      </c>
      <c r="E32" s="0" t="s">
        <v>2784</v>
      </c>
      <c r="F32" s="0" t="n">
        <f aca="false">B32/10</f>
        <v>0.425294117647058</v>
      </c>
      <c r="G32" s="0" t="n">
        <f aca="false">C32/B32</f>
        <v>128.2</v>
      </c>
    </row>
    <row r="33" customFormat="false" ht="15" hidden="false" customHeight="false" outlineLevel="0" collapsed="false">
      <c r="A33" s="0" t="s">
        <v>2785</v>
      </c>
      <c r="B33" s="0" t="n">
        <v>5.36601562499999</v>
      </c>
      <c r="C33" s="0" t="n">
        <f aca="false">100.21*B33</f>
        <v>537.728425781249</v>
      </c>
      <c r="D33" s="0" t="s">
        <v>1013</v>
      </c>
      <c r="E33" s="0" t="s">
        <v>2786</v>
      </c>
      <c r="F33" s="0" t="n">
        <f aca="false">B33/10</f>
        <v>0.536601562499999</v>
      </c>
      <c r="G33" s="0" t="n">
        <f aca="false">C33/B33</f>
        <v>100.21</v>
      </c>
    </row>
    <row r="34" customFormat="false" ht="15" hidden="false" customHeight="false" outlineLevel="0" collapsed="false">
      <c r="A34" s="0" t="s">
        <v>2787</v>
      </c>
      <c r="B34" s="0" t="n">
        <v>9.03760683760683</v>
      </c>
      <c r="C34" s="0" t="n">
        <f aca="false">58.12*B34</f>
        <v>525.265709401709</v>
      </c>
      <c r="D34" s="0" t="s">
        <v>742</v>
      </c>
      <c r="E34" s="0" t="s">
        <v>2788</v>
      </c>
      <c r="F34" s="0" t="n">
        <f aca="false">B34/10</f>
        <v>0.903760683760683</v>
      </c>
      <c r="G34" s="0" t="n">
        <f aca="false">C34/B34</f>
        <v>58.12</v>
      </c>
    </row>
    <row r="35" customFormat="false" ht="15" hidden="false" customHeight="false" outlineLevel="0" collapsed="false">
      <c r="A35" s="0" t="s">
        <v>2789</v>
      </c>
      <c r="B35" s="0" t="n">
        <v>7.26825396825397</v>
      </c>
      <c r="C35" s="0" t="n">
        <f aca="false">72.15*B35</f>
        <v>524.404523809524</v>
      </c>
      <c r="D35" s="0" t="s">
        <v>1329</v>
      </c>
      <c r="E35" s="0" t="s">
        <v>2790</v>
      </c>
      <c r="F35" s="0" t="n">
        <f aca="false">B35/10</f>
        <v>0.726825396825397</v>
      </c>
      <c r="G35" s="0" t="n">
        <f aca="false">C35/B35</f>
        <v>72.15</v>
      </c>
    </row>
    <row r="36" customFormat="false" ht="15" hidden="false" customHeight="false" outlineLevel="0" collapsed="false">
      <c r="A36" s="186" t="s">
        <v>2628</v>
      </c>
      <c r="B36" s="0" t="n">
        <v>7.49999999999999</v>
      </c>
      <c r="C36" s="0" t="n">
        <f aca="false">106.16*B36</f>
        <v>796.199999999999</v>
      </c>
      <c r="D36" s="0" t="s">
        <v>2458</v>
      </c>
      <c r="E36" s="0" t="s">
        <v>2791</v>
      </c>
      <c r="F36" s="0" t="n">
        <f aca="false">B36/10</f>
        <v>0.749999999999999</v>
      </c>
      <c r="G36" s="0" t="n">
        <f aca="false">C36/B36</f>
        <v>106.16</v>
      </c>
    </row>
    <row r="37" customFormat="false" ht="15" hidden="false" customHeight="false" outlineLevel="0" collapsed="false">
      <c r="A37" s="188" t="s">
        <v>2583</v>
      </c>
      <c r="B37" s="188" t="n">
        <v>4.08770491803278</v>
      </c>
      <c r="C37" s="188" t="n">
        <f aca="false">136.23*B37</f>
        <v>556.868040983606</v>
      </c>
      <c r="D37" s="188" t="s">
        <v>2792</v>
      </c>
      <c r="E37" s="188" t="s">
        <v>2793</v>
      </c>
      <c r="F37" s="188" t="n">
        <f aca="false">B37/10</f>
        <v>0.408770491803278</v>
      </c>
      <c r="G37" s="188" t="n">
        <f aca="false">C37/B37</f>
        <v>136.23</v>
      </c>
      <c r="H37" s="188"/>
      <c r="I37" s="186"/>
      <c r="J37" s="186"/>
      <c r="K37" s="186"/>
      <c r="L37" s="186"/>
    </row>
    <row r="38" customFormat="false" ht="15" hidden="false" customHeight="false" outlineLevel="0" collapsed="false">
      <c r="A38" s="188" t="s">
        <v>2142</v>
      </c>
      <c r="B38" s="188" t="n">
        <f aca="false">B37</f>
        <v>4.08770491803278</v>
      </c>
      <c r="C38" s="188" t="n">
        <f aca="false">C37</f>
        <v>556.868040983606</v>
      </c>
      <c r="D38" s="188" t="s">
        <v>1193</v>
      </c>
      <c r="E38" s="188" t="s">
        <v>2794</v>
      </c>
      <c r="F38" s="188"/>
      <c r="G38" s="188"/>
      <c r="H38" s="188"/>
    </row>
    <row r="39" customFormat="false" ht="15" hidden="false" customHeight="false" outlineLevel="0" collapsed="false">
      <c r="A39" s="188" t="s">
        <v>2795</v>
      </c>
      <c r="B39" s="188" t="n">
        <f aca="false">B38</f>
        <v>4.08770491803278</v>
      </c>
      <c r="C39" s="188" t="n">
        <f aca="false">C38</f>
        <v>556.868040983606</v>
      </c>
      <c r="D39" s="185" t="s">
        <v>2796</v>
      </c>
      <c r="E39" s="185"/>
      <c r="F39" s="188"/>
      <c r="G39" s="188"/>
      <c r="H39" s="188"/>
    </row>
    <row r="40" customFormat="false" ht="15" hidden="false" customHeight="false" outlineLevel="0" collapsed="false">
      <c r="A40" s="188" t="s">
        <v>2797</v>
      </c>
      <c r="B40" s="188" t="n">
        <f aca="false">B37</f>
        <v>4.08770491803278</v>
      </c>
      <c r="C40" s="188" t="n">
        <f aca="false">C38</f>
        <v>556.868040983606</v>
      </c>
      <c r="D40" s="188" t="s">
        <v>2796</v>
      </c>
      <c r="E40" s="188"/>
      <c r="F40" s="188"/>
      <c r="G40" s="188"/>
      <c r="H40" s="188"/>
    </row>
    <row r="41" customFormat="false" ht="15" hidden="false" customHeight="false" outlineLevel="0" collapsed="false">
      <c r="A41" s="188" t="s">
        <v>2798</v>
      </c>
      <c r="B41" s="188" t="n">
        <f aca="false">B37</f>
        <v>4.08770491803278</v>
      </c>
      <c r="C41" s="188" t="n">
        <f aca="false">C37</f>
        <v>556.868040983606</v>
      </c>
      <c r="D41" s="188" t="s">
        <v>2796</v>
      </c>
      <c r="E41" s="188"/>
      <c r="F41" s="188"/>
      <c r="G41" s="188"/>
      <c r="H41" s="188"/>
    </row>
    <row r="42" customFormat="false" ht="15" hidden="false" customHeight="false" outlineLevel="0" collapsed="false">
      <c r="A42" s="189" t="s">
        <v>2799</v>
      </c>
      <c r="B42" s="189" t="n">
        <v>2.72513661202185</v>
      </c>
      <c r="C42" s="189" t="n">
        <f aca="false">204.3511*B42</f>
        <v>556.884664316938</v>
      </c>
      <c r="D42" s="189" t="s">
        <v>2800</v>
      </c>
      <c r="E42" s="189" t="s">
        <v>2801</v>
      </c>
      <c r="F42" s="189" t="n">
        <f aca="false">B42/10</f>
        <v>0.272513661202185</v>
      </c>
      <c r="G42" s="189" t="n">
        <f aca="false">C42/B42</f>
        <v>204.3511</v>
      </c>
      <c r="H42" s="189"/>
    </row>
    <row r="43" customFormat="false" ht="15" hidden="false" customHeight="false" outlineLevel="0" collapsed="false">
      <c r="A43" s="189" t="s">
        <v>2802</v>
      </c>
      <c r="B43" s="189" t="n">
        <f aca="false">B42</f>
        <v>2.72513661202185</v>
      </c>
      <c r="C43" s="189" t="n">
        <f aca="false">C42</f>
        <v>556.884664316938</v>
      </c>
      <c r="D43" s="189" t="s">
        <v>2796</v>
      </c>
      <c r="E43" s="189"/>
      <c r="F43" s="189"/>
      <c r="G43" s="189"/>
      <c r="H43" s="189"/>
    </row>
    <row r="44" customFormat="false" ht="15" hidden="false" customHeight="false" outlineLevel="0" collapsed="false">
      <c r="A44" s="189" t="s">
        <v>2803</v>
      </c>
      <c r="B44" s="189" t="n">
        <f aca="false">B42</f>
        <v>2.72513661202185</v>
      </c>
      <c r="C44" s="189" t="n">
        <f aca="false">C42</f>
        <v>556.884664316938</v>
      </c>
      <c r="D44" s="189" t="s">
        <v>2796</v>
      </c>
      <c r="E44" s="189"/>
      <c r="F44" s="189"/>
      <c r="G44" s="189"/>
      <c r="H44" s="189"/>
    </row>
    <row r="45" customFormat="false" ht="15" hidden="false" customHeight="false" outlineLevel="0" collapsed="false">
      <c r="A45" s="189" t="s">
        <v>2804</v>
      </c>
      <c r="B45" s="189" t="n">
        <f aca="false">B42</f>
        <v>2.72513661202185</v>
      </c>
      <c r="C45" s="189" t="n">
        <f aca="false">C42</f>
        <v>556.884664316938</v>
      </c>
      <c r="D45" s="189" t="s">
        <v>2796</v>
      </c>
      <c r="E45" s="189"/>
      <c r="F45" s="189"/>
      <c r="G45" s="189"/>
      <c r="H45" s="189"/>
    </row>
    <row r="46" customFormat="false" ht="15" hidden="false" customHeight="false" outlineLevel="0" collapsed="false">
      <c r="A46" s="189" t="s">
        <v>2805</v>
      </c>
      <c r="B46" s="189" t="n">
        <f aca="false">B42</f>
        <v>2.72513661202185</v>
      </c>
      <c r="C46" s="189" t="n">
        <f aca="false">C42</f>
        <v>556.884664316938</v>
      </c>
      <c r="D46" s="189" t="s">
        <v>2796</v>
      </c>
      <c r="E46" s="189"/>
      <c r="F46" s="189"/>
      <c r="G46" s="189"/>
      <c r="H46" s="189"/>
    </row>
    <row r="47" customFormat="false" ht="15" hidden="false" customHeight="false" outlineLevel="0" collapsed="false">
      <c r="A47" s="189" t="s">
        <v>2806</v>
      </c>
      <c r="B47" s="189" t="n">
        <f aca="false">B42</f>
        <v>2.72513661202185</v>
      </c>
      <c r="C47" s="189" t="n">
        <f aca="false">C42</f>
        <v>556.884664316938</v>
      </c>
      <c r="D47" s="190" t="s">
        <v>2796</v>
      </c>
      <c r="E47" s="190"/>
      <c r="F47" s="189"/>
      <c r="G47" s="189"/>
      <c r="H47" s="189"/>
    </row>
    <row r="48" customFormat="false" ht="15" hidden="false" customHeight="false" outlineLevel="0" collapsed="false">
      <c r="A48" s="189" t="s">
        <v>2807</v>
      </c>
      <c r="B48" s="189" t="n">
        <f aca="false">B42</f>
        <v>2.72513661202185</v>
      </c>
      <c r="C48" s="189" t="n">
        <f aca="false">C42</f>
        <v>556.884664316938</v>
      </c>
      <c r="D48" s="189" t="s">
        <v>2796</v>
      </c>
      <c r="E48" s="189"/>
      <c r="F48" s="189"/>
      <c r="G48" s="189"/>
      <c r="H48" s="189"/>
    </row>
    <row r="49" customFormat="false" ht="15" hidden="false" customHeight="false" outlineLevel="0" collapsed="false">
      <c r="A49" s="189" t="s">
        <v>2808</v>
      </c>
      <c r="B49" s="189" t="n">
        <f aca="false">B42</f>
        <v>2.72513661202185</v>
      </c>
      <c r="C49" s="189" t="n">
        <f aca="false">C42</f>
        <v>556.884664316938</v>
      </c>
      <c r="D49" s="189" t="s">
        <v>2796</v>
      </c>
      <c r="E49" s="189"/>
      <c r="F49" s="189"/>
      <c r="G49" s="189"/>
      <c r="H49" s="189"/>
    </row>
    <row r="50" customFormat="false" ht="15" hidden="false" customHeight="false" outlineLevel="0" collapsed="false">
      <c r="A50" s="189" t="s">
        <v>2809</v>
      </c>
      <c r="B50" s="189" t="n">
        <f aca="false">B42</f>
        <v>2.72513661202185</v>
      </c>
      <c r="C50" s="189" t="n">
        <f aca="false">C42</f>
        <v>556.884664316938</v>
      </c>
      <c r="D50" s="189" t="s">
        <v>2796</v>
      </c>
      <c r="E50" s="189"/>
      <c r="F50" s="189"/>
      <c r="G50" s="189"/>
      <c r="H50" s="189"/>
    </row>
    <row r="51" customFormat="false" ht="15" hidden="false" customHeight="false" outlineLevel="0" collapsed="false">
      <c r="A51" s="189" t="s">
        <v>2810</v>
      </c>
      <c r="B51" s="189" t="n">
        <f aca="false">B42</f>
        <v>2.72513661202185</v>
      </c>
      <c r="C51" s="189" t="n">
        <f aca="false">C42</f>
        <v>556.884664316938</v>
      </c>
      <c r="D51" s="189" t="s">
        <v>2796</v>
      </c>
      <c r="E51" s="189"/>
      <c r="F51" s="189"/>
      <c r="G51" s="189"/>
      <c r="H51" s="189"/>
    </row>
    <row r="52" customFormat="false" ht="15" hidden="false" customHeight="false" outlineLevel="0" collapsed="false">
      <c r="A52" s="189" t="s">
        <v>2811</v>
      </c>
      <c r="B52" s="189" t="n">
        <f aca="false">B42</f>
        <v>2.72513661202185</v>
      </c>
      <c r="C52" s="189" t="n">
        <f aca="false">C42</f>
        <v>556.884664316938</v>
      </c>
      <c r="D52" s="189" t="s">
        <v>2796</v>
      </c>
      <c r="E52" s="189"/>
      <c r="F52" s="189"/>
      <c r="G52" s="189"/>
      <c r="H52" s="189"/>
    </row>
    <row r="53" customFormat="false" ht="15" hidden="false" customHeight="false" outlineLevel="0" collapsed="false">
      <c r="A53" s="189" t="s">
        <v>2812</v>
      </c>
      <c r="B53" s="189" t="n">
        <f aca="false">B42</f>
        <v>2.72513661202185</v>
      </c>
      <c r="C53" s="189" t="n">
        <f aca="false">C42</f>
        <v>556.884664316938</v>
      </c>
      <c r="D53" s="189" t="s">
        <v>2796</v>
      </c>
      <c r="E53" s="189"/>
      <c r="F53" s="189"/>
      <c r="G53" s="189"/>
      <c r="H53" s="189"/>
    </row>
    <row r="54" customFormat="false" ht="15" hidden="false" customHeight="false" outlineLevel="0" collapsed="false">
      <c r="A54" s="189" t="s">
        <v>2813</v>
      </c>
      <c r="B54" s="189" t="n">
        <f aca="false">B42</f>
        <v>2.72513661202185</v>
      </c>
      <c r="C54" s="189" t="n">
        <f aca="false">C42</f>
        <v>556.884664316938</v>
      </c>
      <c r="D54" s="189" t="s">
        <v>2796</v>
      </c>
      <c r="E54" s="189"/>
      <c r="F54" s="189"/>
      <c r="G54" s="189"/>
      <c r="H54" s="189"/>
    </row>
    <row r="55" customFormat="false" ht="15" hidden="false" customHeight="false" outlineLevel="0" collapsed="false">
      <c r="A55" s="191" t="s">
        <v>2409</v>
      </c>
      <c r="B55" s="191" t="n">
        <v>2.04385245901639</v>
      </c>
      <c r="C55" s="191" t="n">
        <f aca="false">272.5*B55</f>
        <v>556.949795081966</v>
      </c>
      <c r="D55" s="191" t="s">
        <v>2814</v>
      </c>
      <c r="E55" s="191" t="s">
        <v>2815</v>
      </c>
      <c r="F55" s="191" t="n">
        <f aca="false">B55/10</f>
        <v>0.204385245901639</v>
      </c>
      <c r="G55" s="191" t="n">
        <f aca="false">C55/B55</f>
        <v>272.5</v>
      </c>
      <c r="H55" s="191"/>
    </row>
    <row r="56" customFormat="false" ht="15" hidden="false" customHeight="false" outlineLevel="0" collapsed="false">
      <c r="A56" s="191" t="s">
        <v>2816</v>
      </c>
      <c r="B56" s="191" t="n">
        <f aca="false">B55</f>
        <v>2.04385245901639</v>
      </c>
      <c r="C56" s="191" t="n">
        <f aca="false">C55</f>
        <v>556.949795081966</v>
      </c>
      <c r="D56" s="191" t="s">
        <v>2796</v>
      </c>
      <c r="E56" s="191"/>
      <c r="F56" s="191"/>
      <c r="G56" s="191"/>
      <c r="H56" s="191"/>
    </row>
    <row r="57" customFormat="false" ht="15" hidden="false" customHeight="false" outlineLevel="0" collapsed="false">
      <c r="A57" s="191" t="s">
        <v>2817</v>
      </c>
      <c r="B57" s="191" t="n">
        <f aca="false">B55</f>
        <v>2.04385245901639</v>
      </c>
      <c r="C57" s="191" t="n">
        <f aca="false">C55</f>
        <v>556.949795081966</v>
      </c>
      <c r="D57" s="191" t="s">
        <v>2796</v>
      </c>
      <c r="E57" s="191"/>
      <c r="F57" s="191"/>
      <c r="G57" s="191"/>
      <c r="H57" s="191"/>
    </row>
    <row r="58" customFormat="false" ht="15" hidden="false" customHeight="false" outlineLevel="0" collapsed="false">
      <c r="A58" s="191" t="s">
        <v>2818</v>
      </c>
      <c r="B58" s="191" t="n">
        <f aca="false">B55</f>
        <v>2.04385245901639</v>
      </c>
      <c r="C58" s="191" t="n">
        <f aca="false">C55</f>
        <v>556.949795081966</v>
      </c>
      <c r="D58" s="191" t="s">
        <v>2796</v>
      </c>
      <c r="E58" s="191"/>
      <c r="F58" s="191"/>
      <c r="G58" s="191"/>
      <c r="H58" s="191"/>
    </row>
    <row r="59" customFormat="false" ht="15" hidden="false" customHeight="false" outlineLevel="0" collapsed="false">
      <c r="A59" s="191" t="s">
        <v>2819</v>
      </c>
      <c r="B59" s="191" t="n">
        <f aca="false">B55</f>
        <v>2.04385245901639</v>
      </c>
      <c r="C59" s="191" t="n">
        <f aca="false">C55</f>
        <v>556.949795081966</v>
      </c>
      <c r="D59" s="192" t="s">
        <v>2796</v>
      </c>
      <c r="E59" s="192"/>
      <c r="F59" s="191"/>
      <c r="G59" s="191"/>
      <c r="H59" s="191"/>
    </row>
    <row r="60" customFormat="false" ht="15" hidden="false" customHeight="false" outlineLevel="0" collapsed="false">
      <c r="A60" s="191" t="s">
        <v>2820</v>
      </c>
      <c r="B60" s="191" t="n">
        <f aca="false">B55</f>
        <v>2.04385245901639</v>
      </c>
      <c r="C60" s="191" t="n">
        <f aca="false">C55</f>
        <v>556.949795081966</v>
      </c>
      <c r="D60" s="191" t="s">
        <v>2796</v>
      </c>
      <c r="E60" s="191"/>
      <c r="F60" s="191"/>
      <c r="G60" s="191"/>
      <c r="H60" s="191"/>
    </row>
    <row r="61" customFormat="false" ht="15" hidden="false" customHeight="false" outlineLevel="0" collapsed="false">
      <c r="A61" s="191" t="s">
        <v>2821</v>
      </c>
      <c r="B61" s="191" t="n">
        <f aca="false">B55</f>
        <v>2.04385245901639</v>
      </c>
      <c r="C61" s="191" t="n">
        <f aca="false">C55</f>
        <v>556.949795081966</v>
      </c>
      <c r="D61" s="191" t="s">
        <v>2796</v>
      </c>
      <c r="E61" s="191"/>
      <c r="F61" s="191"/>
      <c r="G61" s="191"/>
      <c r="H61" s="191"/>
    </row>
    <row r="62" customFormat="false" ht="15" hidden="false" customHeight="false" outlineLevel="0" collapsed="false">
      <c r="A62" s="191" t="s">
        <v>2822</v>
      </c>
      <c r="B62" s="191" t="n">
        <f aca="false">B55</f>
        <v>2.04385245901639</v>
      </c>
      <c r="C62" s="191" t="n">
        <f aca="false">C55</f>
        <v>556.949795081966</v>
      </c>
      <c r="D62" s="191" t="s">
        <v>2796</v>
      </c>
      <c r="E62" s="191"/>
      <c r="F62" s="191"/>
      <c r="G62" s="191"/>
      <c r="H62" s="191"/>
    </row>
    <row r="63" customFormat="false" ht="15" hidden="false" customHeight="false" outlineLevel="0" collapsed="false">
      <c r="A63" s="191" t="s">
        <v>2823</v>
      </c>
      <c r="B63" s="191" t="n">
        <f aca="false">B55</f>
        <v>2.04385245901639</v>
      </c>
      <c r="C63" s="191" t="n">
        <f aca="false">C55</f>
        <v>556.949795081966</v>
      </c>
      <c r="D63" s="191" t="s">
        <v>2796</v>
      </c>
      <c r="E63" s="191"/>
      <c r="F63" s="191"/>
      <c r="G63" s="191"/>
      <c r="H63" s="191"/>
    </row>
    <row r="65" customFormat="false" ht="15" hidden="false" customHeight="false" outlineLevel="0" collapsed="false">
      <c r="A65" s="185" t="s">
        <v>2644</v>
      </c>
      <c r="B65" s="0" t="s">
        <v>2715</v>
      </c>
      <c r="C65" s="0" t="s">
        <v>2716</v>
      </c>
      <c r="F65" s="0" t="s">
        <v>2717</v>
      </c>
      <c r="G65" s="0" t="s">
        <v>2718</v>
      </c>
    </row>
    <row r="66" customFormat="false" ht="15" hidden="false" customHeight="false" outlineLevel="0" collapsed="false">
      <c r="A66" s="187" t="s">
        <v>2719</v>
      </c>
      <c r="B66" s="187" t="s">
        <v>2720</v>
      </c>
      <c r="C66" s="187" t="s">
        <v>2721</v>
      </c>
      <c r="D66" s="187" t="s">
        <v>2722</v>
      </c>
      <c r="E66" s="187" t="s">
        <v>2723</v>
      </c>
      <c r="F66" s="187" t="s">
        <v>2724</v>
      </c>
      <c r="G66" s="183" t="s">
        <v>2725</v>
      </c>
      <c r="H66" s="183" t="s">
        <v>2726</v>
      </c>
    </row>
    <row r="67" customFormat="false" ht="15" hidden="false" customHeight="false" outlineLevel="0" collapsed="false">
      <c r="A67" s="0" t="s">
        <v>90</v>
      </c>
      <c r="B67" s="0" t="n">
        <f aca="false">14.539706</f>
        <v>14.539706</v>
      </c>
      <c r="C67" s="0" t="n">
        <f aca="false">G67*B67</f>
        <v>1106.32622954</v>
      </c>
      <c r="D67" s="0" t="s">
        <v>132</v>
      </c>
      <c r="E67" s="0" t="s">
        <v>2824</v>
      </c>
      <c r="F67" s="0" t="n">
        <f aca="false">B67/10</f>
        <v>1.4539706</v>
      </c>
      <c r="G67" s="193" t="n">
        <f aca="false">76.09</f>
        <v>76.09</v>
      </c>
      <c r="H67" s="0" t="s">
        <v>1636</v>
      </c>
    </row>
    <row r="68" customFormat="false" ht="15" hidden="false" customHeight="false" outlineLevel="0" collapsed="false">
      <c r="A68" s="0" t="s">
        <v>418</v>
      </c>
      <c r="B68" s="0" t="n">
        <f aca="false">13.984541</f>
        <v>13.984541</v>
      </c>
      <c r="C68" s="0" t="n">
        <f aca="false">G68*B68</f>
        <v>812.22214128</v>
      </c>
      <c r="D68" s="0" t="s">
        <v>437</v>
      </c>
      <c r="E68" s="0" t="s">
        <v>2825</v>
      </c>
      <c r="F68" s="0" t="n">
        <f aca="false">B68/10</f>
        <v>1.3984541</v>
      </c>
      <c r="G68" s="193" t="n">
        <f aca="false">58.08</f>
        <v>58.08</v>
      </c>
      <c r="H68" s="0" t="s">
        <v>1799</v>
      </c>
    </row>
    <row r="69" customFormat="false" ht="15" hidden="false" customHeight="false" outlineLevel="0" collapsed="false">
      <c r="A69" s="0" t="s">
        <v>2826</v>
      </c>
      <c r="B69" s="0" t="n">
        <f aca="false">16.462329</f>
        <v>16.462329</v>
      </c>
      <c r="C69" s="0" t="n">
        <f aca="false">G69*B69</f>
        <v>1186.27542774</v>
      </c>
      <c r="D69" s="0" t="s">
        <v>469</v>
      </c>
      <c r="E69" s="0" t="s">
        <v>2827</v>
      </c>
      <c r="F69" s="0" t="n">
        <f aca="false">B69/10</f>
        <v>1.6462329</v>
      </c>
      <c r="G69" s="193" t="n">
        <f aca="false">72.06</f>
        <v>72.06</v>
      </c>
      <c r="H69" s="0" t="s">
        <v>1805</v>
      </c>
    </row>
    <row r="70" customFormat="false" ht="15" hidden="false" customHeight="false" outlineLevel="0" collapsed="false">
      <c r="A70" s="0" t="s">
        <v>2828</v>
      </c>
      <c r="B70" s="0" t="s">
        <v>2829</v>
      </c>
    </row>
    <row r="71" customFormat="false" ht="15" hidden="false" customHeight="false" outlineLevel="0" collapsed="false">
      <c r="A71" s="0" t="s">
        <v>919</v>
      </c>
      <c r="B71" s="0" t="n">
        <f aca="false">11.829194</f>
        <v>11.829194</v>
      </c>
      <c r="C71" s="0" t="n">
        <f aca="false">B71*G71</f>
        <v>1018.37531146</v>
      </c>
      <c r="D71" s="0" t="s">
        <v>934</v>
      </c>
      <c r="E71" s="0" t="s">
        <v>2830</v>
      </c>
      <c r="F71" s="0" t="n">
        <f aca="false">B71/10</f>
        <v>1.1829194</v>
      </c>
      <c r="G71" s="0" t="n">
        <f aca="false">86.09</f>
        <v>86.09</v>
      </c>
      <c r="H71" s="0" t="s">
        <v>2831</v>
      </c>
    </row>
    <row r="72" customFormat="false" ht="15" hidden="false" customHeight="false" outlineLevel="0" collapsed="false">
      <c r="A72" s="0" t="s">
        <v>2832</v>
      </c>
      <c r="B72" s="0" t="n">
        <f aca="false">1.008907</f>
        <v>1.008907</v>
      </c>
      <c r="C72" s="0" t="n">
        <f aca="false">B72*G72</f>
        <v>541.65190109</v>
      </c>
      <c r="D72" s="0" t="s">
        <v>678</v>
      </c>
      <c r="E72" s="0" t="s">
        <v>2833</v>
      </c>
      <c r="F72" s="0" t="n">
        <f aca="false">B72/10</f>
        <v>0.1008907</v>
      </c>
      <c r="G72" s="0" t="n">
        <v>536.87</v>
      </c>
      <c r="H72" s="0" t="s">
        <v>2834</v>
      </c>
    </row>
    <row r="73" customFormat="false" ht="15" hidden="false" customHeight="false" outlineLevel="0" collapsed="false">
      <c r="A73" s="0" t="s">
        <v>2835</v>
      </c>
      <c r="B73" s="0" t="n">
        <f aca="false">2.767101</f>
        <v>2.767101</v>
      </c>
      <c r="C73" s="0" t="n">
        <f aca="false">B73*G73</f>
        <v>565.48476036</v>
      </c>
      <c r="D73" s="0" t="s">
        <v>913</v>
      </c>
      <c r="E73" s="0" t="s">
        <v>2836</v>
      </c>
      <c r="F73" s="0" t="n">
        <f aca="false">B73/10</f>
        <v>0.2767101</v>
      </c>
      <c r="G73" s="0" t="n">
        <f aca="false">204.36</f>
        <v>204.36</v>
      </c>
      <c r="H73" s="0" t="s">
        <v>2834</v>
      </c>
    </row>
    <row r="74" customFormat="false" ht="15" hidden="false" customHeight="false" outlineLevel="0" collapsed="false">
      <c r="A74" s="0" t="s">
        <v>2837</v>
      </c>
      <c r="B74" s="194" t="n">
        <f aca="false">12.027869</f>
        <v>12.027869</v>
      </c>
      <c r="C74" s="0" t="n">
        <f aca="false">B74*G74</f>
        <v>1047.6273899</v>
      </c>
      <c r="D74" s="0" t="s">
        <v>1112</v>
      </c>
      <c r="E74" s="0" t="s">
        <v>2838</v>
      </c>
      <c r="F74" s="0" t="n">
        <f aca="false">B74/10</f>
        <v>1.2027869</v>
      </c>
      <c r="G74" s="0" t="n">
        <f aca="false">87.1</f>
        <v>87.1</v>
      </c>
    </row>
    <row r="75" customFormat="false" ht="15" hidden="false" customHeight="false" outlineLevel="0" collapsed="false">
      <c r="A75" s="0" t="s">
        <v>1138</v>
      </c>
      <c r="B75" s="0" t="n">
        <f aca="false">12.859459</f>
        <v>12.859459</v>
      </c>
      <c r="C75" s="0" t="n">
        <f aca="false">B75*G75</f>
        <v>772.8534859</v>
      </c>
      <c r="D75" s="0" t="s">
        <v>2475</v>
      </c>
      <c r="E75" s="0" t="s">
        <v>2839</v>
      </c>
      <c r="F75" s="0" t="n">
        <f aca="false">B75/10</f>
        <v>1.2859459</v>
      </c>
      <c r="G75" s="0" t="n">
        <f aca="false">60.1</f>
        <v>60.1</v>
      </c>
      <c r="H75" s="0" t="s">
        <v>1799</v>
      </c>
    </row>
    <row r="76" customFormat="false" ht="15" hidden="false" customHeight="false" outlineLevel="0" collapsed="false">
      <c r="A76" s="0" t="s">
        <v>2840</v>
      </c>
      <c r="B76" s="0" t="n">
        <f aca="false">6.678099</f>
        <v>6.678099</v>
      </c>
      <c r="C76" s="0" t="n">
        <f aca="false">B76*G76</f>
        <v>815.52944988</v>
      </c>
      <c r="D76" s="0" t="s">
        <v>553</v>
      </c>
      <c r="E76" s="0" t="s">
        <v>2841</v>
      </c>
      <c r="F76" s="0" t="n">
        <f aca="false">B76/10</f>
        <v>0.6678099</v>
      </c>
      <c r="G76" s="0" t="n">
        <f aca="false">122.12</f>
        <v>122.12</v>
      </c>
      <c r="H76" s="0" t="s">
        <v>2842</v>
      </c>
    </row>
    <row r="77" customFormat="false" ht="15" hidden="false" customHeight="false" outlineLevel="0" collapsed="false">
      <c r="A77" s="0" t="s">
        <v>2843</v>
      </c>
      <c r="B77" s="0" t="n">
        <f aca="false">8.587965</f>
        <v>8.587965</v>
      </c>
      <c r="C77" s="0" t="n">
        <f aca="false">B77*G77</f>
        <v>1220.43570615</v>
      </c>
      <c r="D77" s="0" t="s">
        <v>857</v>
      </c>
      <c r="E77" s="0" t="s">
        <v>2844</v>
      </c>
      <c r="F77" s="0" t="n">
        <f aca="false">B77/10</f>
        <v>0.8587965</v>
      </c>
      <c r="G77" s="0" t="n">
        <f aca="false">142.11</f>
        <v>142.11</v>
      </c>
      <c r="H77" s="0" t="s">
        <v>1716</v>
      </c>
    </row>
    <row r="78" customFormat="false" ht="15" hidden="false" customHeight="false" outlineLevel="0" collapsed="false">
      <c r="A78" s="0" t="s">
        <v>2685</v>
      </c>
      <c r="B78" s="0" t="n">
        <f aca="false">8.983043</f>
        <v>8.983043</v>
      </c>
      <c r="C78" s="0" t="n">
        <f aca="false">B78*G78</f>
        <v>1653.7782163</v>
      </c>
      <c r="D78" s="0" t="s">
        <v>302</v>
      </c>
      <c r="E78" s="0" t="s">
        <v>2845</v>
      </c>
      <c r="F78" s="0" t="n">
        <f aca="false">B78/10</f>
        <v>0.8983043</v>
      </c>
      <c r="G78" s="0" t="n">
        <f aca="false">184.1</f>
        <v>184.1</v>
      </c>
      <c r="H78" s="0" t="s">
        <v>1716</v>
      </c>
    </row>
    <row r="79" customFormat="false" ht="15" hidden="false" customHeight="false" outlineLevel="0" collapsed="false">
      <c r="A79" s="0" t="s">
        <v>2846</v>
      </c>
    </row>
    <row r="80" customFormat="false" ht="15" hidden="false" customHeight="false" outlineLevel="0" collapsed="false">
      <c r="A80" s="0" t="s">
        <v>2847</v>
      </c>
    </row>
    <row r="81" customFormat="false" ht="15" hidden="false" customHeight="false" outlineLevel="0" collapsed="false">
      <c r="A81" s="0" t="s">
        <v>2848</v>
      </c>
    </row>
    <row r="82" customFormat="false" ht="15" hidden="false" customHeight="false" outlineLevel="0" collapsed="false">
      <c r="A82" s="0" t="s">
        <v>253</v>
      </c>
      <c r="B82" s="0" t="n">
        <f aca="false">7.552857</f>
        <v>7.552857</v>
      </c>
      <c r="C82" s="0" t="n">
        <f aca="false">B82*G82</f>
        <v>665.78434455</v>
      </c>
      <c r="D82" s="0" t="s">
        <v>276</v>
      </c>
      <c r="E82" s="0" t="s">
        <v>2849</v>
      </c>
      <c r="F82" s="0" t="n">
        <f aca="false">B82/10</f>
        <v>0.7552857</v>
      </c>
      <c r="G82" s="0" t="n">
        <f aca="false">88.15</f>
        <v>88.15</v>
      </c>
      <c r="H82" s="0" t="s">
        <v>2850</v>
      </c>
      <c r="I82" s="0" t="s">
        <v>2851</v>
      </c>
    </row>
    <row r="83" customFormat="false" ht="15" hidden="false" customHeight="false" outlineLevel="0" collapsed="false">
      <c r="A83" s="0" t="s">
        <v>307</v>
      </c>
      <c r="B83" s="0" t="n">
        <f aca="false">6.205814</f>
        <v>6.205814</v>
      </c>
      <c r="C83" s="0" t="n">
        <f aca="false">B83*G83</f>
        <v>634.04801638</v>
      </c>
      <c r="D83" s="0" t="s">
        <v>345</v>
      </c>
      <c r="E83" s="0" t="s">
        <v>2852</v>
      </c>
      <c r="F83" s="0" t="n">
        <f aca="false">B83/10</f>
        <v>0.6205814</v>
      </c>
      <c r="G83" s="0" t="n">
        <f aca="false">102.17</f>
        <v>102.17</v>
      </c>
      <c r="H83" s="0" t="s">
        <v>2850</v>
      </c>
      <c r="I83" s="0" t="s">
        <v>2851</v>
      </c>
    </row>
    <row r="84" customFormat="false" ht="15" hidden="false" customHeight="false" outlineLevel="0" collapsed="false">
      <c r="A84" s="0" t="s">
        <v>2700</v>
      </c>
      <c r="B84" s="0" t="n">
        <f aca="false">23.785294</f>
        <v>23.785294</v>
      </c>
      <c r="C84" s="0" t="n">
        <f aca="false">B84*G84</f>
        <v>2475.09769364</v>
      </c>
      <c r="D84" s="0" t="s">
        <v>1222</v>
      </c>
      <c r="E84" s="0" t="s">
        <v>2853</v>
      </c>
      <c r="F84" s="0" t="n">
        <f aca="false">B84/10</f>
        <v>2.3785294</v>
      </c>
      <c r="G84" s="0" t="n">
        <f aca="false">104.06</f>
        <v>104.06</v>
      </c>
      <c r="H84" s="0" t="s">
        <v>2147</v>
      </c>
    </row>
    <row r="85" customFormat="false" ht="15" hidden="false" customHeight="false" outlineLevel="0" collapsed="false">
      <c r="A85" s="0" t="s">
        <v>2703</v>
      </c>
      <c r="B85" s="0" t="n">
        <f aca="false">8.961017</f>
        <v>8.961017</v>
      </c>
      <c r="C85" s="0" t="n">
        <f aca="false">B85*G85</f>
        <v>1183.92956604</v>
      </c>
      <c r="D85" s="0" t="s">
        <v>956</v>
      </c>
      <c r="E85" s="0" t="s">
        <v>2854</v>
      </c>
      <c r="F85" s="0" t="n">
        <f aca="false">B85/10</f>
        <v>0.8961017</v>
      </c>
      <c r="G85" s="0" t="n">
        <f aca="false">132.12</f>
        <v>132.12</v>
      </c>
      <c r="H85" s="0" t="s">
        <v>1788</v>
      </c>
    </row>
    <row r="86" customFormat="false" ht="15" hidden="false" customHeight="false" outlineLevel="0" collapsed="false">
      <c r="A86" s="0" t="s">
        <v>2705</v>
      </c>
      <c r="B86" s="0" t="n">
        <f aca="false">10.909091</f>
        <v>10.909091</v>
      </c>
      <c r="C86" s="0" t="n">
        <f aca="false">B86*G86</f>
        <v>1278.00001065</v>
      </c>
      <c r="D86" s="0" t="s">
        <v>413</v>
      </c>
      <c r="E86" s="0" t="s">
        <v>2855</v>
      </c>
      <c r="F86" s="0" t="n">
        <f aca="false">B86/10</f>
        <v>1.0909091</v>
      </c>
      <c r="G86" s="0" t="n">
        <f aca="false">117.15</f>
        <v>117.15</v>
      </c>
      <c r="H86" s="0" t="s">
        <v>2256</v>
      </c>
    </row>
    <row r="87" customFormat="false" ht="15" hidden="false" customHeight="false" outlineLevel="0" collapsed="false">
      <c r="A87" s="0" t="s">
        <v>64</v>
      </c>
      <c r="B87" s="0" t="n">
        <f aca="false">13.206044</f>
        <v>13.206044</v>
      </c>
      <c r="C87" s="0" t="n">
        <f aca="false">B87*G87</f>
        <v>978.8980115</v>
      </c>
      <c r="D87" s="0" t="s">
        <v>85</v>
      </c>
      <c r="E87" s="0" t="s">
        <v>2856</v>
      </c>
      <c r="F87" s="0" t="n">
        <f aca="false">B87/10</f>
        <v>1.3206044</v>
      </c>
      <c r="G87" s="0" t="n">
        <f aca="false">74.125</f>
        <v>74.125</v>
      </c>
      <c r="H87" s="0" t="s">
        <v>2857</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sheetPr filterMode="false">
    <pageSetUpPr fitToPage="false"/>
  </sheetPr>
  <dimension ref="A1:E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0" activeCellId="0" sqref="A20"/>
    </sheetView>
  </sheetViews>
  <sheetFormatPr defaultRowHeight="15" zeroHeight="false" outlineLevelRow="0" outlineLevelCol="0"/>
  <cols>
    <col collapsed="false" customWidth="true" hidden="false" outlineLevel="0" max="1" min="1" style="0" width="19.85"/>
    <col collapsed="false" customWidth="true" hidden="false" outlineLevel="0" max="2" min="2" style="0" width="13.14"/>
    <col collapsed="false" customWidth="true" hidden="false" outlineLevel="0" max="3" min="3" style="0" width="13.28"/>
    <col collapsed="false" customWidth="true" hidden="false" outlineLevel="0" max="4" min="4" style="0" width="8.53"/>
    <col collapsed="false" customWidth="true" hidden="false" outlineLevel="0" max="5" min="5" style="0" width="19.71"/>
    <col collapsed="false" customWidth="true" hidden="false" outlineLevel="0" max="1025" min="6" style="0" width="8.53"/>
  </cols>
  <sheetData>
    <row r="1" customFormat="false" ht="15" hidden="false" customHeight="false" outlineLevel="0" collapsed="false">
      <c r="A1" s="195" t="s">
        <v>2719</v>
      </c>
      <c r="B1" s="195" t="s">
        <v>2720</v>
      </c>
      <c r="C1" s="195" t="s">
        <v>2721</v>
      </c>
      <c r="D1" s="195" t="s">
        <v>2724</v>
      </c>
    </row>
    <row r="2" customFormat="false" ht="15" hidden="false" customHeight="false" outlineLevel="0" collapsed="false">
      <c r="A2" s="0" t="s">
        <v>2727</v>
      </c>
      <c r="B2" s="0" t="n">
        <v>7.3290780141844</v>
      </c>
      <c r="C2" s="0" t="n">
        <f aca="false">B2*94.11</f>
        <v>689.739531914894</v>
      </c>
      <c r="D2" s="0" t="n">
        <f aca="false">C2/1801.56</f>
        <v>0.382856819597956</v>
      </c>
    </row>
    <row r="3" customFormat="false" ht="15" hidden="false" customHeight="false" outlineLevel="0" collapsed="false">
      <c r="A3" s="0" t="s">
        <v>2858</v>
      </c>
      <c r="B3" s="0" t="n">
        <v>7.71194029850746</v>
      </c>
      <c r="C3" s="0" t="n">
        <f aca="false">B3*110.1</f>
        <v>849.084626865671</v>
      </c>
      <c r="D3" s="0" t="n">
        <f aca="false">C3/1801.56</f>
        <v>0.471305217070579</v>
      </c>
    </row>
    <row r="4" customFormat="false" ht="15" hidden="false" customHeight="false" outlineLevel="0" collapsed="false">
      <c r="A4" s="0" t="s">
        <v>2859</v>
      </c>
      <c r="B4" s="0" t="n">
        <v>6.72786458333333</v>
      </c>
      <c r="C4" s="0" t="n">
        <f aca="false">B4*144.12532</f>
        <v>969.655635989583</v>
      </c>
      <c r="D4" s="0" t="n">
        <f aca="false">C4/1801.56</f>
        <v>0.538231108588991</v>
      </c>
    </row>
    <row r="5" customFormat="false" ht="15" hidden="false" customHeight="false" outlineLevel="0" collapsed="false">
      <c r="A5" s="0" t="s">
        <v>2860</v>
      </c>
      <c r="B5" s="0" t="n">
        <v>10.3453376205787</v>
      </c>
      <c r="C5" s="0" t="n">
        <f aca="false">B5*115.10728</f>
        <v>1190.82367418649</v>
      </c>
      <c r="D5" s="0" t="n">
        <f aca="false">C5/1801.56</f>
        <v>0.660995844815874</v>
      </c>
    </row>
    <row r="6" customFormat="false" ht="15" hidden="false" customHeight="false" outlineLevel="0" collapsed="false">
      <c r="A6" s="0" t="s">
        <v>2861</v>
      </c>
      <c r="B6" s="0" t="n">
        <v>11.1231508165225</v>
      </c>
      <c r="C6" s="0" t="n">
        <f aca="false">B6*28.05316</f>
        <v>312.039529560036</v>
      </c>
      <c r="D6" s="0" t="n">
        <f aca="false">C6/1801.56</f>
        <v>0.173205183041384</v>
      </c>
    </row>
    <row r="7" customFormat="false" ht="15" hidden="false" customHeight="false" outlineLevel="0" collapsed="false">
      <c r="A7" s="0" t="s">
        <v>2862</v>
      </c>
      <c r="B7" s="0" t="n">
        <v>9.45379746835443</v>
      </c>
      <c r="C7" s="0" t="n">
        <f aca="false">B7*44.09562</f>
        <v>416.871060721519</v>
      </c>
      <c r="D7" s="0" t="n">
        <f aca="false">C7/1801.56</f>
        <v>0.231394491841248</v>
      </c>
    </row>
    <row r="8" customFormat="false" ht="15" hidden="false" customHeight="false" outlineLevel="0" collapsed="false">
      <c r="A8" s="0" t="s">
        <v>2863</v>
      </c>
      <c r="B8" s="0" t="n">
        <v>7.49919999999999</v>
      </c>
      <c r="C8" s="0" t="n">
        <f aca="false">B8*152.147319999999</f>
        <v>1140.98318214399</v>
      </c>
      <c r="D8" s="0" t="n">
        <f aca="false">C8/1801.56</f>
        <v>0.633330659064362</v>
      </c>
    </row>
    <row r="9" customFormat="false" ht="15" hidden="false" customHeight="false" outlineLevel="0" collapsed="false">
      <c r="A9" s="0" t="s">
        <v>2864</v>
      </c>
      <c r="B9" s="0" t="n">
        <v>10.9090909090909</v>
      </c>
    </row>
    <row r="10" customFormat="false" ht="15" hidden="false" customHeight="false" outlineLevel="0" collapsed="false">
      <c r="A10" s="0" t="s">
        <v>2865</v>
      </c>
      <c r="B10" s="0" t="n">
        <v>10</v>
      </c>
    </row>
    <row r="11" customFormat="false" ht="15" hidden="false" customHeight="false" outlineLevel="0" collapsed="false">
      <c r="A11" s="0" t="s">
        <v>2480</v>
      </c>
      <c r="B11" s="0" t="n">
        <v>11.7530562347188</v>
      </c>
    </row>
    <row r="12" customFormat="false" ht="15" hidden="false" customHeight="false" outlineLevel="0" collapsed="false">
      <c r="A12" s="0" t="s">
        <v>2866</v>
      </c>
      <c r="B12" s="0" t="n">
        <v>12</v>
      </c>
    </row>
    <row r="13" customFormat="false" ht="15" hidden="false" customHeight="false" outlineLevel="0" collapsed="false">
      <c r="A13" s="0" t="s">
        <v>2867</v>
      </c>
      <c r="B13" s="0" t="n">
        <v>11.8396728016359</v>
      </c>
    </row>
    <row r="15" customFormat="false" ht="15" hidden="false" customHeight="false" outlineLevel="0" collapsed="false">
      <c r="A15" s="185" t="s">
        <v>2644</v>
      </c>
      <c r="B15" s="0" t="s">
        <v>2715</v>
      </c>
      <c r="C15" s="0" t="s">
        <v>2716</v>
      </c>
      <c r="D15" s="0" t="s">
        <v>2717</v>
      </c>
    </row>
    <row r="16" customFormat="false" ht="15" hidden="false" customHeight="false" outlineLevel="0" collapsed="false">
      <c r="A16" s="195" t="s">
        <v>2719</v>
      </c>
      <c r="B16" s="195" t="s">
        <v>2720</v>
      </c>
      <c r="C16" s="195" t="s">
        <v>2721</v>
      </c>
      <c r="D16" s="195" t="s">
        <v>2724</v>
      </c>
      <c r="E16" s="195" t="s">
        <v>2726</v>
      </c>
    </row>
    <row r="17" customFormat="false" ht="15" hidden="false" customHeight="false" outlineLevel="0" collapsed="false">
      <c r="A17" s="0" t="s">
        <v>2826</v>
      </c>
      <c r="B17" s="0" t="n">
        <f aca="false">20</f>
        <v>20</v>
      </c>
      <c r="C17" s="0" t="n">
        <f aca="false">B17*72.06</f>
        <v>1441.2</v>
      </c>
      <c r="D17" s="0" t="n">
        <f aca="false">B17/10</f>
        <v>2</v>
      </c>
      <c r="E17" s="0" t="s">
        <v>2868</v>
      </c>
    </row>
    <row r="18" customFormat="false" ht="15" hidden="false" customHeight="false" outlineLevel="0" collapsed="false">
      <c r="A18" s="0" t="s">
        <v>2869</v>
      </c>
      <c r="B18" s="0" t="n">
        <f aca="false">20.508276</f>
        <v>20.508276</v>
      </c>
      <c r="C18" s="0" t="n">
        <f aca="false">B18*62.07</f>
        <v>1272.94869132</v>
      </c>
      <c r="D18" s="0" t="n">
        <f aca="false">B18/10</f>
        <v>2.0508276</v>
      </c>
      <c r="E18" s="0" t="s">
        <v>2870</v>
      </c>
    </row>
    <row r="19" customFormat="false" ht="15" hidden="false" customHeight="false" outlineLevel="0" collapsed="false">
      <c r="A19" s="0" t="s">
        <v>2703</v>
      </c>
      <c r="B19" s="194" t="n">
        <f aca="false">13.333333</f>
        <v>13.333333</v>
      </c>
      <c r="C19" s="0" t="n">
        <f aca="false">B19*132.12</f>
        <v>1761.59995596</v>
      </c>
      <c r="D19" s="0" t="n">
        <f aca="false">B19/10</f>
        <v>1.3333333</v>
      </c>
      <c r="E19" s="0" t="s">
        <v>2256</v>
      </c>
    </row>
    <row r="20" customFormat="false" ht="15" hidden="false" customHeight="false" outlineLevel="0" collapsed="false">
      <c r="A20" s="0" t="s">
        <v>2871</v>
      </c>
      <c r="B20" s="0" t="n">
        <f aca="false">7.891045</f>
        <v>7.891045</v>
      </c>
      <c r="C20" s="0" t="n">
        <f aca="false">B20*117.15</f>
        <v>924.43592175</v>
      </c>
      <c r="D20" s="0" t="n">
        <f aca="false">B20/10</f>
        <v>0.7891045</v>
      </c>
      <c r="E20" s="0" t="s">
        <v>1788</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sheetPr filterMode="false">
    <pageSetUpPr fitToPage="false"/>
  </sheetPr>
  <dimension ref="A1:AD88"/>
  <sheetViews>
    <sheetView showFormulas="false" showGridLines="true" showRowColHeaders="true" showZeros="true" rightToLeft="false" tabSelected="false" showOutlineSymbols="true" defaultGridColor="true" view="normal" topLeftCell="A34" colorId="64" zoomScale="100" zoomScaleNormal="100" zoomScalePageLayoutView="100" workbookViewId="0">
      <selection pane="topLeft" activeCell="A87" activeCellId="0" sqref="A87"/>
    </sheetView>
  </sheetViews>
  <sheetFormatPr defaultRowHeight="15" zeroHeight="false" outlineLevelRow="0" outlineLevelCol="0"/>
  <cols>
    <col collapsed="false" customWidth="true" hidden="false" outlineLevel="0" max="1025" min="1" style="0" width="8.53"/>
  </cols>
  <sheetData>
    <row r="1" customFormat="false" ht="15" hidden="false" customHeight="false" outlineLevel="0" collapsed="false">
      <c r="A1" s="183" t="s">
        <v>2872</v>
      </c>
      <c r="B1" s="186"/>
      <c r="C1" s="186"/>
      <c r="D1" s="186"/>
      <c r="E1" s="186"/>
      <c r="F1" s="186"/>
      <c r="G1" s="186"/>
      <c r="I1" s="183"/>
      <c r="J1" s="186"/>
      <c r="K1" s="186"/>
      <c r="L1" s="186"/>
      <c r="M1" s="186"/>
      <c r="Q1" s="183"/>
      <c r="R1" s="186"/>
      <c r="S1" s="186"/>
      <c r="T1" s="186"/>
      <c r="U1" s="186"/>
      <c r="W1" s="183"/>
      <c r="X1" s="186"/>
      <c r="Y1" s="186"/>
      <c r="Z1" s="186"/>
      <c r="AA1" s="186"/>
      <c r="AB1" s="186"/>
      <c r="AC1" s="186"/>
      <c r="AD1" s="186"/>
    </row>
    <row r="2" customFormat="false" ht="15" hidden="false" customHeight="false" outlineLevel="0" collapsed="false">
      <c r="A2" s="184" t="s">
        <v>2873</v>
      </c>
      <c r="B2" s="186"/>
      <c r="C2" s="186"/>
      <c r="D2" s="186"/>
      <c r="E2" s="186"/>
      <c r="F2" s="186"/>
      <c r="G2" s="186"/>
      <c r="I2" s="183"/>
      <c r="J2" s="186"/>
      <c r="K2" s="186"/>
      <c r="L2" s="186"/>
      <c r="M2" s="186"/>
      <c r="Q2" s="183"/>
      <c r="R2" s="186"/>
      <c r="S2" s="186"/>
      <c r="T2" s="186"/>
      <c r="U2" s="186"/>
      <c r="W2" s="183"/>
      <c r="X2" s="186"/>
      <c r="Y2" s="186"/>
      <c r="Z2" s="186"/>
      <c r="AA2" s="186"/>
      <c r="AB2" s="186"/>
      <c r="AC2" s="186"/>
      <c r="AD2" s="186"/>
    </row>
    <row r="3" customFormat="false" ht="15" hidden="false" customHeight="false" outlineLevel="0" collapsed="false">
      <c r="A3" s="186" t="s">
        <v>2874</v>
      </c>
      <c r="B3" s="186"/>
      <c r="C3" s="186"/>
      <c r="D3" s="186"/>
      <c r="E3" s="186"/>
      <c r="F3" s="186"/>
      <c r="G3" s="186"/>
      <c r="I3" s="186"/>
      <c r="J3" s="186"/>
      <c r="K3" s="186"/>
      <c r="L3" s="186"/>
      <c r="M3" s="186"/>
      <c r="Q3" s="186"/>
      <c r="R3" s="186"/>
      <c r="S3" s="186"/>
      <c r="T3" s="186"/>
      <c r="U3" s="186"/>
      <c r="W3" s="186"/>
      <c r="X3" s="186"/>
      <c r="Y3" s="186"/>
      <c r="Z3" s="186"/>
      <c r="AA3" s="186"/>
      <c r="AB3" s="186"/>
      <c r="AC3" s="186"/>
      <c r="AD3" s="186"/>
    </row>
    <row r="4" customFormat="false" ht="15" hidden="false" customHeight="false" outlineLevel="0" collapsed="false">
      <c r="A4" s="186"/>
      <c r="B4" s="186"/>
      <c r="C4" s="186"/>
      <c r="D4" s="186"/>
      <c r="E4" s="186"/>
      <c r="F4" s="186"/>
      <c r="G4" s="186"/>
      <c r="I4" s="186"/>
      <c r="J4" s="186"/>
      <c r="K4" s="186"/>
      <c r="L4" s="186"/>
      <c r="M4" s="186"/>
      <c r="Q4" s="186"/>
      <c r="R4" s="186"/>
      <c r="S4" s="186"/>
      <c r="T4" s="186"/>
      <c r="U4" s="186"/>
      <c r="W4" s="186"/>
      <c r="X4" s="186"/>
      <c r="Y4" s="186"/>
      <c r="Z4" s="186"/>
      <c r="AA4" s="186"/>
      <c r="AB4" s="186"/>
      <c r="AC4" s="186"/>
      <c r="AD4" s="186"/>
    </row>
    <row r="5" customFormat="false" ht="15" hidden="false" customHeight="false" outlineLevel="0" collapsed="false">
      <c r="A5" s="183" t="s">
        <v>2875</v>
      </c>
      <c r="B5" s="186"/>
      <c r="C5" s="186"/>
      <c r="D5" s="186"/>
      <c r="E5" s="186"/>
      <c r="F5" s="186"/>
      <c r="G5" s="186"/>
      <c r="I5" s="183"/>
      <c r="J5" s="186"/>
      <c r="Q5" s="183"/>
      <c r="R5" s="186"/>
      <c r="S5" s="186"/>
      <c r="T5" s="186"/>
      <c r="U5" s="186"/>
      <c r="W5" s="183"/>
      <c r="X5" s="186"/>
      <c r="Y5" s="186"/>
      <c r="Z5" s="186"/>
      <c r="AA5" s="186"/>
      <c r="AB5" s="186"/>
      <c r="AC5" s="186"/>
      <c r="AD5" s="186"/>
    </row>
    <row r="6" customFormat="false" ht="15" hidden="false" customHeight="false" outlineLevel="0" collapsed="false">
      <c r="A6" s="184" t="s">
        <v>2876</v>
      </c>
      <c r="B6" s="186"/>
      <c r="C6" s="186"/>
      <c r="D6" s="186"/>
      <c r="E6" s="186"/>
      <c r="F6" s="186"/>
      <c r="G6" s="186"/>
      <c r="I6" s="183"/>
      <c r="J6" s="186"/>
      <c r="Q6" s="183"/>
      <c r="R6" s="186"/>
      <c r="S6" s="186"/>
      <c r="T6" s="186"/>
      <c r="U6" s="186"/>
      <c r="W6" s="183"/>
      <c r="X6" s="186"/>
      <c r="Y6" s="186"/>
      <c r="Z6" s="186"/>
      <c r="AA6" s="186"/>
      <c r="AB6" s="186"/>
      <c r="AC6" s="186"/>
      <c r="AD6" s="186"/>
    </row>
    <row r="7" customFormat="false" ht="15" hidden="false" customHeight="false" outlineLevel="0" collapsed="false">
      <c r="A7" s="184" t="s">
        <v>2877</v>
      </c>
      <c r="B7" s="186"/>
      <c r="C7" s="186"/>
      <c r="D7" s="186"/>
      <c r="E7" s="186"/>
      <c r="F7" s="186"/>
      <c r="G7" s="186"/>
      <c r="I7" s="183"/>
      <c r="Q7" s="186"/>
      <c r="R7" s="186"/>
      <c r="S7" s="186"/>
      <c r="T7" s="186"/>
      <c r="U7" s="186"/>
      <c r="W7" s="186"/>
      <c r="X7" s="186"/>
      <c r="Y7" s="186"/>
      <c r="Z7" s="186"/>
      <c r="AA7" s="186"/>
      <c r="AB7" s="186"/>
      <c r="AC7" s="186"/>
      <c r="AD7" s="186"/>
    </row>
    <row r="8" customFormat="false" ht="15" hidden="false" customHeight="false" outlineLevel="0" collapsed="false">
      <c r="A8" s="186" t="s">
        <v>2878</v>
      </c>
      <c r="B8" s="186"/>
      <c r="C8" s="186"/>
      <c r="D8" s="186"/>
      <c r="E8" s="186"/>
      <c r="F8" s="186"/>
      <c r="G8" s="186"/>
      <c r="Q8" s="186"/>
      <c r="R8" s="186"/>
      <c r="S8" s="186"/>
      <c r="T8" s="186"/>
      <c r="U8" s="186"/>
      <c r="W8" s="186"/>
      <c r="X8" s="186"/>
      <c r="Y8" s="186"/>
      <c r="Z8" s="186"/>
      <c r="AA8" s="186"/>
      <c r="AB8" s="186"/>
      <c r="AC8" s="186"/>
      <c r="AD8" s="186"/>
    </row>
    <row r="9" customFormat="false" ht="15" hidden="false" customHeight="false" outlineLevel="0" collapsed="false">
      <c r="A9" s="186"/>
      <c r="B9" s="186"/>
      <c r="C9" s="186"/>
      <c r="D9" s="186"/>
      <c r="E9" s="186"/>
      <c r="F9" s="186"/>
      <c r="G9" s="186"/>
      <c r="Q9" s="186"/>
      <c r="R9" s="186"/>
      <c r="S9" s="186"/>
      <c r="T9" s="186"/>
      <c r="U9" s="186"/>
      <c r="W9" s="186"/>
      <c r="X9" s="186"/>
      <c r="Y9" s="186"/>
      <c r="Z9" s="186"/>
      <c r="AA9" s="186"/>
      <c r="AB9" s="186"/>
      <c r="AC9" s="186"/>
      <c r="AD9" s="186"/>
    </row>
    <row r="10" customFormat="false" ht="15" hidden="false" customHeight="false" outlineLevel="0" collapsed="false">
      <c r="A10" s="183" t="s">
        <v>2879</v>
      </c>
      <c r="B10" s="186"/>
      <c r="C10" s="186"/>
      <c r="D10" s="186"/>
      <c r="E10" s="186"/>
      <c r="F10" s="186"/>
      <c r="G10" s="186"/>
      <c r="Q10" s="186"/>
      <c r="R10" s="186"/>
      <c r="S10" s="186"/>
      <c r="T10" s="186"/>
      <c r="U10" s="186"/>
      <c r="W10" s="186"/>
      <c r="X10" s="186"/>
      <c r="Y10" s="186"/>
      <c r="Z10" s="186"/>
      <c r="AA10" s="186"/>
      <c r="AB10" s="186"/>
      <c r="AC10" s="186"/>
      <c r="AD10" s="186"/>
    </row>
    <row r="11" customFormat="false" ht="15" hidden="false" customHeight="false" outlineLevel="0" collapsed="false">
      <c r="A11" s="184" t="s">
        <v>2511</v>
      </c>
      <c r="B11" s="186"/>
      <c r="C11" s="186"/>
      <c r="D11" s="186"/>
      <c r="E11" s="186"/>
      <c r="F11" s="186"/>
      <c r="G11" s="186"/>
      <c r="Q11" s="186"/>
      <c r="R11" s="186"/>
      <c r="S11" s="186"/>
      <c r="T11" s="186"/>
      <c r="U11" s="186"/>
      <c r="W11" s="186"/>
      <c r="X11" s="186"/>
      <c r="Y11" s="186"/>
      <c r="Z11" s="186"/>
      <c r="AA11" s="186"/>
      <c r="AB11" s="186"/>
      <c r="AC11" s="186"/>
      <c r="AD11" s="186"/>
    </row>
    <row r="12" customFormat="false" ht="15" hidden="false" customHeight="false" outlineLevel="0" collapsed="false">
      <c r="A12" s="184" t="s">
        <v>2876</v>
      </c>
      <c r="B12" s="186"/>
      <c r="C12" s="186"/>
      <c r="D12" s="186"/>
      <c r="E12" s="186"/>
      <c r="F12" s="186"/>
      <c r="G12" s="186"/>
      <c r="Q12" s="186"/>
      <c r="R12" s="186"/>
      <c r="S12" s="186"/>
      <c r="T12" s="186"/>
      <c r="U12" s="186"/>
      <c r="W12" s="186"/>
      <c r="X12" s="186"/>
      <c r="Y12" s="186"/>
      <c r="Z12" s="186"/>
      <c r="AA12" s="186"/>
      <c r="AB12" s="186"/>
      <c r="AC12" s="186"/>
      <c r="AD12" s="186"/>
    </row>
    <row r="13" customFormat="false" ht="15" hidden="false" customHeight="false" outlineLevel="0" collapsed="false">
      <c r="A13" s="186" t="s">
        <v>2878</v>
      </c>
      <c r="B13" s="186"/>
      <c r="C13" s="186"/>
      <c r="D13" s="186"/>
      <c r="E13" s="186"/>
      <c r="F13" s="186"/>
      <c r="G13" s="186"/>
      <c r="Q13" s="186"/>
      <c r="R13" s="186"/>
      <c r="S13" s="186"/>
      <c r="T13" s="186"/>
      <c r="U13" s="186"/>
      <c r="W13" s="183"/>
      <c r="X13" s="186"/>
      <c r="Y13" s="186"/>
      <c r="Z13" s="186"/>
      <c r="AA13" s="186"/>
      <c r="AB13" s="186"/>
      <c r="AC13" s="186"/>
      <c r="AD13" s="186"/>
    </row>
    <row r="14" customFormat="false" ht="15" hidden="false" customHeight="false" outlineLevel="0" collapsed="false">
      <c r="A14" s="186" t="s">
        <v>2880</v>
      </c>
      <c r="B14" s="186"/>
      <c r="C14" s="186"/>
      <c r="D14" s="186"/>
      <c r="E14" s="186"/>
      <c r="F14" s="186"/>
      <c r="G14" s="186"/>
      <c r="Q14" s="186"/>
      <c r="R14" s="186"/>
      <c r="S14" s="186"/>
      <c r="T14" s="186"/>
      <c r="U14" s="186"/>
      <c r="W14" s="186"/>
      <c r="X14" s="186"/>
      <c r="Y14" s="186"/>
      <c r="Z14" s="186"/>
      <c r="AA14" s="186"/>
      <c r="AB14" s="186"/>
      <c r="AC14" s="186"/>
      <c r="AD14" s="186"/>
    </row>
    <row r="15" customFormat="false" ht="15" hidden="false" customHeight="false" outlineLevel="0" collapsed="false">
      <c r="A15" s="186" t="s">
        <v>2881</v>
      </c>
      <c r="B15" s="186"/>
      <c r="C15" s="186"/>
      <c r="D15" s="186"/>
      <c r="E15" s="186"/>
      <c r="F15" s="186"/>
      <c r="G15" s="186"/>
      <c r="Q15" s="186"/>
      <c r="R15" s="186"/>
      <c r="S15" s="186"/>
      <c r="T15" s="186"/>
      <c r="U15" s="186"/>
      <c r="W15" s="186"/>
      <c r="X15" s="186"/>
      <c r="Y15" s="186"/>
      <c r="Z15" s="186"/>
      <c r="AA15" s="186"/>
      <c r="AB15" s="186"/>
      <c r="AC15" s="186"/>
      <c r="AD15" s="186"/>
    </row>
    <row r="16" customFormat="false" ht="15" hidden="false" customHeight="false" outlineLevel="0" collapsed="false">
      <c r="A16" s="186"/>
      <c r="B16" s="186"/>
      <c r="C16" s="186"/>
      <c r="D16" s="186"/>
      <c r="E16" s="186"/>
      <c r="F16" s="186"/>
      <c r="G16" s="186"/>
      <c r="W16" s="186"/>
      <c r="X16" s="186"/>
      <c r="Y16" s="186"/>
      <c r="Z16" s="186"/>
      <c r="AA16" s="186"/>
      <c r="AB16" s="186"/>
      <c r="AC16" s="186"/>
      <c r="AD16" s="186"/>
    </row>
    <row r="17" customFormat="false" ht="15" hidden="false" customHeight="false" outlineLevel="0" collapsed="false">
      <c r="A17" s="183" t="s">
        <v>2882</v>
      </c>
      <c r="B17" s="186"/>
      <c r="C17" s="186"/>
      <c r="D17" s="186"/>
      <c r="E17" s="186"/>
      <c r="F17" s="186"/>
      <c r="G17" s="186"/>
      <c r="I17" s="183"/>
      <c r="W17" s="186"/>
      <c r="X17" s="186"/>
      <c r="Y17" s="186"/>
      <c r="Z17" s="186"/>
      <c r="AA17" s="186"/>
      <c r="AB17" s="186"/>
      <c r="AC17" s="186"/>
      <c r="AD17" s="186"/>
    </row>
    <row r="18" customFormat="false" ht="15" hidden="false" customHeight="false" outlineLevel="0" collapsed="false">
      <c r="A18" s="184" t="s">
        <v>2555</v>
      </c>
      <c r="B18" s="186"/>
      <c r="C18" s="186"/>
      <c r="D18" s="186"/>
      <c r="E18" s="186"/>
      <c r="F18" s="186"/>
      <c r="G18" s="186"/>
      <c r="I18" s="183"/>
      <c r="W18" s="186"/>
      <c r="X18" s="186"/>
      <c r="Y18" s="186"/>
      <c r="Z18" s="186"/>
      <c r="AA18" s="186"/>
      <c r="AB18" s="186"/>
      <c r="AC18" s="186"/>
      <c r="AD18" s="186"/>
    </row>
    <row r="19" customFormat="false" ht="15" hidden="false" customHeight="false" outlineLevel="0" collapsed="false">
      <c r="A19" s="184" t="s">
        <v>2883</v>
      </c>
      <c r="B19" s="186"/>
      <c r="C19" s="186"/>
      <c r="D19" s="186"/>
      <c r="E19" s="186"/>
      <c r="F19" s="186"/>
      <c r="G19" s="186"/>
      <c r="I19" s="183"/>
      <c r="W19" s="186"/>
      <c r="X19" s="186"/>
      <c r="Y19" s="186"/>
      <c r="Z19" s="186"/>
      <c r="AA19" s="186"/>
      <c r="AB19" s="186"/>
      <c r="AC19" s="186"/>
      <c r="AD19" s="186"/>
    </row>
    <row r="20" customFormat="false" ht="15" hidden="false" customHeight="false" outlineLevel="0" collapsed="false">
      <c r="A20" s="0" t="s">
        <v>2556</v>
      </c>
      <c r="B20" s="186"/>
      <c r="C20" s="186"/>
      <c r="D20" s="186"/>
      <c r="E20" s="186"/>
      <c r="F20" s="186"/>
      <c r="G20" s="186"/>
    </row>
    <row r="21" customFormat="false" ht="15" hidden="false" customHeight="false" outlineLevel="0" collapsed="false">
      <c r="A21" s="0" t="s">
        <v>2557</v>
      </c>
      <c r="B21" s="186"/>
      <c r="C21" s="186"/>
      <c r="D21" s="186"/>
      <c r="E21" s="186"/>
      <c r="F21" s="186"/>
      <c r="G21" s="186"/>
    </row>
    <row r="22" customFormat="false" ht="15" hidden="false" customHeight="false" outlineLevel="0" collapsed="false">
      <c r="A22" s="0" t="s">
        <v>2558</v>
      </c>
      <c r="B22" s="186"/>
      <c r="C22" s="186"/>
      <c r="D22" s="186"/>
      <c r="E22" s="186"/>
      <c r="F22" s="186"/>
      <c r="G22" s="186"/>
    </row>
    <row r="23" customFormat="false" ht="15" hidden="false" customHeight="false" outlineLevel="0" collapsed="false">
      <c r="A23" s="0" t="s">
        <v>2559</v>
      </c>
      <c r="B23" s="186"/>
      <c r="C23" s="186"/>
      <c r="D23" s="186"/>
      <c r="E23" s="186"/>
      <c r="F23" s="186"/>
      <c r="G23" s="186"/>
    </row>
    <row r="24" customFormat="false" ht="15" hidden="false" customHeight="false" outlineLevel="0" collapsed="false">
      <c r="A24" s="0" t="s">
        <v>2560</v>
      </c>
      <c r="B24" s="186"/>
      <c r="C24" s="186"/>
      <c r="D24" s="186"/>
      <c r="E24" s="186"/>
      <c r="F24" s="186"/>
      <c r="G24" s="186"/>
      <c r="I24" s="183"/>
    </row>
    <row r="25" customFormat="false" ht="15" hidden="false" customHeight="false" outlineLevel="0" collapsed="false">
      <c r="A25" s="0" t="s">
        <v>2561</v>
      </c>
      <c r="B25" s="186"/>
      <c r="C25" s="186"/>
      <c r="D25" s="186"/>
      <c r="E25" s="186"/>
      <c r="F25" s="186"/>
      <c r="G25" s="186"/>
    </row>
    <row r="26" customFormat="false" ht="15" hidden="false" customHeight="false" outlineLevel="0" collapsed="false">
      <c r="A26" s="186" t="s">
        <v>2884</v>
      </c>
      <c r="B26" s="186"/>
      <c r="C26" s="186"/>
      <c r="D26" s="186"/>
      <c r="E26" s="186"/>
      <c r="F26" s="186"/>
      <c r="G26" s="186"/>
    </row>
    <row r="27" customFormat="false" ht="15" hidden="false" customHeight="false" outlineLevel="0" collapsed="false">
      <c r="A27" s="186"/>
      <c r="B27" s="186"/>
      <c r="C27" s="186"/>
      <c r="D27" s="186"/>
      <c r="E27" s="186"/>
      <c r="F27" s="186"/>
      <c r="G27" s="186"/>
    </row>
    <row r="28" customFormat="false" ht="15" hidden="false" customHeight="false" outlineLevel="0" collapsed="false">
      <c r="A28" s="183" t="s">
        <v>2885</v>
      </c>
      <c r="B28" s="186"/>
      <c r="C28" s="186"/>
      <c r="D28" s="186"/>
      <c r="E28" s="186"/>
      <c r="F28" s="186"/>
      <c r="G28" s="186"/>
    </row>
    <row r="29" customFormat="false" ht="15" hidden="false" customHeight="false" outlineLevel="0" collapsed="false">
      <c r="A29" s="184" t="s">
        <v>2886</v>
      </c>
      <c r="B29" s="186"/>
      <c r="C29" s="186"/>
      <c r="D29" s="186"/>
      <c r="E29" s="186"/>
      <c r="F29" s="186"/>
      <c r="G29" s="186"/>
    </row>
    <row r="30" customFormat="false" ht="15" hidden="false" customHeight="false" outlineLevel="0" collapsed="false">
      <c r="A30" s="186" t="s">
        <v>2887</v>
      </c>
      <c r="B30" s="186"/>
      <c r="C30" s="186"/>
      <c r="D30" s="186"/>
      <c r="E30" s="186"/>
      <c r="F30" s="186"/>
      <c r="G30" s="186"/>
    </row>
    <row r="31" customFormat="false" ht="15" hidden="false" customHeight="false" outlineLevel="0" collapsed="false">
      <c r="A31" s="186"/>
      <c r="B31" s="186"/>
      <c r="C31" s="186"/>
      <c r="D31" s="186"/>
      <c r="E31" s="186"/>
      <c r="F31" s="186"/>
      <c r="G31" s="186"/>
    </row>
    <row r="32" customFormat="false" ht="15" hidden="false" customHeight="false" outlineLevel="0" collapsed="false">
      <c r="A32" s="183" t="s">
        <v>2888</v>
      </c>
      <c r="B32" s="186"/>
      <c r="C32" s="186"/>
      <c r="D32" s="186"/>
      <c r="E32" s="186"/>
      <c r="F32" s="186"/>
      <c r="G32" s="186"/>
    </row>
    <row r="33" customFormat="false" ht="15" hidden="false" customHeight="false" outlineLevel="0" collapsed="false">
      <c r="A33" s="184" t="s">
        <v>2614</v>
      </c>
    </row>
    <row r="34" customFormat="false" ht="15" hidden="false" customHeight="false" outlineLevel="0" collapsed="false">
      <c r="A34" s="196" t="s">
        <v>2889</v>
      </c>
      <c r="B34" s="197"/>
      <c r="C34" s="197"/>
      <c r="D34" s="198"/>
      <c r="E34" s="198"/>
      <c r="F34" s="198"/>
      <c r="G34" s="198"/>
      <c r="H34" s="198"/>
      <c r="I34" s="198"/>
      <c r="J34" s="198"/>
      <c r="K34" s="198"/>
      <c r="L34" s="198"/>
      <c r="N34" s="183"/>
      <c r="O34" s="183"/>
      <c r="P34" s="183"/>
      <c r="Q34" s="183"/>
      <c r="R34" s="183"/>
      <c r="S34" s="183"/>
      <c r="T34" s="186"/>
      <c r="U34" s="186"/>
      <c r="V34" s="186"/>
      <c r="W34" s="186"/>
      <c r="X34" s="186"/>
      <c r="Y34" s="186"/>
      <c r="Z34" s="186"/>
    </row>
    <row r="35" customFormat="false" ht="15" hidden="false" customHeight="false" outlineLevel="0" collapsed="false">
      <c r="A35" s="186" t="s">
        <v>2890</v>
      </c>
      <c r="B35" s="186"/>
      <c r="C35" s="186"/>
      <c r="D35" s="186"/>
      <c r="E35" s="186"/>
      <c r="F35" s="186"/>
      <c r="G35" s="186"/>
      <c r="H35" s="186"/>
      <c r="I35" s="186"/>
      <c r="J35" s="186"/>
      <c r="K35" s="186"/>
      <c r="L35" s="186"/>
      <c r="N35" s="186"/>
      <c r="O35" s="186"/>
      <c r="P35" s="186"/>
      <c r="Q35" s="186"/>
      <c r="R35" s="186"/>
      <c r="S35" s="186"/>
      <c r="T35" s="186"/>
      <c r="U35" s="186"/>
      <c r="V35" s="186"/>
      <c r="W35" s="186"/>
      <c r="X35" s="186"/>
      <c r="Y35" s="186"/>
      <c r="Z35" s="186"/>
    </row>
    <row r="36" customFormat="false" ht="15" hidden="false" customHeight="false" outlineLevel="0" collapsed="false">
      <c r="A36" s="186"/>
      <c r="B36" s="186"/>
      <c r="C36" s="186"/>
      <c r="D36" s="186"/>
      <c r="E36" s="186"/>
      <c r="F36" s="186"/>
      <c r="G36" s="186"/>
      <c r="H36" s="186"/>
      <c r="I36" s="186"/>
      <c r="J36" s="186"/>
      <c r="K36" s="186"/>
      <c r="L36" s="186"/>
      <c r="N36" s="186"/>
      <c r="O36" s="186"/>
      <c r="P36" s="186"/>
      <c r="Q36" s="186"/>
      <c r="R36" s="186"/>
      <c r="S36" s="186"/>
      <c r="T36" s="186"/>
      <c r="U36" s="186"/>
      <c r="V36" s="186"/>
      <c r="W36" s="186"/>
      <c r="X36" s="186"/>
      <c r="Y36" s="186"/>
      <c r="Z36" s="186"/>
    </row>
    <row r="37" customFormat="false" ht="15" hidden="false" customHeight="false" outlineLevel="0" collapsed="false">
      <c r="A37" s="183" t="s">
        <v>2891</v>
      </c>
      <c r="B37" s="186"/>
      <c r="C37" s="186"/>
      <c r="D37" s="186"/>
      <c r="E37" s="186"/>
      <c r="F37" s="186"/>
      <c r="G37" s="186"/>
      <c r="H37" s="186"/>
      <c r="I37" s="186"/>
      <c r="J37" s="186"/>
      <c r="K37" s="186"/>
      <c r="L37" s="186"/>
      <c r="N37" s="186"/>
      <c r="O37" s="186"/>
      <c r="P37" s="186"/>
      <c r="Q37" s="186"/>
      <c r="R37" s="186"/>
      <c r="S37" s="186"/>
      <c r="T37" s="186"/>
      <c r="U37" s="186"/>
      <c r="V37" s="186"/>
      <c r="W37" s="186"/>
      <c r="X37" s="186"/>
      <c r="Y37" s="186"/>
      <c r="Z37" s="186"/>
    </row>
    <row r="38" customFormat="false" ht="15" hidden="false" customHeight="false" outlineLevel="0" collapsed="false">
      <c r="A38" s="184" t="s">
        <v>2892</v>
      </c>
      <c r="B38" s="186"/>
      <c r="C38" s="186"/>
      <c r="D38" s="186"/>
      <c r="E38" s="186"/>
      <c r="F38" s="186"/>
      <c r="G38" s="186"/>
      <c r="H38" s="186"/>
      <c r="I38" s="186"/>
      <c r="J38" s="186"/>
      <c r="K38" s="186"/>
      <c r="L38" s="186"/>
      <c r="N38" s="186"/>
      <c r="O38" s="186"/>
      <c r="P38" s="186"/>
      <c r="Q38" s="186"/>
      <c r="R38" s="186"/>
      <c r="S38" s="186"/>
      <c r="T38" s="186"/>
      <c r="U38" s="186"/>
      <c r="V38" s="186"/>
      <c r="W38" s="186"/>
      <c r="X38" s="186"/>
      <c r="Y38" s="186"/>
      <c r="Z38" s="186"/>
    </row>
    <row r="39" customFormat="false" ht="15" hidden="false" customHeight="false" outlineLevel="0" collapsed="false">
      <c r="A39" s="184" t="s">
        <v>2893</v>
      </c>
      <c r="B39" s="186"/>
      <c r="C39" s="186"/>
      <c r="D39" s="186"/>
      <c r="E39" s="186"/>
      <c r="F39" s="186"/>
      <c r="G39" s="186"/>
      <c r="H39" s="186"/>
      <c r="I39" s="186"/>
      <c r="J39" s="186"/>
      <c r="K39" s="186"/>
      <c r="L39" s="186"/>
      <c r="N39" s="186"/>
      <c r="O39" s="186"/>
      <c r="P39" s="186"/>
      <c r="Q39" s="186"/>
      <c r="R39" s="186"/>
      <c r="S39" s="186"/>
      <c r="T39" s="186"/>
      <c r="U39" s="186"/>
      <c r="V39" s="186"/>
      <c r="W39" s="186"/>
      <c r="X39" s="186"/>
      <c r="Y39" s="186"/>
      <c r="Z39" s="186"/>
    </row>
    <row r="40" customFormat="false" ht="15" hidden="false" customHeight="false" outlineLevel="0" collapsed="false">
      <c r="A40" s="186" t="s">
        <v>2894</v>
      </c>
      <c r="B40" s="186"/>
      <c r="C40" s="186"/>
      <c r="D40" s="186"/>
      <c r="E40" s="186"/>
      <c r="F40" s="186"/>
      <c r="G40" s="186"/>
      <c r="H40" s="186"/>
      <c r="I40" s="186"/>
      <c r="J40" s="186"/>
      <c r="K40" s="186"/>
      <c r="L40" s="186"/>
      <c r="N40" s="186"/>
      <c r="O40" s="186"/>
      <c r="P40" s="186"/>
      <c r="Q40" s="186"/>
      <c r="R40" s="186"/>
      <c r="S40" s="186"/>
      <c r="T40" s="186"/>
      <c r="U40" s="186"/>
      <c r="V40" s="186"/>
      <c r="W40" s="186"/>
      <c r="X40" s="186"/>
      <c r="Y40" s="186"/>
      <c r="Z40" s="186"/>
    </row>
    <row r="41" customFormat="false" ht="15" hidden="false" customHeight="false" outlineLevel="0" collapsed="false">
      <c r="A41" s="186" t="s">
        <v>2895</v>
      </c>
      <c r="B41" s="186"/>
      <c r="C41" s="186"/>
      <c r="D41" s="186"/>
      <c r="E41" s="186"/>
      <c r="F41" s="186"/>
      <c r="G41" s="186"/>
      <c r="H41" s="186"/>
      <c r="I41" s="186"/>
      <c r="J41" s="186"/>
      <c r="K41" s="186"/>
      <c r="L41" s="186"/>
      <c r="N41" s="186"/>
      <c r="O41" s="186"/>
      <c r="P41" s="186"/>
      <c r="Q41" s="186"/>
      <c r="R41" s="186"/>
      <c r="S41" s="186"/>
      <c r="T41" s="186"/>
      <c r="U41" s="186"/>
      <c r="V41" s="186"/>
      <c r="W41" s="186"/>
      <c r="X41" s="186"/>
      <c r="Y41" s="186"/>
      <c r="Z41" s="186"/>
    </row>
    <row r="42" customFormat="false" ht="15" hidden="false" customHeight="false" outlineLevel="0" collapsed="false">
      <c r="A42" s="186" t="s">
        <v>2896</v>
      </c>
      <c r="B42" s="186"/>
      <c r="C42" s="186"/>
      <c r="D42" s="186"/>
      <c r="E42" s="186"/>
      <c r="F42" s="186"/>
      <c r="G42" s="186"/>
      <c r="H42" s="186"/>
      <c r="I42" s="186"/>
      <c r="J42" s="186"/>
      <c r="K42" s="186"/>
      <c r="L42" s="186"/>
      <c r="N42" s="186"/>
      <c r="O42" s="186"/>
      <c r="P42" s="186"/>
      <c r="Q42" s="186"/>
      <c r="R42" s="186"/>
      <c r="S42" s="186"/>
      <c r="T42" s="186"/>
      <c r="U42" s="186"/>
      <c r="V42" s="186"/>
      <c r="W42" s="186"/>
      <c r="X42" s="186"/>
      <c r="Y42" s="186"/>
      <c r="Z42" s="186"/>
    </row>
    <row r="43" customFormat="false" ht="15" hidden="false" customHeight="false" outlineLevel="0" collapsed="false">
      <c r="A43" s="183" t="s">
        <v>2897</v>
      </c>
      <c r="B43" s="186"/>
      <c r="C43" s="186"/>
      <c r="D43" s="186"/>
      <c r="E43" s="186"/>
      <c r="F43" s="186"/>
      <c r="G43" s="186"/>
      <c r="H43" s="186"/>
      <c r="I43" s="186"/>
      <c r="J43" s="186"/>
      <c r="K43" s="186"/>
      <c r="L43" s="186"/>
      <c r="N43" s="186"/>
      <c r="O43" s="186"/>
      <c r="P43" s="186"/>
      <c r="Q43" s="186"/>
      <c r="R43" s="186"/>
      <c r="S43" s="186"/>
      <c r="T43" s="186"/>
      <c r="U43" s="186"/>
      <c r="V43" s="186"/>
      <c r="W43" s="186"/>
      <c r="X43" s="186"/>
      <c r="Y43" s="186"/>
      <c r="Z43" s="186"/>
    </row>
    <row r="44" customFormat="false" ht="15" hidden="false" customHeight="false" outlineLevel="0" collapsed="false">
      <c r="A44" s="186"/>
      <c r="B44" s="186"/>
      <c r="C44" s="186"/>
      <c r="D44" s="186"/>
      <c r="E44" s="186"/>
      <c r="F44" s="186"/>
      <c r="G44" s="186"/>
      <c r="H44" s="186"/>
      <c r="I44" s="186"/>
      <c r="J44" s="186"/>
      <c r="K44" s="186"/>
      <c r="L44" s="186"/>
      <c r="N44" s="186"/>
      <c r="O44" s="186"/>
      <c r="P44" s="186"/>
      <c r="Q44" s="186"/>
      <c r="R44" s="186"/>
      <c r="S44" s="186"/>
      <c r="T44" s="186"/>
      <c r="U44" s="186"/>
      <c r="V44" s="186"/>
      <c r="W44" s="186"/>
      <c r="X44" s="186"/>
      <c r="Y44" s="186"/>
      <c r="Z44" s="186"/>
    </row>
    <row r="45" customFormat="false" ht="15" hidden="false" customHeight="false" outlineLevel="0" collapsed="false">
      <c r="A45" s="183" t="s">
        <v>2898</v>
      </c>
      <c r="B45" s="186"/>
      <c r="C45" s="186"/>
      <c r="D45" s="186"/>
      <c r="E45" s="186"/>
      <c r="F45" s="186"/>
      <c r="G45" s="186"/>
      <c r="H45" s="186"/>
      <c r="I45" s="186"/>
      <c r="J45" s="186"/>
      <c r="K45" s="186"/>
      <c r="L45" s="186"/>
      <c r="N45" s="186"/>
      <c r="O45" s="186"/>
      <c r="P45" s="186"/>
      <c r="Q45" s="186"/>
      <c r="R45" s="186"/>
      <c r="S45" s="186"/>
      <c r="T45" s="186"/>
      <c r="U45" s="186"/>
      <c r="V45" s="186"/>
      <c r="W45" s="186"/>
      <c r="X45" s="186"/>
      <c r="Y45" s="186"/>
      <c r="Z45" s="186"/>
    </row>
    <row r="46" customFormat="false" ht="15" hidden="false" customHeight="false" outlineLevel="0" collapsed="false">
      <c r="A46" s="184" t="s">
        <v>2899</v>
      </c>
      <c r="B46" s="186"/>
      <c r="C46" s="186"/>
      <c r="D46" s="186"/>
      <c r="E46" s="186"/>
      <c r="F46" s="186"/>
      <c r="G46" s="186"/>
      <c r="H46" s="186"/>
      <c r="I46" s="186"/>
      <c r="J46" s="186"/>
      <c r="K46" s="186"/>
      <c r="L46" s="186"/>
      <c r="N46" s="186"/>
      <c r="O46" s="186"/>
      <c r="P46" s="186"/>
      <c r="Q46" s="186"/>
      <c r="R46" s="186"/>
      <c r="S46" s="186"/>
      <c r="T46" s="186"/>
      <c r="U46" s="186"/>
      <c r="V46" s="186"/>
      <c r="W46" s="186"/>
      <c r="X46" s="186"/>
      <c r="Y46" s="186"/>
      <c r="Z46" s="186"/>
    </row>
    <row r="47" customFormat="false" ht="15" hidden="false" customHeight="false" outlineLevel="0" collapsed="false">
      <c r="A47" s="186" t="s">
        <v>2900</v>
      </c>
      <c r="B47" s="186"/>
      <c r="C47" s="186"/>
      <c r="D47" s="186"/>
      <c r="E47" s="186"/>
      <c r="F47" s="186"/>
      <c r="G47" s="186"/>
      <c r="H47" s="186"/>
      <c r="I47" s="186"/>
      <c r="J47" s="186"/>
      <c r="K47" s="186"/>
      <c r="L47" s="186"/>
      <c r="N47" s="186"/>
      <c r="O47" s="186"/>
      <c r="P47" s="186"/>
      <c r="Q47" s="186"/>
      <c r="R47" s="186"/>
      <c r="S47" s="186"/>
      <c r="T47" s="186"/>
      <c r="U47" s="186"/>
      <c r="V47" s="186"/>
      <c r="W47" s="186"/>
      <c r="X47" s="186"/>
      <c r="Y47" s="186"/>
      <c r="Z47" s="186"/>
    </row>
    <row r="48" customFormat="false" ht="15" hidden="false" customHeight="false" outlineLevel="0" collapsed="false">
      <c r="A48" s="186" t="s">
        <v>2901</v>
      </c>
      <c r="B48" s="186"/>
      <c r="C48" s="186"/>
      <c r="D48" s="186"/>
      <c r="E48" s="186"/>
      <c r="F48" s="186"/>
      <c r="G48" s="186"/>
      <c r="H48" s="186"/>
      <c r="I48" s="186"/>
      <c r="J48" s="186"/>
      <c r="K48" s="186"/>
      <c r="L48" s="186"/>
      <c r="N48" s="186"/>
      <c r="O48" s="186"/>
      <c r="P48" s="186"/>
      <c r="Q48" s="186"/>
      <c r="R48" s="186"/>
      <c r="S48" s="186"/>
      <c r="T48" s="186"/>
      <c r="U48" s="186"/>
      <c r="V48" s="186"/>
      <c r="W48" s="186"/>
      <c r="X48" s="186"/>
      <c r="Y48" s="186"/>
      <c r="Z48" s="186"/>
    </row>
    <row r="49" customFormat="false" ht="15" hidden="false" customHeight="false" outlineLevel="0" collapsed="false">
      <c r="A49" s="186"/>
      <c r="B49" s="186"/>
      <c r="C49" s="186"/>
      <c r="D49" s="186"/>
      <c r="E49" s="186"/>
      <c r="F49" s="186"/>
      <c r="G49" s="186"/>
      <c r="H49" s="186"/>
      <c r="I49" s="186"/>
      <c r="J49" s="186"/>
      <c r="K49" s="186"/>
      <c r="L49" s="186"/>
      <c r="N49" s="186"/>
      <c r="O49" s="186"/>
      <c r="P49" s="186"/>
      <c r="Q49" s="186"/>
      <c r="R49" s="186"/>
      <c r="S49" s="186"/>
      <c r="T49" s="186"/>
      <c r="U49" s="186"/>
      <c r="V49" s="186"/>
      <c r="W49" s="186"/>
      <c r="X49" s="186"/>
      <c r="Y49" s="186"/>
      <c r="Z49" s="186"/>
    </row>
    <row r="50" customFormat="false" ht="15" hidden="false" customHeight="false" outlineLevel="0" collapsed="false">
      <c r="A50" s="183" t="s">
        <v>2902</v>
      </c>
      <c r="B50" s="186"/>
      <c r="C50" s="186"/>
      <c r="D50" s="186"/>
      <c r="E50" s="186"/>
      <c r="F50" s="186"/>
      <c r="G50" s="186"/>
      <c r="H50" s="186"/>
      <c r="I50" s="186"/>
      <c r="J50" s="186"/>
      <c r="K50" s="186"/>
      <c r="L50" s="186"/>
      <c r="N50" s="186"/>
      <c r="O50" s="186"/>
      <c r="P50" s="186"/>
      <c r="Q50" s="186"/>
      <c r="R50" s="186"/>
      <c r="S50" s="186"/>
      <c r="T50" s="186"/>
      <c r="U50" s="186"/>
      <c r="V50" s="186"/>
      <c r="W50" s="186"/>
      <c r="X50" s="186"/>
      <c r="Y50" s="186"/>
      <c r="Z50" s="186"/>
    </row>
    <row r="51" customFormat="false" ht="15" hidden="false" customHeight="false" outlineLevel="0" collapsed="false">
      <c r="A51" s="184" t="s">
        <v>2899</v>
      </c>
      <c r="B51" s="186"/>
      <c r="C51" s="186"/>
      <c r="D51" s="186"/>
      <c r="E51" s="186"/>
      <c r="F51" s="186"/>
      <c r="G51" s="186"/>
      <c r="H51" s="186"/>
      <c r="I51" s="186"/>
      <c r="J51" s="186"/>
      <c r="K51" s="186"/>
      <c r="L51" s="186"/>
    </row>
    <row r="52" customFormat="false" ht="15" hidden="false" customHeight="false" outlineLevel="0" collapsed="false">
      <c r="A52" s="186" t="s">
        <v>2900</v>
      </c>
    </row>
    <row r="53" customFormat="false" ht="15" hidden="false" customHeight="false" outlineLevel="0" collapsed="false">
      <c r="A53" s="186" t="s">
        <v>2901</v>
      </c>
      <c r="B53" s="183"/>
      <c r="C53" s="183"/>
      <c r="N53" s="183"/>
      <c r="O53" s="183"/>
      <c r="P53" s="183"/>
    </row>
    <row r="54" customFormat="false" ht="15" hidden="false" customHeight="false" outlineLevel="0" collapsed="false">
      <c r="A54" s="199" t="s">
        <v>2903</v>
      </c>
      <c r="N54" s="184"/>
      <c r="AC54" s="184" t="s">
        <v>2904</v>
      </c>
    </row>
    <row r="55" customFormat="false" ht="15" hidden="false" customHeight="false" outlineLevel="0" collapsed="false">
      <c r="A55" s="199"/>
      <c r="N55" s="184"/>
      <c r="AC55" s="184" t="s">
        <v>2562</v>
      </c>
    </row>
    <row r="56" customFormat="false" ht="15" hidden="false" customHeight="false" outlineLevel="0" collapsed="false">
      <c r="A56" s="200" t="s">
        <v>2905</v>
      </c>
      <c r="N56" s="184"/>
      <c r="AC56" s="184" t="s">
        <v>2906</v>
      </c>
    </row>
    <row r="57" customFormat="false" ht="15" hidden="false" customHeight="false" outlineLevel="0" collapsed="false">
      <c r="A57" s="184" t="s">
        <v>2907</v>
      </c>
      <c r="AC57" s="0" t="s">
        <v>2908</v>
      </c>
    </row>
    <row r="58" customFormat="false" ht="15" hidden="false" customHeight="false" outlineLevel="0" collapsed="false">
      <c r="A58" s="186" t="s">
        <v>2909</v>
      </c>
    </row>
    <row r="59" customFormat="false" ht="15" hidden="false" customHeight="false" outlineLevel="0" collapsed="false">
      <c r="A59" s="186"/>
    </row>
    <row r="60" customFormat="false" ht="15" hidden="false" customHeight="false" outlineLevel="0" collapsed="false">
      <c r="A60" s="183" t="s">
        <v>2910</v>
      </c>
    </row>
    <row r="61" customFormat="false" ht="15" hidden="false" customHeight="false" outlineLevel="0" collapsed="false">
      <c r="A61" s="184" t="s">
        <v>2911</v>
      </c>
    </row>
    <row r="62" customFormat="false" ht="15" hidden="false" customHeight="false" outlineLevel="0" collapsed="false">
      <c r="A62" s="0" t="s">
        <v>2912</v>
      </c>
    </row>
    <row r="64" customFormat="false" ht="15" hidden="false" customHeight="false" outlineLevel="0" collapsed="false">
      <c r="A64" s="183" t="s">
        <v>2913</v>
      </c>
    </row>
    <row r="65" customFormat="false" ht="15" hidden="false" customHeight="false" outlineLevel="0" collapsed="false">
      <c r="A65" s="184" t="s">
        <v>2914</v>
      </c>
    </row>
    <row r="66" customFormat="false" ht="15" hidden="false" customHeight="false" outlineLevel="0" collapsed="false">
      <c r="A66" s="0" t="s">
        <v>2915</v>
      </c>
    </row>
    <row r="67" customFormat="false" ht="15" hidden="false" customHeight="false" outlineLevel="0" collapsed="false">
      <c r="A67" s="0" t="s">
        <v>2916</v>
      </c>
    </row>
    <row r="69" customFormat="false" ht="15" hidden="false" customHeight="false" outlineLevel="0" collapsed="false">
      <c r="A69" s="185" t="s">
        <v>2644</v>
      </c>
    </row>
    <row r="71" customFormat="false" ht="15" hidden="false" customHeight="false" outlineLevel="0" collapsed="false">
      <c r="A71" s="183" t="s">
        <v>2917</v>
      </c>
    </row>
    <row r="72" customFormat="false" ht="15" hidden="false" customHeight="false" outlineLevel="0" collapsed="false">
      <c r="A72" s="184" t="s">
        <v>2918</v>
      </c>
      <c r="F72" s="184" t="s">
        <v>2919</v>
      </c>
      <c r="M72" s="0" t="s">
        <v>2920</v>
      </c>
    </row>
    <row r="73" customFormat="false" ht="15" hidden="false" customHeight="false" outlineLevel="0" collapsed="false">
      <c r="A73" s="0" t="s">
        <v>2921</v>
      </c>
    </row>
    <row r="74" customFormat="false" ht="15" hidden="false" customHeight="false" outlineLevel="0" collapsed="false">
      <c r="A74" s="0" t="s">
        <v>2656</v>
      </c>
    </row>
    <row r="76" customFormat="false" ht="15" hidden="false" customHeight="false" outlineLevel="0" collapsed="false">
      <c r="A76" s="183" t="s">
        <v>2922</v>
      </c>
    </row>
    <row r="77" customFormat="false" ht="15" hidden="false" customHeight="false" outlineLevel="0" collapsed="false">
      <c r="A77" s="0" t="s">
        <v>2923</v>
      </c>
    </row>
    <row r="79" customFormat="false" ht="15" hidden="false" customHeight="false" outlineLevel="0" collapsed="false">
      <c r="A79" s="183" t="s">
        <v>2924</v>
      </c>
    </row>
    <row r="80" customFormat="false" ht="15" hidden="false" customHeight="false" outlineLevel="0" collapsed="false">
      <c r="A80" s="0" t="s">
        <v>2706</v>
      </c>
    </row>
    <row r="81" customFormat="false" ht="15" hidden="false" customHeight="false" outlineLevel="0" collapsed="false">
      <c r="A81" s="0" t="s">
        <v>2709</v>
      </c>
    </row>
    <row r="82" customFormat="false" ht="15" hidden="false" customHeight="false" outlineLevel="0" collapsed="false">
      <c r="A82" s="0" t="s">
        <v>1574</v>
      </c>
    </row>
    <row r="83" customFormat="false" ht="15" hidden="false" customHeight="false" outlineLevel="0" collapsed="false">
      <c r="A83" s="0" t="s">
        <v>940</v>
      </c>
    </row>
    <row r="84" customFormat="false" ht="15" hidden="false" customHeight="false" outlineLevel="0" collapsed="false">
      <c r="A84" s="0" t="s">
        <v>2704</v>
      </c>
    </row>
    <row r="86" customFormat="false" ht="15" hidden="false" customHeight="false" outlineLevel="0" collapsed="false">
      <c r="A86" s="183" t="s">
        <v>2925</v>
      </c>
    </row>
    <row r="87" customFormat="false" ht="15" hidden="false" customHeight="false" outlineLevel="0" collapsed="false">
      <c r="A87" s="0" t="s">
        <v>396</v>
      </c>
    </row>
    <row r="88" customFormat="false" ht="15" hidden="false" customHeight="false" outlineLevel="0" collapsed="false">
      <c r="A88" s="0" t="s">
        <v>2926</v>
      </c>
    </row>
  </sheetData>
  <hyperlinks>
    <hyperlink ref="A2" r:id="rId1" display="https://www.sciencedirect.com/science/article/pii/S0734975019300606"/>
    <hyperlink ref="A6" r:id="rId2" display="https://www.genome.jp/dbget-bin/www_bget?rn:R00821"/>
    <hyperlink ref="A7" r:id="rId3" display="https://link.springer.com/content/pdf/10.1007/s10295-014-1581-6.pdf"/>
    <hyperlink ref="A11" r:id="rId4" display="https://www.sciencedirect.com/science/article/pii/S2214030117300275"/>
    <hyperlink ref="A12" r:id="rId5" display="https://www.genome.jp/dbget-bin/www_bget?rn:R00821"/>
    <hyperlink ref="A18" r:id="rId6" display="https://www.genome.jp/kegg-bin/show_pathway?map00365+C11101"/>
    <hyperlink ref="A19" r:id="rId7" display="https://www.sciencedirect.com/science/article/pii/S0021951713001085"/>
    <hyperlink ref="A29" r:id="rId8" display="https://www.sciencedirect.com/science/article/pii/S1096717608000360?via%3Dihub"/>
    <hyperlink ref="A33" r:id="rId9" display="https://www.ncbi.nlm.nih.gov/pmc/articles/PMC4818529/"/>
    <hyperlink ref="A38" r:id="rId10" display="https://aem.asm.org/content/aem/75/9/2765.full.pdf"/>
    <hyperlink ref="A39" r:id="rId11" display="https://link.springer.com/content/pdf/10.1007/s00425-017-2684-x.pdf"/>
    <hyperlink ref="A46" r:id="rId12" display="https://www.genome.jp/kegg-bin/show_pathway?map00650+C03044"/>
    <hyperlink ref="A51" r:id="rId13" display="https://www.genome.jp/kegg-bin/show_pathway?map00650+C03044"/>
    <hyperlink ref="AC54" r:id="rId14" display="https://www.nature.com/articles/ncomms3833.pdf"/>
    <hyperlink ref="AC55" r:id="rId15" location="Sec2" display="https://www.nature.com/articles/s41929-018-0212-4#Sec2"/>
    <hyperlink ref="AC56" r:id="rId16" display="https://reader.elsevier.com/reader/sd/pii/S1674205214000136?token=24558B4FA588171D1491210857413B2A1D3B8EB2E6F958A39E177FF626C9FB17A53E6D648ADBB2FD8C8E77A6F95BAC63"/>
    <hyperlink ref="A57" r:id="rId17" display="https://www.sciencedirect.com/science/article/pii/S1096717608000487"/>
    <hyperlink ref="A61" r:id="rId18" display="https://www.genome.jp/dbget-bin/www_bget?rn:R12515"/>
    <hyperlink ref="A65" r:id="rId19" display="https://www.researchgate.net/figure/Metabolic-pathway-for-itaconic-acid-production-via-the-different-compartments-in-the_fig1_259804784"/>
    <hyperlink ref="A72" r:id="rId20" display="https://pubmed.ncbi.nlm.nih.gov/23023753/ "/>
    <hyperlink ref="F72" r:id="rId21" display="https://link.springer.com/article/10.1007%2Fs00253-012-4274-y "/>
  </hyperlink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sheetPr filterMode="false">
    <pageSetUpPr fitToPage="false"/>
  </sheetPr>
  <dimension ref="A1:H43"/>
  <sheetViews>
    <sheetView showFormulas="false" showGridLines="true" showRowColHeaders="true" showZeros="true" rightToLeft="false" tabSelected="false" showOutlineSymbols="true" defaultGridColor="true" view="normal" topLeftCell="A19" colorId="64" zoomScale="100" zoomScaleNormal="100" zoomScalePageLayoutView="100" workbookViewId="0">
      <selection pane="topLeft" activeCell="B43" activeCellId="0" sqref="B43"/>
    </sheetView>
  </sheetViews>
  <sheetFormatPr defaultRowHeight="15" zeroHeight="false" outlineLevelRow="0" outlineLevelCol="0"/>
  <cols>
    <col collapsed="false" customWidth="true" hidden="false" outlineLevel="0" max="1025" min="1" style="0" width="8.53"/>
  </cols>
  <sheetData>
    <row r="1" customFormat="false" ht="15" hidden="false" customHeight="false" outlineLevel="0" collapsed="false">
      <c r="A1" s="183" t="s">
        <v>2927</v>
      </c>
      <c r="B1" s="183" t="s">
        <v>2928</v>
      </c>
    </row>
    <row r="2" customFormat="false" ht="15" hidden="false" customHeight="false" outlineLevel="0" collapsed="false">
      <c r="A2" s="0" t="n">
        <v>1</v>
      </c>
      <c r="B2" s="184" t="s">
        <v>2562</v>
      </c>
      <c r="H2" s="183" t="s">
        <v>2647</v>
      </c>
    </row>
    <row r="3" customFormat="false" ht="15" hidden="false" customHeight="false" outlineLevel="0" collapsed="false">
      <c r="A3" s="0" t="n">
        <v>2</v>
      </c>
      <c r="B3" s="184" t="s">
        <v>2598</v>
      </c>
    </row>
    <row r="4" customFormat="false" ht="15" hidden="false" customHeight="false" outlineLevel="0" collapsed="false">
      <c r="A4" s="0" t="n">
        <v>3</v>
      </c>
      <c r="B4" s="184" t="s">
        <v>2929</v>
      </c>
    </row>
    <row r="5" customFormat="false" ht="15" hidden="false" customHeight="false" outlineLevel="0" collapsed="false">
      <c r="A5" s="0" t="n">
        <v>4</v>
      </c>
      <c r="B5" s="184" t="s">
        <v>2930</v>
      </c>
    </row>
    <row r="6" customFormat="false" ht="15" hidden="false" customHeight="false" outlineLevel="0" collapsed="false">
      <c r="A6" s="0" t="n">
        <v>5</v>
      </c>
      <c r="B6" s="184" t="s">
        <v>2931</v>
      </c>
    </row>
    <row r="7" customFormat="false" ht="15" hidden="false" customHeight="false" outlineLevel="0" collapsed="false">
      <c r="A7" s="0" t="n">
        <v>6</v>
      </c>
      <c r="B7" s="184" t="s">
        <v>2932</v>
      </c>
    </row>
    <row r="8" customFormat="false" ht="15" hidden="false" customHeight="false" outlineLevel="0" collapsed="false">
      <c r="A8" s="0" t="n">
        <v>7</v>
      </c>
      <c r="B8" s="184" t="s">
        <v>2933</v>
      </c>
    </row>
    <row r="9" customFormat="false" ht="15" hidden="false" customHeight="false" outlineLevel="0" collapsed="false">
      <c r="A9" s="0" t="n">
        <v>8</v>
      </c>
      <c r="B9" s="184" t="s">
        <v>2934</v>
      </c>
    </row>
    <row r="10" customFormat="false" ht="15" hidden="false" customHeight="false" outlineLevel="0" collapsed="false">
      <c r="A10" s="0" t="n">
        <v>9</v>
      </c>
      <c r="B10" s="184" t="s">
        <v>2935</v>
      </c>
    </row>
    <row r="11" customFormat="false" ht="15" hidden="false" customHeight="false" outlineLevel="0" collapsed="false">
      <c r="A11" s="0" t="n">
        <v>10</v>
      </c>
      <c r="B11" s="184" t="s">
        <v>2936</v>
      </c>
    </row>
    <row r="12" customFormat="false" ht="15" hidden="false" customHeight="false" outlineLevel="0" collapsed="false">
      <c r="A12" s="0" t="n">
        <v>11</v>
      </c>
      <c r="B12" s="184" t="s">
        <v>2937</v>
      </c>
    </row>
    <row r="13" customFormat="false" ht="15" hidden="false" customHeight="false" outlineLevel="0" collapsed="false">
      <c r="A13" s="0" t="n">
        <v>12</v>
      </c>
      <c r="B13" s="184" t="s">
        <v>2938</v>
      </c>
    </row>
    <row r="14" customFormat="false" ht="15" hidden="false" customHeight="false" outlineLevel="0" collapsed="false">
      <c r="A14" s="0" t="n">
        <v>13</v>
      </c>
      <c r="B14" s="184" t="s">
        <v>2939</v>
      </c>
    </row>
    <row r="15" customFormat="false" ht="15" hidden="false" customHeight="false" outlineLevel="0" collapsed="false">
      <c r="A15" s="0" t="n">
        <v>14</v>
      </c>
      <c r="B15" s="184" t="s">
        <v>2940</v>
      </c>
    </row>
    <row r="16" customFormat="false" ht="15" hidden="false" customHeight="false" outlineLevel="0" collapsed="false">
      <c r="A16" s="0" t="n">
        <v>15</v>
      </c>
      <c r="B16" s="184" t="s">
        <v>2941</v>
      </c>
    </row>
    <row r="17" customFormat="false" ht="15" hidden="false" customHeight="false" outlineLevel="0" collapsed="false">
      <c r="A17" s="0" t="n">
        <v>16</v>
      </c>
      <c r="B17" s="184" t="s">
        <v>2511</v>
      </c>
    </row>
    <row r="18" customFormat="false" ht="15" hidden="false" customHeight="false" outlineLevel="0" collapsed="false">
      <c r="A18" s="0" t="n">
        <v>17</v>
      </c>
      <c r="B18" s="184" t="s">
        <v>2877</v>
      </c>
    </row>
    <row r="19" customFormat="false" ht="15" hidden="false" customHeight="false" outlineLevel="0" collapsed="false">
      <c r="A19" s="0" t="n">
        <v>18</v>
      </c>
      <c r="B19" s="184" t="s">
        <v>2496</v>
      </c>
    </row>
    <row r="20" customFormat="false" ht="15" hidden="false" customHeight="false" outlineLevel="0" collapsed="false">
      <c r="A20" s="0" t="n">
        <v>19</v>
      </c>
      <c r="B20" s="184" t="s">
        <v>2507</v>
      </c>
    </row>
    <row r="21" customFormat="false" ht="15" hidden="false" customHeight="false" outlineLevel="0" collapsed="false">
      <c r="A21" s="0" t="n">
        <v>20</v>
      </c>
      <c r="B21" s="184" t="s">
        <v>2499</v>
      </c>
    </row>
    <row r="22" customFormat="false" ht="15" hidden="false" customHeight="false" outlineLevel="0" collapsed="false">
      <c r="A22" s="0" t="n">
        <v>21</v>
      </c>
      <c r="B22" s="184" t="s">
        <v>2611</v>
      </c>
    </row>
    <row r="23" customFormat="false" ht="15" hidden="false" customHeight="false" outlineLevel="0" collapsed="false">
      <c r="A23" s="0" t="n">
        <v>22</v>
      </c>
      <c r="B23" s="184" t="s">
        <v>2883</v>
      </c>
    </row>
    <row r="24" customFormat="false" ht="15" hidden="false" customHeight="false" outlineLevel="0" collapsed="false">
      <c r="A24" s="0" t="n">
        <v>23</v>
      </c>
      <c r="B24" s="184" t="s">
        <v>2519</v>
      </c>
    </row>
    <row r="25" customFormat="false" ht="15" hidden="false" customHeight="false" outlineLevel="0" collapsed="false">
      <c r="A25" s="0" t="n">
        <v>24</v>
      </c>
      <c r="B25" s="184" t="s">
        <v>2527</v>
      </c>
    </row>
    <row r="26" customFormat="false" ht="15" hidden="false" customHeight="false" outlineLevel="0" collapsed="false">
      <c r="A26" s="0" t="n">
        <v>25</v>
      </c>
      <c r="B26" s="184" t="s">
        <v>2942</v>
      </c>
    </row>
    <row r="27" customFormat="false" ht="15" hidden="false" customHeight="false" outlineLevel="0" collapsed="false">
      <c r="A27" s="0" t="n">
        <v>26</v>
      </c>
      <c r="B27" s="184" t="s">
        <v>2621</v>
      </c>
    </row>
    <row r="28" customFormat="false" ht="15" hidden="false" customHeight="false" outlineLevel="0" collapsed="false">
      <c r="A28" s="0" t="n">
        <v>27</v>
      </c>
      <c r="B28" s="184" t="s">
        <v>2614</v>
      </c>
    </row>
    <row r="30" customFormat="false" ht="15" hidden="false" customHeight="false" outlineLevel="0" collapsed="false">
      <c r="A30" s="185" t="s">
        <v>2644</v>
      </c>
    </row>
    <row r="31" customFormat="false" ht="15" hidden="false" customHeight="false" outlineLevel="0" collapsed="false">
      <c r="A31" s="0" t="n">
        <v>28</v>
      </c>
      <c r="B31" s="184" t="s">
        <v>2650</v>
      </c>
    </row>
    <row r="32" customFormat="false" ht="15" hidden="false" customHeight="false" outlineLevel="0" collapsed="false">
      <c r="A32" s="0" t="n">
        <v>29</v>
      </c>
      <c r="B32" s="184" t="s">
        <v>2653</v>
      </c>
    </row>
    <row r="33" customFormat="false" ht="15" hidden="false" customHeight="false" outlineLevel="0" collapsed="false">
      <c r="A33" s="0" t="n">
        <v>30</v>
      </c>
      <c r="B33" s="184" t="s">
        <v>2918</v>
      </c>
    </row>
    <row r="34" customFormat="false" ht="15" hidden="false" customHeight="false" outlineLevel="0" collapsed="false">
      <c r="A34" s="0" t="n">
        <v>31</v>
      </c>
      <c r="B34" s="184" t="s">
        <v>2919</v>
      </c>
    </row>
    <row r="35" customFormat="false" ht="15" hidden="false" customHeight="false" outlineLevel="0" collapsed="false">
      <c r="A35" s="0" t="n">
        <v>32</v>
      </c>
      <c r="B35" s="184" t="s">
        <v>2659</v>
      </c>
    </row>
    <row r="36" customFormat="false" ht="15" hidden="false" customHeight="false" outlineLevel="0" collapsed="false">
      <c r="A36" s="0" t="n">
        <v>33</v>
      </c>
      <c r="B36" s="184" t="s">
        <v>2660</v>
      </c>
    </row>
    <row r="37" customFormat="false" ht="15" hidden="false" customHeight="false" outlineLevel="0" collapsed="false">
      <c r="A37" s="0" t="n">
        <v>34</v>
      </c>
      <c r="B37" s="184" t="s">
        <v>2661</v>
      </c>
    </row>
    <row r="38" customFormat="false" ht="15" hidden="false" customHeight="false" outlineLevel="0" collapsed="false">
      <c r="A38" s="0" t="n">
        <v>35</v>
      </c>
      <c r="B38" s="184" t="s">
        <v>2676</v>
      </c>
    </row>
    <row r="39" customFormat="false" ht="15" hidden="false" customHeight="false" outlineLevel="0" collapsed="false">
      <c r="A39" s="0" t="n">
        <v>36</v>
      </c>
      <c r="B39" s="184" t="s">
        <v>2686</v>
      </c>
    </row>
    <row r="40" customFormat="false" ht="15" hidden="false" customHeight="false" outlineLevel="0" collapsed="false">
      <c r="A40" s="0" t="n">
        <v>37</v>
      </c>
      <c r="B40" s="184" t="s">
        <v>2689</v>
      </c>
    </row>
    <row r="41" customFormat="false" ht="15" hidden="false" customHeight="false" outlineLevel="0" collapsed="false">
      <c r="A41" s="0" t="n">
        <v>38</v>
      </c>
      <c r="B41" s="184" t="s">
        <v>2692</v>
      </c>
    </row>
    <row r="42" customFormat="false" ht="15" hidden="false" customHeight="false" outlineLevel="0" collapsed="false">
      <c r="A42" s="0" t="n">
        <v>39</v>
      </c>
      <c r="B42" s="184" t="s">
        <v>2701</v>
      </c>
    </row>
    <row r="43" customFormat="false" ht="15" hidden="false" customHeight="false" outlineLevel="0" collapsed="false">
      <c r="A43" s="0" t="n">
        <v>40</v>
      </c>
      <c r="B43" s="184" t="s">
        <v>2712</v>
      </c>
    </row>
  </sheetData>
  <hyperlinks>
    <hyperlink ref="B2" r:id="rId1" location="Sec2" display="https://www.nature.com/articles/s41929-018-0212-4#Sec2"/>
    <hyperlink ref="B3" r:id="rId2" display="https://onlinelibrary.wiley.com/doi/epdf/10.1002/biot.201300263"/>
    <hyperlink ref="B4" r:id="rId3" display="https://reader.elsevier.com/reader/sd/pii/S0734975019300606?token=EF72CE41C7374742F9154FDA975955FA84A15DA64B3A1DC30A53DEF1443CA3B9BE197BA96FBBE0DABDD516E95443B92B"/>
    <hyperlink ref="B5" r:id="rId4" display="https://www.sciencedirect.com/science/article/pii/S1096717611000711?casa_token=4MLgnW7sYJ0AAAAA:iGhz83AcdznODA6XutEHQliJRt1eJCdyKi6de3LTTR8JnTU0Ma8c12v1hbeYB3wWExe302juKQ"/>
    <hyperlink ref="B6" r:id="rId5" display="https://www.nature.com/articles/nchembio.970"/>
    <hyperlink ref="B7" r:id="rId6" display="https://chemistry-europe.onlinelibrary.wiley.com/doi/full/10.1002/cssc.201000111?casa_token=_8tJZdAlhcIAAAAA%3Ag_7zBE0Z-eo5gEHcrWTF-WLy0D7Nch7Bj60KI5fHOAAqFparFm1re9yECLXrAwI6SsZLSj4lKo9k4A"/>
    <hyperlink ref="B8" r:id="rId7" display="https://patentimages.storage.googleapis.com/46/49/5d/78c8a9fd23d64f/US5798236.pdf"/>
    <hyperlink ref="B9" r:id="rId8" display="https://reader.elsevier.com/reader/sd/pii/S0141022916300151?token=CAEED787D94C5A577054054DE9190F6222FF74F7FF0358C1B30560DED07A63FC7AD04B6AC8EA52A9FEF74D13730B3078"/>
    <hyperlink ref="B10" r:id="rId9" display="https://www.ncbi.nlm.nih.gov/pmc/articles/PMC91161/"/>
    <hyperlink ref="B11" r:id="rId10" display="https://www.researchgate.net/figure/Metabolic-pathways-involved-in-the-production-of-xylitol-xylonate-lactic-acid_fig2_324276493"/>
    <hyperlink ref="B12" r:id="rId11" display="https://www.sciencedirect.com/science/article/pii/S156673670700444X?casa_token=IQT_d4kUvK4AAAAA:5Z8N4oNSl9x4I3nqWAalaasGT6glMP0vk2KhWEHJu6--B1V577XRyjBZVyhTccPBBe-foe1uAQ"/>
    <hyperlink ref="B13" r:id="rId12" display="https://biotechnologyforbiofuels.biomedcentral.com/articles/10.1186/s13068-019-1486-8"/>
    <hyperlink ref="B14" r:id="rId13" display="https://microbialcellfactories.biomedcentral.com/articles/10.1186/s12934-019-1171-4"/>
    <hyperlink ref="B15" r:id="rId14" display="https://pubs.acs.org/doi/pdf/10.1021/ja00024a048?casa_token=sMcMoF7yjzYAAAAA:Ph6i5v5pLkCqj-la9mhLIZbTGn5UQL18LUbgakNK3KpqSSOY29dih1IVvmfDhJNNxzpCZ9CFuBPh0Mg"/>
    <hyperlink ref="B16" r:id="rId15" display="https://www.sciencedirect.com/science/article/pii/S1389172316300330?via%3Dihub"/>
    <hyperlink ref="B17" r:id="rId16" display="https://www.sciencedirect.com/science/article/pii/S2214030117300275"/>
    <hyperlink ref="B18" r:id="rId17" display="https://link.springer.com/content/pdf/10.1007/s10295-014-1581-6.pdf"/>
    <hyperlink ref="B19" r:id="rId18" display="https://www.tandfonline.com/doi/pdf/10.1080/09168451.2014.891933?needAccess=true"/>
    <hyperlink ref="B20" r:id="rId19" display="https://biotechnologyforbiofuels.biomedcentral.com/track/pdf/10.1186/s13068-019-1545-1"/>
    <hyperlink ref="B21" r:id="rId20" display="https://www.genomatica.com/wp-content/uploads/2017/01/Metabolic-engineering-of-Escherichia-coli-for-direct-production-of-14-butanediol-Nature-Chemical-V1.pdf"/>
    <hyperlink ref="B22" r:id="rId21" display="https://onlinelibrary.wiley.com/doi/epdf/10.1002/bit.22548"/>
    <hyperlink ref="B23" r:id="rId22" display="https://www.sciencedirect.com/science/article/pii/S0021951713001085"/>
    <hyperlink ref="B24" r:id="rId23" display="https://www.ncbi.nlm.nih.gov/pmc/articles/PMC5270751/"/>
    <hyperlink ref="B25" r:id="rId24" display="https://pubs.acs.org/doi/pdf/10.1021/acssynbio.9b00518"/>
    <hyperlink ref="B26" r:id="rId25" display="https://www.tandfonline.com/doi/full/10.1080/10826068.2018.1452257"/>
    <hyperlink ref="B27" r:id="rId26" display="https://www.nature.com/articles/srep13670"/>
    <hyperlink ref="B28" r:id="rId27" display="https://www.ncbi.nlm.nih.gov/pmc/articles/PMC4818529/"/>
    <hyperlink ref="B31" r:id="rId28" display=" https://microbialcellfactories.biomedcentral.com/articles/10.1186/s12934-019-1054-8"/>
    <hyperlink ref="B32" r:id="rId29" display="https://www.sciencedirect.com/science/article/pii/S1096717615001020"/>
    <hyperlink ref="B33" r:id="rId30" display="https://pubmed.ncbi.nlm.nih.gov/23023753/ "/>
    <hyperlink ref="B34" r:id="rId31" display="https://link.springer.com/article/10.1007%2Fs00253-012-4274-y "/>
    <hyperlink ref="B35" r:id="rId32" display="https://www.ncbi.nlm.nih.gov/pmc/articles/PMC101949/"/>
    <hyperlink ref="B36" r:id="rId33" display="https://www.sciencedirect.com/science/article/pii/S1937644810810056"/>
    <hyperlink ref="B37" r:id="rId34" display="https://www.sciencedirect.com/science/article/pii/B9780123814661000286"/>
    <hyperlink ref="B38" r:id="rId35" display="https://onlinelibrary.wiley.com/doi/abs/10.1111/tpj.14506"/>
    <hyperlink ref="B39" r:id="rId36" display="https://pubs.acs.org/doi/10.1021/acssynbio.8b00281"/>
    <hyperlink ref="B40" r:id="rId37" display="https://pubmed.ncbi.nlm.nih.gov/18758769/"/>
    <hyperlink ref="B41" r:id="rId38" display="https://www.ncbi.nlm.nih.gov/pmc/articles/PMC2634914/?tool=pmcentrez&amp;report=abstract"/>
    <hyperlink ref="B42" r:id="rId39" display="https://pubs.acs.org/doi/10.1021/acssynbio.6b00007"/>
    <hyperlink ref="B43" r:id="rId40" display="https://www.nature.com/articles/srep13040"/>
  </hyperlink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0" activeCellId="0" sqref="C10"/>
    </sheetView>
  </sheetViews>
  <sheetFormatPr defaultRowHeight="12.8" zeroHeight="false" outlineLevelRow="0" outlineLevelCol="0"/>
  <cols>
    <col collapsed="false" customWidth="true" hidden="false" outlineLevel="0" max="1025" min="1" style="0" width="9.14"/>
  </cols>
  <sheetData/>
  <printOptions headings="false" gridLines="false" gridLinesSet="true" horizontalCentered="false" verticalCentered="false"/>
  <pageMargins left="0.7875" right="0.7875" top="1.05277777777778" bottom="1.05277777777778" header="0.7875" footer="0.787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20911</TotalTime>
  <Application>LibreOffice/6.0.7.3$Linux_X86_64 LibreOffice_project/00m0$Build-3</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2020-05-20T00:03:09Z</dcterms:created>
  <dc:creator>Austin Zheng</dc:creator>
  <dc:description/>
  <dc:language>en-CA</dc:language>
  <cp:lastModifiedBy/>
  <dcterms:modified xsi:type="dcterms:W3CDTF">2021-05-27T15:45:52Z</dcterms:modified>
  <cp:revision>2380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