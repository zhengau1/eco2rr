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sti\Documents\eCO2R TEA Code\ecor-tea\Visualization Docs\Input\"/>
    </mc:Choice>
  </mc:AlternateContent>
  <xr:revisionPtr revIDLastSave="0" documentId="13_ncr:1_{4097ADAD-65DD-43F1-B7E9-37E22EE83A3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L58" i="1" l="1"/>
  <c r="N58" i="1" s="1"/>
  <c r="P58" i="1" s="1"/>
  <c r="L57" i="1"/>
  <c r="N57" i="1" s="1"/>
  <c r="P57" i="1" s="1"/>
  <c r="L56" i="1"/>
  <c r="M56" i="1" s="1"/>
  <c r="L55" i="1"/>
  <c r="N55" i="1" s="1"/>
  <c r="P55" i="1" s="1"/>
  <c r="L54" i="1"/>
  <c r="N54" i="1" s="1"/>
  <c r="P54" i="1" s="1"/>
  <c r="L53" i="1"/>
  <c r="N53" i="1" s="1"/>
  <c r="P53" i="1" s="1"/>
  <c r="L52" i="1"/>
  <c r="N52" i="1" s="1"/>
  <c r="P52" i="1" s="1"/>
  <c r="L51" i="1"/>
  <c r="N51" i="1" s="1"/>
  <c r="P51" i="1" s="1"/>
  <c r="L50" i="1"/>
  <c r="N50" i="1" s="1"/>
  <c r="P50" i="1" s="1"/>
  <c r="L49" i="1"/>
  <c r="M49" i="1" s="1"/>
  <c r="L48" i="1"/>
  <c r="N48" i="1" s="1"/>
  <c r="P48" i="1" s="1"/>
  <c r="L47" i="1"/>
  <c r="N47" i="1" s="1"/>
  <c r="P47" i="1" s="1"/>
  <c r="L46" i="1"/>
  <c r="N46" i="1" s="1"/>
  <c r="P46" i="1" s="1"/>
  <c r="L45" i="1"/>
  <c r="N45" i="1" s="1"/>
  <c r="P45" i="1" s="1"/>
  <c r="N44" i="1"/>
  <c r="P44" i="1" s="1"/>
  <c r="L44" i="1"/>
  <c r="M44" i="1" s="1"/>
  <c r="L43" i="1"/>
  <c r="M43" i="1" s="1"/>
  <c r="L42" i="1"/>
  <c r="N42" i="1" s="1"/>
  <c r="P42" i="1" s="1"/>
  <c r="L41" i="1"/>
  <c r="M41" i="1" s="1"/>
  <c r="L40" i="1"/>
  <c r="M40" i="1" s="1"/>
  <c r="L39" i="1"/>
  <c r="N39" i="1" s="1"/>
  <c r="P39" i="1" s="1"/>
  <c r="L38" i="1"/>
  <c r="N38" i="1" s="1"/>
  <c r="P38" i="1" s="1"/>
  <c r="L37" i="1"/>
  <c r="N37" i="1" s="1"/>
  <c r="P37" i="1" s="1"/>
  <c r="L36" i="1"/>
  <c r="M36" i="1" s="1"/>
  <c r="L35" i="1"/>
  <c r="N35" i="1" s="1"/>
  <c r="P35" i="1" s="1"/>
  <c r="L34" i="1"/>
  <c r="N34" i="1" s="1"/>
  <c r="P34" i="1" s="1"/>
  <c r="L33" i="1"/>
  <c r="M33" i="1" s="1"/>
  <c r="L32" i="1"/>
  <c r="N32" i="1" s="1"/>
  <c r="P32" i="1" s="1"/>
  <c r="L31" i="1"/>
  <c r="N31" i="1" s="1"/>
  <c r="P31" i="1" s="1"/>
  <c r="L30" i="1"/>
  <c r="M30" i="1" s="1"/>
  <c r="L29" i="1"/>
  <c r="M29" i="1" s="1"/>
  <c r="L28" i="1"/>
  <c r="M28" i="1" s="1"/>
  <c r="L27" i="1"/>
  <c r="M27" i="1" s="1"/>
  <c r="L26" i="1"/>
  <c r="N26" i="1" s="1"/>
  <c r="P26" i="1" s="1"/>
  <c r="L25" i="1"/>
  <c r="N25" i="1" s="1"/>
  <c r="P25" i="1" s="1"/>
  <c r="L24" i="1"/>
  <c r="N24" i="1" s="1"/>
  <c r="P24" i="1" s="1"/>
  <c r="L23" i="1"/>
  <c r="N23" i="1" s="1"/>
  <c r="P23" i="1" s="1"/>
  <c r="L22" i="1"/>
  <c r="N22" i="1" s="1"/>
  <c r="P22" i="1" s="1"/>
  <c r="L21" i="1"/>
  <c r="N21" i="1" s="1"/>
  <c r="P21" i="1" s="1"/>
  <c r="L20" i="1"/>
  <c r="N20" i="1" s="1"/>
  <c r="P20" i="1" s="1"/>
  <c r="L19" i="1"/>
  <c r="N19" i="1" s="1"/>
  <c r="P19" i="1" s="1"/>
  <c r="L18" i="1"/>
  <c r="N18" i="1" s="1"/>
  <c r="P18" i="1" s="1"/>
  <c r="L17" i="1"/>
  <c r="N17" i="1" s="1"/>
  <c r="P17" i="1" s="1"/>
  <c r="L16" i="1"/>
  <c r="N16" i="1" s="1"/>
  <c r="P16" i="1" s="1"/>
  <c r="L15" i="1"/>
  <c r="N15" i="1" s="1"/>
  <c r="P15" i="1" s="1"/>
  <c r="L14" i="1"/>
  <c r="N14" i="1" s="1"/>
  <c r="P14" i="1" s="1"/>
  <c r="L13" i="1"/>
  <c r="M13" i="1" s="1"/>
  <c r="L12" i="1"/>
  <c r="M12" i="1" s="1"/>
  <c r="L11" i="1"/>
  <c r="M11" i="1" s="1"/>
  <c r="L10" i="1"/>
  <c r="N10" i="1" s="1"/>
  <c r="P10" i="1" s="1"/>
  <c r="L9" i="1"/>
  <c r="M9" i="1" s="1"/>
  <c r="L8" i="1"/>
  <c r="N8" i="1" s="1"/>
  <c r="P8" i="1" s="1"/>
  <c r="L7" i="1"/>
  <c r="N7" i="1" s="1"/>
  <c r="P7" i="1" s="1"/>
  <c r="L6" i="1"/>
  <c r="N6" i="1" s="1"/>
  <c r="P6" i="1" s="1"/>
  <c r="L5" i="1"/>
  <c r="N5" i="1" s="1"/>
  <c r="P5" i="1" s="1"/>
  <c r="L4" i="1"/>
  <c r="M4" i="1" s="1"/>
  <c r="L3" i="1"/>
  <c r="N3" i="1" s="1"/>
  <c r="P3" i="1" s="1"/>
  <c r="L2" i="1"/>
  <c r="N2" i="1" s="1"/>
  <c r="P2" i="1" s="1"/>
  <c r="N30" i="1" l="1"/>
  <c r="P30" i="1" s="1"/>
  <c r="N41" i="1"/>
  <c r="P41" i="1" s="1"/>
  <c r="N33" i="1"/>
  <c r="P33" i="1" s="1"/>
  <c r="N36" i="1"/>
  <c r="P36" i="1" s="1"/>
  <c r="M25" i="1"/>
  <c r="M14" i="1"/>
  <c r="N49" i="1"/>
  <c r="P49" i="1" s="1"/>
  <c r="N29" i="1"/>
  <c r="P29" i="1" s="1"/>
  <c r="M17" i="1"/>
  <c r="M42" i="1"/>
  <c r="M46" i="1"/>
  <c r="M20" i="1"/>
  <c r="N4" i="1"/>
  <c r="P4" i="1" s="1"/>
  <c r="N13" i="1"/>
  <c r="P13" i="1" s="1"/>
  <c r="N12" i="1"/>
  <c r="P12" i="1" s="1"/>
  <c r="M10" i="1"/>
  <c r="N9" i="1"/>
  <c r="P9" i="1" s="1"/>
  <c r="N28" i="1"/>
  <c r="P28" i="1" s="1"/>
  <c r="M26" i="1"/>
  <c r="M8" i="1"/>
  <c r="M24" i="1"/>
  <c r="M5" i="1"/>
  <c r="M21" i="1"/>
  <c r="M37" i="1"/>
  <c r="N40" i="1"/>
  <c r="P40" i="1" s="1"/>
  <c r="M53" i="1"/>
  <c r="N56" i="1"/>
  <c r="P56" i="1" s="1"/>
  <c r="N27" i="1"/>
  <c r="P27" i="1" s="1"/>
  <c r="M2" i="1"/>
  <c r="M18" i="1"/>
  <c r="M34" i="1"/>
  <c r="M50" i="1"/>
  <c r="N43" i="1"/>
  <c r="P43" i="1" s="1"/>
  <c r="M15" i="1"/>
  <c r="M31" i="1"/>
  <c r="M47" i="1"/>
  <c r="M57" i="1"/>
  <c r="M6" i="1"/>
  <c r="M22" i="1"/>
  <c r="M38" i="1"/>
  <c r="M54" i="1"/>
  <c r="N11" i="1"/>
  <c r="P11" i="1" s="1"/>
  <c r="M3" i="1"/>
  <c r="M19" i="1"/>
  <c r="M35" i="1"/>
  <c r="M51" i="1"/>
  <c r="M16" i="1"/>
  <c r="M32" i="1"/>
  <c r="M48" i="1"/>
  <c r="M45" i="1"/>
  <c r="M58" i="1"/>
  <c r="M7" i="1"/>
  <c r="M23" i="1"/>
  <c r="M39" i="1"/>
  <c r="M55" i="1"/>
  <c r="M5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" authorId="0" shapeId="0" xr:uid="{00000000-0006-0000-0000-000001000000}">
      <text>
        <r>
          <rPr>
            <sz val="10"/>
            <rFont val="Arial"/>
            <family val="2"/>
            <charset val="1"/>
          </rPr>
          <t>Amount of CO2 produced (+ve) or consumed (-ve) in the bioproduction stage:
gCO2/g bioproduct (for bioproduction stage)
= Flux CO2/flux BP*(MW CO2/MW BP)</t>
        </r>
      </text>
    </comment>
    <comment ref="M1" authorId="0" shapeId="0" xr:uid="{00000000-0006-0000-0000-000002000000}">
      <text>
        <r>
          <rPr>
            <sz val="10"/>
            <rFont val="Arial"/>
            <family val="2"/>
            <charset val="1"/>
          </rPr>
          <t xml:space="preserve">Amount of CO2 consumed in the hybrid system (when accounting for CO2 consumed in first stage, and CO2 produced/consumed int he bioproduction stage).
(gCO2/gGlu)*(gGlu/gBP) – gCO2/gBP
Where gCO2/gBP is the CO2 consumed (-ve) or produced (+v) in the bioproduction stage </t>
        </r>
      </text>
    </comment>
    <comment ref="N1" authorId="0" shapeId="0" xr:uid="{00000000-0006-0000-0000-000003000000}">
      <text>
        <r>
          <rPr>
            <sz val="10"/>
            <rFont val="Arial"/>
            <family val="2"/>
            <charset val="1"/>
          </rPr>
          <t xml:space="preserve">Amount of CO2 consumed in the hybrid system (when accounting for CO2 consumed in first stage, and CO2 produced/consumed int he bioproduction stage).
(gCO2/gGlu)*(gGlu/gBP) – gCO2/gBP
Where gCO2/gBP is the CO2 consumed (-ve) or produced (+v) in the bioproduction stage </t>
        </r>
      </text>
    </comment>
    <comment ref="O1" authorId="0" shapeId="0" xr:uid="{00000000-0006-0000-0000-000004000000}">
      <text>
        <r>
          <rPr>
            <b/>
            <sz val="10"/>
            <rFont val="Arial"/>
            <family val="2"/>
            <charset val="1"/>
          </rPr>
          <t xml:space="preserve">Cost of bioproduct in $/tonne
</t>
        </r>
        <r>
          <rPr>
            <sz val="10"/>
            <rFont val="Arial"/>
            <family val="2"/>
            <charset val="1"/>
          </rPr>
          <t xml:space="preserve">
(0.415$CA/kg glucose)*(kg Glucose/kg product)/bioconversion*1000kg/tonne-CTSavings
=0.415/yield/bioconversion-CTsavings
Where CTsavings = X_CO2,HY80*170 
Where X_CO2,HY80 = tonneCO2/tonne BP (adjusted for both stages at 80% bioconversion)
Cost of glucose: 0.415 $CA/kg (see Calcs Appendix A.13)
Bioconversion =0.8 for base case</t>
        </r>
      </text>
    </comment>
    <comment ref="P1" authorId="0" shapeId="0" xr:uid="{00000000-0006-0000-0000-000005000000}">
      <text>
        <r>
          <rPr>
            <b/>
            <sz val="10"/>
            <rFont val="Arial"/>
            <family val="2"/>
            <charset val="1"/>
          </rPr>
          <t xml:space="preserve">Cost of bioproduct in $/tonne
</t>
        </r>
        <r>
          <rPr>
            <sz val="10"/>
            <rFont val="Arial"/>
            <family val="2"/>
            <charset val="1"/>
          </rPr>
          <t xml:space="preserve">
(0.415$CA/kg glucose)*(kg Glucse/kg product)/bioconversion*1000kg/tonne-CT_savings
=0.415/yield/bioconversion
</t>
        </r>
        <r>
          <rPr>
            <sz val="10"/>
            <rFont val="Arial"/>
            <family val="2"/>
          </rPr>
          <t xml:space="preserve">Where CTsavings = X_CO2,HY90*170 
Where X_CO2,HY90 = tonneCO2/tonne BP (adjusted for both stages at 90% bioconversion)
</t>
        </r>
        <r>
          <rPr>
            <sz val="10"/>
            <rFont val="Arial"/>
            <family val="2"/>
            <charset val="1"/>
          </rPr>
          <t xml:space="preserve">
Cost of glucose: 0.415 $CA/kg (see Calcs Appendix A.13)
Bioconversion =0.9 for best case</t>
        </r>
      </text>
    </comment>
    <comment ref="Q1" authorId="0" shapeId="0" xr:uid="{00000000-0006-0000-0000-000006000000}">
      <text>
        <r>
          <rPr>
            <sz val="10"/>
            <rFont val="Arial"/>
            <family val="2"/>
            <charset val="1"/>
          </rPr>
          <t>$US/lb</t>
        </r>
      </text>
    </comment>
  </commentList>
</comments>
</file>

<file path=xl/sharedStrings.xml><?xml version="1.0" encoding="utf-8"?>
<sst xmlns="http://schemas.openxmlformats.org/spreadsheetml/2006/main" count="252" uniqueCount="151">
  <si>
    <t>SubstratePathway</t>
  </si>
  <si>
    <t>BioProduct</t>
  </si>
  <si>
    <t>BioProduct_Graph</t>
  </si>
  <si>
    <t>Formula_BP</t>
  </si>
  <si>
    <t>MW_BP</t>
  </si>
  <si>
    <t>Deg_RedBP</t>
  </si>
  <si>
    <t>BoilP_degC</t>
  </si>
  <si>
    <t>CO2_Flux</t>
  </si>
  <si>
    <t>Obj_Flux</t>
  </si>
  <si>
    <t>MassYield</t>
  </si>
  <si>
    <t>X_CO2,BP</t>
  </si>
  <si>
    <t>X_CO2,HY80</t>
  </si>
  <si>
    <t>X_CO2,HY90</t>
  </si>
  <si>
    <t>Cost_Base</t>
  </si>
  <si>
    <t>Cost_Best</t>
  </si>
  <si>
    <t>Conventional Cost</t>
  </si>
  <si>
    <t>Glucose</t>
  </si>
  <si>
    <t>1-3-Butanediol-PW1</t>
  </si>
  <si>
    <t>1,3-Butanediol (PW1)</t>
  </si>
  <si>
    <t>C4H10O2</t>
  </si>
  <si>
    <t>1-3-Butanediol-PW2</t>
  </si>
  <si>
    <t>1,3-Butanediol (PW2)</t>
  </si>
  <si>
    <t>1-3-Diaminopropane</t>
  </si>
  <si>
    <t>1,3-Diaminopropane</t>
  </si>
  <si>
    <t>C3H12N2</t>
  </si>
  <si>
    <t>1-3-Propanediol</t>
  </si>
  <si>
    <t>1,3-Propanediol</t>
  </si>
  <si>
    <t>C3H8O2</t>
  </si>
  <si>
    <t>1-4-Butanediol</t>
  </si>
  <si>
    <t>1,4-Butanediol</t>
  </si>
  <si>
    <t>1-Propanol-PW1</t>
  </si>
  <si>
    <t>1-Propanol (PW1)</t>
  </si>
  <si>
    <t>C3H8O</t>
  </si>
  <si>
    <t>1-Propanol-PW2</t>
  </si>
  <si>
    <t>1-Propanol (PW2)</t>
  </si>
  <si>
    <t>2-3-Butanediol</t>
  </si>
  <si>
    <t>2,3-Butanediol</t>
  </si>
  <si>
    <t>2-Methyl-1-Butanol</t>
  </si>
  <si>
    <t>C5H12O</t>
  </si>
  <si>
    <t>2-Pyrone-4-6-Dicarboxylate</t>
  </si>
  <si>
    <t>2-Pyrone-4,6-Dicarboxylate</t>
  </si>
  <si>
    <t>C7H2O6</t>
  </si>
  <si>
    <t>3-Methyl-1-Pentanol</t>
  </si>
  <si>
    <t>C6H14O</t>
  </si>
  <si>
    <t>4-Hydroxystyrene</t>
  </si>
  <si>
    <t>C8H8O</t>
  </si>
  <si>
    <t>5-Aminopentanoate</t>
  </si>
  <si>
    <t>C5H11NO2</t>
  </si>
  <si>
    <t>Acetone</t>
  </si>
  <si>
    <t>C3H6O</t>
  </si>
  <si>
    <t>$US/lb</t>
  </si>
  <si>
    <t>ICIS</t>
  </si>
  <si>
    <t>Acrylate-PW1</t>
  </si>
  <si>
    <t>Acrylate (PW1)</t>
  </si>
  <si>
    <t>C3H3O2</t>
  </si>
  <si>
    <t>Acrylate-PW2</t>
  </si>
  <si>
    <t>Acrylate (PW2)</t>
  </si>
  <si>
    <t>Adipate</t>
  </si>
  <si>
    <t>C6H8O4</t>
  </si>
  <si>
    <t>Benzoate-PW1</t>
  </si>
  <si>
    <t>Benzoate (PW1)</t>
  </si>
  <si>
    <t>C7H5O2</t>
  </si>
  <si>
    <t>Benzoate-PW2</t>
  </si>
  <si>
    <t>Benzoate (PW2)</t>
  </si>
  <si>
    <t>BenzylAlcohol</t>
  </si>
  <si>
    <t>Benzyl Alcohol</t>
  </si>
  <si>
    <t>C7H8O</t>
  </si>
  <si>
    <t>BetaCarotene</t>
  </si>
  <si>
    <t>Beta Carotene</t>
  </si>
  <si>
    <t>C40H56</t>
  </si>
  <si>
    <t>Butane</t>
  </si>
  <si>
    <t>C4H10</t>
  </si>
  <si>
    <t>Butanol-PW1</t>
  </si>
  <si>
    <t>Butanol (PW1)</t>
  </si>
  <si>
    <t>C4H10O</t>
  </si>
  <si>
    <t>Butanol-PW2</t>
  </si>
  <si>
    <t>Butanol (PW2)</t>
  </si>
  <si>
    <t>Butyrate</t>
  </si>
  <si>
    <t>C4H7O2</t>
  </si>
  <si>
    <t>Catechol</t>
  </si>
  <si>
    <t>C6H6O2</t>
  </si>
  <si>
    <t>ciscisMuconate</t>
  </si>
  <si>
    <t>cis,cis-Muconate</t>
  </si>
  <si>
    <t>C6H4O4</t>
  </si>
  <si>
    <t>Citrate</t>
  </si>
  <si>
    <t>C6H5O7</t>
  </si>
  <si>
    <t>CoumaricAcid</t>
  </si>
  <si>
    <t>Coumaric Acid</t>
  </si>
  <si>
    <t>C9H7O3</t>
  </si>
  <si>
    <t>EthylAcetate</t>
  </si>
  <si>
    <t>Ethyl Acetate</t>
  </si>
  <si>
    <t>C4H8O2</t>
  </si>
  <si>
    <t>Farnesene</t>
  </si>
  <si>
    <t>C15H24</t>
  </si>
  <si>
    <t>260 (A)/272 (B)</t>
  </si>
  <si>
    <t>GammaButyrolactone</t>
  </si>
  <si>
    <t>Gamma Butyrolactone</t>
  </si>
  <si>
    <t>C4H6O2</t>
  </si>
  <si>
    <t>Glutamate_L</t>
  </si>
  <si>
    <t>L-Glutamate</t>
  </si>
  <si>
    <t>C5H8NO4</t>
  </si>
  <si>
    <t>Glutarate</t>
  </si>
  <si>
    <t>C5H6O4</t>
  </si>
  <si>
    <t>Glycolate</t>
  </si>
  <si>
    <t>C2H3O3</t>
  </si>
  <si>
    <t>Heptane</t>
  </si>
  <si>
    <t>C7H16</t>
  </si>
  <si>
    <t>Hexane</t>
  </si>
  <si>
    <t>C6H14</t>
  </si>
  <si>
    <t>Isobutanol</t>
  </si>
  <si>
    <t>C5H10O</t>
  </si>
  <si>
    <t>Isobutyrate</t>
  </si>
  <si>
    <t>Isoprene</t>
  </si>
  <si>
    <t>C5H8</t>
  </si>
  <si>
    <t>Isopropanol</t>
  </si>
  <si>
    <t>Itaconate</t>
  </si>
  <si>
    <t>C5H4O4</t>
  </si>
  <si>
    <t>Limonene</t>
  </si>
  <si>
    <t>C10H16</t>
  </si>
  <si>
    <t>Lysine_L</t>
  </si>
  <si>
    <t>L-Lysine</t>
  </si>
  <si>
    <t>C6H15N2O2</t>
  </si>
  <si>
    <t>L-Malate</t>
  </si>
  <si>
    <t>C4H4O5</t>
  </si>
  <si>
    <t>Malonate</t>
  </si>
  <si>
    <t>C3H2O4</t>
  </si>
  <si>
    <t>Nonane</t>
  </si>
  <si>
    <t>C9H20</t>
  </si>
  <si>
    <t>Octane</t>
  </si>
  <si>
    <t>C8H18</t>
  </si>
  <si>
    <t>Pentane</t>
  </si>
  <si>
    <t>C5H12</t>
  </si>
  <si>
    <t>Pentanol-PW1</t>
  </si>
  <si>
    <t>Pentanol (PW1)</t>
  </si>
  <si>
    <t>Pentanol-PW2</t>
  </si>
  <si>
    <t>Pentanol (PW2)</t>
  </si>
  <si>
    <t>Phenol</t>
  </si>
  <si>
    <t>C6H6O</t>
  </si>
  <si>
    <t>Propane-PW1</t>
  </si>
  <si>
    <t>Propane (PW1)</t>
  </si>
  <si>
    <t>C3H8</t>
  </si>
  <si>
    <t>Propane-PW2</t>
  </si>
  <si>
    <t>Propane (PW2)</t>
  </si>
  <si>
    <t>Shikimate</t>
  </si>
  <si>
    <t>C7H9O5</t>
  </si>
  <si>
    <t>Styrene</t>
  </si>
  <si>
    <t>C8H8</t>
  </si>
  <si>
    <t>Succinate</t>
  </si>
  <si>
    <t>C4H4O4</t>
  </si>
  <si>
    <t>Malate_L</t>
  </si>
  <si>
    <t>Sep_Cost_Base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</si>
</sst>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  <charset val="1"/>
    </font>
    <font>
      <sz val="10"/>
      <name val="Arial"/>
      <family val="2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4" fillId="0" borderId="0" xfId="0" applyFont="1"/>
    <xf numFmtId="0" fontId="0" fillId="2" borderId="0" xfId="0" applyFill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219075</xdr:colOff>
      <xdr:row>58</xdr:row>
      <xdr:rowOff>133350</xdr:rowOff>
    </xdr:to>
    <xdr:sp macro="" textlink="">
      <xdr:nvSpPr>
        <xdr:cNvPr id="1036" name="shapetype_202" hidden="1">
          <a:extLst>
            <a:ext uri="{FF2B5EF4-FFF2-40B4-BE49-F238E27FC236}">
              <a16:creationId xmlns:a16="http://schemas.microsoft.com/office/drawing/2014/main" id="{77FB2BE4-626C-E862-15CF-51521BEB150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219075</xdr:colOff>
      <xdr:row>58</xdr:row>
      <xdr:rowOff>133350</xdr:rowOff>
    </xdr:to>
    <xdr:sp macro="" textlink="">
      <xdr:nvSpPr>
        <xdr:cNvPr id="1034" name="shapetype_202" hidden="1">
          <a:extLst>
            <a:ext uri="{FF2B5EF4-FFF2-40B4-BE49-F238E27FC236}">
              <a16:creationId xmlns:a16="http://schemas.microsoft.com/office/drawing/2014/main" id="{BE19333C-689A-37BE-6BEE-A4D328ABA37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219075</xdr:colOff>
      <xdr:row>58</xdr:row>
      <xdr:rowOff>133350</xdr:rowOff>
    </xdr:to>
    <xdr:sp macro="" textlink="">
      <xdr:nvSpPr>
        <xdr:cNvPr id="1032" name="shapetype_202" hidden="1">
          <a:extLst>
            <a:ext uri="{FF2B5EF4-FFF2-40B4-BE49-F238E27FC236}">
              <a16:creationId xmlns:a16="http://schemas.microsoft.com/office/drawing/2014/main" id="{4649FB99-534A-C852-5FFA-7A2627797CB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219075</xdr:colOff>
      <xdr:row>58</xdr:row>
      <xdr:rowOff>133350</xdr:rowOff>
    </xdr:to>
    <xdr:sp macro="" textlink="">
      <xdr:nvSpPr>
        <xdr:cNvPr id="1030" name="shapetype_202" hidden="1">
          <a:extLst>
            <a:ext uri="{FF2B5EF4-FFF2-40B4-BE49-F238E27FC236}">
              <a16:creationId xmlns:a16="http://schemas.microsoft.com/office/drawing/2014/main" id="{1D625438-474C-E26D-8A64-9B16FFD0F74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219075</xdr:colOff>
      <xdr:row>58</xdr:row>
      <xdr:rowOff>133350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73E049EC-666A-299D-6900-3ECAF66DFBD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219075</xdr:colOff>
      <xdr:row>58</xdr:row>
      <xdr:rowOff>133350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904CFC12-ABBC-D858-C414-D4DB0DC8407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8"/>
  <sheetViews>
    <sheetView tabSelected="1" topLeftCell="A25" zoomScaleNormal="100" workbookViewId="0">
      <selection activeCell="Q6" sqref="Q6"/>
    </sheetView>
  </sheetViews>
  <sheetFormatPr defaultRowHeight="12.75" x14ac:dyDescent="0.2"/>
  <cols>
    <col min="1" max="1" width="17" customWidth="1"/>
    <col min="2" max="2" width="21.7109375" customWidth="1"/>
    <col min="3" max="3" width="19.85546875" customWidth="1"/>
    <col min="4" max="9" width="11.5703125"/>
    <col min="11" max="12" width="11.5703125"/>
    <col min="13" max="13" width="15.28515625" customWidth="1"/>
    <col min="14" max="14" width="14.140625" customWidth="1"/>
    <col min="15" max="16" width="11.5703125"/>
    <col min="17" max="17" width="17.42578125" customWidth="1"/>
    <col min="18" max="19" width="11.5703125"/>
    <col min="20" max="22" width="11.5703125" style="1"/>
    <col min="23" max="1026" width="11.5703125"/>
  </cols>
  <sheetData>
    <row r="1" spans="1:22" x14ac:dyDescent="0.2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4" t="s">
        <v>150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T1"/>
      <c r="U1"/>
      <c r="V1"/>
    </row>
    <row r="2" spans="1:22" x14ac:dyDescent="0.2">
      <c r="A2" t="s">
        <v>16</v>
      </c>
      <c r="B2" t="s">
        <v>17</v>
      </c>
      <c r="C2" s="5" t="s">
        <v>18</v>
      </c>
      <c r="D2" t="s">
        <v>19</v>
      </c>
      <c r="E2">
        <v>90.119200000000006</v>
      </c>
      <c r="F2">
        <v>5.5</v>
      </c>
      <c r="G2">
        <v>207</v>
      </c>
      <c r="H2" s="1">
        <v>16.363636363636399</v>
      </c>
      <c r="I2" s="1">
        <v>10.909090909090899</v>
      </c>
      <c r="J2" s="1">
        <f>(0.22/0.78)*1000/600000/180.156*10000000</f>
        <v>26.093245303263288</v>
      </c>
      <c r="K2" s="1">
        <v>0.54571529455777401</v>
      </c>
      <c r="L2" s="1">
        <f>H2/I2*44.01/E2</f>
        <v>0.73252980496942044</v>
      </c>
      <c r="M2" s="1">
        <f t="shared" ref="M2:M33" si="0">1.47/(K2*80/100)-L2</f>
        <v>2.6346105671710323</v>
      </c>
      <c r="N2" s="6">
        <f t="shared" ref="N2:N33" si="1">1.47/(K2*90/100)-L2</f>
        <v>2.2604838591554262</v>
      </c>
      <c r="O2" s="7">
        <f>0.415/K2/0.8*1000-M2*170+J2</f>
        <v>528.79669680139023</v>
      </c>
      <c r="P2" s="1">
        <f>0.415/K2/0.9*1000-N2*170</f>
        <v>460.68418653664656</v>
      </c>
      <c r="T2"/>
      <c r="U2"/>
      <c r="V2"/>
    </row>
    <row r="3" spans="1:22" x14ac:dyDescent="0.2">
      <c r="A3" t="s">
        <v>16</v>
      </c>
      <c r="B3" t="s">
        <v>20</v>
      </c>
      <c r="C3" s="5" t="s">
        <v>21</v>
      </c>
      <c r="D3" t="s">
        <v>19</v>
      </c>
      <c r="E3">
        <v>90.119200000000006</v>
      </c>
      <c r="F3">
        <v>5.5</v>
      </c>
      <c r="G3">
        <v>207</v>
      </c>
      <c r="H3" s="1">
        <v>16.363636363636399</v>
      </c>
      <c r="I3" s="1">
        <v>10.909090909090899</v>
      </c>
      <c r="J3" s="1">
        <f>(0.22/0.78)*1000/600000/180.156*10000000</f>
        <v>26.093245303263288</v>
      </c>
      <c r="K3" s="1">
        <v>0.54571529455777401</v>
      </c>
      <c r="L3" s="1">
        <f>H3/I3*44.01/E3</f>
        <v>0.73252980496942044</v>
      </c>
      <c r="M3" s="1">
        <f t="shared" si="0"/>
        <v>2.6346105671710323</v>
      </c>
      <c r="N3" s="6">
        <f t="shared" si="1"/>
        <v>2.2604838591554262</v>
      </c>
      <c r="O3" s="7">
        <f t="shared" ref="O3:O58" si="2">0.415/K3/0.8*1000-M3*170+J3</f>
        <v>528.79669680139023</v>
      </c>
      <c r="P3" s="1">
        <f t="shared" ref="P3:P33" si="3">0.415/K3/0.9*1000-N3*170</f>
        <v>460.68418653664656</v>
      </c>
      <c r="T3"/>
      <c r="U3"/>
      <c r="V3"/>
    </row>
    <row r="4" spans="1:22" x14ac:dyDescent="0.2">
      <c r="A4" t="s">
        <v>16</v>
      </c>
      <c r="B4" t="s">
        <v>22</v>
      </c>
      <c r="C4" s="5" t="s">
        <v>23</v>
      </c>
      <c r="D4" t="s">
        <v>24</v>
      </c>
      <c r="E4">
        <v>76.139579999999995</v>
      </c>
      <c r="F4">
        <v>6</v>
      </c>
      <c r="G4">
        <v>139.30000000000001</v>
      </c>
      <c r="H4" s="1">
        <v>18.8025974025973</v>
      </c>
      <c r="I4" s="1">
        <v>13.732467532467499</v>
      </c>
      <c r="J4" s="1">
        <f t="shared" ref="J3:J58" si="4">(0.22/0.78)*1000/600000/180.156*10000000</f>
        <v>26.093245303263288</v>
      </c>
      <c r="K4" s="1">
        <v>0.58038916314892797</v>
      </c>
      <c r="L4" s="1">
        <f>H4/I4*44.01/E4</f>
        <v>0.7914257162697742</v>
      </c>
      <c r="M4" s="1">
        <f t="shared" si="0"/>
        <v>2.3745534519672065</v>
      </c>
      <c r="N4" s="6">
        <f t="shared" si="1"/>
        <v>2.0227779888297635</v>
      </c>
      <c r="O4" s="7">
        <f t="shared" si="2"/>
        <v>516.21599848131893</v>
      </c>
      <c r="P4" s="1">
        <f t="shared" si="3"/>
        <v>450.61382191003423</v>
      </c>
      <c r="T4"/>
      <c r="U4"/>
      <c r="V4"/>
    </row>
    <row r="5" spans="1:22" x14ac:dyDescent="0.2">
      <c r="A5" t="s">
        <v>16</v>
      </c>
      <c r="B5" t="s">
        <v>25</v>
      </c>
      <c r="C5" s="5" t="s">
        <v>26</v>
      </c>
      <c r="D5" t="s">
        <v>27</v>
      </c>
      <c r="E5">
        <v>76.092820000000003</v>
      </c>
      <c r="F5">
        <v>5.3333333333333304</v>
      </c>
      <c r="G5">
        <v>213</v>
      </c>
      <c r="H5" s="1">
        <v>16.057777777777801</v>
      </c>
      <c r="I5" s="1">
        <v>14.6474074074074</v>
      </c>
      <c r="J5" s="1">
        <f t="shared" si="4"/>
        <v>26.093245303263288</v>
      </c>
      <c r="K5" s="1">
        <v>0.61867800691643704</v>
      </c>
      <c r="L5" s="1">
        <f>H5/I5*44.01/E5</f>
        <v>0.63406294183218759</v>
      </c>
      <c r="M5" s="1">
        <f t="shared" si="0"/>
        <v>2.335979599615686</v>
      </c>
      <c r="N5" s="6">
        <f t="shared" si="1"/>
        <v>2.005974872788145</v>
      </c>
      <c r="O5" s="7">
        <f t="shared" si="2"/>
        <v>467.45811112428891</v>
      </c>
      <c r="P5" s="1">
        <f t="shared" si="3"/>
        <v>404.30106963107517</v>
      </c>
      <c r="T5"/>
      <c r="U5"/>
      <c r="V5"/>
    </row>
    <row r="6" spans="1:22" x14ac:dyDescent="0.2">
      <c r="A6" t="s">
        <v>16</v>
      </c>
      <c r="B6" t="s">
        <v>28</v>
      </c>
      <c r="C6" s="5" t="s">
        <v>29</v>
      </c>
      <c r="D6" t="s">
        <v>19</v>
      </c>
      <c r="E6">
        <v>90.119200000000006</v>
      </c>
      <c r="F6">
        <v>5.5</v>
      </c>
      <c r="G6">
        <v>230</v>
      </c>
      <c r="H6" s="1">
        <v>16.865116279069799</v>
      </c>
      <c r="I6" s="1">
        <v>10.783720930232599</v>
      </c>
      <c r="J6" s="1">
        <f t="shared" si="4"/>
        <v>26.093245303263288</v>
      </c>
      <c r="K6" s="1">
        <v>0.53944379902148198</v>
      </c>
      <c r="L6" s="1">
        <f>H6/I6*44.01/E6</f>
        <v>0.76375618512518317</v>
      </c>
      <c r="M6" s="1">
        <f t="shared" si="0"/>
        <v>2.6425300736715855</v>
      </c>
      <c r="N6" s="6">
        <f t="shared" si="1"/>
        <v>2.2640538226941671</v>
      </c>
      <c r="O6" s="7">
        <f t="shared" si="2"/>
        <v>538.50177046661679</v>
      </c>
      <c r="P6" s="1">
        <f t="shared" si="3"/>
        <v>469.90075030867877</v>
      </c>
      <c r="T6"/>
      <c r="U6"/>
      <c r="V6"/>
    </row>
    <row r="7" spans="1:22" x14ac:dyDescent="0.2">
      <c r="A7" t="s">
        <v>16</v>
      </c>
      <c r="B7" t="s">
        <v>30</v>
      </c>
      <c r="C7" s="5" t="s">
        <v>31</v>
      </c>
      <c r="D7" t="s">
        <v>32</v>
      </c>
      <c r="E7">
        <v>60.093820000000001</v>
      </c>
      <c r="F7">
        <v>6</v>
      </c>
      <c r="G7">
        <v>97</v>
      </c>
      <c r="H7" s="1">
        <v>21.455813953488398</v>
      </c>
      <c r="I7" s="1">
        <v>12.848062015503899</v>
      </c>
      <c r="J7" s="1">
        <f t="shared" si="4"/>
        <v>26.093245303263288</v>
      </c>
      <c r="K7" s="1">
        <v>0.428575828242933</v>
      </c>
      <c r="L7" s="1">
        <f>H7/I7*44.01/E7</f>
        <v>1.2230069562724204</v>
      </c>
      <c r="M7" s="1">
        <f t="shared" si="0"/>
        <v>3.0644490291324207</v>
      </c>
      <c r="N7" s="6">
        <f t="shared" si="1"/>
        <v>2.5880650307541044</v>
      </c>
      <c r="O7" s="7">
        <f t="shared" si="2"/>
        <v>715.54115112830868</v>
      </c>
      <c r="P7" s="1">
        <f t="shared" si="3"/>
        <v>635.94382546296413</v>
      </c>
      <c r="T7"/>
      <c r="U7"/>
      <c r="V7"/>
    </row>
    <row r="8" spans="1:22" x14ac:dyDescent="0.2">
      <c r="A8" t="s">
        <v>16</v>
      </c>
      <c r="B8" t="s">
        <v>33</v>
      </c>
      <c r="C8" s="5" t="s">
        <v>34</v>
      </c>
      <c r="D8" t="s">
        <v>32</v>
      </c>
      <c r="E8">
        <v>60.093820000000001</v>
      </c>
      <c r="F8">
        <v>6</v>
      </c>
      <c r="G8">
        <v>97</v>
      </c>
      <c r="H8" s="1">
        <v>24.304455445544601</v>
      </c>
      <c r="I8" s="1">
        <v>11.898514851485199</v>
      </c>
      <c r="J8" s="1">
        <f t="shared" si="4"/>
        <v>26.093245303263288</v>
      </c>
      <c r="K8" s="1">
        <v>0.396901560031589</v>
      </c>
      <c r="L8" s="1">
        <f>H8/I8*44.01/E8</f>
        <v>1.4959417901434771</v>
      </c>
      <c r="M8" s="1">
        <f t="shared" si="0"/>
        <v>3.1336696426101636</v>
      </c>
      <c r="N8" s="6">
        <f t="shared" si="1"/>
        <v>2.6192683723042034</v>
      </c>
      <c r="O8" s="7">
        <f t="shared" si="2"/>
        <v>800.36855204100561</v>
      </c>
      <c r="P8" s="1">
        <f t="shared" si="3"/>
        <v>716.5013953584812</v>
      </c>
      <c r="T8"/>
      <c r="U8"/>
      <c r="V8"/>
    </row>
    <row r="9" spans="1:22" x14ac:dyDescent="0.2">
      <c r="A9" t="s">
        <v>16</v>
      </c>
      <c r="B9" t="s">
        <v>35</v>
      </c>
      <c r="C9" s="5" t="s">
        <v>36</v>
      </c>
      <c r="D9" t="s">
        <v>19</v>
      </c>
      <c r="E9">
        <v>90.119200000000006</v>
      </c>
      <c r="F9">
        <v>5.5</v>
      </c>
      <c r="G9">
        <v>177</v>
      </c>
      <c r="H9" s="1">
        <v>16.363636363636399</v>
      </c>
      <c r="I9" s="1">
        <v>10.909090909090899</v>
      </c>
      <c r="J9" s="1">
        <f t="shared" si="4"/>
        <v>26.093245303263288</v>
      </c>
      <c r="K9" s="1">
        <v>0.54571529455777401</v>
      </c>
      <c r="L9" s="1">
        <f>H9/I9*44.01/E9</f>
        <v>0.73252980496942044</v>
      </c>
      <c r="M9" s="1">
        <f t="shared" si="0"/>
        <v>2.6346105671710323</v>
      </c>
      <c r="N9" s="6">
        <f t="shared" si="1"/>
        <v>2.2604838591554262</v>
      </c>
      <c r="O9" s="7">
        <f t="shared" si="2"/>
        <v>528.79669680139023</v>
      </c>
      <c r="P9" s="1">
        <f t="shared" si="3"/>
        <v>460.68418653664656</v>
      </c>
      <c r="T9"/>
      <c r="U9"/>
      <c r="V9"/>
    </row>
    <row r="10" spans="1:22" x14ac:dyDescent="0.2">
      <c r="A10" t="s">
        <v>16</v>
      </c>
      <c r="B10" t="s">
        <v>37</v>
      </c>
      <c r="C10" s="5" t="s">
        <v>37</v>
      </c>
      <c r="D10" t="s">
        <v>38</v>
      </c>
      <c r="E10">
        <v>88.14658</v>
      </c>
      <c r="F10">
        <v>6</v>
      </c>
      <c r="G10">
        <v>129</v>
      </c>
      <c r="H10" s="1">
        <v>21.964028776978399</v>
      </c>
      <c r="I10" s="1">
        <v>7.6071942446043099</v>
      </c>
      <c r="J10" s="1">
        <f t="shared" si="4"/>
        <v>26.093245303263288</v>
      </c>
      <c r="K10" s="1">
        <v>0.372211862129946</v>
      </c>
      <c r="L10" s="1">
        <f>H10/I10*44.01/E10</f>
        <v>1.4415622468609883</v>
      </c>
      <c r="M10" s="1">
        <f t="shared" si="0"/>
        <v>3.4951423210296908</v>
      </c>
      <c r="N10" s="6">
        <f t="shared" si="1"/>
        <v>2.9466195912640596</v>
      </c>
      <c r="O10" s="7">
        <f t="shared" si="2"/>
        <v>825.61455798987015</v>
      </c>
      <c r="P10" s="1">
        <f t="shared" si="3"/>
        <v>737.91512038435792</v>
      </c>
      <c r="T10"/>
      <c r="U10"/>
      <c r="V10"/>
    </row>
    <row r="11" spans="1:22" x14ac:dyDescent="0.2">
      <c r="A11" t="s">
        <v>16</v>
      </c>
      <c r="B11" t="s">
        <v>39</v>
      </c>
      <c r="C11" s="5" t="s">
        <v>40</v>
      </c>
      <c r="D11" t="s">
        <v>41</v>
      </c>
      <c r="E11">
        <v>182.08457999999999</v>
      </c>
      <c r="F11">
        <v>2.5714285714285698</v>
      </c>
      <c r="G11">
        <v>355.5</v>
      </c>
      <c r="H11" s="1">
        <v>-2.4738660907127201</v>
      </c>
      <c r="I11" s="1">
        <v>8.9248380129589702</v>
      </c>
      <c r="J11" s="1">
        <f t="shared" si="4"/>
        <v>26.093245303263288</v>
      </c>
      <c r="K11" s="1">
        <v>0.90205651638584206</v>
      </c>
      <c r="L11" s="1">
        <f>H11/I11*44.01/E11</f>
        <v>-6.6996797757594942E-2</v>
      </c>
      <c r="M11" s="1">
        <f t="shared" si="0"/>
        <v>2.1040088547871072</v>
      </c>
      <c r="N11" s="6">
        <f t="shared" si="1"/>
        <v>1.8776741817838281</v>
      </c>
      <c r="O11" s="7">
        <f t="shared" si="2"/>
        <v>243.48657241615399</v>
      </c>
      <c r="P11" s="1">
        <f t="shared" si="3"/>
        <v>191.9730179204816</v>
      </c>
      <c r="T11"/>
      <c r="U11"/>
      <c r="V11"/>
    </row>
    <row r="12" spans="1:22" x14ac:dyDescent="0.2">
      <c r="A12" t="s">
        <v>16</v>
      </c>
      <c r="B12" t="s">
        <v>42</v>
      </c>
      <c r="C12" s="5" t="s">
        <v>42</v>
      </c>
      <c r="D12" t="s">
        <v>43</v>
      </c>
      <c r="E12">
        <v>102.17296</v>
      </c>
      <c r="F12">
        <v>6</v>
      </c>
      <c r="G12">
        <v>153</v>
      </c>
      <c r="H12" s="1">
        <v>22.5473684210526</v>
      </c>
      <c r="I12" s="1">
        <v>6.2421052631579004</v>
      </c>
      <c r="J12" s="1">
        <f t="shared" si="4"/>
        <v>26.093245303263288</v>
      </c>
      <c r="K12" s="1">
        <v>0.354019594627623</v>
      </c>
      <c r="L12" s="1">
        <f>H12/I12*44.01/E12</f>
        <v>1.5558945745678132</v>
      </c>
      <c r="M12" s="1">
        <f t="shared" si="0"/>
        <v>3.6344960927419505</v>
      </c>
      <c r="N12" s="6">
        <f t="shared" si="1"/>
        <v>3.0577860185964205</v>
      </c>
      <c r="O12" s="7">
        <f t="shared" si="2"/>
        <v>873.54328160077205</v>
      </c>
      <c r="P12" s="1">
        <f t="shared" si="3"/>
        <v>782.67804089517779</v>
      </c>
      <c r="T12"/>
      <c r="U12"/>
      <c r="V12"/>
    </row>
    <row r="13" spans="1:22" x14ac:dyDescent="0.2">
      <c r="A13" t="s">
        <v>16</v>
      </c>
      <c r="B13" t="s">
        <v>44</v>
      </c>
      <c r="C13" s="5" t="s">
        <v>44</v>
      </c>
      <c r="D13" t="s">
        <v>45</v>
      </c>
      <c r="E13">
        <v>120.14731999999999</v>
      </c>
      <c r="F13">
        <v>4.75</v>
      </c>
      <c r="G13">
        <v>229</v>
      </c>
      <c r="H13" s="1">
        <v>14.0260869565217</v>
      </c>
      <c r="I13" s="1">
        <v>5.7467391304347801</v>
      </c>
      <c r="J13" s="1">
        <f t="shared" si="4"/>
        <v>26.093245303263288</v>
      </c>
      <c r="K13" s="1">
        <v>0.38326204101378503</v>
      </c>
      <c r="L13" s="1">
        <f>H13/I13*44.01/E13</f>
        <v>0.89403047851633932</v>
      </c>
      <c r="M13" s="1">
        <f t="shared" si="0"/>
        <v>3.9003394390980937</v>
      </c>
      <c r="N13" s="6">
        <f t="shared" si="1"/>
        <v>3.3676316704742675</v>
      </c>
      <c r="O13" s="7">
        <f t="shared" si="2"/>
        <v>716.54813644569583</v>
      </c>
      <c r="P13" s="1">
        <f t="shared" si="3"/>
        <v>630.62492338747097</v>
      </c>
      <c r="T13"/>
      <c r="U13"/>
      <c r="V13"/>
    </row>
    <row r="14" spans="1:22" x14ac:dyDescent="0.2">
      <c r="A14" t="s">
        <v>16</v>
      </c>
      <c r="B14" t="s">
        <v>46</v>
      </c>
      <c r="C14" s="5" t="s">
        <v>46</v>
      </c>
      <c r="D14" t="s">
        <v>47</v>
      </c>
      <c r="E14">
        <v>117.14444</v>
      </c>
      <c r="F14">
        <v>4.8</v>
      </c>
      <c r="G14">
        <v>247.5</v>
      </c>
      <c r="H14" s="1">
        <v>20.2481203007519</v>
      </c>
      <c r="I14" s="1">
        <v>7.9503759398496303</v>
      </c>
      <c r="J14" s="1">
        <f t="shared" si="4"/>
        <v>26.093245303263288</v>
      </c>
      <c r="K14" s="1">
        <v>0.516975048699444</v>
      </c>
      <c r="L14" s="1">
        <f>H14/I14*44.01/E14</f>
        <v>0.95681226846696832</v>
      </c>
      <c r="M14" s="1">
        <f t="shared" si="0"/>
        <v>2.59751787690969</v>
      </c>
      <c r="N14" s="6">
        <f t="shared" si="1"/>
        <v>2.2025923052011724</v>
      </c>
      <c r="O14" s="7">
        <f t="shared" si="2"/>
        <v>587.94854659005341</v>
      </c>
      <c r="P14" s="1">
        <f t="shared" si="3"/>
        <v>517.50005510374513</v>
      </c>
      <c r="T14"/>
      <c r="U14"/>
      <c r="V14"/>
    </row>
    <row r="15" spans="1:22" x14ac:dyDescent="0.2">
      <c r="A15" t="s">
        <v>16</v>
      </c>
      <c r="B15" t="s">
        <v>48</v>
      </c>
      <c r="C15" s="5" t="s">
        <v>48</v>
      </c>
      <c r="D15" t="s">
        <v>49</v>
      </c>
      <c r="E15">
        <v>58.078139999999998</v>
      </c>
      <c r="F15">
        <v>5.3333333333333304</v>
      </c>
      <c r="G15">
        <v>56</v>
      </c>
      <c r="H15" s="1">
        <v>17.6370731707317</v>
      </c>
      <c r="I15" s="1">
        <v>14.120975609756099</v>
      </c>
      <c r="J15" s="1">
        <f t="shared" si="4"/>
        <v>26.093245303263288</v>
      </c>
      <c r="K15" s="1">
        <v>0.45523709075455498</v>
      </c>
      <c r="L15" s="1">
        <f>H15/I15*44.01/E15</f>
        <v>0.94645611832199172</v>
      </c>
      <c r="M15" s="1">
        <f t="shared" si="0"/>
        <v>3.0899021602935441</v>
      </c>
      <c r="N15" s="6">
        <f t="shared" si="1"/>
        <v>2.64141790711404</v>
      </c>
      <c r="O15" s="7">
        <f t="shared" si="2"/>
        <v>640.32599072373318</v>
      </c>
      <c r="P15" s="1">
        <f t="shared" si="3"/>
        <v>563.86216705316633</v>
      </c>
      <c r="Q15">
        <v>0.82</v>
      </c>
      <c r="R15" t="s">
        <v>50</v>
      </c>
      <c r="S15" t="s">
        <v>51</v>
      </c>
      <c r="T15"/>
      <c r="U15"/>
      <c r="V15"/>
    </row>
    <row r="16" spans="1:22" x14ac:dyDescent="0.2">
      <c r="A16" t="s">
        <v>16</v>
      </c>
      <c r="B16" t="s">
        <v>52</v>
      </c>
      <c r="C16" s="5" t="s">
        <v>53</v>
      </c>
      <c r="D16" t="s">
        <v>54</v>
      </c>
      <c r="E16">
        <v>71.053619999999995</v>
      </c>
      <c r="F16">
        <v>3.6666666666666701</v>
      </c>
      <c r="G16">
        <v>80</v>
      </c>
      <c r="H16" s="1">
        <v>10.6130136986301</v>
      </c>
      <c r="I16" s="1">
        <v>16.462328767123299</v>
      </c>
      <c r="J16" s="1">
        <f t="shared" si="4"/>
        <v>26.093245303263288</v>
      </c>
      <c r="K16" s="1">
        <v>0.64928850888495404</v>
      </c>
      <c r="L16" s="1">
        <f>H16/I16*44.01/E16</f>
        <v>0.39931223168444013</v>
      </c>
      <c r="M16" s="1">
        <f t="shared" si="0"/>
        <v>2.4307085908857964</v>
      </c>
      <c r="N16" s="6">
        <f t="shared" si="1"/>
        <v>2.116261832822437</v>
      </c>
      <c r="O16" s="7">
        <f t="shared" si="2"/>
        <v>411.82424156468346</v>
      </c>
      <c r="P16" s="1">
        <f t="shared" si="3"/>
        <v>350.41456105307958</v>
      </c>
      <c r="Q16">
        <v>1.1200000000000001</v>
      </c>
      <c r="R16" t="s">
        <v>50</v>
      </c>
      <c r="S16" t="s">
        <v>51</v>
      </c>
      <c r="T16"/>
      <c r="U16"/>
      <c r="V16"/>
    </row>
    <row r="17" spans="1:22" x14ac:dyDescent="0.2">
      <c r="A17" t="s">
        <v>16</v>
      </c>
      <c r="B17" t="s">
        <v>55</v>
      </c>
      <c r="C17" s="5" t="s">
        <v>56</v>
      </c>
      <c r="D17" t="s">
        <v>54</v>
      </c>
      <c r="E17">
        <v>71.053619999999995</v>
      </c>
      <c r="F17">
        <v>3.6666666666666701</v>
      </c>
      <c r="G17">
        <v>80</v>
      </c>
      <c r="H17" s="1">
        <v>0.804255319148938</v>
      </c>
      <c r="I17" s="1">
        <v>19.731914893616999</v>
      </c>
      <c r="J17" s="1">
        <f t="shared" si="4"/>
        <v>26.093245303263288</v>
      </c>
      <c r="K17" s="1">
        <v>0.77824381835378598</v>
      </c>
      <c r="L17" s="1">
        <f>H17/I17*44.01/E17</f>
        <v>2.5245842461974272E-2</v>
      </c>
      <c r="M17" s="1">
        <f t="shared" si="0"/>
        <v>2.3358394069998867</v>
      </c>
      <c r="N17" s="6">
        <f t="shared" si="1"/>
        <v>2.0734966015041243</v>
      </c>
      <c r="O17" s="7">
        <f t="shared" si="2"/>
        <v>295.5654294647602</v>
      </c>
      <c r="P17" s="1">
        <f t="shared" si="3"/>
        <v>240.00769627894567</v>
      </c>
      <c r="Q17">
        <v>1.1200000000000001</v>
      </c>
      <c r="R17" t="s">
        <v>50</v>
      </c>
      <c r="S17" t="s">
        <v>51</v>
      </c>
      <c r="T17"/>
      <c r="U17"/>
      <c r="V17"/>
    </row>
    <row r="18" spans="1:22" x14ac:dyDescent="0.2">
      <c r="A18" t="s">
        <v>16</v>
      </c>
      <c r="B18" t="s">
        <v>57</v>
      </c>
      <c r="C18" s="5" t="s">
        <v>57</v>
      </c>
      <c r="D18" t="s">
        <v>58</v>
      </c>
      <c r="E18">
        <v>144.12291999999999</v>
      </c>
      <c r="F18">
        <v>4</v>
      </c>
      <c r="G18">
        <v>337.5</v>
      </c>
      <c r="H18" s="1">
        <v>14.641935483871</v>
      </c>
      <c r="I18" s="1">
        <v>7.5596774193548404</v>
      </c>
      <c r="J18" s="1">
        <f t="shared" si="4"/>
        <v>26.093245303263288</v>
      </c>
      <c r="K18" s="1">
        <v>0.604778792661122</v>
      </c>
      <c r="L18" s="1">
        <f>H18/I18*44.01/E18</f>
        <v>0.59144387813308941</v>
      </c>
      <c r="M18" s="1">
        <f t="shared" si="0"/>
        <v>2.4468571044703356</v>
      </c>
      <c r="N18" s="6">
        <f t="shared" si="1"/>
        <v>2.1092681064032881</v>
      </c>
      <c r="O18" s="7">
        <f t="shared" si="2"/>
        <v>467.87917548917102</v>
      </c>
      <c r="P18" s="1">
        <f t="shared" si="3"/>
        <v>403.87032230776521</v>
      </c>
      <c r="T18"/>
      <c r="U18"/>
      <c r="V18"/>
    </row>
    <row r="19" spans="1:22" x14ac:dyDescent="0.2">
      <c r="A19" t="s">
        <v>16</v>
      </c>
      <c r="B19" t="s">
        <v>59</v>
      </c>
      <c r="C19" s="5" t="s">
        <v>60</v>
      </c>
      <c r="D19" t="s">
        <v>61</v>
      </c>
      <c r="E19">
        <v>121.1121</v>
      </c>
      <c r="F19">
        <v>4.1428571428571397</v>
      </c>
      <c r="G19">
        <v>249.2</v>
      </c>
      <c r="H19" s="1">
        <v>13.253305785124001</v>
      </c>
      <c r="I19" s="1">
        <v>6.6780991735537203</v>
      </c>
      <c r="J19" s="1">
        <f t="shared" si="4"/>
        <v>26.093245303263288</v>
      </c>
      <c r="K19" s="1">
        <v>0.44895274981663003</v>
      </c>
      <c r="L19" s="1">
        <f>H19/I19*44.01/E19</f>
        <v>0.72116590810792569</v>
      </c>
      <c r="M19" s="1">
        <f t="shared" si="0"/>
        <v>3.3716924177415262</v>
      </c>
      <c r="N19" s="6">
        <f t="shared" si="1"/>
        <v>2.916930381536031</v>
      </c>
      <c r="O19" s="7">
        <f t="shared" si="2"/>
        <v>608.37234056442981</v>
      </c>
      <c r="P19" s="1">
        <f t="shared" si="3"/>
        <v>531.20344071863133</v>
      </c>
      <c r="T19"/>
      <c r="U19"/>
      <c r="V19"/>
    </row>
    <row r="20" spans="1:22" x14ac:dyDescent="0.2">
      <c r="A20" t="s">
        <v>16</v>
      </c>
      <c r="B20" t="s">
        <v>62</v>
      </c>
      <c r="C20" s="5" t="s">
        <v>63</v>
      </c>
      <c r="D20" t="s">
        <v>61</v>
      </c>
      <c r="E20">
        <v>121.1121</v>
      </c>
      <c r="F20">
        <v>4.1428571428571397</v>
      </c>
      <c r="G20">
        <v>249.2</v>
      </c>
      <c r="H20" s="1">
        <v>13.253305785124001</v>
      </c>
      <c r="I20" s="1">
        <v>6.6780991735537203</v>
      </c>
      <c r="J20" s="1">
        <f t="shared" si="4"/>
        <v>26.093245303263288</v>
      </c>
      <c r="K20" s="1">
        <v>0.44895274981663003</v>
      </c>
      <c r="L20" s="1">
        <f>H20/I20*44.01/E20</f>
        <v>0.72116590810792569</v>
      </c>
      <c r="M20" s="1">
        <f t="shared" si="0"/>
        <v>3.3716924177415262</v>
      </c>
      <c r="N20" s="6">
        <f t="shared" si="1"/>
        <v>2.916930381536031</v>
      </c>
      <c r="O20" s="7">
        <f t="shared" si="2"/>
        <v>608.37234056442981</v>
      </c>
      <c r="P20" s="1">
        <f t="shared" si="3"/>
        <v>531.20344071863133</v>
      </c>
      <c r="T20"/>
      <c r="U20"/>
      <c r="V20"/>
    </row>
    <row r="21" spans="1:22" x14ac:dyDescent="0.2">
      <c r="A21" t="s">
        <v>16</v>
      </c>
      <c r="B21" t="s">
        <v>64</v>
      </c>
      <c r="C21" s="5" t="s">
        <v>65</v>
      </c>
      <c r="D21" t="s">
        <v>66</v>
      </c>
      <c r="E21">
        <v>108.13661999999999</v>
      </c>
      <c r="F21">
        <v>4.8571428571428603</v>
      </c>
      <c r="G21">
        <v>205</v>
      </c>
      <c r="H21" s="1">
        <v>19.330769230769199</v>
      </c>
      <c r="I21" s="1">
        <v>5.8098901098901097</v>
      </c>
      <c r="J21" s="1">
        <f t="shared" si="4"/>
        <v>26.093245303263288</v>
      </c>
      <c r="K21" s="1">
        <v>0.34873934376791998</v>
      </c>
      <c r="L21" s="1">
        <f>H21/I21*44.01/E21</f>
        <v>1.3541282420729999</v>
      </c>
      <c r="M21" s="1">
        <f t="shared" si="0"/>
        <v>3.9148499585134653</v>
      </c>
      <c r="N21" s="6">
        <f t="shared" si="1"/>
        <v>3.3294079362260804</v>
      </c>
      <c r="O21" s="7">
        <f t="shared" si="2"/>
        <v>848.06940082086055</v>
      </c>
      <c r="P21" s="1">
        <f t="shared" si="3"/>
        <v>756.22344947702095</v>
      </c>
      <c r="T21"/>
      <c r="U21"/>
      <c r="V21"/>
    </row>
    <row r="22" spans="1:22" x14ac:dyDescent="0.2">
      <c r="A22" t="s">
        <v>16</v>
      </c>
      <c r="B22" t="s">
        <v>67</v>
      </c>
      <c r="C22" s="5" t="s">
        <v>68</v>
      </c>
      <c r="D22" t="s">
        <v>69</v>
      </c>
      <c r="E22">
        <v>536.86703999999997</v>
      </c>
      <c r="F22">
        <v>5.4</v>
      </c>
      <c r="G22">
        <v>633</v>
      </c>
      <c r="H22" s="1">
        <v>19.483306836248001</v>
      </c>
      <c r="I22" s="1">
        <v>1.0129173290938001</v>
      </c>
      <c r="J22" s="1">
        <f t="shared" si="4"/>
        <v>26.093245303263288</v>
      </c>
      <c r="K22" s="1">
        <v>0.30185681149041999</v>
      </c>
      <c r="L22" s="1">
        <f>H22/I22*44.01/E22</f>
        <v>1.5767879614657514</v>
      </c>
      <c r="M22" s="1">
        <f t="shared" si="0"/>
        <v>4.5105353324076969</v>
      </c>
      <c r="N22" s="6">
        <f t="shared" si="1"/>
        <v>3.8341660775328701</v>
      </c>
      <c r="O22" s="7">
        <f t="shared" si="2"/>
        <v>977.83228434326168</v>
      </c>
      <c r="P22" s="1">
        <f t="shared" si="3"/>
        <v>875.77402952990701</v>
      </c>
      <c r="T22"/>
      <c r="U22"/>
      <c r="V22"/>
    </row>
    <row r="23" spans="1:22" x14ac:dyDescent="0.2">
      <c r="A23" t="s">
        <v>16</v>
      </c>
      <c r="B23" t="s">
        <v>70</v>
      </c>
      <c r="C23" s="5" t="s">
        <v>70</v>
      </c>
      <c r="D23" t="s">
        <v>71</v>
      </c>
      <c r="E23">
        <v>58.121200000000002</v>
      </c>
      <c r="F23">
        <v>6.5</v>
      </c>
      <c r="G23">
        <v>-1</v>
      </c>
      <c r="H23" s="1">
        <v>24.589318600368401</v>
      </c>
      <c r="I23" s="1">
        <v>8.85267034990793</v>
      </c>
      <c r="J23" s="1">
        <f t="shared" si="4"/>
        <v>26.093245303263288</v>
      </c>
      <c r="K23" s="1">
        <v>0.28560716741473902</v>
      </c>
      <c r="L23" s="1">
        <f>H23/I23*44.01/E23</f>
        <v>2.103240799133459</v>
      </c>
      <c r="M23" s="1">
        <f t="shared" si="0"/>
        <v>4.3304212711594374</v>
      </c>
      <c r="N23" s="6">
        <f t="shared" si="1"/>
        <v>3.6155699300157838</v>
      </c>
      <c r="O23" s="7">
        <f t="shared" si="2"/>
        <v>1106.2275878262626</v>
      </c>
      <c r="P23" s="1">
        <f t="shared" si="3"/>
        <v>999.8472973374088</v>
      </c>
      <c r="T23"/>
      <c r="U23"/>
      <c r="V23"/>
    </row>
    <row r="24" spans="1:22" x14ac:dyDescent="0.2">
      <c r="A24" t="s">
        <v>16</v>
      </c>
      <c r="B24" t="s">
        <v>72</v>
      </c>
      <c r="C24" s="5" t="s">
        <v>73</v>
      </c>
      <c r="D24" t="s">
        <v>74</v>
      </c>
      <c r="E24">
        <v>74.120199999999997</v>
      </c>
      <c r="F24">
        <v>6</v>
      </c>
      <c r="G24">
        <v>117.7</v>
      </c>
      <c r="H24" s="1">
        <v>20.000000000000099</v>
      </c>
      <c r="I24" s="1">
        <v>10</v>
      </c>
      <c r="J24" s="1">
        <f t="shared" si="4"/>
        <v>26.093245303263288</v>
      </c>
      <c r="K24" s="1">
        <v>0.41143081841650903</v>
      </c>
      <c r="L24" s="1">
        <f>H24/I24*44.01/E24</f>
        <v>1.1875305247422487</v>
      </c>
      <c r="M24" s="1">
        <f t="shared" si="0"/>
        <v>3.2785909171858565</v>
      </c>
      <c r="N24" s="6">
        <f t="shared" si="1"/>
        <v>2.7823552014160677</v>
      </c>
      <c r="O24" s="7">
        <f t="shared" si="2"/>
        <v>729.57659781715336</v>
      </c>
      <c r="P24" s="1">
        <f t="shared" si="3"/>
        <v>647.74966770192236</v>
      </c>
      <c r="T24"/>
      <c r="U24"/>
      <c r="V24"/>
    </row>
    <row r="25" spans="1:22" x14ac:dyDescent="0.2">
      <c r="A25" t="s">
        <v>16</v>
      </c>
      <c r="B25" t="s">
        <v>75</v>
      </c>
      <c r="C25" s="5" t="s">
        <v>76</v>
      </c>
      <c r="D25" t="s">
        <v>74</v>
      </c>
      <c r="E25">
        <v>74.120199999999997</v>
      </c>
      <c r="F25">
        <v>6</v>
      </c>
      <c r="G25">
        <v>117.7</v>
      </c>
      <c r="H25" s="1">
        <v>23.537931034482799</v>
      </c>
      <c r="I25" s="1">
        <v>9.11551724137931</v>
      </c>
      <c r="J25" s="1">
        <f t="shared" si="4"/>
        <v>26.093245303263288</v>
      </c>
      <c r="K25" s="1">
        <v>0.375040471891048</v>
      </c>
      <c r="L25" s="1">
        <f>H25/I25*44.01/E25</f>
        <v>1.5332103956668366</v>
      </c>
      <c r="M25" s="1">
        <f t="shared" si="0"/>
        <v>3.3662608286916029</v>
      </c>
      <c r="N25" s="6">
        <f t="shared" si="1"/>
        <v>2.821875137096221</v>
      </c>
      <c r="O25" s="7">
        <f t="shared" si="2"/>
        <v>837.01295756089644</v>
      </c>
      <c r="P25" s="1">
        <f t="shared" si="3"/>
        <v>749.77816281382536</v>
      </c>
      <c r="T25"/>
      <c r="U25"/>
      <c r="V25"/>
    </row>
    <row r="26" spans="1:22" x14ac:dyDescent="0.2">
      <c r="A26" t="s">
        <v>16</v>
      </c>
      <c r="B26" t="s">
        <v>77</v>
      </c>
      <c r="C26" s="5" t="s">
        <v>77</v>
      </c>
      <c r="D26" t="s">
        <v>78</v>
      </c>
      <c r="E26">
        <v>87.095680000000002</v>
      </c>
      <c r="F26">
        <v>4.75</v>
      </c>
      <c r="G26">
        <v>163.5</v>
      </c>
      <c r="H26" s="1">
        <v>12</v>
      </c>
      <c r="I26" s="1">
        <v>12</v>
      </c>
      <c r="J26" s="1">
        <f t="shared" si="4"/>
        <v>26.093245303263288</v>
      </c>
      <c r="K26" s="1">
        <v>0.58014706225200097</v>
      </c>
      <c r="L26" s="1">
        <f>H26/I26*44.01/E26</f>
        <v>0.50530634814493669</v>
      </c>
      <c r="M26" s="1">
        <f t="shared" si="0"/>
        <v>2.6619940133655335</v>
      </c>
      <c r="N26" s="6">
        <f t="shared" si="1"/>
        <v>2.3100717509754816</v>
      </c>
      <c r="O26" s="7">
        <f t="shared" si="2"/>
        <v>467.72409298135727</v>
      </c>
      <c r="P26" s="1">
        <f t="shared" si="3"/>
        <v>402.10542895659893</v>
      </c>
      <c r="T26"/>
      <c r="U26"/>
      <c r="V26"/>
    </row>
    <row r="27" spans="1:22" x14ac:dyDescent="0.2">
      <c r="A27" t="s">
        <v>16</v>
      </c>
      <c r="B27" t="s">
        <v>79</v>
      </c>
      <c r="C27" s="5" t="s">
        <v>79</v>
      </c>
      <c r="D27" t="s">
        <v>80</v>
      </c>
      <c r="E27">
        <v>110.10924</v>
      </c>
      <c r="F27">
        <v>4.3333333333333304</v>
      </c>
      <c r="G27">
        <v>245</v>
      </c>
      <c r="H27" s="1">
        <v>8.1971530249110405</v>
      </c>
      <c r="I27" s="1">
        <v>8.6338078291814995</v>
      </c>
      <c r="J27" s="1">
        <f t="shared" si="4"/>
        <v>26.093245303263288</v>
      </c>
      <c r="K27" s="1">
        <v>0.52769913229919996</v>
      </c>
      <c r="L27" s="1">
        <f>H27/I27*44.01/E27</f>
        <v>0.37947945500351926</v>
      </c>
      <c r="M27" s="1">
        <f t="shared" si="0"/>
        <v>3.1026183684171116</v>
      </c>
      <c r="N27" s="6">
        <f t="shared" si="1"/>
        <v>2.7157186102592643</v>
      </c>
      <c r="O27" s="7">
        <f t="shared" si="2"/>
        <v>481.68934493055974</v>
      </c>
      <c r="P27" s="1">
        <f t="shared" si="3"/>
        <v>412.14225604099653</v>
      </c>
      <c r="T27"/>
      <c r="U27"/>
      <c r="V27"/>
    </row>
    <row r="28" spans="1:22" x14ac:dyDescent="0.2">
      <c r="A28" t="s">
        <v>16</v>
      </c>
      <c r="B28" t="s">
        <v>81</v>
      </c>
      <c r="C28" s="5" t="s">
        <v>82</v>
      </c>
      <c r="D28" t="s">
        <v>83</v>
      </c>
      <c r="E28">
        <v>140.09155999999999</v>
      </c>
      <c r="F28">
        <v>3.3333333333333299</v>
      </c>
      <c r="G28">
        <v>345.4</v>
      </c>
      <c r="H28" s="1">
        <v>8.8690909090909198</v>
      </c>
      <c r="I28" s="1">
        <v>8.5218181818181904</v>
      </c>
      <c r="J28" s="1">
        <f t="shared" si="4"/>
        <v>26.093245303263288</v>
      </c>
      <c r="K28" s="1">
        <v>0.66268092922680399</v>
      </c>
      <c r="L28" s="1">
        <f>H28/I28*44.01/E28</f>
        <v>0.32695368729963109</v>
      </c>
      <c r="M28" s="1">
        <f t="shared" si="0"/>
        <v>2.445873957135436</v>
      </c>
      <c r="N28" s="6">
        <f t="shared" si="1"/>
        <v>2.1377819966426506</v>
      </c>
      <c r="O28" s="7">
        <f t="shared" si="2"/>
        <v>393.09975588313205</v>
      </c>
      <c r="P28" s="1">
        <f t="shared" si="3"/>
        <v>332.40380127554306</v>
      </c>
      <c r="T28"/>
      <c r="U28"/>
      <c r="V28"/>
    </row>
    <row r="29" spans="1:22" x14ac:dyDescent="0.2">
      <c r="A29" t="s">
        <v>16</v>
      </c>
      <c r="B29" t="s">
        <v>84</v>
      </c>
      <c r="C29" s="5" t="s">
        <v>84</v>
      </c>
      <c r="D29" t="s">
        <v>85</v>
      </c>
      <c r="E29">
        <v>189.09639999999999</v>
      </c>
      <c r="F29">
        <v>2.5</v>
      </c>
      <c r="H29">
        <v>-9.8945674044265495</v>
      </c>
      <c r="I29">
        <v>11.649094567404401</v>
      </c>
      <c r="J29" s="1">
        <f t="shared" si="4"/>
        <v>26.093245303263288</v>
      </c>
      <c r="K29">
        <v>1.22274436157885</v>
      </c>
      <c r="L29" s="1">
        <f>H29/I29*44.01/E29</f>
        <v>-0.19768455899394777</v>
      </c>
      <c r="M29" s="1">
        <f t="shared" si="0"/>
        <v>1.7004516603914599</v>
      </c>
      <c r="N29" s="6">
        <f t="shared" si="1"/>
        <v>1.5334775380139585</v>
      </c>
      <c r="O29" s="7">
        <f t="shared" si="2"/>
        <v>161.267039281591</v>
      </c>
      <c r="P29" s="1">
        <f t="shared" si="3"/>
        <v>116.42044186640567</v>
      </c>
      <c r="T29"/>
      <c r="U29"/>
      <c r="V29"/>
    </row>
    <row r="30" spans="1:22" x14ac:dyDescent="0.2">
      <c r="A30" t="s">
        <v>16</v>
      </c>
      <c r="B30" t="s">
        <v>86</v>
      </c>
      <c r="C30" s="5" t="s">
        <v>87</v>
      </c>
      <c r="D30" t="s">
        <v>88</v>
      </c>
      <c r="E30">
        <v>163.14818</v>
      </c>
      <c r="F30">
        <v>4.1111111111111098</v>
      </c>
      <c r="G30">
        <v>346</v>
      </c>
      <c r="H30" s="1">
        <v>8.5589189189189199</v>
      </c>
      <c r="I30" s="1">
        <v>5.7156756756756799</v>
      </c>
      <c r="J30" s="1">
        <f t="shared" si="4"/>
        <v>26.093245303263288</v>
      </c>
      <c r="K30" s="1">
        <v>0.51761880779791303</v>
      </c>
      <c r="L30" s="1">
        <f>H30/I30*44.01/E30</f>
        <v>0.40394335637655177</v>
      </c>
      <c r="M30" s="1">
        <f t="shared" si="0"/>
        <v>3.1459662920328824</v>
      </c>
      <c r="N30" s="6">
        <f t="shared" si="1"/>
        <v>2.7515318866540568</v>
      </c>
      <c r="O30" s="7">
        <f t="shared" si="2"/>
        <v>493.46435258958843</v>
      </c>
      <c r="P30" s="1">
        <f t="shared" si="3"/>
        <v>423.07102543051263</v>
      </c>
      <c r="T30"/>
      <c r="U30"/>
      <c r="V30"/>
    </row>
    <row r="31" spans="1:22" x14ac:dyDescent="0.2">
      <c r="A31" t="s">
        <v>16</v>
      </c>
      <c r="B31" t="s">
        <v>89</v>
      </c>
      <c r="C31" s="5" t="s">
        <v>90</v>
      </c>
      <c r="D31" t="s">
        <v>91</v>
      </c>
      <c r="E31">
        <v>88.103520000000003</v>
      </c>
      <c r="F31">
        <v>5</v>
      </c>
      <c r="G31">
        <v>77.099999999999994</v>
      </c>
      <c r="H31" s="1">
        <v>12.022018348623901</v>
      </c>
      <c r="I31" s="1">
        <v>11.994495412844</v>
      </c>
      <c r="J31" s="1">
        <f t="shared" si="4"/>
        <v>26.093245303263288</v>
      </c>
      <c r="K31" s="1">
        <v>0.586591114192623</v>
      </c>
      <c r="L31" s="1">
        <f>H31/I31*44.01/E31</f>
        <v>0.50067223978273545</v>
      </c>
      <c r="M31" s="1">
        <f t="shared" si="0"/>
        <v>2.6318334452532763</v>
      </c>
      <c r="N31" s="6">
        <f t="shared" si="1"/>
        <v>2.2837772580270528</v>
      </c>
      <c r="O31" s="7">
        <f t="shared" si="2"/>
        <v>463.02840266459049</v>
      </c>
      <c r="P31" s="1">
        <f t="shared" si="3"/>
        <v>397.84394885040928</v>
      </c>
      <c r="T31"/>
      <c r="U31"/>
      <c r="V31"/>
    </row>
    <row r="32" spans="1:22" x14ac:dyDescent="0.2">
      <c r="A32" t="s">
        <v>16</v>
      </c>
      <c r="B32" t="s">
        <v>92</v>
      </c>
      <c r="C32" s="5" t="s">
        <v>92</v>
      </c>
      <c r="D32" t="s">
        <v>93</v>
      </c>
      <c r="E32">
        <v>204.34866</v>
      </c>
      <c r="F32">
        <v>5.6</v>
      </c>
      <c r="G32" t="s">
        <v>94</v>
      </c>
      <c r="H32" s="1">
        <v>18.681290322580601</v>
      </c>
      <c r="I32" s="1">
        <v>2.75458064516129</v>
      </c>
      <c r="J32" s="1">
        <f t="shared" si="4"/>
        <v>26.093245303263288</v>
      </c>
      <c r="K32" s="1">
        <v>0.31245503176570699</v>
      </c>
      <c r="L32" s="1">
        <f>H32/I32*44.01/E32</f>
        <v>1.4605988437904982</v>
      </c>
      <c r="M32" s="1">
        <f t="shared" si="0"/>
        <v>4.4202474002790844</v>
      </c>
      <c r="N32" s="6">
        <f t="shared" si="1"/>
        <v>3.7668200398269089</v>
      </c>
      <c r="O32" s="7">
        <f t="shared" si="2"/>
        <v>934.89009289451042</v>
      </c>
      <c r="P32" s="1">
        <f t="shared" si="3"/>
        <v>835.4085093527068</v>
      </c>
      <c r="T32"/>
      <c r="U32"/>
      <c r="V32"/>
    </row>
    <row r="33" spans="1:22" x14ac:dyDescent="0.2">
      <c r="A33" t="s">
        <v>16</v>
      </c>
      <c r="B33" t="s">
        <v>95</v>
      </c>
      <c r="C33" s="5" t="s">
        <v>96</v>
      </c>
      <c r="D33" t="s">
        <v>97</v>
      </c>
      <c r="E33">
        <v>86.08784</v>
      </c>
      <c r="F33">
        <v>4.5</v>
      </c>
      <c r="G33">
        <v>204</v>
      </c>
      <c r="H33" s="1">
        <v>12.267252747252799</v>
      </c>
      <c r="I33" s="1">
        <v>11.933186813186801</v>
      </c>
      <c r="J33" s="1">
        <f t="shared" si="4"/>
        <v>26.093245303263288</v>
      </c>
      <c r="K33" s="1">
        <v>0.57024106331806401</v>
      </c>
      <c r="L33" s="1">
        <f>H33/I33*44.01/E33</f>
        <v>0.52553353132799563</v>
      </c>
      <c r="M33" s="1">
        <f t="shared" si="0"/>
        <v>2.6967879011344986</v>
      </c>
      <c r="N33" s="6">
        <f t="shared" si="1"/>
        <v>2.338752186416444</v>
      </c>
      <c r="O33" s="7">
        <f t="shared" si="2"/>
        <v>477.34229154708902</v>
      </c>
      <c r="P33" s="1">
        <f t="shared" si="3"/>
        <v>411.03700780848493</v>
      </c>
      <c r="T33"/>
      <c r="U33"/>
      <c r="V33"/>
    </row>
    <row r="34" spans="1:22" x14ac:dyDescent="0.2">
      <c r="A34" t="s">
        <v>16</v>
      </c>
      <c r="B34" t="s">
        <v>98</v>
      </c>
      <c r="C34" s="5" t="s">
        <v>99</v>
      </c>
      <c r="D34" t="s">
        <v>100</v>
      </c>
      <c r="E34">
        <v>146.11892</v>
      </c>
      <c r="F34">
        <v>3.4</v>
      </c>
      <c r="G34">
        <v>333.8</v>
      </c>
      <c r="H34">
        <v>0.31340206185567399</v>
      </c>
      <c r="I34">
        <v>11.937319587628901</v>
      </c>
      <c r="J34" s="1">
        <f t="shared" si="4"/>
        <v>26.093245303263288</v>
      </c>
      <c r="K34">
        <v>0.96821880124923998</v>
      </c>
      <c r="L34" s="1">
        <f>H34/I34*44.01/E34</f>
        <v>7.9075135233184178E-3</v>
      </c>
      <c r="M34" s="1">
        <f t="shared" ref="M34:M58" si="5">1.47/(K34*80/100)-L34</f>
        <v>1.8899073167910421</v>
      </c>
      <c r="N34" s="6">
        <f t="shared" ref="N34:N58" si="6">1.47/(K34*90/100)-L34</f>
        <v>1.6790390023116688</v>
      </c>
      <c r="O34" s="7">
        <f t="shared" si="2"/>
        <v>240.58665762596956</v>
      </c>
      <c r="P34" s="1">
        <f t="shared" ref="P34:P58" si="7">0.415/K34/0.9*1000-N34*170</f>
        <v>190.81017509784601</v>
      </c>
      <c r="T34"/>
      <c r="U34"/>
      <c r="V34"/>
    </row>
    <row r="35" spans="1:22" x14ac:dyDescent="0.2">
      <c r="A35" t="s">
        <v>16</v>
      </c>
      <c r="B35" t="s">
        <v>101</v>
      </c>
      <c r="C35" s="5" t="s">
        <v>101</v>
      </c>
      <c r="D35" t="s">
        <v>102</v>
      </c>
      <c r="E35">
        <v>130.09654</v>
      </c>
      <c r="F35">
        <v>3.6</v>
      </c>
      <c r="G35">
        <v>200</v>
      </c>
      <c r="H35" s="1">
        <v>15.5714285714286</v>
      </c>
      <c r="I35" s="1">
        <v>8.8857142857142701</v>
      </c>
      <c r="J35" s="1">
        <f t="shared" si="4"/>
        <v>26.093245303263288</v>
      </c>
      <c r="K35" s="1">
        <v>0.64167974116119897</v>
      </c>
      <c r="L35" s="1">
        <f>H35/I35*44.01/E35</f>
        <v>0.59281848264769177</v>
      </c>
      <c r="M35" s="1">
        <f t="shared" si="5"/>
        <v>2.2707595331936936</v>
      </c>
      <c r="N35" s="6">
        <f t="shared" si="6"/>
        <v>1.9525841981002068</v>
      </c>
      <c r="O35" s="7">
        <f t="shared" si="2"/>
        <v>448.48921076521634</v>
      </c>
      <c r="P35" s="1">
        <f t="shared" si="7"/>
        <v>386.66076286063679</v>
      </c>
      <c r="T35"/>
      <c r="U35"/>
      <c r="V35"/>
    </row>
    <row r="36" spans="1:22" x14ac:dyDescent="0.2">
      <c r="A36" t="s">
        <v>16</v>
      </c>
      <c r="B36" t="s">
        <v>103</v>
      </c>
      <c r="C36" s="5" t="s">
        <v>103</v>
      </c>
      <c r="D36" t="s">
        <v>104</v>
      </c>
      <c r="E36">
        <v>75.041920000000005</v>
      </c>
      <c r="F36">
        <v>2.5</v>
      </c>
      <c r="G36">
        <v>112</v>
      </c>
      <c r="H36">
        <v>1.8130653266331</v>
      </c>
      <c r="I36">
        <v>29.093467336683499</v>
      </c>
      <c r="J36" s="1">
        <f t="shared" si="4"/>
        <v>26.093245303263288</v>
      </c>
      <c r="K36">
        <v>1.21188010965058</v>
      </c>
      <c r="L36" s="1">
        <f>H36/I36*44.01/E36</f>
        <v>3.654815016071538E-2</v>
      </c>
      <c r="M36" s="1">
        <f t="shared" si="5"/>
        <v>1.4796909442574644</v>
      </c>
      <c r="N36" s="6">
        <f t="shared" si="6"/>
        <v>1.3112199337665555</v>
      </c>
      <c r="O36" s="7">
        <f t="shared" si="2"/>
        <v>202.59967878190565</v>
      </c>
      <c r="P36" s="1">
        <f t="shared" si="7"/>
        <v>157.58496148405118</v>
      </c>
      <c r="T36"/>
      <c r="U36"/>
      <c r="V36"/>
    </row>
    <row r="37" spans="1:22" x14ac:dyDescent="0.2">
      <c r="A37" t="s">
        <v>16</v>
      </c>
      <c r="B37" t="s">
        <v>105</v>
      </c>
      <c r="C37" s="5" t="s">
        <v>105</v>
      </c>
      <c r="D37" t="s">
        <v>106</v>
      </c>
      <c r="E37">
        <v>100.20034</v>
      </c>
      <c r="F37">
        <v>6.28571428571429</v>
      </c>
      <c r="G37">
        <v>98</v>
      </c>
      <c r="H37">
        <v>22.216502946954801</v>
      </c>
      <c r="I37">
        <v>5.3976424361493196</v>
      </c>
      <c r="J37" s="1">
        <f t="shared" si="4"/>
        <v>26.093245303263288</v>
      </c>
      <c r="K37">
        <v>0.30021579926748099</v>
      </c>
      <c r="L37" s="1">
        <f>H37/I37*44.01/E37</f>
        <v>1.8078140628256405</v>
      </c>
      <c r="M37" s="1">
        <f t="shared" si="5"/>
        <v>4.3127832024863579</v>
      </c>
      <c r="N37" s="6">
        <f t="shared" si="6"/>
        <v>3.6327168396739138</v>
      </c>
      <c r="O37" s="7">
        <f t="shared" si="2"/>
        <v>1020.8438186387315</v>
      </c>
      <c r="P37" s="1">
        <f t="shared" si="7"/>
        <v>918.37033081823392</v>
      </c>
      <c r="T37"/>
      <c r="U37"/>
      <c r="V37"/>
    </row>
    <row r="38" spans="1:22" x14ac:dyDescent="0.2">
      <c r="A38" t="s">
        <v>16</v>
      </c>
      <c r="B38" t="s">
        <v>107</v>
      </c>
      <c r="C38" s="5" t="s">
        <v>107</v>
      </c>
      <c r="D38" t="s">
        <v>108</v>
      </c>
      <c r="E38">
        <v>86.173959999999994</v>
      </c>
      <c r="F38">
        <v>6.3333333333333304</v>
      </c>
      <c r="G38">
        <v>69</v>
      </c>
      <c r="H38">
        <v>22.105263157894701</v>
      </c>
      <c r="I38">
        <v>6.3157894736842097</v>
      </c>
      <c r="J38" s="1">
        <f t="shared" si="4"/>
        <v>26.093245303263288</v>
      </c>
      <c r="K38">
        <v>0.30210918755715099</v>
      </c>
      <c r="L38" s="1">
        <f>H38/I38*44.01/E38</f>
        <v>1.7874889351725252</v>
      </c>
      <c r="M38" s="1">
        <f t="shared" si="5"/>
        <v>4.2947491286811079</v>
      </c>
      <c r="N38" s="6">
        <f t="shared" si="6"/>
        <v>3.6189448993640383</v>
      </c>
      <c r="O38" s="7">
        <f t="shared" si="2"/>
        <v>1013.0803128147248</v>
      </c>
      <c r="P38" s="1">
        <f t="shared" si="7"/>
        <v>911.08551767455788</v>
      </c>
      <c r="T38"/>
      <c r="U38"/>
      <c r="V38"/>
    </row>
    <row r="39" spans="1:22" x14ac:dyDescent="0.2">
      <c r="A39" t="s">
        <v>16</v>
      </c>
      <c r="B39" t="s">
        <v>109</v>
      </c>
      <c r="C39" s="5" t="s">
        <v>109</v>
      </c>
      <c r="D39" t="s">
        <v>110</v>
      </c>
      <c r="E39">
        <v>86.130899999999997</v>
      </c>
      <c r="F39">
        <v>5.6</v>
      </c>
      <c r="G39">
        <v>108</v>
      </c>
      <c r="H39" s="1">
        <v>20</v>
      </c>
      <c r="I39" s="1">
        <v>10</v>
      </c>
      <c r="J39" s="1">
        <f t="shared" si="4"/>
        <v>26.093245303263288</v>
      </c>
      <c r="K39" s="1">
        <v>0.47810052695419702</v>
      </c>
      <c r="L39" s="1">
        <f>H39/I39*44.01/E39</f>
        <v>1.02193289516306</v>
      </c>
      <c r="M39" s="1">
        <f t="shared" si="5"/>
        <v>2.82140108253832</v>
      </c>
      <c r="N39" s="6">
        <f t="shared" si="6"/>
        <v>2.3943639739048335</v>
      </c>
      <c r="O39" s="7">
        <f t="shared" si="2"/>
        <v>631.47791892213854</v>
      </c>
      <c r="P39" s="1">
        <f t="shared" si="7"/>
        <v>557.42288679208025</v>
      </c>
      <c r="T39"/>
      <c r="U39"/>
      <c r="V39"/>
    </row>
    <row r="40" spans="1:22" x14ac:dyDescent="0.2">
      <c r="A40" t="s">
        <v>16</v>
      </c>
      <c r="B40" t="s">
        <v>111</v>
      </c>
      <c r="C40" s="5" t="s">
        <v>111</v>
      </c>
      <c r="D40" t="s">
        <v>78</v>
      </c>
      <c r="E40">
        <v>87.095680000000002</v>
      </c>
      <c r="F40">
        <v>4.75</v>
      </c>
      <c r="G40">
        <v>155</v>
      </c>
      <c r="H40" s="1">
        <v>13.415873015873</v>
      </c>
      <c r="I40" s="1">
        <v>11.646031746031699</v>
      </c>
      <c r="J40" s="1">
        <f t="shared" si="4"/>
        <v>26.093245303263288</v>
      </c>
      <c r="K40" s="1">
        <v>0.56303425869615498</v>
      </c>
      <c r="L40" s="1">
        <f>H40/I40*44.01/E40</f>
        <v>0.58209748596442912</v>
      </c>
      <c r="M40" s="1">
        <f t="shared" si="5"/>
        <v>2.6814694668799417</v>
      </c>
      <c r="N40" s="6">
        <f t="shared" si="6"/>
        <v>2.3188509165639006</v>
      </c>
      <c r="O40" s="7">
        <f t="shared" si="2"/>
        <v>491.59056887953301</v>
      </c>
      <c r="P40" s="1">
        <f t="shared" si="7"/>
        <v>424.77057346934555</v>
      </c>
      <c r="T40"/>
      <c r="U40"/>
      <c r="V40"/>
    </row>
    <row r="41" spans="1:22" x14ac:dyDescent="0.2">
      <c r="A41" t="s">
        <v>16</v>
      </c>
      <c r="B41" t="s">
        <v>112</v>
      </c>
      <c r="C41" s="5" t="s">
        <v>112</v>
      </c>
      <c r="D41" t="s">
        <v>113</v>
      </c>
      <c r="E41">
        <v>68.116219999999998</v>
      </c>
      <c r="F41">
        <v>5.6</v>
      </c>
      <c r="G41">
        <v>34.07</v>
      </c>
      <c r="H41" s="1">
        <v>18.787644787644801</v>
      </c>
      <c r="I41" s="1">
        <v>8.2424710424710401</v>
      </c>
      <c r="J41" s="1">
        <f t="shared" si="4"/>
        <v>26.093245303263288</v>
      </c>
      <c r="K41" s="1">
        <v>0.31165077170968197</v>
      </c>
      <c r="L41" s="1">
        <f>H41/I41*44.01/E41</f>
        <v>1.4727049262089904</v>
      </c>
      <c r="M41" s="1">
        <f t="shared" si="5"/>
        <v>4.4233176952646431</v>
      </c>
      <c r="N41" s="6">
        <f t="shared" si="6"/>
        <v>3.7682040706564619</v>
      </c>
      <c r="O41" s="7">
        <f t="shared" si="2"/>
        <v>938.6526302453882</v>
      </c>
      <c r="P41" s="1">
        <f t="shared" si="7"/>
        <v>838.98165744361393</v>
      </c>
      <c r="T41"/>
      <c r="U41"/>
      <c r="V41"/>
    </row>
    <row r="42" spans="1:22" x14ac:dyDescent="0.2">
      <c r="A42" t="s">
        <v>16</v>
      </c>
      <c r="B42" t="s">
        <v>114</v>
      </c>
      <c r="C42" s="5" t="s">
        <v>114</v>
      </c>
      <c r="D42" t="s">
        <v>32</v>
      </c>
      <c r="E42">
        <v>60.093820000000001</v>
      </c>
      <c r="F42">
        <v>6</v>
      </c>
      <c r="G42">
        <v>82.5</v>
      </c>
      <c r="H42" s="1">
        <v>21.070909090909101</v>
      </c>
      <c r="I42" s="1">
        <v>12.976363636363599</v>
      </c>
      <c r="J42" s="1">
        <f t="shared" si="4"/>
        <v>26.093245303263288</v>
      </c>
      <c r="K42" s="1">
        <v>0.43285561560374503</v>
      </c>
      <c r="L42" s="1">
        <f>H42/I42*44.01/E42</f>
        <v>1.189191572656501</v>
      </c>
      <c r="M42" s="1">
        <f t="shared" si="5"/>
        <v>3.0558729101897324</v>
      </c>
      <c r="N42" s="6">
        <f t="shared" si="6"/>
        <v>2.5841990787623734</v>
      </c>
      <c r="O42" s="7">
        <f t="shared" si="2"/>
        <v>705.03142225889098</v>
      </c>
      <c r="P42" s="1">
        <f t="shared" si="7"/>
        <v>625.96310922184739</v>
      </c>
      <c r="T42"/>
      <c r="U42"/>
      <c r="V42"/>
    </row>
    <row r="43" spans="1:22" x14ac:dyDescent="0.2">
      <c r="A43" t="s">
        <v>16</v>
      </c>
      <c r="B43" t="s">
        <v>115</v>
      </c>
      <c r="C43" s="5" t="s">
        <v>115</v>
      </c>
      <c r="D43" t="s">
        <v>116</v>
      </c>
      <c r="E43">
        <v>128.08086</v>
      </c>
      <c r="F43">
        <v>3.2</v>
      </c>
      <c r="G43">
        <v>381</v>
      </c>
      <c r="H43" s="1">
        <v>0.31340206185568997</v>
      </c>
      <c r="I43" s="1">
        <v>11.937319587628901</v>
      </c>
      <c r="J43" s="1">
        <f t="shared" si="4"/>
        <v>26.093245303263288</v>
      </c>
      <c r="K43" s="1">
        <v>0.84869431509740001</v>
      </c>
      <c r="L43" s="1">
        <f>H43/I43*44.01/E43</f>
        <v>9.0211553538346069E-3</v>
      </c>
      <c r="M43" s="1">
        <f t="shared" si="5"/>
        <v>2.1560693457992461</v>
      </c>
      <c r="N43" s="6">
        <f t="shared" si="6"/>
        <v>1.9155037345600145</v>
      </c>
      <c r="O43" s="7">
        <f t="shared" si="2"/>
        <v>270.79448915584612</v>
      </c>
      <c r="P43" s="1">
        <f t="shared" si="7"/>
        <v>217.68261635897937</v>
      </c>
      <c r="T43"/>
      <c r="U43"/>
      <c r="V43"/>
    </row>
    <row r="44" spans="1:22" x14ac:dyDescent="0.2">
      <c r="A44" t="s">
        <v>16</v>
      </c>
      <c r="B44" t="s">
        <v>117</v>
      </c>
      <c r="C44" s="5" t="s">
        <v>117</v>
      </c>
      <c r="D44" t="s">
        <v>118</v>
      </c>
      <c r="E44">
        <v>136.23244</v>
      </c>
      <c r="F44">
        <v>5.6</v>
      </c>
      <c r="G44">
        <v>176</v>
      </c>
      <c r="H44">
        <v>18.6279069767442</v>
      </c>
      <c r="I44">
        <v>4.13720930232558</v>
      </c>
      <c r="J44" s="1">
        <f t="shared" si="4"/>
        <v>26.093245303263288</v>
      </c>
      <c r="K44">
        <v>0.312858720437239</v>
      </c>
      <c r="L44" s="1">
        <f>H44/I44*44.01/E44</f>
        <v>1.4545458025812592</v>
      </c>
      <c r="M44" s="1">
        <f t="shared" si="5"/>
        <v>4.4187122527862961</v>
      </c>
      <c r="N44" s="6">
        <f t="shared" si="6"/>
        <v>3.7661280244121236</v>
      </c>
      <c r="O44" s="7">
        <f t="shared" si="2"/>
        <v>933.00882421907295</v>
      </c>
      <c r="P44" s="1">
        <f t="shared" si="7"/>
        <v>833.62193530725449</v>
      </c>
      <c r="T44"/>
      <c r="U44"/>
      <c r="V44"/>
    </row>
    <row r="45" spans="1:22" x14ac:dyDescent="0.2">
      <c r="A45" t="s">
        <v>16</v>
      </c>
      <c r="B45" t="s">
        <v>119</v>
      </c>
      <c r="C45" s="5" t="s">
        <v>120</v>
      </c>
      <c r="D45" t="s">
        <v>121</v>
      </c>
      <c r="E45">
        <v>147.19319999999999</v>
      </c>
      <c r="F45">
        <v>4.8333333333333304</v>
      </c>
      <c r="H45">
        <v>13.004444444444401</v>
      </c>
      <c r="I45">
        <v>7.8325925925925901</v>
      </c>
      <c r="J45" s="1">
        <f t="shared" si="4"/>
        <v>26.093245303263288</v>
      </c>
      <c r="K45">
        <v>0.63996101964404795</v>
      </c>
      <c r="L45" s="1">
        <f>H45/I45*44.01/E45</f>
        <v>0.49642070572847224</v>
      </c>
      <c r="M45" s="1">
        <f t="shared" si="5"/>
        <v>2.3748479240734399</v>
      </c>
      <c r="N45" s="6">
        <f t="shared" si="6"/>
        <v>2.0558180763176717</v>
      </c>
      <c r="O45" s="7">
        <f t="shared" si="2"/>
        <v>432.96534403920936</v>
      </c>
      <c r="P45" s="1">
        <f t="shared" si="7"/>
        <v>371.04092331793441</v>
      </c>
      <c r="T45"/>
      <c r="U45"/>
      <c r="V45"/>
    </row>
    <row r="46" spans="1:22" x14ac:dyDescent="0.2">
      <c r="A46" t="s">
        <v>16</v>
      </c>
      <c r="B46" t="s">
        <v>149</v>
      </c>
      <c r="C46" s="5" t="s">
        <v>122</v>
      </c>
      <c r="D46" t="s">
        <v>123</v>
      </c>
      <c r="E46">
        <v>132.06916000000001</v>
      </c>
      <c r="F46">
        <v>2.5</v>
      </c>
      <c r="H46">
        <v>-13.646153846153799</v>
      </c>
      <c r="I46">
        <v>18.411538461538498</v>
      </c>
      <c r="J46" s="1">
        <f t="shared" si="4"/>
        <v>26.093245303263288</v>
      </c>
      <c r="K46">
        <v>1.3497450151189201</v>
      </c>
      <c r="L46" s="1">
        <f>H46/I46*44.01/E46</f>
        <v>-0.24698474882407134</v>
      </c>
      <c r="M46" s="1">
        <f t="shared" si="5"/>
        <v>1.6083529920237738</v>
      </c>
      <c r="N46" s="6">
        <f t="shared" si="6"/>
        <v>1.4570898538904735</v>
      </c>
      <c r="O46" s="7">
        <f t="shared" si="2"/>
        <v>137.00508763056627</v>
      </c>
      <c r="P46" s="1">
        <f t="shared" si="7"/>
        <v>93.923036813147974</v>
      </c>
      <c r="T46"/>
      <c r="U46"/>
      <c r="V46"/>
    </row>
    <row r="47" spans="1:22" x14ac:dyDescent="0.2">
      <c r="A47" t="s">
        <v>16</v>
      </c>
      <c r="B47" t="s">
        <v>124</v>
      </c>
      <c r="C47" s="5" t="s">
        <v>124</v>
      </c>
      <c r="D47" t="s">
        <v>125</v>
      </c>
      <c r="E47">
        <v>102.04378</v>
      </c>
      <c r="F47">
        <v>2</v>
      </c>
      <c r="G47">
        <v>199</v>
      </c>
      <c r="H47" s="1">
        <v>-12.420895522388101</v>
      </c>
      <c r="I47" s="1">
        <v>24.140298507462699</v>
      </c>
      <c r="J47" s="1">
        <f t="shared" si="4"/>
        <v>26.093245303263288</v>
      </c>
      <c r="K47" s="1">
        <v>1.36738059048148</v>
      </c>
      <c r="L47" s="1">
        <f>H47/I47*44.01/E47</f>
        <v>-0.22190909561663211</v>
      </c>
      <c r="M47" s="1">
        <f t="shared" si="5"/>
        <v>1.565719306753959</v>
      </c>
      <c r="N47" s="6">
        <f t="shared" si="6"/>
        <v>1.4164070610720334</v>
      </c>
      <c r="O47" s="7">
        <f t="shared" si="2"/>
        <v>139.2959547346756</v>
      </c>
      <c r="P47" s="1">
        <f t="shared" si="7"/>
        <v>96.433014355163607</v>
      </c>
      <c r="T47"/>
      <c r="U47"/>
      <c r="V47"/>
    </row>
    <row r="48" spans="1:22" x14ac:dyDescent="0.2">
      <c r="A48" t="s">
        <v>16</v>
      </c>
      <c r="B48" t="s">
        <v>126</v>
      </c>
      <c r="C48" s="5" t="s">
        <v>126</v>
      </c>
      <c r="D48" t="s">
        <v>127</v>
      </c>
      <c r="E48">
        <v>128.25309999999999</v>
      </c>
      <c r="F48">
        <v>6.2222222222222197</v>
      </c>
      <c r="G48">
        <v>151</v>
      </c>
      <c r="H48">
        <v>21.544945567651599</v>
      </c>
      <c r="I48">
        <v>4.2727838258164903</v>
      </c>
      <c r="J48" s="1">
        <f t="shared" si="4"/>
        <v>26.093245303263288</v>
      </c>
      <c r="K48">
        <v>0.30418586503086398</v>
      </c>
      <c r="L48" s="1">
        <f>H48/I48*44.01/E48</f>
        <v>1.7302863334623613</v>
      </c>
      <c r="M48" s="1">
        <f t="shared" si="5"/>
        <v>4.3104282796691846</v>
      </c>
      <c r="N48" s="6">
        <f t="shared" si="6"/>
        <v>3.6392377670990124</v>
      </c>
      <c r="O48" s="7">
        <f t="shared" si="2"/>
        <v>998.69225031024405</v>
      </c>
      <c r="P48" s="1">
        <f t="shared" si="7"/>
        <v>897.21563519382767</v>
      </c>
      <c r="T48"/>
      <c r="U48"/>
      <c r="V48"/>
    </row>
    <row r="49" spans="1:22" x14ac:dyDescent="0.2">
      <c r="A49" t="s">
        <v>16</v>
      </c>
      <c r="B49" t="s">
        <v>128</v>
      </c>
      <c r="C49" s="5" t="s">
        <v>128</v>
      </c>
      <c r="D49" t="s">
        <v>129</v>
      </c>
      <c r="E49">
        <v>114.22672</v>
      </c>
      <c r="F49">
        <v>6.25</v>
      </c>
      <c r="G49">
        <v>126</v>
      </c>
      <c r="H49">
        <v>21.6</v>
      </c>
      <c r="I49">
        <v>4.8</v>
      </c>
      <c r="J49" s="1">
        <f t="shared" si="4"/>
        <v>26.093245303263288</v>
      </c>
      <c r="K49">
        <v>0.304347109012442</v>
      </c>
      <c r="L49" s="1">
        <f>H49/I49*44.01/E49</f>
        <v>1.7337887317433263</v>
      </c>
      <c r="M49" s="1">
        <f t="shared" si="5"/>
        <v>4.3037254932558708</v>
      </c>
      <c r="N49" s="6">
        <f t="shared" si="6"/>
        <v>3.6328905793670723</v>
      </c>
      <c r="O49" s="7">
        <f t="shared" si="2"/>
        <v>998.92821306518499</v>
      </c>
      <c r="P49" s="1">
        <f t="shared" si="7"/>
        <v>897.49153627685951</v>
      </c>
      <c r="T49"/>
      <c r="U49"/>
      <c r="V49"/>
    </row>
    <row r="50" spans="1:22" x14ac:dyDescent="0.2">
      <c r="A50" t="s">
        <v>16</v>
      </c>
      <c r="B50" t="s">
        <v>130</v>
      </c>
      <c r="C50" s="5" t="s">
        <v>130</v>
      </c>
      <c r="D50" t="s">
        <v>131</v>
      </c>
      <c r="E50">
        <v>72.147580000000005</v>
      </c>
      <c r="F50">
        <v>6.4</v>
      </c>
      <c r="G50">
        <v>36.1</v>
      </c>
      <c r="H50" s="1">
        <v>23.465425531914899</v>
      </c>
      <c r="I50" s="1">
        <v>7.3069148936170301</v>
      </c>
      <c r="J50" s="1">
        <f t="shared" si="4"/>
        <v>26.093245303263288</v>
      </c>
      <c r="K50" s="1">
        <v>0.29262811819002599</v>
      </c>
      <c r="L50" s="1">
        <f>H50/I50*44.01/E50</f>
        <v>1.958952860695238</v>
      </c>
      <c r="M50" s="1">
        <f t="shared" si="5"/>
        <v>4.3203480190881933</v>
      </c>
      <c r="N50" s="6">
        <f t="shared" si="6"/>
        <v>3.6226479213344787</v>
      </c>
      <c r="O50" s="7">
        <f t="shared" si="2"/>
        <v>1064.3618814529123</v>
      </c>
      <c r="P50" s="1">
        <f t="shared" si="7"/>
        <v>959.90789727948697</v>
      </c>
      <c r="T50"/>
      <c r="U50"/>
      <c r="V50"/>
    </row>
    <row r="51" spans="1:22" x14ac:dyDescent="0.2">
      <c r="A51" t="s">
        <v>16</v>
      </c>
      <c r="B51" t="s">
        <v>132</v>
      </c>
      <c r="C51" s="5" t="s">
        <v>133</v>
      </c>
      <c r="D51" t="s">
        <v>38</v>
      </c>
      <c r="E51">
        <v>88.14658</v>
      </c>
      <c r="F51">
        <v>6</v>
      </c>
      <c r="G51">
        <v>138</v>
      </c>
      <c r="H51" s="1">
        <v>20</v>
      </c>
      <c r="I51" s="1">
        <v>8</v>
      </c>
      <c r="J51" s="1">
        <f t="shared" si="4"/>
        <v>26.093245303263288</v>
      </c>
      <c r="K51" s="1">
        <v>0.39143142679071302</v>
      </c>
      <c r="L51" s="1">
        <f>H51/I51*44.01/E51</f>
        <v>1.2482049785709213</v>
      </c>
      <c r="M51" s="1">
        <f t="shared" si="5"/>
        <v>3.4461038434503042</v>
      </c>
      <c r="N51" s="6">
        <f t="shared" si="6"/>
        <v>2.9245139743368354</v>
      </c>
      <c r="O51" s="7">
        <f t="shared" si="2"/>
        <v>765.5196471131801</v>
      </c>
      <c r="P51" s="1">
        <f t="shared" si="7"/>
        <v>680.84511787071006</v>
      </c>
      <c r="T51"/>
      <c r="U51"/>
      <c r="V51"/>
    </row>
    <row r="52" spans="1:22" x14ac:dyDescent="0.2">
      <c r="A52" t="s">
        <v>16</v>
      </c>
      <c r="B52" t="s">
        <v>134</v>
      </c>
      <c r="C52" s="5" t="s">
        <v>135</v>
      </c>
      <c r="D52" t="s">
        <v>38</v>
      </c>
      <c r="E52">
        <v>88.14658</v>
      </c>
      <c r="F52">
        <v>6</v>
      </c>
      <c r="G52">
        <v>138</v>
      </c>
      <c r="H52" s="1">
        <v>24.089947089947099</v>
      </c>
      <c r="I52" s="1">
        <v>7.1820105820105802</v>
      </c>
      <c r="J52" s="1">
        <f t="shared" si="4"/>
        <v>26.093245303263288</v>
      </c>
      <c r="K52" s="1">
        <v>0.35140808116779998</v>
      </c>
      <c r="L52" s="1">
        <f>H52/I52*44.01/E52</f>
        <v>1.6746949366239599</v>
      </c>
      <c r="M52" s="1">
        <f t="shared" si="5"/>
        <v>3.5542684779156732</v>
      </c>
      <c r="N52" s="6">
        <f t="shared" si="6"/>
        <v>2.9732725429668254</v>
      </c>
      <c r="O52" s="7">
        <f t="shared" si="2"/>
        <v>898.07156122354957</v>
      </c>
      <c r="P52" s="1">
        <f t="shared" si="7"/>
        <v>806.72496295426254</v>
      </c>
      <c r="T52"/>
      <c r="U52"/>
      <c r="V52"/>
    </row>
    <row r="53" spans="1:22" x14ac:dyDescent="0.2">
      <c r="A53" t="s">
        <v>16</v>
      </c>
      <c r="B53" t="s">
        <v>136</v>
      </c>
      <c r="C53" s="5" t="s">
        <v>136</v>
      </c>
      <c r="D53" t="s">
        <v>137</v>
      </c>
      <c r="E53">
        <v>94.110240000000005</v>
      </c>
      <c r="F53">
        <v>4.6666666666666696</v>
      </c>
      <c r="G53">
        <v>181.7</v>
      </c>
      <c r="H53" s="1">
        <v>16.2736248236954</v>
      </c>
      <c r="I53" s="1">
        <v>7.2877291960507904</v>
      </c>
      <c r="J53" s="1">
        <f t="shared" si="4"/>
        <v>26.093245303263288</v>
      </c>
      <c r="K53" s="1">
        <v>0.38070566950101697</v>
      </c>
      <c r="L53" s="1">
        <f>H53/I53*44.01/E53</f>
        <v>1.0442549934931102</v>
      </c>
      <c r="M53" s="1">
        <f t="shared" si="5"/>
        <v>3.7823082736323119</v>
      </c>
      <c r="N53" s="6">
        <f t="shared" si="6"/>
        <v>3.2460234661739324</v>
      </c>
      <c r="O53" s="7">
        <f t="shared" si="2"/>
        <v>745.70203324634849</v>
      </c>
      <c r="P53" s="1">
        <f t="shared" si="7"/>
        <v>659.37707249316804</v>
      </c>
      <c r="T53"/>
      <c r="U53"/>
      <c r="V53"/>
    </row>
    <row r="54" spans="1:22" x14ac:dyDescent="0.2">
      <c r="A54" t="s">
        <v>16</v>
      </c>
      <c r="B54" t="s">
        <v>138</v>
      </c>
      <c r="C54" s="5" t="s">
        <v>139</v>
      </c>
      <c r="D54" t="s">
        <v>140</v>
      </c>
      <c r="E54">
        <v>44.094819999999999</v>
      </c>
      <c r="F54">
        <v>6.6666666666666696</v>
      </c>
      <c r="G54">
        <v>-42</v>
      </c>
      <c r="H54" s="1">
        <v>25.9413223140496</v>
      </c>
      <c r="I54" s="1">
        <v>11.3528925619835</v>
      </c>
      <c r="J54" s="1">
        <f t="shared" si="4"/>
        <v>26.093245303263288</v>
      </c>
      <c r="K54" s="1">
        <v>0.27787811178409699</v>
      </c>
      <c r="L54" s="1">
        <f>H54/I54*44.01/E54</f>
        <v>2.2806013457128809</v>
      </c>
      <c r="M54" s="1">
        <f t="shared" si="5"/>
        <v>4.3320101629894765</v>
      </c>
      <c r="N54" s="6">
        <f t="shared" si="6"/>
        <v>3.5972755509114367</v>
      </c>
      <c r="O54" s="7">
        <f t="shared" si="2"/>
        <v>1156.4772156300714</v>
      </c>
      <c r="P54" s="1">
        <f t="shared" si="7"/>
        <v>1047.8637768206283</v>
      </c>
      <c r="T54"/>
      <c r="U54"/>
      <c r="V54"/>
    </row>
    <row r="55" spans="1:22" x14ac:dyDescent="0.2">
      <c r="A55" t="s">
        <v>16</v>
      </c>
      <c r="B55" t="s">
        <v>141</v>
      </c>
      <c r="C55" s="5" t="s">
        <v>142</v>
      </c>
      <c r="D55" t="s">
        <v>140</v>
      </c>
      <c r="E55">
        <v>44.094819999999999</v>
      </c>
      <c r="F55">
        <v>6.6666666666666696</v>
      </c>
      <c r="G55">
        <v>-42</v>
      </c>
      <c r="H55" s="1">
        <v>31.638607594936801</v>
      </c>
      <c r="I55" s="1">
        <v>9.4537974683544501</v>
      </c>
      <c r="J55" s="1">
        <f t="shared" si="4"/>
        <v>26.093245303263288</v>
      </c>
      <c r="K55" s="1">
        <v>0.23139507181565799</v>
      </c>
      <c r="L55" s="1">
        <f>H55/I55*44.01/E55</f>
        <v>3.3402183880110243</v>
      </c>
      <c r="M55" s="1">
        <f t="shared" si="5"/>
        <v>4.6007458926105329</v>
      </c>
      <c r="N55" s="6">
        <f t="shared" si="6"/>
        <v>3.7184165280970261</v>
      </c>
      <c r="O55" s="7">
        <f t="shared" si="2"/>
        <v>1485.8032982927689</v>
      </c>
      <c r="P55" s="1">
        <f t="shared" si="7"/>
        <v>1360.613061097547</v>
      </c>
      <c r="T55"/>
      <c r="U55"/>
      <c r="V55"/>
    </row>
    <row r="56" spans="1:22" x14ac:dyDescent="0.2">
      <c r="A56" t="s">
        <v>16</v>
      </c>
      <c r="B56" t="s">
        <v>143</v>
      </c>
      <c r="C56" s="5" t="s">
        <v>143</v>
      </c>
      <c r="D56" t="s">
        <v>144</v>
      </c>
      <c r="E56">
        <v>173.14045999999999</v>
      </c>
      <c r="F56">
        <v>3.8571428571428599</v>
      </c>
      <c r="G56">
        <v>400.5</v>
      </c>
      <c r="H56" s="1">
        <v>3.92575757575757</v>
      </c>
      <c r="I56" s="1">
        <v>8.0106060606060598</v>
      </c>
      <c r="J56" s="1">
        <f t="shared" si="4"/>
        <v>26.093245303263288</v>
      </c>
      <c r="K56" s="1">
        <v>0.76988202325950095</v>
      </c>
      <c r="L56" s="1">
        <f>H56/I56*44.01/E56</f>
        <v>0.12456926561719163</v>
      </c>
      <c r="M56" s="1">
        <f t="shared" si="5"/>
        <v>2.2621600571697642</v>
      </c>
      <c r="N56" s="6">
        <f t="shared" si="6"/>
        <v>1.9969679101934352</v>
      </c>
      <c r="O56" s="7">
        <f t="shared" si="2"/>
        <v>315.33057228956426</v>
      </c>
      <c r="P56" s="1">
        <f t="shared" si="7"/>
        <v>259.45282122725899</v>
      </c>
      <c r="T56"/>
      <c r="U56"/>
      <c r="V56"/>
    </row>
    <row r="57" spans="1:22" x14ac:dyDescent="0.2">
      <c r="A57" t="s">
        <v>16</v>
      </c>
      <c r="B57" t="s">
        <v>145</v>
      </c>
      <c r="C57" s="5" t="s">
        <v>145</v>
      </c>
      <c r="D57" t="s">
        <v>146</v>
      </c>
      <c r="E57">
        <v>104.14832</v>
      </c>
      <c r="F57">
        <v>5</v>
      </c>
      <c r="G57">
        <v>145</v>
      </c>
      <c r="H57" s="1">
        <v>15.710994764397901</v>
      </c>
      <c r="I57" s="1">
        <v>5.5361256544502604</v>
      </c>
      <c r="J57" s="1">
        <f t="shared" si="4"/>
        <v>26.093245303263288</v>
      </c>
      <c r="K57" s="1">
        <v>0.32005045188431402</v>
      </c>
      <c r="L57" s="1">
        <f>H57/I57*44.01/E57</f>
        <v>1.1992144276465051</v>
      </c>
      <c r="M57" s="1">
        <f t="shared" si="5"/>
        <v>4.5420678895057467</v>
      </c>
      <c r="N57" s="6">
        <f t="shared" si="6"/>
        <v>3.9041476320443858</v>
      </c>
      <c r="O57" s="7">
        <f t="shared" si="2"/>
        <v>874.77990926972461</v>
      </c>
      <c r="P57" s="1">
        <f t="shared" si="7"/>
        <v>777.03997382573334</v>
      </c>
      <c r="T57"/>
      <c r="U57"/>
      <c r="V57"/>
    </row>
    <row r="58" spans="1:22" x14ac:dyDescent="0.2">
      <c r="A58" t="s">
        <v>16</v>
      </c>
      <c r="B58" t="s">
        <v>147</v>
      </c>
      <c r="C58" s="5" t="s">
        <v>147</v>
      </c>
      <c r="D58" t="s">
        <v>148</v>
      </c>
      <c r="E58">
        <v>116.07016</v>
      </c>
      <c r="F58">
        <v>3</v>
      </c>
      <c r="G58">
        <v>235</v>
      </c>
      <c r="H58">
        <v>-8.3857142857142808</v>
      </c>
      <c r="I58">
        <v>17.0964285714286</v>
      </c>
      <c r="J58" s="1">
        <f t="shared" si="4"/>
        <v>26.093245303263288</v>
      </c>
      <c r="K58">
        <v>1.1015043493839101</v>
      </c>
      <c r="L58" s="1">
        <f>H58/I58*44.01/E58</f>
        <v>-0.18597966048498141</v>
      </c>
      <c r="M58" s="1">
        <f t="shared" si="5"/>
        <v>1.8541528284145903</v>
      </c>
      <c r="N58" s="6">
        <f t="shared" si="6"/>
        <v>1.6688002542001894</v>
      </c>
      <c r="O58" s="7">
        <f t="shared" si="2"/>
        <v>181.83411120120991</v>
      </c>
      <c r="P58" s="1">
        <f t="shared" si="7"/>
        <v>134.9233761001251</v>
      </c>
      <c r="T58"/>
      <c r="U58"/>
      <c r="V58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Austin Zheng</cp:lastModifiedBy>
  <cp:revision>20</cp:revision>
  <dcterms:created xsi:type="dcterms:W3CDTF">2021-08-21T11:33:21Z</dcterms:created>
  <dcterms:modified xsi:type="dcterms:W3CDTF">2023-12-18T16:04:27Z</dcterms:modified>
  <dc:language>en-CA</dc:language>
</cp:coreProperties>
</file>