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sti\Documents\eCO2R TEA Code\ecor-tea\Visualization Docs\Input\"/>
    </mc:Choice>
  </mc:AlternateContent>
  <xr:revisionPtr revIDLastSave="0" documentId="13_ncr:1_{BB8A6D34-297E-4598-8B11-D39BF6444D80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Overall-ECR-Bio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3" i="1" l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BA195" i="1"/>
  <c r="BA196" i="1"/>
  <c r="BA197" i="1"/>
  <c r="BA198" i="1"/>
  <c r="BA199" i="1"/>
  <c r="BA200" i="1"/>
  <c r="BA201" i="1"/>
  <c r="BA202" i="1"/>
  <c r="BA203" i="1"/>
  <c r="BA204" i="1"/>
  <c r="BA205" i="1"/>
  <c r="BA206" i="1"/>
  <c r="BA207" i="1"/>
  <c r="BA208" i="1"/>
  <c r="BA209" i="1"/>
  <c r="BA210" i="1"/>
  <c r="BA211" i="1"/>
  <c r="BA212" i="1"/>
  <c r="BA213" i="1"/>
  <c r="BA214" i="1"/>
  <c r="BA215" i="1"/>
  <c r="BA216" i="1"/>
  <c r="BA217" i="1"/>
  <c r="BA218" i="1"/>
  <c r="BA219" i="1"/>
  <c r="BA220" i="1"/>
  <c r="BA221" i="1"/>
  <c r="BA222" i="1"/>
  <c r="BA223" i="1"/>
  <c r="BA224" i="1"/>
  <c r="BA225" i="1"/>
  <c r="BA226" i="1"/>
  <c r="BA227" i="1"/>
  <c r="BA228" i="1"/>
  <c r="BA229" i="1"/>
  <c r="BA230" i="1"/>
  <c r="BA231" i="1"/>
  <c r="BA232" i="1"/>
  <c r="BA233" i="1"/>
  <c r="BA234" i="1"/>
  <c r="BA235" i="1"/>
  <c r="BA236" i="1"/>
  <c r="BA237" i="1"/>
  <c r="BA238" i="1"/>
  <c r="BA239" i="1"/>
  <c r="BA240" i="1"/>
  <c r="BA241" i="1"/>
  <c r="BA242" i="1"/>
  <c r="BA243" i="1"/>
  <c r="BA244" i="1"/>
  <c r="BA245" i="1"/>
  <c r="BA246" i="1"/>
  <c r="BA247" i="1"/>
  <c r="BA248" i="1"/>
  <c r="BA249" i="1"/>
  <c r="BA250" i="1"/>
  <c r="BA251" i="1"/>
  <c r="BA252" i="1"/>
  <c r="BA253" i="1"/>
  <c r="BA254" i="1"/>
  <c r="BA255" i="1"/>
  <c r="BA256" i="1"/>
  <c r="BA257" i="1"/>
  <c r="BA258" i="1"/>
  <c r="BA259" i="1"/>
  <c r="BA260" i="1"/>
  <c r="BA261" i="1"/>
  <c r="BA262" i="1"/>
  <c r="BA263" i="1"/>
  <c r="BA264" i="1"/>
  <c r="BA265" i="1"/>
  <c r="BA266" i="1"/>
  <c r="BA267" i="1"/>
  <c r="BA268" i="1"/>
  <c r="BA269" i="1"/>
  <c r="BA270" i="1"/>
  <c r="BA271" i="1"/>
  <c r="BA272" i="1"/>
  <c r="BA273" i="1"/>
  <c r="BA274" i="1"/>
  <c r="BA275" i="1"/>
  <c r="BA276" i="1"/>
  <c r="BA277" i="1"/>
  <c r="BA278" i="1"/>
  <c r="BA279" i="1"/>
  <c r="BA280" i="1"/>
  <c r="BA281" i="1"/>
  <c r="BA282" i="1"/>
  <c r="BA283" i="1"/>
  <c r="BA284" i="1"/>
  <c r="BA285" i="1"/>
  <c r="BA286" i="1"/>
  <c r="BA287" i="1"/>
  <c r="BA288" i="1"/>
  <c r="BA289" i="1"/>
  <c r="BA290" i="1"/>
  <c r="BA291" i="1"/>
  <c r="BA292" i="1"/>
  <c r="BA293" i="1"/>
  <c r="BA294" i="1"/>
  <c r="BA295" i="1"/>
  <c r="BA296" i="1"/>
  <c r="BA297" i="1"/>
  <c r="BA298" i="1"/>
  <c r="BA299" i="1"/>
  <c r="BA300" i="1"/>
  <c r="BA301" i="1"/>
  <c r="BA302" i="1"/>
  <c r="BA303" i="1"/>
  <c r="BA304" i="1"/>
  <c r="BA305" i="1"/>
  <c r="BA306" i="1"/>
  <c r="BA307" i="1"/>
  <c r="BA308" i="1"/>
  <c r="BA309" i="1"/>
  <c r="BA310" i="1"/>
  <c r="BA311" i="1"/>
  <c r="BA312" i="1"/>
  <c r="BA313" i="1"/>
  <c r="BA314" i="1"/>
  <c r="BA315" i="1"/>
  <c r="BA316" i="1"/>
  <c r="BA317" i="1"/>
  <c r="BA318" i="1"/>
  <c r="BA319" i="1"/>
  <c r="BA320" i="1"/>
  <c r="BA321" i="1"/>
  <c r="BA322" i="1"/>
  <c r="BA323" i="1"/>
  <c r="BA324" i="1"/>
  <c r="BA325" i="1"/>
  <c r="BA326" i="1"/>
  <c r="BA327" i="1"/>
  <c r="BA328" i="1"/>
  <c r="BA329" i="1"/>
  <c r="BA330" i="1"/>
  <c r="BA331" i="1"/>
  <c r="BA332" i="1"/>
  <c r="BA333" i="1"/>
  <c r="BA334" i="1"/>
  <c r="BA335" i="1"/>
  <c r="BA336" i="1"/>
  <c r="BA337" i="1"/>
  <c r="BA338" i="1"/>
  <c r="BA339" i="1"/>
  <c r="BA340" i="1"/>
  <c r="BA341" i="1"/>
  <c r="BA342" i="1"/>
  <c r="BA343" i="1"/>
  <c r="BA344" i="1"/>
  <c r="BA345" i="1"/>
  <c r="BA346" i="1"/>
  <c r="BA347" i="1"/>
  <c r="BA348" i="1"/>
  <c r="BA349" i="1"/>
  <c r="BA350" i="1"/>
  <c r="BA351" i="1"/>
  <c r="BA352" i="1"/>
  <c r="BA353" i="1"/>
  <c r="BA354" i="1"/>
  <c r="BA355" i="1"/>
  <c r="BA356" i="1"/>
  <c r="BA357" i="1"/>
  <c r="BA358" i="1"/>
  <c r="BA359" i="1"/>
  <c r="BA360" i="1"/>
  <c r="BA361" i="1"/>
  <c r="BA362" i="1"/>
  <c r="BA363" i="1"/>
  <c r="BA364" i="1"/>
  <c r="BA365" i="1"/>
  <c r="BA366" i="1"/>
  <c r="BA367" i="1"/>
  <c r="BA368" i="1"/>
  <c r="BA369" i="1"/>
  <c r="BA370" i="1"/>
  <c r="BA371" i="1"/>
  <c r="BA372" i="1"/>
  <c r="BA373" i="1"/>
  <c r="BA374" i="1"/>
  <c r="BA375" i="1"/>
  <c r="BA376" i="1"/>
  <c r="BA377" i="1"/>
  <c r="BA378" i="1"/>
  <c r="BA379" i="1"/>
  <c r="BA380" i="1"/>
  <c r="BA381" i="1"/>
  <c r="BA382" i="1"/>
  <c r="BA383" i="1"/>
  <c r="BA384" i="1"/>
  <c r="BA385" i="1"/>
  <c r="BA386" i="1"/>
  <c r="BA387" i="1"/>
  <c r="BA388" i="1"/>
  <c r="BA389" i="1"/>
  <c r="BA390" i="1"/>
  <c r="BA391" i="1"/>
  <c r="BA392" i="1"/>
  <c r="BA393" i="1"/>
  <c r="BA394" i="1"/>
  <c r="BA395" i="1"/>
  <c r="BA396" i="1"/>
  <c r="BA397" i="1"/>
  <c r="BA398" i="1"/>
  <c r="BA399" i="1"/>
  <c r="BA400" i="1"/>
  <c r="BA401" i="1"/>
  <c r="BA402" i="1"/>
  <c r="BA403" i="1"/>
  <c r="BA404" i="1"/>
  <c r="BA405" i="1"/>
  <c r="BA406" i="1"/>
  <c r="BA407" i="1"/>
  <c r="BA408" i="1"/>
  <c r="BA409" i="1"/>
  <c r="BA410" i="1"/>
  <c r="BA411" i="1"/>
  <c r="BA412" i="1"/>
  <c r="BA413" i="1"/>
  <c r="BA414" i="1"/>
  <c r="BA415" i="1"/>
  <c r="BA416" i="1"/>
  <c r="BA417" i="1"/>
  <c r="BA418" i="1"/>
  <c r="BA419" i="1"/>
  <c r="BA420" i="1"/>
  <c r="BA421" i="1"/>
  <c r="BA422" i="1"/>
  <c r="BA423" i="1"/>
  <c r="BA424" i="1"/>
  <c r="BA425" i="1"/>
  <c r="BA426" i="1"/>
  <c r="BA427" i="1"/>
  <c r="BA428" i="1"/>
  <c r="BA429" i="1"/>
  <c r="BA430" i="1"/>
  <c r="BA431" i="1"/>
  <c r="BA432" i="1"/>
  <c r="BA433" i="1"/>
  <c r="BA434" i="1"/>
  <c r="BA435" i="1"/>
  <c r="BA436" i="1"/>
  <c r="BA437" i="1"/>
  <c r="BA438" i="1"/>
  <c r="BA439" i="1"/>
  <c r="BA440" i="1"/>
  <c r="BA441" i="1"/>
  <c r="BA442" i="1"/>
  <c r="BA443" i="1"/>
  <c r="BA444" i="1"/>
  <c r="BA445" i="1"/>
  <c r="BA446" i="1"/>
  <c r="BA447" i="1"/>
  <c r="BA448" i="1"/>
  <c r="BA449" i="1"/>
  <c r="BA450" i="1"/>
  <c r="BA451" i="1"/>
  <c r="BA452" i="1"/>
  <c r="BA453" i="1"/>
  <c r="BA454" i="1"/>
  <c r="BA455" i="1"/>
  <c r="BA456" i="1"/>
  <c r="BA457" i="1"/>
  <c r="BA458" i="1"/>
  <c r="BA459" i="1"/>
  <c r="BA460" i="1"/>
  <c r="BA461" i="1"/>
  <c r="BA462" i="1"/>
  <c r="BA463" i="1"/>
  <c r="BA464" i="1"/>
  <c r="BA465" i="1"/>
  <c r="BA466" i="1"/>
  <c r="BA467" i="1"/>
  <c r="BA468" i="1"/>
  <c r="BA469" i="1"/>
  <c r="BA470" i="1"/>
  <c r="BA471" i="1"/>
  <c r="BA472" i="1"/>
  <c r="BA473" i="1"/>
  <c r="BA474" i="1"/>
  <c r="BA475" i="1"/>
  <c r="BA476" i="1"/>
  <c r="BA477" i="1"/>
  <c r="BA478" i="1"/>
  <c r="BA479" i="1"/>
  <c r="BA480" i="1"/>
  <c r="BA481" i="1"/>
  <c r="BA482" i="1"/>
  <c r="BA483" i="1"/>
  <c r="BA484" i="1"/>
  <c r="BA485" i="1"/>
  <c r="BA486" i="1"/>
  <c r="BA487" i="1"/>
  <c r="BA488" i="1"/>
  <c r="BA489" i="1"/>
  <c r="BA490" i="1"/>
  <c r="BA491" i="1"/>
  <c r="BA492" i="1"/>
  <c r="BA493" i="1"/>
  <c r="BA494" i="1"/>
  <c r="BA495" i="1"/>
  <c r="BA496" i="1"/>
  <c r="BA497" i="1"/>
  <c r="BA498" i="1"/>
  <c r="BA499" i="1"/>
  <c r="BA500" i="1"/>
  <c r="BA501" i="1"/>
  <c r="BA502" i="1"/>
  <c r="BA503" i="1"/>
  <c r="BA504" i="1"/>
  <c r="BA505" i="1"/>
  <c r="BA506" i="1"/>
  <c r="BA507" i="1"/>
  <c r="BA508" i="1"/>
  <c r="BA509" i="1"/>
  <c r="BA510" i="1"/>
  <c r="BA511" i="1"/>
  <c r="BA512" i="1"/>
  <c r="BA513" i="1"/>
  <c r="BA514" i="1"/>
  <c r="BA515" i="1"/>
  <c r="BA516" i="1"/>
  <c r="BA517" i="1"/>
  <c r="BA518" i="1"/>
  <c r="BA519" i="1"/>
  <c r="BA520" i="1"/>
  <c r="BA521" i="1"/>
  <c r="BA522" i="1"/>
  <c r="BA523" i="1"/>
  <c r="BA524" i="1"/>
  <c r="BA525" i="1"/>
  <c r="BA526" i="1"/>
  <c r="BA527" i="1"/>
  <c r="BA528" i="1"/>
  <c r="BA529" i="1"/>
  <c r="BA530" i="1"/>
  <c r="BA531" i="1"/>
  <c r="BA532" i="1"/>
  <c r="BA533" i="1"/>
  <c r="BA534" i="1"/>
  <c r="BA535" i="1"/>
  <c r="BA536" i="1"/>
  <c r="BA537" i="1"/>
  <c r="BA538" i="1"/>
  <c r="BA539" i="1"/>
  <c r="BA540" i="1"/>
  <c r="BA541" i="1"/>
  <c r="BA542" i="1"/>
  <c r="BA543" i="1"/>
  <c r="BA544" i="1"/>
  <c r="BA545" i="1"/>
  <c r="BA546" i="1"/>
  <c r="BA547" i="1"/>
  <c r="BA548" i="1"/>
  <c r="BA549" i="1"/>
  <c r="BA550" i="1"/>
  <c r="BA551" i="1"/>
  <c r="BA552" i="1"/>
  <c r="BA553" i="1"/>
  <c r="BA554" i="1"/>
  <c r="BA555" i="1"/>
  <c r="BA556" i="1"/>
  <c r="BA557" i="1"/>
  <c r="BA558" i="1"/>
  <c r="BA559" i="1"/>
  <c r="BA560" i="1"/>
  <c r="BA561" i="1"/>
  <c r="BA562" i="1"/>
  <c r="BA563" i="1"/>
  <c r="BA564" i="1"/>
  <c r="BA565" i="1"/>
  <c r="BA566" i="1"/>
  <c r="BA567" i="1"/>
  <c r="BA568" i="1"/>
  <c r="BA569" i="1"/>
  <c r="BA570" i="1"/>
  <c r="BA571" i="1"/>
  <c r="BA572" i="1"/>
  <c r="BA573" i="1"/>
  <c r="BA574" i="1"/>
  <c r="BA575" i="1"/>
  <c r="BA576" i="1"/>
  <c r="BA577" i="1"/>
  <c r="BA578" i="1"/>
  <c r="BA579" i="1"/>
  <c r="BA580" i="1"/>
  <c r="BA581" i="1"/>
  <c r="BA582" i="1"/>
  <c r="BA583" i="1"/>
  <c r="BA584" i="1"/>
  <c r="BA585" i="1"/>
  <c r="BA586" i="1"/>
  <c r="BA587" i="1"/>
  <c r="BA588" i="1"/>
  <c r="BA589" i="1"/>
  <c r="BA590" i="1"/>
  <c r="BA591" i="1"/>
  <c r="BA592" i="1"/>
  <c r="BA593" i="1"/>
  <c r="BA594" i="1"/>
  <c r="BA595" i="1"/>
  <c r="BA596" i="1"/>
  <c r="BA597" i="1"/>
  <c r="BA598" i="1"/>
  <c r="BA599" i="1"/>
  <c r="BA600" i="1"/>
  <c r="BA601" i="1"/>
  <c r="BA602" i="1"/>
  <c r="BA603" i="1"/>
  <c r="BA604" i="1"/>
  <c r="BA605" i="1"/>
  <c r="BA606" i="1"/>
  <c r="BA607" i="1"/>
  <c r="BA608" i="1"/>
  <c r="BA609" i="1"/>
  <c r="BA610" i="1"/>
  <c r="BA611" i="1"/>
  <c r="BA612" i="1"/>
  <c r="BA613" i="1"/>
  <c r="BA614" i="1"/>
  <c r="BA615" i="1"/>
  <c r="BA616" i="1"/>
  <c r="BA617" i="1"/>
  <c r="BA618" i="1"/>
  <c r="BA619" i="1"/>
  <c r="BA620" i="1"/>
  <c r="BA621" i="1"/>
  <c r="BA622" i="1"/>
  <c r="BA623" i="1"/>
  <c r="BA624" i="1"/>
  <c r="BA625" i="1"/>
  <c r="BA626" i="1"/>
  <c r="BA627" i="1"/>
  <c r="BA628" i="1"/>
  <c r="BA629" i="1"/>
  <c r="BA630" i="1"/>
  <c r="BA631" i="1"/>
  <c r="BA632" i="1"/>
  <c r="BA633" i="1"/>
  <c r="BA634" i="1"/>
  <c r="BA635" i="1"/>
  <c r="BA636" i="1"/>
  <c r="BA637" i="1"/>
  <c r="BA638" i="1"/>
  <c r="BA639" i="1"/>
  <c r="BA640" i="1"/>
  <c r="BA641" i="1"/>
  <c r="BA642" i="1"/>
  <c r="BA643" i="1"/>
  <c r="BA644" i="1"/>
  <c r="BA645" i="1"/>
  <c r="BA646" i="1"/>
  <c r="BA647" i="1"/>
  <c r="BA648" i="1"/>
  <c r="BA649" i="1"/>
  <c r="BA650" i="1"/>
  <c r="BA651" i="1"/>
  <c r="BA652" i="1"/>
  <c r="BA653" i="1"/>
  <c r="BA654" i="1"/>
  <c r="BA655" i="1"/>
  <c r="BA656" i="1"/>
  <c r="BA657" i="1"/>
  <c r="BA658" i="1"/>
  <c r="BA659" i="1"/>
  <c r="BA660" i="1"/>
  <c r="BA661" i="1"/>
  <c r="BA662" i="1"/>
  <c r="BA663" i="1"/>
  <c r="BA664" i="1"/>
  <c r="BA665" i="1"/>
  <c r="BA666" i="1"/>
  <c r="BA667" i="1"/>
  <c r="BA668" i="1"/>
  <c r="BA669" i="1"/>
  <c r="BA670" i="1"/>
  <c r="BA671" i="1"/>
  <c r="BA672" i="1"/>
  <c r="BA673" i="1"/>
  <c r="BA674" i="1"/>
  <c r="BA675" i="1"/>
  <c r="BA676" i="1"/>
  <c r="BA677" i="1"/>
  <c r="BA678" i="1"/>
  <c r="BA679" i="1"/>
  <c r="BA680" i="1"/>
  <c r="BA681" i="1"/>
  <c r="BA682" i="1"/>
  <c r="BA683" i="1"/>
  <c r="BA684" i="1"/>
  <c r="BA685" i="1"/>
  <c r="BA686" i="1"/>
  <c r="BA687" i="1"/>
  <c r="BA688" i="1"/>
  <c r="BA689" i="1"/>
  <c r="BA690" i="1"/>
  <c r="BA691" i="1"/>
  <c r="BA692" i="1"/>
  <c r="BA693" i="1"/>
  <c r="BA694" i="1"/>
  <c r="BA695" i="1"/>
  <c r="BA696" i="1"/>
  <c r="BA697" i="1"/>
  <c r="BA698" i="1"/>
  <c r="BA699" i="1"/>
  <c r="BA700" i="1"/>
  <c r="BA701" i="1"/>
  <c r="BA702" i="1"/>
  <c r="BA703" i="1"/>
  <c r="BA704" i="1"/>
  <c r="BA705" i="1"/>
  <c r="BA706" i="1"/>
  <c r="BA707" i="1"/>
  <c r="BA708" i="1"/>
  <c r="BA709" i="1"/>
  <c r="BA710" i="1"/>
  <c r="BA711" i="1"/>
  <c r="BA712" i="1"/>
  <c r="BA713" i="1"/>
  <c r="BA714" i="1"/>
  <c r="BA715" i="1"/>
  <c r="BA716" i="1"/>
  <c r="BA717" i="1"/>
  <c r="BA718" i="1"/>
  <c r="BA719" i="1"/>
  <c r="BA720" i="1"/>
  <c r="BA721" i="1"/>
  <c r="BA722" i="1"/>
  <c r="BA723" i="1"/>
  <c r="BA724" i="1"/>
  <c r="BA725" i="1"/>
  <c r="BA726" i="1"/>
  <c r="BA727" i="1"/>
  <c r="BA728" i="1"/>
  <c r="BA729" i="1"/>
  <c r="BA730" i="1"/>
  <c r="BA731" i="1"/>
  <c r="BA732" i="1"/>
  <c r="BA733" i="1"/>
  <c r="BA734" i="1"/>
  <c r="BA735" i="1"/>
  <c r="BA736" i="1"/>
  <c r="BA737" i="1"/>
  <c r="BA738" i="1"/>
  <c r="BA739" i="1"/>
  <c r="BA740" i="1"/>
  <c r="BA741" i="1"/>
  <c r="BA742" i="1"/>
  <c r="BA743" i="1"/>
  <c r="BA744" i="1"/>
  <c r="BA745" i="1"/>
  <c r="BA746" i="1"/>
  <c r="BA747" i="1"/>
  <c r="BA748" i="1"/>
  <c r="BA749" i="1"/>
  <c r="BA750" i="1"/>
  <c r="BA751" i="1"/>
  <c r="BA752" i="1"/>
  <c r="BA753" i="1"/>
  <c r="BA754" i="1"/>
  <c r="BA755" i="1"/>
  <c r="BA756" i="1"/>
  <c r="BA757" i="1"/>
  <c r="BA758" i="1"/>
  <c r="BA759" i="1"/>
  <c r="BA760" i="1"/>
  <c r="BA761" i="1"/>
  <c r="BA762" i="1"/>
  <c r="BA763" i="1"/>
  <c r="BA764" i="1"/>
  <c r="BA765" i="1"/>
  <c r="BA766" i="1"/>
  <c r="BA767" i="1"/>
  <c r="BA768" i="1"/>
  <c r="BA769" i="1"/>
  <c r="BA770" i="1"/>
  <c r="BA771" i="1"/>
  <c r="BA772" i="1"/>
  <c r="BA773" i="1"/>
  <c r="BA774" i="1"/>
  <c r="BA775" i="1"/>
  <c r="BA776" i="1"/>
  <c r="BA777" i="1"/>
  <c r="BA778" i="1"/>
  <c r="BA779" i="1"/>
  <c r="BA780" i="1"/>
  <c r="BA781" i="1"/>
  <c r="BA782" i="1"/>
  <c r="BA783" i="1"/>
  <c r="BA784" i="1"/>
  <c r="BA785" i="1"/>
  <c r="BA786" i="1"/>
  <c r="BA787" i="1"/>
  <c r="BA788" i="1"/>
  <c r="BA789" i="1"/>
  <c r="BA790" i="1"/>
  <c r="BA791" i="1"/>
  <c r="BA792" i="1"/>
  <c r="BA793" i="1"/>
  <c r="BA794" i="1"/>
  <c r="BA795" i="1"/>
  <c r="BA796" i="1"/>
  <c r="BA797" i="1"/>
  <c r="BA798" i="1"/>
  <c r="BA799" i="1"/>
  <c r="BA800" i="1"/>
  <c r="BA801" i="1"/>
  <c r="BA802" i="1"/>
  <c r="BA803" i="1"/>
  <c r="BA804" i="1"/>
  <c r="BA805" i="1"/>
  <c r="BA806" i="1"/>
  <c r="BA807" i="1"/>
  <c r="BA808" i="1"/>
  <c r="BA809" i="1"/>
  <c r="BA810" i="1"/>
  <c r="BA811" i="1"/>
  <c r="BA812" i="1"/>
  <c r="BA813" i="1"/>
  <c r="BA814" i="1"/>
  <c r="BA815" i="1"/>
  <c r="BA816" i="1"/>
  <c r="BA817" i="1"/>
  <c r="BA818" i="1"/>
  <c r="BA819" i="1"/>
  <c r="BA820" i="1"/>
  <c r="BA821" i="1"/>
  <c r="BA822" i="1"/>
  <c r="BA823" i="1"/>
  <c r="BA824" i="1"/>
  <c r="BA825" i="1"/>
  <c r="BA826" i="1"/>
  <c r="BA827" i="1"/>
  <c r="BA828" i="1"/>
  <c r="BA829" i="1"/>
  <c r="BA830" i="1"/>
  <c r="BA831" i="1"/>
  <c r="BA832" i="1"/>
  <c r="BA833" i="1"/>
  <c r="BA834" i="1"/>
  <c r="BA835" i="1"/>
  <c r="BA836" i="1"/>
  <c r="BA837" i="1"/>
  <c r="BA838" i="1"/>
  <c r="BA839" i="1"/>
  <c r="BA840" i="1"/>
  <c r="BA841" i="1"/>
  <c r="BA842" i="1"/>
  <c r="BA843" i="1"/>
  <c r="BA844" i="1"/>
  <c r="BA845" i="1"/>
  <c r="BA846" i="1"/>
  <c r="BA847" i="1"/>
  <c r="BA848" i="1"/>
  <c r="BA849" i="1"/>
  <c r="BA850" i="1"/>
  <c r="BA851" i="1"/>
  <c r="BA852" i="1"/>
  <c r="BA853" i="1"/>
  <c r="BA854" i="1"/>
  <c r="BA855" i="1"/>
  <c r="BA856" i="1"/>
  <c r="BA857" i="1"/>
  <c r="BA858" i="1"/>
  <c r="BA859" i="1"/>
  <c r="BA860" i="1"/>
  <c r="BA861" i="1"/>
  <c r="BA862" i="1"/>
  <c r="BA863" i="1"/>
  <c r="BA864" i="1"/>
  <c r="BA865" i="1"/>
  <c r="BA866" i="1"/>
  <c r="BA867" i="1"/>
  <c r="BA868" i="1"/>
  <c r="BA869" i="1"/>
  <c r="BA870" i="1"/>
  <c r="BA871" i="1"/>
  <c r="BA872" i="1"/>
  <c r="BA873" i="1"/>
  <c r="BA874" i="1"/>
  <c r="BA875" i="1"/>
  <c r="BA876" i="1"/>
  <c r="BA877" i="1"/>
  <c r="BA878" i="1"/>
  <c r="BA879" i="1"/>
  <c r="BA880" i="1"/>
  <c r="BA881" i="1"/>
  <c r="BA882" i="1"/>
  <c r="BA883" i="1"/>
  <c r="BA884" i="1"/>
  <c r="BA885" i="1"/>
  <c r="BA886" i="1"/>
  <c r="BA887" i="1"/>
  <c r="BA888" i="1"/>
  <c r="BA889" i="1"/>
  <c r="BA890" i="1"/>
  <c r="BA891" i="1"/>
  <c r="BA892" i="1"/>
  <c r="BA893" i="1"/>
  <c r="BA894" i="1"/>
  <c r="BA895" i="1"/>
  <c r="BA896" i="1"/>
  <c r="BA897" i="1"/>
  <c r="BA898" i="1"/>
  <c r="BA899" i="1"/>
  <c r="BA900" i="1"/>
  <c r="BA901" i="1"/>
  <c r="BA902" i="1"/>
  <c r="BA903" i="1"/>
  <c r="BA904" i="1"/>
  <c r="BA905" i="1"/>
  <c r="BA906" i="1"/>
  <c r="BA907" i="1"/>
  <c r="BA908" i="1"/>
  <c r="BA909" i="1"/>
  <c r="BA910" i="1"/>
  <c r="BA911" i="1"/>
  <c r="BA912" i="1"/>
  <c r="BA913" i="1"/>
  <c r="BA914" i="1"/>
  <c r="BA915" i="1"/>
  <c r="BA916" i="1"/>
  <c r="BA917" i="1"/>
  <c r="BA918" i="1"/>
  <c r="BA919" i="1"/>
  <c r="BA920" i="1"/>
  <c r="BA921" i="1"/>
  <c r="BA922" i="1"/>
  <c r="BA923" i="1"/>
  <c r="BA924" i="1"/>
  <c r="BA925" i="1"/>
  <c r="BA926" i="1"/>
  <c r="BA927" i="1"/>
  <c r="BA928" i="1"/>
  <c r="BA929" i="1"/>
  <c r="BA930" i="1"/>
  <c r="BA931" i="1"/>
  <c r="BA932" i="1"/>
  <c r="BA933" i="1"/>
  <c r="BA934" i="1"/>
  <c r="BA935" i="1"/>
  <c r="BA936" i="1"/>
  <c r="BA937" i="1"/>
  <c r="BA938" i="1"/>
  <c r="BA939" i="1"/>
  <c r="BA940" i="1"/>
  <c r="BA941" i="1"/>
  <c r="BA942" i="1"/>
  <c r="BA943" i="1"/>
  <c r="BA944" i="1"/>
  <c r="BA945" i="1"/>
  <c r="BA946" i="1"/>
  <c r="BA947" i="1"/>
  <c r="BA948" i="1"/>
  <c r="BA949" i="1"/>
  <c r="BA950" i="1"/>
  <c r="BA951" i="1"/>
  <c r="BA952" i="1"/>
  <c r="BA953" i="1"/>
  <c r="BA954" i="1"/>
  <c r="BA955" i="1"/>
  <c r="BA956" i="1"/>
  <c r="BA957" i="1"/>
  <c r="BA958" i="1"/>
  <c r="BA959" i="1"/>
  <c r="BA960" i="1"/>
  <c r="BA961" i="1"/>
  <c r="BA962" i="1"/>
  <c r="BA963" i="1"/>
  <c r="BA964" i="1"/>
  <c r="BA965" i="1"/>
  <c r="BA966" i="1"/>
  <c r="BA967" i="1"/>
  <c r="BA968" i="1"/>
  <c r="BA969" i="1"/>
  <c r="BA970" i="1"/>
  <c r="BA971" i="1"/>
  <c r="BA972" i="1"/>
  <c r="BA973" i="1"/>
  <c r="BA974" i="1"/>
  <c r="BA975" i="1"/>
  <c r="BA976" i="1"/>
  <c r="BA977" i="1"/>
  <c r="BA978" i="1"/>
  <c r="BA979" i="1"/>
  <c r="BA980" i="1"/>
  <c r="BA981" i="1"/>
  <c r="BA982" i="1"/>
  <c r="BA983" i="1"/>
  <c r="BA984" i="1"/>
  <c r="BA985" i="1"/>
  <c r="BA986" i="1"/>
  <c r="BA987" i="1"/>
  <c r="BA988" i="1"/>
  <c r="BA989" i="1"/>
  <c r="BA990" i="1"/>
  <c r="BA991" i="1"/>
  <c r="BA992" i="1"/>
  <c r="BA993" i="1"/>
  <c r="BA994" i="1"/>
  <c r="BA995" i="1"/>
  <c r="BA996" i="1"/>
  <c r="BA997" i="1"/>
  <c r="BA998" i="1"/>
  <c r="BA999" i="1"/>
  <c r="BA1000" i="1"/>
  <c r="BA1001" i="1"/>
  <c r="BA1002" i="1"/>
  <c r="BA1003" i="1"/>
  <c r="BA1004" i="1"/>
  <c r="BA1005" i="1"/>
  <c r="BA1006" i="1"/>
  <c r="BA1007" i="1"/>
  <c r="BA1008" i="1"/>
  <c r="BA1009" i="1"/>
  <c r="BA1010" i="1"/>
  <c r="BA1011" i="1"/>
  <c r="BA1012" i="1"/>
  <c r="BA1013" i="1"/>
  <c r="BA1014" i="1"/>
  <c r="BA1015" i="1"/>
  <c r="BA1016" i="1"/>
  <c r="BA1017" i="1"/>
  <c r="BA1018" i="1"/>
  <c r="BA1019" i="1"/>
  <c r="BA1020" i="1"/>
  <c r="BA1021" i="1"/>
  <c r="BA1022" i="1"/>
  <c r="BA1023" i="1"/>
  <c r="BA1024" i="1"/>
  <c r="BA1025" i="1"/>
  <c r="BA1026" i="1"/>
  <c r="BA1027" i="1"/>
  <c r="BA1028" i="1"/>
  <c r="BA1029" i="1"/>
  <c r="BA1030" i="1"/>
  <c r="BA1031" i="1"/>
  <c r="BA1032" i="1"/>
  <c r="BA1033" i="1"/>
  <c r="BA1034" i="1"/>
  <c r="BA1035" i="1"/>
  <c r="BA1036" i="1"/>
  <c r="BA1037" i="1"/>
  <c r="BA1038" i="1"/>
  <c r="BA1039" i="1"/>
  <c r="BA1040" i="1"/>
  <c r="BA1041" i="1"/>
  <c r="BA1042" i="1"/>
  <c r="BA1043" i="1"/>
  <c r="BA1044" i="1"/>
  <c r="BA1045" i="1"/>
  <c r="BA1046" i="1"/>
  <c r="BA1047" i="1"/>
  <c r="BA1048" i="1"/>
  <c r="BA1049" i="1"/>
  <c r="BA1050" i="1"/>
  <c r="BA1051" i="1"/>
  <c r="BA1052" i="1"/>
  <c r="BA1053" i="1"/>
  <c r="BA1054" i="1"/>
  <c r="BA1055" i="1"/>
  <c r="BA1056" i="1"/>
  <c r="BA1057" i="1"/>
  <c r="BA1058" i="1"/>
  <c r="BA1059" i="1"/>
  <c r="BA1060" i="1"/>
  <c r="BA1061" i="1"/>
  <c r="BA1062" i="1"/>
  <c r="BA1063" i="1"/>
  <c r="BA1064" i="1"/>
  <c r="BA1065" i="1"/>
  <c r="BA1066" i="1"/>
  <c r="BA1067" i="1"/>
  <c r="BA1068" i="1"/>
  <c r="BA1069" i="1"/>
  <c r="BA1070" i="1"/>
  <c r="BA1071" i="1"/>
  <c r="BA1072" i="1"/>
  <c r="BA1073" i="1"/>
  <c r="BA1074" i="1"/>
  <c r="BA1075" i="1"/>
  <c r="BA1076" i="1"/>
  <c r="BA1077" i="1"/>
  <c r="BA1078" i="1"/>
  <c r="BA1079" i="1"/>
  <c r="BA1080" i="1"/>
  <c r="BA1081" i="1"/>
  <c r="BA1082" i="1"/>
  <c r="BA1083" i="1"/>
  <c r="BA1084" i="1"/>
  <c r="BA1085" i="1"/>
  <c r="BA1086" i="1"/>
  <c r="BA1087" i="1"/>
  <c r="BA1088" i="1"/>
  <c r="BA1089" i="1"/>
  <c r="BA1090" i="1"/>
  <c r="BA1091" i="1"/>
  <c r="BA1092" i="1"/>
  <c r="BA1093" i="1"/>
  <c r="BA1094" i="1"/>
  <c r="BA1095" i="1"/>
  <c r="BA1096" i="1"/>
  <c r="BA1097" i="1"/>
  <c r="BA1098" i="1"/>
  <c r="BA1099" i="1"/>
  <c r="BA1100" i="1"/>
  <c r="BA1101" i="1"/>
  <c r="BA1102" i="1"/>
  <c r="BA1103" i="1"/>
  <c r="BA1104" i="1"/>
  <c r="BA1105" i="1"/>
  <c r="BA1106" i="1"/>
  <c r="BA1107" i="1"/>
  <c r="BA1108" i="1"/>
  <c r="BA1109" i="1"/>
  <c r="BA1110" i="1"/>
  <c r="BA1111" i="1"/>
  <c r="BA1112" i="1"/>
  <c r="BA1113" i="1"/>
  <c r="BA1114" i="1"/>
  <c r="BA1115" i="1"/>
  <c r="BA1116" i="1"/>
  <c r="BA1117" i="1"/>
  <c r="BA1118" i="1"/>
  <c r="BA1119" i="1"/>
  <c r="BA1120" i="1"/>
  <c r="BA1121" i="1"/>
  <c r="BA1122" i="1"/>
  <c r="BA1123" i="1"/>
  <c r="BA1124" i="1"/>
  <c r="BA1125" i="1"/>
  <c r="BA1126" i="1"/>
  <c r="BA1127" i="1"/>
  <c r="BA1128" i="1"/>
  <c r="BA1129" i="1"/>
  <c r="BA1130" i="1"/>
  <c r="BA1131" i="1"/>
  <c r="BA1132" i="1"/>
  <c r="BA1133" i="1"/>
  <c r="BA1134" i="1"/>
  <c r="BA1135" i="1"/>
  <c r="BA1136" i="1"/>
  <c r="BA1137" i="1"/>
  <c r="BA1138" i="1"/>
  <c r="BA1139" i="1"/>
  <c r="BA1140" i="1"/>
  <c r="BA1141" i="1"/>
  <c r="BA1142" i="1"/>
  <c r="BA1143" i="1"/>
  <c r="BA1144" i="1"/>
  <c r="BA1145" i="1"/>
  <c r="BA1146" i="1"/>
  <c r="BA1147" i="1"/>
  <c r="BA1148" i="1"/>
  <c r="BA1149" i="1"/>
  <c r="BA1150" i="1"/>
  <c r="BA1151" i="1"/>
  <c r="BA1152" i="1"/>
  <c r="BA1153" i="1"/>
  <c r="BA1154" i="1"/>
  <c r="BA1155" i="1"/>
  <c r="BA1156" i="1"/>
  <c r="BA1157" i="1"/>
  <c r="BA1158" i="1"/>
  <c r="BA1159" i="1"/>
  <c r="BA1160" i="1"/>
  <c r="BA1161" i="1"/>
  <c r="BA1162" i="1"/>
  <c r="BA1163" i="1"/>
  <c r="BA1164" i="1"/>
  <c r="BA1165" i="1"/>
  <c r="BA1166" i="1"/>
  <c r="BA1167" i="1"/>
  <c r="BA1168" i="1"/>
  <c r="BA1169" i="1"/>
  <c r="BA1170" i="1"/>
  <c r="BA1171" i="1"/>
  <c r="BA1172" i="1"/>
  <c r="BA1173" i="1"/>
  <c r="BA1174" i="1"/>
  <c r="BA1175" i="1"/>
  <c r="BA1176" i="1"/>
  <c r="BA1177" i="1"/>
  <c r="BA1178" i="1"/>
  <c r="BA1179" i="1"/>
  <c r="BA1180" i="1"/>
  <c r="BA1181" i="1"/>
  <c r="BA1182" i="1"/>
  <c r="BA1183" i="1"/>
  <c r="BA1184" i="1"/>
  <c r="BA1185" i="1"/>
  <c r="BA1186" i="1"/>
  <c r="BA1187" i="1"/>
  <c r="BA1188" i="1"/>
  <c r="BA1189" i="1"/>
  <c r="BA1190" i="1"/>
  <c r="BA1191" i="1"/>
  <c r="BA1192" i="1"/>
  <c r="BA1193" i="1"/>
  <c r="BA1194" i="1"/>
  <c r="BA1195" i="1"/>
  <c r="BA1196" i="1"/>
  <c r="BA1197" i="1"/>
  <c r="BA1198" i="1"/>
  <c r="BA1199" i="1"/>
  <c r="BA1200" i="1"/>
  <c r="BA1201" i="1"/>
  <c r="BA1202" i="1"/>
  <c r="BA1203" i="1"/>
  <c r="BA1204" i="1"/>
  <c r="BA1205" i="1"/>
  <c r="BA1206" i="1"/>
  <c r="BA1207" i="1"/>
  <c r="BA1208" i="1"/>
  <c r="BA1209" i="1"/>
  <c r="BA1210" i="1"/>
  <c r="BA1211" i="1"/>
  <c r="BA1212" i="1"/>
  <c r="BA1213" i="1"/>
  <c r="BA1214" i="1"/>
  <c r="BA1215" i="1"/>
  <c r="BA1216" i="1"/>
  <c r="BA1217" i="1"/>
  <c r="BA1218" i="1"/>
  <c r="BA1219" i="1"/>
  <c r="BA1220" i="1"/>
  <c r="BA1221" i="1"/>
  <c r="BA1222" i="1"/>
  <c r="BA1223" i="1"/>
  <c r="BA1224" i="1"/>
  <c r="BA1225" i="1"/>
  <c r="BA1226" i="1"/>
  <c r="BA1227" i="1"/>
  <c r="BA1228" i="1"/>
  <c r="BA1229" i="1"/>
  <c r="BA1230" i="1"/>
  <c r="BA1231" i="1"/>
  <c r="BA1232" i="1"/>
  <c r="BA1233" i="1"/>
  <c r="BA1234" i="1"/>
  <c r="BA1235" i="1"/>
  <c r="BA1236" i="1"/>
  <c r="BA1237" i="1"/>
  <c r="BA1238" i="1"/>
  <c r="BA1239" i="1"/>
  <c r="BA1240" i="1"/>
  <c r="BA1241" i="1"/>
  <c r="BA1242" i="1"/>
  <c r="BA1243" i="1"/>
  <c r="BA1244" i="1"/>
  <c r="BA1245" i="1"/>
  <c r="BA1246" i="1"/>
  <c r="BA1247" i="1"/>
  <c r="BA1248" i="1"/>
  <c r="BA1249" i="1"/>
  <c r="BA1250" i="1"/>
  <c r="BA1251" i="1"/>
  <c r="BA1252" i="1"/>
  <c r="BA1253" i="1"/>
  <c r="BA1254" i="1"/>
  <c r="BA1255" i="1"/>
  <c r="BA1256" i="1"/>
  <c r="BA1257" i="1"/>
  <c r="BA1258" i="1"/>
  <c r="BA1259" i="1"/>
  <c r="BA1260" i="1"/>
  <c r="BA1261" i="1"/>
  <c r="BA1262" i="1"/>
  <c r="BA1263" i="1"/>
  <c r="BA1264" i="1"/>
  <c r="BA1265" i="1"/>
  <c r="BA1266" i="1"/>
  <c r="BA1267" i="1"/>
  <c r="BA1268" i="1"/>
  <c r="BA1269" i="1"/>
  <c r="BA1270" i="1"/>
  <c r="BA1271" i="1"/>
  <c r="BA1272" i="1"/>
  <c r="BA1273" i="1"/>
  <c r="BA1274" i="1"/>
  <c r="BA1275" i="1"/>
  <c r="BA1276" i="1"/>
  <c r="BA1277" i="1"/>
  <c r="BA1278" i="1"/>
  <c r="BA1279" i="1"/>
  <c r="BA1280" i="1"/>
  <c r="BA1281" i="1"/>
  <c r="BA1282" i="1"/>
  <c r="BA1283" i="1"/>
  <c r="BA1284" i="1"/>
  <c r="BA1285" i="1"/>
  <c r="BA1286" i="1"/>
  <c r="BA1287" i="1"/>
  <c r="BA1288" i="1"/>
  <c r="BA1289" i="1"/>
  <c r="BA1290" i="1"/>
  <c r="BA1291" i="1"/>
  <c r="BA1292" i="1"/>
  <c r="BA1293" i="1"/>
  <c r="BA1294" i="1"/>
  <c r="BA1295" i="1"/>
  <c r="BA1296" i="1"/>
  <c r="BA1297" i="1"/>
  <c r="BA1298" i="1"/>
  <c r="BA1299" i="1"/>
  <c r="BA1300" i="1"/>
  <c r="BA1301" i="1"/>
  <c r="BA1302" i="1"/>
  <c r="BA1303" i="1"/>
  <c r="BA1304" i="1"/>
  <c r="BA1305" i="1"/>
  <c r="BA1306" i="1"/>
  <c r="BA1307" i="1"/>
  <c r="BA1308" i="1"/>
  <c r="BA1309" i="1"/>
  <c r="BA1310" i="1"/>
  <c r="BA1311" i="1"/>
  <c r="BA1312" i="1"/>
  <c r="BA1313" i="1"/>
  <c r="BA1314" i="1"/>
  <c r="BA1315" i="1"/>
  <c r="BA1316" i="1"/>
  <c r="BA1317" i="1"/>
  <c r="BA1318" i="1"/>
  <c r="BA1319" i="1"/>
  <c r="BA1320" i="1"/>
  <c r="BA1321" i="1"/>
  <c r="BA1322" i="1"/>
  <c r="BA1323" i="1"/>
  <c r="BA1324" i="1"/>
  <c r="BA1325" i="1"/>
  <c r="BA1326" i="1"/>
  <c r="BA1327" i="1"/>
  <c r="BA1328" i="1"/>
  <c r="BA1329" i="1"/>
  <c r="BA1330" i="1"/>
  <c r="BA1331" i="1"/>
  <c r="BA1332" i="1"/>
  <c r="BA1333" i="1"/>
  <c r="BA1334" i="1"/>
  <c r="BA1335" i="1"/>
  <c r="BA1336" i="1"/>
  <c r="BA1337" i="1"/>
  <c r="BA1338" i="1"/>
  <c r="BA1339" i="1"/>
  <c r="BA1340" i="1"/>
  <c r="BA1341" i="1"/>
  <c r="BA1342" i="1"/>
  <c r="BA1343" i="1"/>
  <c r="BA1344" i="1"/>
  <c r="BA1345" i="1"/>
  <c r="BA1346" i="1"/>
  <c r="BA1347" i="1"/>
  <c r="BA1348" i="1"/>
  <c r="BA1349" i="1"/>
  <c r="BA1350" i="1"/>
  <c r="BA1351" i="1"/>
  <c r="BA1352" i="1"/>
  <c r="BA1353" i="1"/>
  <c r="BA1354" i="1"/>
  <c r="BA1355" i="1"/>
  <c r="BA1356" i="1"/>
  <c r="BA1357" i="1"/>
  <c r="BA1358" i="1"/>
  <c r="BA1359" i="1"/>
  <c r="BA1360" i="1"/>
  <c r="BA1361" i="1"/>
  <c r="BA1362" i="1"/>
  <c r="BA1363" i="1"/>
  <c r="BA1364" i="1"/>
  <c r="BA1365" i="1"/>
  <c r="BA1366" i="1"/>
  <c r="BA1367" i="1"/>
  <c r="BA1368" i="1"/>
  <c r="BA1369" i="1"/>
  <c r="BA1370" i="1"/>
  <c r="BA1371" i="1"/>
  <c r="BA1372" i="1"/>
  <c r="BA1373" i="1"/>
  <c r="BA1374" i="1"/>
  <c r="BA1375" i="1"/>
  <c r="BA1376" i="1"/>
  <c r="BA1377" i="1"/>
  <c r="BA1378" i="1"/>
  <c r="BA1379" i="1"/>
  <c r="BA1380" i="1"/>
  <c r="BA1381" i="1"/>
  <c r="BA1382" i="1"/>
  <c r="BA1383" i="1"/>
  <c r="BA1384" i="1"/>
  <c r="BA1385" i="1"/>
  <c r="BA1386" i="1"/>
  <c r="BA1387" i="1"/>
  <c r="BA1388" i="1"/>
  <c r="BA1389" i="1"/>
  <c r="BA1390" i="1"/>
  <c r="BA1391" i="1"/>
  <c r="BA1392" i="1"/>
  <c r="BA1393" i="1"/>
  <c r="BA1394" i="1"/>
  <c r="BA1395" i="1"/>
  <c r="BA1396" i="1"/>
  <c r="BA1397" i="1"/>
  <c r="BA1398" i="1"/>
  <c r="BA1399" i="1"/>
  <c r="BA1400" i="1"/>
  <c r="BA1401" i="1"/>
  <c r="BA1402" i="1"/>
  <c r="BA1403" i="1"/>
  <c r="BA1404" i="1"/>
  <c r="BA1405" i="1"/>
  <c r="BA1406" i="1"/>
  <c r="BA1407" i="1"/>
  <c r="BA1408" i="1"/>
  <c r="BA1409" i="1"/>
  <c r="BA1410" i="1"/>
  <c r="BA1411" i="1"/>
  <c r="BA1412" i="1"/>
  <c r="BA1413" i="1"/>
  <c r="BA1414" i="1"/>
  <c r="BA1415" i="1"/>
  <c r="BA1416" i="1"/>
  <c r="BA1417" i="1"/>
  <c r="BA1418" i="1"/>
  <c r="BA1419" i="1"/>
  <c r="BA1420" i="1"/>
  <c r="BA2" i="1"/>
</calcChain>
</file>

<file path=xl/sharedStrings.xml><?xml version="1.0" encoding="utf-8"?>
<sst xmlns="http://schemas.openxmlformats.org/spreadsheetml/2006/main" count="11942" uniqueCount="253">
  <si>
    <t>Substrate</t>
  </si>
  <si>
    <t>Formula_S</t>
  </si>
  <si>
    <t>C_Sn</t>
  </si>
  <si>
    <t>H_Sn</t>
  </si>
  <si>
    <t>O_Sn</t>
  </si>
  <si>
    <t>MW_S</t>
  </si>
  <si>
    <t>N_electrons</t>
  </si>
  <si>
    <t>ParametersType</t>
  </si>
  <si>
    <t>CellVoltage</t>
  </si>
  <si>
    <t>CurrentDensity</t>
  </si>
  <si>
    <t>FaradaicEfficiency</t>
  </si>
  <si>
    <t>EnergyEfficiency</t>
  </si>
  <si>
    <t>ByProducts</t>
  </si>
  <si>
    <t>ByP_FE</t>
  </si>
  <si>
    <t>Xco2</t>
  </si>
  <si>
    <t>ElectricityPrice</t>
  </si>
  <si>
    <t>CO2Price</t>
  </si>
  <si>
    <t>CarbonTax</t>
  </si>
  <si>
    <t>Conversion</t>
  </si>
  <si>
    <t>ElectrolyzerPrice</t>
  </si>
  <si>
    <t>PlantLife</t>
  </si>
  <si>
    <t>StreamFactor</t>
  </si>
  <si>
    <t>ScalingFactor</t>
  </si>
  <si>
    <t>ElectrodeArea</t>
  </si>
  <si>
    <t>I</t>
  </si>
  <si>
    <t>Power</t>
  </si>
  <si>
    <t>kWh</t>
  </si>
  <si>
    <t>kWh_sep</t>
  </si>
  <si>
    <t>emol_curr</t>
  </si>
  <si>
    <t>MaxProductionRate</t>
  </si>
  <si>
    <t>ActualProductionRate</t>
  </si>
  <si>
    <t>ActualProductionRate_mass</t>
  </si>
  <si>
    <t>CO2rate_fed</t>
  </si>
  <si>
    <t>CO2rate_conv</t>
  </si>
  <si>
    <t>Cost_elec_h</t>
  </si>
  <si>
    <t>Cost_h_sep</t>
  </si>
  <si>
    <t>Type_sep</t>
  </si>
  <si>
    <t>Cost_CO2_h</t>
  </si>
  <si>
    <t>Cost_electrolyzer_h</t>
  </si>
  <si>
    <t>CT_savings_h</t>
  </si>
  <si>
    <t>ProductionCost_hNOCT</t>
  </si>
  <si>
    <t>ProductionCost_h</t>
  </si>
  <si>
    <t>Cost_elec_mol</t>
  </si>
  <si>
    <t>Cost_elec_mass</t>
  </si>
  <si>
    <t>Cost_CO2_mass</t>
  </si>
  <si>
    <t>Cost_electrolyzer_mass</t>
  </si>
  <si>
    <t>CT_savings_mass</t>
  </si>
  <si>
    <t>ProductionCost_massNOCT</t>
  </si>
  <si>
    <t>ProductionCost_mass</t>
  </si>
  <si>
    <t>CO2_ECons_mass</t>
  </si>
  <si>
    <t>BioProduct</t>
  </si>
  <si>
    <t>Formula_BP</t>
  </si>
  <si>
    <t>MW_BP</t>
  </si>
  <si>
    <t>Deg_RedBP</t>
  </si>
  <si>
    <t>BoilP_degC</t>
  </si>
  <si>
    <t>SubstratePathway</t>
  </si>
  <si>
    <t>CO2_BProd_mass</t>
  </si>
  <si>
    <t>YieldBP_Molar</t>
  </si>
  <si>
    <t>YieldBP_Mass</t>
  </si>
  <si>
    <t>Bioconversion</t>
  </si>
  <si>
    <t>BioproductionCost_massNOCT</t>
  </si>
  <si>
    <t>BioproductionCost_mass1</t>
  </si>
  <si>
    <t>CO2_OverallCons_mass</t>
  </si>
  <si>
    <t>CT_OverallSavings_mass</t>
  </si>
  <si>
    <t>BioproductionCost_mass2</t>
  </si>
  <si>
    <t>Acetaldehyde</t>
  </si>
  <si>
    <t>AceticAcid</t>
  </si>
  <si>
    <t>CarbonMonoxide</t>
  </si>
  <si>
    <t>CarbonMonoxide_0.5</t>
  </si>
  <si>
    <t>CarbonMonoxide_1</t>
  </si>
  <si>
    <t>CarbonMonoxide_2</t>
  </si>
  <si>
    <t>EthyleneGlycol</t>
  </si>
  <si>
    <t>Ethanol</t>
  </si>
  <si>
    <t>FormicAcid</t>
  </si>
  <si>
    <t>FormicAcid_0.5</t>
  </si>
  <si>
    <t>FormicAcid_1</t>
  </si>
  <si>
    <t>FormicAcid_2</t>
  </si>
  <si>
    <t>Glycolaldehyde</t>
  </si>
  <si>
    <t>Methanol</t>
  </si>
  <si>
    <t>CarbonDioxide_2</t>
  </si>
  <si>
    <t>C2H4O</t>
  </si>
  <si>
    <t>CH3COOH</t>
  </si>
  <si>
    <t>CO</t>
  </si>
  <si>
    <t>(CH2OH)2</t>
  </si>
  <si>
    <t>C2H5OH</t>
  </si>
  <si>
    <t>CHOOH</t>
  </si>
  <si>
    <t>C2H4O2</t>
  </si>
  <si>
    <t>CH3OH</t>
  </si>
  <si>
    <t>CO2</t>
  </si>
  <si>
    <t>Categories-Category_1</t>
  </si>
  <si>
    <t>FormicAcid/CO</t>
  </si>
  <si>
    <t>Hydrogen</t>
  </si>
  <si>
    <t>inf</t>
  </si>
  <si>
    <t>Nanofiltration</t>
  </si>
  <si>
    <t>Distillation</t>
  </si>
  <si>
    <t>PSA</t>
  </si>
  <si>
    <t>1-3-Butanediol-PW1</t>
  </si>
  <si>
    <t>1-3-Butanediol-PW2</t>
  </si>
  <si>
    <t>1-3-Diaminopropane</t>
  </si>
  <si>
    <t>1-3-Propanediol</t>
  </si>
  <si>
    <t>1-4-Butanediol</t>
  </si>
  <si>
    <t>1-Propanol-PW1</t>
  </si>
  <si>
    <t>1-Propanol-PW2</t>
  </si>
  <si>
    <t>2-3-Butanediol</t>
  </si>
  <si>
    <t>2-Methyl-1-Butanol</t>
  </si>
  <si>
    <t>2-Pyrone-4-6-Dicarboxylate</t>
  </si>
  <si>
    <t>3-Methyl-1-Pentanol</t>
  </si>
  <si>
    <t>4-Hydroxystyrene</t>
  </si>
  <si>
    <t>5-Aminopentanoate</t>
  </si>
  <si>
    <t>Acetone</t>
  </si>
  <si>
    <t>Acrylate-PW1</t>
  </si>
  <si>
    <t>Acrylate-PW2</t>
  </si>
  <si>
    <t>Adipate</t>
  </si>
  <si>
    <t>Benzoate-PW1</t>
  </si>
  <si>
    <t>Benzoate-PW2</t>
  </si>
  <si>
    <t>BenzylAlcohol</t>
  </si>
  <si>
    <t>BetaCarotene</t>
  </si>
  <si>
    <t>Butane</t>
  </si>
  <si>
    <t>Butanol-PW1</t>
  </si>
  <si>
    <t>Butanol-PW2</t>
  </si>
  <si>
    <t>Butyrate</t>
  </si>
  <si>
    <t>Catechol</t>
  </si>
  <si>
    <t>ciscisMuconate</t>
  </si>
  <si>
    <t>Citrate</t>
  </si>
  <si>
    <t>CoumaricAcid</t>
  </si>
  <si>
    <t>EthylAcetate</t>
  </si>
  <si>
    <t>Farnesene</t>
  </si>
  <si>
    <t>GammaButyrolactone</t>
  </si>
  <si>
    <t>Glutamate_L</t>
  </si>
  <si>
    <t>Glutarate</t>
  </si>
  <si>
    <t>Glycolate</t>
  </si>
  <si>
    <t>Heptane</t>
  </si>
  <si>
    <t>Hexane</t>
  </si>
  <si>
    <t>Isobutanol</t>
  </si>
  <si>
    <t>Isobutyrate</t>
  </si>
  <si>
    <t>Isoprene</t>
  </si>
  <si>
    <t>Isopropanol</t>
  </si>
  <si>
    <t>Itaconate</t>
  </si>
  <si>
    <t>Limonene</t>
  </si>
  <si>
    <t>Lysine_L</t>
  </si>
  <si>
    <t>Malate_L</t>
  </si>
  <si>
    <t>Malonate</t>
  </si>
  <si>
    <t>Nonane</t>
  </si>
  <si>
    <t>Octane</t>
  </si>
  <si>
    <t>Pentane</t>
  </si>
  <si>
    <t>Pentanol-PW1</t>
  </si>
  <si>
    <t>Pentanol-PW2</t>
  </si>
  <si>
    <t>Phenol</t>
  </si>
  <si>
    <t>Propane-PW1</t>
  </si>
  <si>
    <t>Propane-PW2</t>
  </si>
  <si>
    <t>Shikimate</t>
  </si>
  <si>
    <t>Styrene</t>
  </si>
  <si>
    <t>Succinate</t>
  </si>
  <si>
    <t>C4H10O2</t>
  </si>
  <si>
    <t>C3H12N2</t>
  </si>
  <si>
    <t>C3H8O2</t>
  </si>
  <si>
    <t>C3H8O</t>
  </si>
  <si>
    <t>C5H12O</t>
  </si>
  <si>
    <t>C7H2O6</t>
  </si>
  <si>
    <t>C6H14O</t>
  </si>
  <si>
    <t>C8H8O</t>
  </si>
  <si>
    <t>C5H11NO2</t>
  </si>
  <si>
    <t>C3H6O</t>
  </si>
  <si>
    <t>C3H3O2</t>
  </si>
  <si>
    <t>C6H8O4</t>
  </si>
  <si>
    <t>C7H5O2</t>
  </si>
  <si>
    <t>C7H8O</t>
  </si>
  <si>
    <t>C40H56</t>
  </si>
  <si>
    <t>C4H10</t>
  </si>
  <si>
    <t>C4H10O</t>
  </si>
  <si>
    <t>C4H7O2</t>
  </si>
  <si>
    <t>C6H6O2</t>
  </si>
  <si>
    <t>C6H4O4</t>
  </si>
  <si>
    <t>C6H5O7</t>
  </si>
  <si>
    <t>C9H7O3</t>
  </si>
  <si>
    <t>C4H8O2</t>
  </si>
  <si>
    <t>C15H24</t>
  </si>
  <si>
    <t>C4H6O2</t>
  </si>
  <si>
    <t>C5H8NO4</t>
  </si>
  <si>
    <t>C5H6O4</t>
  </si>
  <si>
    <t>C2H3O3</t>
  </si>
  <si>
    <t>C7H16</t>
  </si>
  <si>
    <t>C6H14</t>
  </si>
  <si>
    <t>C5H10O</t>
  </si>
  <si>
    <t>C5H8</t>
  </si>
  <si>
    <t>C5H4O4</t>
  </si>
  <si>
    <t>C10H16</t>
  </si>
  <si>
    <t>C6H15N2O2</t>
  </si>
  <si>
    <t>C4H4O5</t>
  </si>
  <si>
    <t>C3H2O4</t>
  </si>
  <si>
    <t>C9H20</t>
  </si>
  <si>
    <t>C8H18</t>
  </si>
  <si>
    <t>C5H12</t>
  </si>
  <si>
    <t>C6H6O</t>
  </si>
  <si>
    <t>C3H8</t>
  </si>
  <si>
    <t>C7H9O5</t>
  </si>
  <si>
    <t>C8H8</t>
  </si>
  <si>
    <t>C4H4O4</t>
  </si>
  <si>
    <t>260 (A)/272 (B)</t>
  </si>
  <si>
    <t>Acetate</t>
  </si>
  <si>
    <t>CO_1:H2_0</t>
  </si>
  <si>
    <t>CO_1:H2_0.5</t>
  </si>
  <si>
    <t>CO_1:H2_1</t>
  </si>
  <si>
    <t>CO_1:H2_2</t>
  </si>
  <si>
    <t>EG_Glycolate</t>
  </si>
  <si>
    <t>EG_SACA</t>
  </si>
  <si>
    <t>FOR_1:H2_0</t>
  </si>
  <si>
    <t>Formate_Formolase</t>
  </si>
  <si>
    <t>Formate_RGP-Serine</t>
  </si>
  <si>
    <t>Formate_SerineCycle</t>
  </si>
  <si>
    <t>FOR_1:H2_0.5</t>
  </si>
  <si>
    <t>FOR_1:H2_1</t>
  </si>
  <si>
    <t>FOR_1:H2_2</t>
  </si>
  <si>
    <t>Glycolaldehyde_Glycolate</t>
  </si>
  <si>
    <t>Glycolaldehyde_SACA</t>
  </si>
  <si>
    <t>Methanol_Formolase</t>
  </si>
  <si>
    <t>Methanol_RuMP</t>
  </si>
  <si>
    <t>Methanol_SerineCycle</t>
  </si>
  <si>
    <t>Methanol_MethylTransferase_1</t>
  </si>
  <si>
    <t>Methanol_MethylTransferase_0.5</t>
  </si>
  <si>
    <t>Methanol_MethylTransferase_0.1</t>
  </si>
  <si>
    <t>Methanol_MethylTransferase_0</t>
  </si>
  <si>
    <t>CO_2:H2_2</t>
  </si>
  <si>
    <t>-inf</t>
  </si>
  <si>
    <t>BioProduct_Graph</t>
  </si>
  <si>
    <t>1,3-Butanediol (PW1)</t>
  </si>
  <si>
    <t>1,3-Butanediol (PW2)</t>
  </si>
  <si>
    <t>1,3-Diaminopropane</t>
  </si>
  <si>
    <t>1,3-Propanediol</t>
  </si>
  <si>
    <t>1,4-Butanediol</t>
  </si>
  <si>
    <t>1-Propanol (PW1)</t>
  </si>
  <si>
    <t>1-Propanol (PW2)</t>
  </si>
  <si>
    <t>2,3-Butanediol</t>
  </si>
  <si>
    <t>2-Pyrone-4,6-Dicarboxylate</t>
  </si>
  <si>
    <t>Acrylate (PW1)</t>
  </si>
  <si>
    <t>Acrylate (PW2)</t>
  </si>
  <si>
    <t>Benzoate (PW1)</t>
  </si>
  <si>
    <t>Benzoate (PW2)</t>
  </si>
  <si>
    <t>Benzyl Alcohol</t>
  </si>
  <si>
    <t>Beta Carotene</t>
  </si>
  <si>
    <t>Butanol (PW1)</t>
  </si>
  <si>
    <t>Butanol (PW2)</t>
  </si>
  <si>
    <t>cis,cis-Muconate</t>
  </si>
  <si>
    <t>Coumaric Acid</t>
  </si>
  <si>
    <t>Ethyl Acetate</t>
  </si>
  <si>
    <t>Gamma Butyrolactone</t>
  </si>
  <si>
    <t>L-Glutamate</t>
  </si>
  <si>
    <t>L-Lysine</t>
  </si>
  <si>
    <t>L-Malate</t>
  </si>
  <si>
    <t>Pentanol (PW1)</t>
  </si>
  <si>
    <t>Pentanol (PW2)</t>
  </si>
  <si>
    <t>Propane (PW1)</t>
  </si>
  <si>
    <t>Propane (PW2)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</si>
</sst>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420"/>
  <sheetViews>
    <sheetView tabSelected="1" topLeftCell="AS1372" workbookViewId="0">
      <selection activeCell="BA2" sqref="BA2:BA1420"/>
    </sheetView>
  </sheetViews>
  <sheetFormatPr defaultRowHeight="15" x14ac:dyDescent="0.25"/>
  <cols>
    <col min="52" max="53" width="30.28515625" customWidth="1"/>
  </cols>
  <sheetData>
    <row r="1" spans="1:6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224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</row>
    <row r="2" spans="1:67" x14ac:dyDescent="0.25">
      <c r="A2" s="1">
        <v>0</v>
      </c>
      <c r="B2" t="s">
        <v>65</v>
      </c>
      <c r="C2" t="s">
        <v>80</v>
      </c>
      <c r="D2">
        <v>2</v>
      </c>
      <c r="E2">
        <v>4</v>
      </c>
      <c r="F2">
        <v>1</v>
      </c>
      <c r="G2">
        <v>44.051760000000002</v>
      </c>
      <c r="H2">
        <v>10</v>
      </c>
      <c r="I2" t="s">
        <v>89</v>
      </c>
      <c r="J2">
        <v>2</v>
      </c>
      <c r="K2">
        <v>20</v>
      </c>
      <c r="L2">
        <v>60</v>
      </c>
      <c r="N2" t="s">
        <v>90</v>
      </c>
      <c r="O2">
        <v>40</v>
      </c>
      <c r="P2">
        <v>0.32</v>
      </c>
      <c r="Q2">
        <v>3.2500000000000001E-2</v>
      </c>
      <c r="R2">
        <v>77.5</v>
      </c>
      <c r="S2">
        <v>170</v>
      </c>
      <c r="T2">
        <v>50</v>
      </c>
      <c r="U2">
        <v>1812.1301775147931</v>
      </c>
      <c r="V2">
        <v>20</v>
      </c>
      <c r="W2">
        <v>0.95</v>
      </c>
      <c r="X2">
        <v>1</v>
      </c>
      <c r="Y2">
        <v>1416577.592376993</v>
      </c>
      <c r="Z2">
        <v>283315518.47539872</v>
      </c>
      <c r="AA2">
        <v>566631036.95079732</v>
      </c>
      <c r="AB2">
        <v>566631.03695079731</v>
      </c>
      <c r="AC2">
        <v>0</v>
      </c>
      <c r="AD2">
        <v>2936.35840764559</v>
      </c>
      <c r="AE2">
        <v>1057089.026752413</v>
      </c>
      <c r="AF2">
        <v>634253.41605144751</v>
      </c>
      <c r="AG2">
        <v>27.939979263078509</v>
      </c>
      <c r="AH2">
        <v>297.74392363119148</v>
      </c>
      <c r="AI2">
        <v>148.87196181559571</v>
      </c>
      <c r="AJ2">
        <v>18415.508700900911</v>
      </c>
      <c r="AK2">
        <v>854.70085470085473</v>
      </c>
      <c r="AL2" t="s">
        <v>93</v>
      </c>
      <c r="AM2">
        <v>23075.154081417339</v>
      </c>
      <c r="AN2">
        <v>15808.69129437658</v>
      </c>
      <c r="AO2">
        <v>25308.233508651279</v>
      </c>
      <c r="AP2">
        <v>58154.05493139568</v>
      </c>
      <c r="AQ2">
        <v>32845.821422744397</v>
      </c>
      <c r="AR2">
        <v>2.9034938141203701E-2</v>
      </c>
      <c r="AS2">
        <v>659.10960518271463</v>
      </c>
      <c r="AT2">
        <v>825.88300671755212</v>
      </c>
      <c r="AU2">
        <v>565.80898452086842</v>
      </c>
      <c r="AV2">
        <v>905.80716865796046</v>
      </c>
      <c r="AW2">
        <v>2081.3922008970048</v>
      </c>
      <c r="AX2">
        <v>1175.5850322390449</v>
      </c>
      <c r="AY2">
        <v>5.3282774626938849</v>
      </c>
      <c r="AZ2" t="s">
        <v>96</v>
      </c>
      <c r="BA2" t="str">
        <f>VLOOKUP($AZ2,Sheet1!$A$2:$B$58,2)</f>
        <v>1,3-Butanediol (PW1)</v>
      </c>
      <c r="BB2" t="s">
        <v>153</v>
      </c>
      <c r="BC2">
        <v>90.119200000000006</v>
      </c>
      <c r="BD2">
        <v>5.5</v>
      </c>
      <c r="BE2">
        <v>207</v>
      </c>
      <c r="BF2" t="s">
        <v>65</v>
      </c>
      <c r="BG2">
        <v>0.27966661398215398</v>
      </c>
      <c r="BH2">
        <v>0.43738095238095298</v>
      </c>
      <c r="BI2">
        <v>0.89477518091920805</v>
      </c>
      <c r="BJ2">
        <v>80</v>
      </c>
      <c r="BK2">
        <v>2907.7027465697838</v>
      </c>
      <c r="BL2">
        <v>1642.2910711372199</v>
      </c>
      <c r="BM2">
        <v>7.1639314767976332</v>
      </c>
      <c r="BN2">
        <v>1217.8683510555979</v>
      </c>
      <c r="BO2">
        <v>1689.8343955141861</v>
      </c>
    </row>
    <row r="3" spans="1:67" x14ac:dyDescent="0.25">
      <c r="A3" s="1">
        <v>1</v>
      </c>
      <c r="B3" t="s">
        <v>65</v>
      </c>
      <c r="C3" t="s">
        <v>80</v>
      </c>
      <c r="D3">
        <v>2</v>
      </c>
      <c r="E3">
        <v>4</v>
      </c>
      <c r="F3">
        <v>1</v>
      </c>
      <c r="G3">
        <v>44.051760000000002</v>
      </c>
      <c r="H3">
        <v>10</v>
      </c>
      <c r="I3" t="s">
        <v>89</v>
      </c>
      <c r="J3">
        <v>2</v>
      </c>
      <c r="K3">
        <v>20</v>
      </c>
      <c r="L3">
        <v>60</v>
      </c>
      <c r="N3" t="s">
        <v>90</v>
      </c>
      <c r="O3">
        <v>40</v>
      </c>
      <c r="P3">
        <v>0.32</v>
      </c>
      <c r="Q3">
        <v>3.2500000000000001E-2</v>
      </c>
      <c r="R3">
        <v>77.5</v>
      </c>
      <c r="S3">
        <v>170</v>
      </c>
      <c r="T3">
        <v>50</v>
      </c>
      <c r="U3">
        <v>1812.1301775147931</v>
      </c>
      <c r="V3">
        <v>20</v>
      </c>
      <c r="W3">
        <v>0.95</v>
      </c>
      <c r="X3">
        <v>1</v>
      </c>
      <c r="Y3">
        <v>1392885.5316197411</v>
      </c>
      <c r="Z3">
        <v>278577106.32394832</v>
      </c>
      <c r="AA3">
        <v>557154212.64789653</v>
      </c>
      <c r="AB3">
        <v>557154.21264789649</v>
      </c>
      <c r="AC3">
        <v>0</v>
      </c>
      <c r="AD3">
        <v>2887.248226760777</v>
      </c>
      <c r="AE3">
        <v>1039409.3616338799</v>
      </c>
      <c r="AF3">
        <v>623645.61698032776</v>
      </c>
      <c r="AG3">
        <v>27.472687044269321</v>
      </c>
      <c r="AH3">
        <v>292.76419843524508</v>
      </c>
      <c r="AI3">
        <v>146.3820992176226</v>
      </c>
      <c r="AJ3">
        <v>18107.511911056641</v>
      </c>
      <c r="AK3">
        <v>854.70085470085473</v>
      </c>
      <c r="AL3" t="s">
        <v>93</v>
      </c>
      <c r="AM3">
        <v>22689.225378731498</v>
      </c>
      <c r="AN3">
        <v>15544.293158577661</v>
      </c>
      <c r="AO3">
        <v>24884.956866995839</v>
      </c>
      <c r="AP3">
        <v>57195.731303066641</v>
      </c>
      <c r="AQ3">
        <v>32310.774436070809</v>
      </c>
      <c r="AR3">
        <v>2.9034938141203712E-2</v>
      </c>
      <c r="AS3">
        <v>659.10960518271474</v>
      </c>
      <c r="AT3">
        <v>825.88300671755246</v>
      </c>
      <c r="AU3">
        <v>565.80898452086876</v>
      </c>
      <c r="AV3">
        <v>905.80716865796069</v>
      </c>
      <c r="AW3">
        <v>2081.9125268271641</v>
      </c>
      <c r="AX3">
        <v>1176.105358169204</v>
      </c>
      <c r="AY3">
        <v>5.3282774626938867</v>
      </c>
      <c r="AZ3" t="s">
        <v>97</v>
      </c>
      <c r="BA3" t="str">
        <f>VLOOKUP($AZ3,Sheet1!$A$2:$B$58,2)</f>
        <v>1,3-Butanediol (PW2)</v>
      </c>
      <c r="BB3" t="s">
        <v>153</v>
      </c>
      <c r="BC3">
        <v>90.119200000000006</v>
      </c>
      <c r="BD3">
        <v>5.5</v>
      </c>
      <c r="BE3">
        <v>207</v>
      </c>
      <c r="BF3" t="s">
        <v>65</v>
      </c>
      <c r="BG3">
        <v>0.24231867501255699</v>
      </c>
      <c r="BH3">
        <v>0.44482051282051299</v>
      </c>
      <c r="BI3">
        <v>0.90999471437632395</v>
      </c>
      <c r="BJ3">
        <v>80</v>
      </c>
      <c r="BK3">
        <v>2859.786565153332</v>
      </c>
      <c r="BL3">
        <v>1615.538721803541</v>
      </c>
      <c r="BM3">
        <v>7.0767862858685708</v>
      </c>
      <c r="BN3">
        <v>1203.053668597657</v>
      </c>
      <c r="BO3">
        <v>1656.7328965556751</v>
      </c>
    </row>
    <row r="4" spans="1:67" x14ac:dyDescent="0.25">
      <c r="A4" s="1">
        <v>2</v>
      </c>
      <c r="B4" t="s">
        <v>65</v>
      </c>
      <c r="C4" t="s">
        <v>80</v>
      </c>
      <c r="D4">
        <v>2</v>
      </c>
      <c r="E4">
        <v>4</v>
      </c>
      <c r="F4">
        <v>1</v>
      </c>
      <c r="G4">
        <v>44.051760000000002</v>
      </c>
      <c r="H4">
        <v>10</v>
      </c>
      <c r="I4" t="s">
        <v>89</v>
      </c>
      <c r="J4">
        <v>2</v>
      </c>
      <c r="K4">
        <v>20</v>
      </c>
      <c r="L4">
        <v>60</v>
      </c>
      <c r="N4" t="s">
        <v>90</v>
      </c>
      <c r="O4">
        <v>40</v>
      </c>
      <c r="P4">
        <v>0.32</v>
      </c>
      <c r="Q4">
        <v>3.2500000000000001E-2</v>
      </c>
      <c r="R4">
        <v>77.5</v>
      </c>
      <c r="S4">
        <v>170</v>
      </c>
      <c r="T4">
        <v>50</v>
      </c>
      <c r="U4">
        <v>1812.1301775147931</v>
      </c>
      <c r="V4">
        <v>20</v>
      </c>
      <c r="W4">
        <v>0.95</v>
      </c>
      <c r="X4">
        <v>1</v>
      </c>
      <c r="Y4">
        <v>1477065.153119599</v>
      </c>
      <c r="Z4">
        <v>295413030.62391979</v>
      </c>
      <c r="AA4">
        <v>590826061.24783969</v>
      </c>
      <c r="AB4">
        <v>590826.06124783971</v>
      </c>
      <c r="AC4">
        <v>0</v>
      </c>
      <c r="AD4">
        <v>3061.740284713469</v>
      </c>
      <c r="AE4">
        <v>1102226.502496849</v>
      </c>
      <c r="AF4">
        <v>661335.90149810945</v>
      </c>
      <c r="AG4">
        <v>29.133010412178361</v>
      </c>
      <c r="AH4">
        <v>310.45752559927251</v>
      </c>
      <c r="AI4">
        <v>155.2287627996362</v>
      </c>
      <c r="AJ4">
        <v>19201.84699055479</v>
      </c>
      <c r="AK4">
        <v>854.70085470085473</v>
      </c>
      <c r="AL4" t="s">
        <v>93</v>
      </c>
      <c r="AM4">
        <v>24060.45823394362</v>
      </c>
      <c r="AN4">
        <v>16483.719037350529</v>
      </c>
      <c r="AO4">
        <v>26388.889675938161</v>
      </c>
      <c r="AP4">
        <v>60600.725116549787</v>
      </c>
      <c r="AQ4">
        <v>34211.835440611627</v>
      </c>
      <c r="AR4">
        <v>2.9034938141203701E-2</v>
      </c>
      <c r="AS4">
        <v>659.10960518271452</v>
      </c>
      <c r="AT4">
        <v>825.88300671755212</v>
      </c>
      <c r="AU4">
        <v>565.80898452086865</v>
      </c>
      <c r="AV4">
        <v>905.80716865796046</v>
      </c>
      <c r="AW4">
        <v>2080.1394795512479</v>
      </c>
      <c r="AX4">
        <v>1174.332310893288</v>
      </c>
      <c r="AY4">
        <v>5.328277462693884</v>
      </c>
      <c r="AZ4" t="s">
        <v>98</v>
      </c>
      <c r="BA4" t="str">
        <f>VLOOKUP($AZ4,Sheet1!$A$2:$B$58,2)</f>
        <v>1,3-Diaminopropane</v>
      </c>
      <c r="BB4" t="s">
        <v>154</v>
      </c>
      <c r="BC4">
        <v>76.139580000000009</v>
      </c>
      <c r="BD4">
        <v>6</v>
      </c>
      <c r="BE4">
        <v>139.30000000000001</v>
      </c>
      <c r="BF4" t="s">
        <v>65</v>
      </c>
      <c r="BG4">
        <v>0.59437932350374401</v>
      </c>
      <c r="BH4">
        <v>0.49648648648648702</v>
      </c>
      <c r="BI4">
        <v>0.85813308155580603</v>
      </c>
      <c r="BJ4">
        <v>80</v>
      </c>
      <c r="BK4">
        <v>3030.0362558274892</v>
      </c>
      <c r="BL4">
        <v>1710.5917720305811</v>
      </c>
      <c r="BM4">
        <v>7.1670588164780682</v>
      </c>
      <c r="BN4">
        <v>1218.399998801272</v>
      </c>
      <c r="BO4">
        <v>1811.6362570262179</v>
      </c>
    </row>
    <row r="5" spans="1:67" x14ac:dyDescent="0.25">
      <c r="A5" s="1">
        <v>3</v>
      </c>
      <c r="B5" t="s">
        <v>65</v>
      </c>
      <c r="C5" t="s">
        <v>80</v>
      </c>
      <c r="D5">
        <v>2</v>
      </c>
      <c r="E5">
        <v>4</v>
      </c>
      <c r="F5">
        <v>1</v>
      </c>
      <c r="G5">
        <v>44.051760000000002</v>
      </c>
      <c r="H5">
        <v>10</v>
      </c>
      <c r="I5" t="s">
        <v>89</v>
      </c>
      <c r="J5">
        <v>2</v>
      </c>
      <c r="K5">
        <v>20</v>
      </c>
      <c r="L5">
        <v>60</v>
      </c>
      <c r="N5" t="s">
        <v>90</v>
      </c>
      <c r="O5">
        <v>40</v>
      </c>
      <c r="P5">
        <v>0.32</v>
      </c>
      <c r="Q5">
        <v>3.2500000000000001E-2</v>
      </c>
      <c r="R5">
        <v>77.5</v>
      </c>
      <c r="S5">
        <v>170</v>
      </c>
      <c r="T5">
        <v>50</v>
      </c>
      <c r="U5">
        <v>1812.1301775147931</v>
      </c>
      <c r="V5">
        <v>20</v>
      </c>
      <c r="W5">
        <v>0.95</v>
      </c>
      <c r="X5">
        <v>1</v>
      </c>
      <c r="Y5">
        <v>1436325.863355017</v>
      </c>
      <c r="Z5">
        <v>287265172.67100328</v>
      </c>
      <c r="AA5">
        <v>574530345.34200668</v>
      </c>
      <c r="AB5">
        <v>574530.34534200665</v>
      </c>
      <c r="AC5">
        <v>0</v>
      </c>
      <c r="AD5">
        <v>2977.293688448302</v>
      </c>
      <c r="AE5">
        <v>1071825.7278413889</v>
      </c>
      <c r="AF5">
        <v>643095.43670483329</v>
      </c>
      <c r="AG5">
        <v>28.329485834816509</v>
      </c>
      <c r="AH5">
        <v>301.89472180671697</v>
      </c>
      <c r="AI5">
        <v>150.94736090335849</v>
      </c>
      <c r="AJ5">
        <v>18672.236223615218</v>
      </c>
      <c r="AK5">
        <v>854.70085470085473</v>
      </c>
      <c r="AL5" t="s">
        <v>93</v>
      </c>
      <c r="AM5">
        <v>23396.84094002056</v>
      </c>
      <c r="AN5">
        <v>16029.077612195861</v>
      </c>
      <c r="AO5">
        <v>25661.05135357094</v>
      </c>
      <c r="AP5">
        <v>58952.855630532496</v>
      </c>
      <c r="AQ5">
        <v>33291.804276961557</v>
      </c>
      <c r="AR5">
        <v>2.9034938141203712E-2</v>
      </c>
      <c r="AS5">
        <v>659.10960518271474</v>
      </c>
      <c r="AT5">
        <v>825.88300671755223</v>
      </c>
      <c r="AU5">
        <v>565.80898452086876</v>
      </c>
      <c r="AV5">
        <v>905.80716865796069</v>
      </c>
      <c r="AW5">
        <v>2080.971605848219</v>
      </c>
      <c r="AX5">
        <v>1175.1644371902589</v>
      </c>
      <c r="AY5">
        <v>5.3282774626938858</v>
      </c>
      <c r="AZ5" t="s">
        <v>99</v>
      </c>
      <c r="BA5" t="str">
        <f>VLOOKUP($AZ5,Sheet1!$A$2:$B$58,2)</f>
        <v>1,3-Propanediol</v>
      </c>
      <c r="BB5" t="s">
        <v>155</v>
      </c>
      <c r="BC5">
        <v>76.092820000000003</v>
      </c>
      <c r="BD5">
        <v>5.333333333333333</v>
      </c>
      <c r="BE5">
        <v>213</v>
      </c>
      <c r="BF5" t="s">
        <v>65</v>
      </c>
      <c r="BG5">
        <v>0.52909269810758097</v>
      </c>
      <c r="BH5">
        <v>0.51088235294117701</v>
      </c>
      <c r="BI5">
        <v>0.88247277574220495</v>
      </c>
      <c r="BJ5">
        <v>80</v>
      </c>
      <c r="BK5">
        <v>2947.6427815266252</v>
      </c>
      <c r="BL5">
        <v>1664.5902138480781</v>
      </c>
      <c r="BM5">
        <v>7.0182753470603423</v>
      </c>
      <c r="BN5">
        <v>1193.106809000258</v>
      </c>
      <c r="BO5">
        <v>1754.535972526367</v>
      </c>
    </row>
    <row r="6" spans="1:67" x14ac:dyDescent="0.25">
      <c r="A6" s="1">
        <v>4</v>
      </c>
      <c r="B6" t="s">
        <v>65</v>
      </c>
      <c r="C6" t="s">
        <v>80</v>
      </c>
      <c r="D6">
        <v>2</v>
      </c>
      <c r="E6">
        <v>4</v>
      </c>
      <c r="F6">
        <v>1</v>
      </c>
      <c r="G6">
        <v>44.051760000000002</v>
      </c>
      <c r="H6">
        <v>10</v>
      </c>
      <c r="I6" t="s">
        <v>89</v>
      </c>
      <c r="J6">
        <v>2</v>
      </c>
      <c r="K6">
        <v>20</v>
      </c>
      <c r="L6">
        <v>60</v>
      </c>
      <c r="N6" t="s">
        <v>90</v>
      </c>
      <c r="O6">
        <v>40</v>
      </c>
      <c r="P6">
        <v>0.32</v>
      </c>
      <c r="Q6">
        <v>3.2500000000000001E-2</v>
      </c>
      <c r="R6">
        <v>77.5</v>
      </c>
      <c r="S6">
        <v>170</v>
      </c>
      <c r="T6">
        <v>50</v>
      </c>
      <c r="U6">
        <v>1812.1301775147931</v>
      </c>
      <c r="V6">
        <v>20</v>
      </c>
      <c r="W6">
        <v>0.95</v>
      </c>
      <c r="X6">
        <v>1</v>
      </c>
      <c r="Y6">
        <v>1533800.4852297511</v>
      </c>
      <c r="Z6">
        <v>306760097.04595017</v>
      </c>
      <c r="AA6">
        <v>613520194.09190047</v>
      </c>
      <c r="AB6">
        <v>613520.19409190048</v>
      </c>
      <c r="AC6">
        <v>0</v>
      </c>
      <c r="AD6">
        <v>3179.3443399722182</v>
      </c>
      <c r="AE6">
        <v>1144563.9623899991</v>
      </c>
      <c r="AF6">
        <v>686738.37743399909</v>
      </c>
      <c r="AG6">
        <v>30.252034185511949</v>
      </c>
      <c r="AH6">
        <v>322.38246390261662</v>
      </c>
      <c r="AI6">
        <v>161.19123195130831</v>
      </c>
      <c r="AJ6">
        <v>19939.40630798677</v>
      </c>
      <c r="AK6">
        <v>854.70085470085473</v>
      </c>
      <c r="AL6" t="s">
        <v>93</v>
      </c>
      <c r="AM6">
        <v>24984.640952452792</v>
      </c>
      <c r="AN6">
        <v>17116.872742195119</v>
      </c>
      <c r="AO6">
        <v>27402.50943172241</v>
      </c>
      <c r="AP6">
        <v>62895.620857335532</v>
      </c>
      <c r="AQ6">
        <v>35493.111425613111</v>
      </c>
      <c r="AR6">
        <v>2.9034938141203701E-2</v>
      </c>
      <c r="AS6">
        <v>659.10960518271463</v>
      </c>
      <c r="AT6">
        <v>825.88300671755246</v>
      </c>
      <c r="AU6">
        <v>565.80898452086865</v>
      </c>
      <c r="AV6">
        <v>905.8071686579608</v>
      </c>
      <c r="AW6">
        <v>2079.0542702565431</v>
      </c>
      <c r="AX6">
        <v>1173.247101598582</v>
      </c>
      <c r="AY6">
        <v>5.3282774626938867</v>
      </c>
      <c r="AZ6" t="s">
        <v>100</v>
      </c>
      <c r="BA6" t="str">
        <f>VLOOKUP($AZ6,Sheet1!$A$2:$B$58,2)</f>
        <v>1,4-Butanediol</v>
      </c>
      <c r="BB6" t="s">
        <v>153</v>
      </c>
      <c r="BC6">
        <v>90.119200000000006</v>
      </c>
      <c r="BD6">
        <v>5.5</v>
      </c>
      <c r="BE6">
        <v>230</v>
      </c>
      <c r="BF6" t="s">
        <v>65</v>
      </c>
      <c r="BG6">
        <v>0.46445566601783772</v>
      </c>
      <c r="BH6">
        <v>0.40395348837209299</v>
      </c>
      <c r="BI6">
        <v>0.82639070968565798</v>
      </c>
      <c r="BJ6">
        <v>80</v>
      </c>
      <c r="BK6">
        <v>3144.7810428667749</v>
      </c>
      <c r="BL6">
        <v>1774.6555712806551</v>
      </c>
      <c r="BM6">
        <v>7.5951059315475771</v>
      </c>
      <c r="BN6">
        <v>1291.1680083630879</v>
      </c>
      <c r="BO6">
        <v>1853.613034503687</v>
      </c>
    </row>
    <row r="7" spans="1:67" x14ac:dyDescent="0.25">
      <c r="A7" s="1">
        <v>5</v>
      </c>
      <c r="B7" t="s">
        <v>65</v>
      </c>
      <c r="C7" t="s">
        <v>80</v>
      </c>
      <c r="D7">
        <v>2</v>
      </c>
      <c r="E7">
        <v>4</v>
      </c>
      <c r="F7">
        <v>1</v>
      </c>
      <c r="G7">
        <v>44.051760000000002</v>
      </c>
      <c r="H7">
        <v>10</v>
      </c>
      <c r="I7" t="s">
        <v>89</v>
      </c>
      <c r="J7">
        <v>2</v>
      </c>
      <c r="K7">
        <v>20</v>
      </c>
      <c r="L7">
        <v>60</v>
      </c>
      <c r="N7" t="s">
        <v>90</v>
      </c>
      <c r="O7">
        <v>40</v>
      </c>
      <c r="P7">
        <v>0.32</v>
      </c>
      <c r="Q7">
        <v>3.2500000000000001E-2</v>
      </c>
      <c r="R7">
        <v>77.5</v>
      </c>
      <c r="S7">
        <v>170</v>
      </c>
      <c r="T7">
        <v>50</v>
      </c>
      <c r="U7">
        <v>1812.1301775147931</v>
      </c>
      <c r="V7">
        <v>20</v>
      </c>
      <c r="W7">
        <v>0.95</v>
      </c>
      <c r="X7">
        <v>1</v>
      </c>
      <c r="Y7">
        <v>2001814.9423365269</v>
      </c>
      <c r="Z7">
        <v>400362988.46730542</v>
      </c>
      <c r="AA7">
        <v>800725976.93461084</v>
      </c>
      <c r="AB7">
        <v>800725.97693461087</v>
      </c>
      <c r="AC7">
        <v>0</v>
      </c>
      <c r="AD7">
        <v>4149.4699394596319</v>
      </c>
      <c r="AE7">
        <v>1493809.178205468</v>
      </c>
      <c r="AF7">
        <v>896285.50692328054</v>
      </c>
      <c r="AG7">
        <v>39.482954042462687</v>
      </c>
      <c r="AH7">
        <v>420.75226837006483</v>
      </c>
      <c r="AI7">
        <v>210.37613418503241</v>
      </c>
      <c r="AJ7">
        <v>26023.594250374859</v>
      </c>
      <c r="AK7">
        <v>854.70085470085473</v>
      </c>
      <c r="AL7" t="s">
        <v>93</v>
      </c>
      <c r="AM7">
        <v>32608.300798680018</v>
      </c>
      <c r="AN7">
        <v>22339.810132649942</v>
      </c>
      <c r="AO7">
        <v>35763.942811455498</v>
      </c>
      <c r="AP7">
        <v>81826.406036405679</v>
      </c>
      <c r="AQ7">
        <v>46062.463224950166</v>
      </c>
      <c r="AR7">
        <v>2.9034938141203701E-2</v>
      </c>
      <c r="AS7">
        <v>659.10960518271463</v>
      </c>
      <c r="AT7">
        <v>825.88300671755212</v>
      </c>
      <c r="AU7">
        <v>565.80898452086853</v>
      </c>
      <c r="AV7">
        <v>905.80716865796046</v>
      </c>
      <c r="AW7">
        <v>2072.4489345048478</v>
      </c>
      <c r="AX7">
        <v>1166.641765846887</v>
      </c>
      <c r="AY7">
        <v>5.3282774626938849</v>
      </c>
      <c r="AZ7" t="s">
        <v>101</v>
      </c>
      <c r="BA7" t="str">
        <f>VLOOKUP($AZ7,Sheet1!$A$2:$B$58,2)</f>
        <v>1-Propanol (PW1)</v>
      </c>
      <c r="BB7" t="s">
        <v>156</v>
      </c>
      <c r="BC7">
        <v>60.093820000000001</v>
      </c>
      <c r="BD7">
        <v>6</v>
      </c>
      <c r="BE7">
        <v>97</v>
      </c>
      <c r="BF7" t="s">
        <v>65</v>
      </c>
      <c r="BG7">
        <v>0.95857748933530973</v>
      </c>
      <c r="BH7">
        <v>0.46415584415584399</v>
      </c>
      <c r="BI7">
        <v>0.63318463894857702</v>
      </c>
      <c r="BJ7">
        <v>80</v>
      </c>
      <c r="BK7">
        <v>4091.3203018202839</v>
      </c>
      <c r="BL7">
        <v>2303.123161247509</v>
      </c>
      <c r="BM7">
        <v>9.5602292199163088</v>
      </c>
      <c r="BN7">
        <v>1625.238967385772</v>
      </c>
      <c r="BO7">
        <v>2466.081334434512</v>
      </c>
    </row>
    <row r="8" spans="1:67" x14ac:dyDescent="0.25">
      <c r="A8" s="1">
        <v>6</v>
      </c>
      <c r="B8" t="s">
        <v>65</v>
      </c>
      <c r="C8" t="s">
        <v>80</v>
      </c>
      <c r="D8">
        <v>2</v>
      </c>
      <c r="E8">
        <v>4</v>
      </c>
      <c r="F8">
        <v>1</v>
      </c>
      <c r="G8">
        <v>44.051760000000002</v>
      </c>
      <c r="H8">
        <v>10</v>
      </c>
      <c r="I8" t="s">
        <v>89</v>
      </c>
      <c r="J8">
        <v>2</v>
      </c>
      <c r="K8">
        <v>20</v>
      </c>
      <c r="L8">
        <v>60</v>
      </c>
      <c r="N8" t="s">
        <v>90</v>
      </c>
      <c r="O8">
        <v>40</v>
      </c>
      <c r="P8">
        <v>0.32</v>
      </c>
      <c r="Q8">
        <v>3.2500000000000001E-2</v>
      </c>
      <c r="R8">
        <v>77.5</v>
      </c>
      <c r="S8">
        <v>170</v>
      </c>
      <c r="T8">
        <v>50</v>
      </c>
      <c r="U8">
        <v>1812.1301775147931</v>
      </c>
      <c r="V8">
        <v>20</v>
      </c>
      <c r="W8">
        <v>0.95</v>
      </c>
      <c r="X8">
        <v>1</v>
      </c>
      <c r="Y8">
        <v>2149648.853411526</v>
      </c>
      <c r="Z8">
        <v>429929770.68230528</v>
      </c>
      <c r="AA8">
        <v>859859541.36461067</v>
      </c>
      <c r="AB8">
        <v>859859.54136461066</v>
      </c>
      <c r="AC8">
        <v>0</v>
      </c>
      <c r="AD8">
        <v>4455.9080407370948</v>
      </c>
      <c r="AE8">
        <v>1604126.8946653539</v>
      </c>
      <c r="AF8">
        <v>962476.13679921243</v>
      </c>
      <c r="AG8">
        <v>42.398767784006083</v>
      </c>
      <c r="AH8">
        <v>451.82479765902241</v>
      </c>
      <c r="AI8">
        <v>225.9123988295112</v>
      </c>
      <c r="AJ8">
        <v>27945.43509434985</v>
      </c>
      <c r="AK8">
        <v>854.70085470085473</v>
      </c>
      <c r="AL8" t="s">
        <v>93</v>
      </c>
      <c r="AM8">
        <v>35016.421818574243</v>
      </c>
      <c r="AN8">
        <v>23989.603744804601</v>
      </c>
      <c r="AO8">
        <v>38405.1078010169</v>
      </c>
      <c r="AP8">
        <v>87806.161512429535</v>
      </c>
      <c r="AQ8">
        <v>49401.053711412627</v>
      </c>
      <c r="AR8">
        <v>2.9034938141203701E-2</v>
      </c>
      <c r="AS8">
        <v>659.10960518271463</v>
      </c>
      <c r="AT8">
        <v>825.88300671755246</v>
      </c>
      <c r="AU8">
        <v>565.80898452086853</v>
      </c>
      <c r="AV8">
        <v>905.80716865796069</v>
      </c>
      <c r="AW8">
        <v>2070.9602212909672</v>
      </c>
      <c r="AX8">
        <v>1165.1530526330071</v>
      </c>
      <c r="AY8">
        <v>5.3282774626938858</v>
      </c>
      <c r="AZ8" t="s">
        <v>102</v>
      </c>
      <c r="BA8" t="str">
        <f>VLOOKUP($AZ8,Sheet1!$A$2:$B$58,2)</f>
        <v>1-Propanol (PW2)</v>
      </c>
      <c r="BB8" t="s">
        <v>156</v>
      </c>
      <c r="BC8">
        <v>60.093820000000001</v>
      </c>
      <c r="BD8">
        <v>6</v>
      </c>
      <c r="BE8">
        <v>97</v>
      </c>
      <c r="BF8" t="s">
        <v>65</v>
      </c>
      <c r="BG8">
        <v>1.1916214590024869</v>
      </c>
      <c r="BH8">
        <v>0.432235294117647</v>
      </c>
      <c r="BI8">
        <v>0.58963977744255702</v>
      </c>
      <c r="BJ8">
        <v>80</v>
      </c>
      <c r="BK8">
        <v>4390.3080756214777</v>
      </c>
      <c r="BL8">
        <v>2470.052685570633</v>
      </c>
      <c r="BM8">
        <v>10.10399848247307</v>
      </c>
      <c r="BN8">
        <v>1717.6797420204221</v>
      </c>
      <c r="BO8">
        <v>2672.6283336010561</v>
      </c>
    </row>
    <row r="9" spans="1:67" x14ac:dyDescent="0.25">
      <c r="A9" s="1">
        <v>7</v>
      </c>
      <c r="B9" t="s">
        <v>65</v>
      </c>
      <c r="C9" t="s">
        <v>80</v>
      </c>
      <c r="D9">
        <v>2</v>
      </c>
      <c r="E9">
        <v>4</v>
      </c>
      <c r="F9">
        <v>1</v>
      </c>
      <c r="G9">
        <v>44.051760000000002</v>
      </c>
      <c r="H9">
        <v>10</v>
      </c>
      <c r="I9" t="s">
        <v>89</v>
      </c>
      <c r="J9">
        <v>2</v>
      </c>
      <c r="K9">
        <v>20</v>
      </c>
      <c r="L9">
        <v>60</v>
      </c>
      <c r="N9" t="s">
        <v>90</v>
      </c>
      <c r="O9">
        <v>40</v>
      </c>
      <c r="P9">
        <v>0.32</v>
      </c>
      <c r="Q9">
        <v>3.2500000000000001E-2</v>
      </c>
      <c r="R9">
        <v>77.5</v>
      </c>
      <c r="S9">
        <v>170</v>
      </c>
      <c r="T9">
        <v>50</v>
      </c>
      <c r="U9">
        <v>1812.1301775147931</v>
      </c>
      <c r="V9">
        <v>20</v>
      </c>
      <c r="W9">
        <v>0.95</v>
      </c>
      <c r="X9">
        <v>1</v>
      </c>
      <c r="Y9">
        <v>1450305.630290732</v>
      </c>
      <c r="Z9">
        <v>290061126.05814642</v>
      </c>
      <c r="AA9">
        <v>580122252.11629272</v>
      </c>
      <c r="AB9">
        <v>580122.25211629272</v>
      </c>
      <c r="AC9">
        <v>0</v>
      </c>
      <c r="AD9">
        <v>3006.271703065725</v>
      </c>
      <c r="AE9">
        <v>1082257.8131036609</v>
      </c>
      <c r="AF9">
        <v>649354.68786219636</v>
      </c>
      <c r="AG9">
        <v>28.605216864580392</v>
      </c>
      <c r="AH9">
        <v>304.83306467002939</v>
      </c>
      <c r="AI9">
        <v>152.41653233501469</v>
      </c>
      <c r="AJ9">
        <v>18853.973193779511</v>
      </c>
      <c r="AK9">
        <v>854.70085470085473</v>
      </c>
      <c r="AL9" t="s">
        <v>93</v>
      </c>
      <c r="AM9">
        <v>23624.562511927281</v>
      </c>
      <c r="AN9">
        <v>16185.08870614746</v>
      </c>
      <c r="AO9">
        <v>25910.810496952501</v>
      </c>
      <c r="AP9">
        <v>59518.325266555097</v>
      </c>
      <c r="AQ9">
        <v>33607.514769602603</v>
      </c>
      <c r="AR9">
        <v>2.9034938141203712E-2</v>
      </c>
      <c r="AS9">
        <v>659.10960518271486</v>
      </c>
      <c r="AT9">
        <v>825.88300671755223</v>
      </c>
      <c r="AU9">
        <v>565.80898452086865</v>
      </c>
      <c r="AV9">
        <v>905.80716865796046</v>
      </c>
      <c r="AW9">
        <v>2080.6807914905912</v>
      </c>
      <c r="AX9">
        <v>1174.87362283263</v>
      </c>
      <c r="AY9">
        <v>5.3282774626938849</v>
      </c>
      <c r="AZ9" t="s">
        <v>103</v>
      </c>
      <c r="BA9" t="str">
        <f>VLOOKUP($AZ9,Sheet1!$A$2:$B$58,2)</f>
        <v>2,3-Butanediol</v>
      </c>
      <c r="BB9" t="s">
        <v>153</v>
      </c>
      <c r="BC9">
        <v>90.119200000000006</v>
      </c>
      <c r="BD9">
        <v>5.5</v>
      </c>
      <c r="BE9">
        <v>177</v>
      </c>
      <c r="BF9" t="s">
        <v>65</v>
      </c>
      <c r="BG9">
        <v>0.3328351717734393</v>
      </c>
      <c r="BH9">
        <v>0.42720930232558202</v>
      </c>
      <c r="BI9">
        <v>0.87396645578155197</v>
      </c>
      <c r="BJ9">
        <v>80</v>
      </c>
      <c r="BK9">
        <v>2975.916263327756</v>
      </c>
      <c r="BL9">
        <v>1680.3757384801311</v>
      </c>
      <c r="BM9">
        <v>7.2879914449772967</v>
      </c>
      <c r="BN9">
        <v>1238.95854564614</v>
      </c>
      <c r="BO9">
        <v>1736.957717681616</v>
      </c>
    </row>
    <row r="10" spans="1:67" x14ac:dyDescent="0.25">
      <c r="A10" s="1">
        <v>8</v>
      </c>
      <c r="B10" t="s">
        <v>65</v>
      </c>
      <c r="C10" t="s">
        <v>80</v>
      </c>
      <c r="D10">
        <v>2</v>
      </c>
      <c r="E10">
        <v>4</v>
      </c>
      <c r="F10">
        <v>1</v>
      </c>
      <c r="G10">
        <v>44.051760000000002</v>
      </c>
      <c r="H10">
        <v>10</v>
      </c>
      <c r="I10" t="s">
        <v>89</v>
      </c>
      <c r="J10">
        <v>2</v>
      </c>
      <c r="K10">
        <v>20</v>
      </c>
      <c r="L10">
        <v>60</v>
      </c>
      <c r="N10" t="s">
        <v>90</v>
      </c>
      <c r="O10">
        <v>40</v>
      </c>
      <c r="P10">
        <v>0.32</v>
      </c>
      <c r="Q10">
        <v>3.2500000000000001E-2</v>
      </c>
      <c r="R10">
        <v>77.5</v>
      </c>
      <c r="S10">
        <v>170</v>
      </c>
      <c r="T10">
        <v>50</v>
      </c>
      <c r="U10">
        <v>1812.1301775147931</v>
      </c>
      <c r="V10">
        <v>20</v>
      </c>
      <c r="W10">
        <v>0.95</v>
      </c>
      <c r="X10">
        <v>1</v>
      </c>
      <c r="Y10">
        <v>2310349.8084875648</v>
      </c>
      <c r="Z10">
        <v>462069961.69751298</v>
      </c>
      <c r="AA10">
        <v>924139923.39502597</v>
      </c>
      <c r="AB10">
        <v>924139.92339502601</v>
      </c>
      <c r="AC10">
        <v>0</v>
      </c>
      <c r="AD10">
        <v>4789.0176445410079</v>
      </c>
      <c r="AE10">
        <v>1724046.352034763</v>
      </c>
      <c r="AF10">
        <v>1034427.811220858</v>
      </c>
      <c r="AG10">
        <v>45.568365677226538</v>
      </c>
      <c r="AH10">
        <v>485.60179169951948</v>
      </c>
      <c r="AI10">
        <v>242.80089584975971</v>
      </c>
      <c r="AJ10">
        <v>30034.547510338351</v>
      </c>
      <c r="AK10">
        <v>854.70085470085473</v>
      </c>
      <c r="AL10" t="s">
        <v>93</v>
      </c>
      <c r="AM10">
        <v>37634.138856712758</v>
      </c>
      <c r="AN10">
        <v>25782.990710107151</v>
      </c>
      <c r="AO10">
        <v>41276.152294459163</v>
      </c>
      <c r="AP10">
        <v>94306.377931859126</v>
      </c>
      <c r="AQ10">
        <v>53030.22563739997</v>
      </c>
      <c r="AR10">
        <v>2.9034938141203701E-2</v>
      </c>
      <c r="AS10">
        <v>659.10960518271463</v>
      </c>
      <c r="AT10">
        <v>825.88300671755223</v>
      </c>
      <c r="AU10">
        <v>565.80898452086865</v>
      </c>
      <c r="AV10">
        <v>905.80716865796046</v>
      </c>
      <c r="AW10">
        <v>2069.5580482270871</v>
      </c>
      <c r="AX10">
        <v>1163.750879569126</v>
      </c>
      <c r="AY10">
        <v>5.3282774626938849</v>
      </c>
      <c r="AZ10" t="s">
        <v>104</v>
      </c>
      <c r="BA10" t="str">
        <f>VLOOKUP($AZ10,Sheet1!$A$2:$B$58,2)</f>
        <v>2-Methyl-1-Butanol</v>
      </c>
      <c r="BB10" t="s">
        <v>157</v>
      </c>
      <c r="BC10">
        <v>88.14658</v>
      </c>
      <c r="BD10">
        <v>6</v>
      </c>
      <c r="BE10">
        <v>129</v>
      </c>
      <c r="BF10" t="s">
        <v>65</v>
      </c>
      <c r="BG10">
        <v>1.145603480604559</v>
      </c>
      <c r="BH10">
        <v>0.27417910447761201</v>
      </c>
      <c r="BI10">
        <v>0.54862621532406897</v>
      </c>
      <c r="BJ10">
        <v>80</v>
      </c>
      <c r="BK10">
        <v>4715.3188965929558</v>
      </c>
      <c r="BL10">
        <v>2651.5112818699972</v>
      </c>
      <c r="BM10">
        <v>10.994441311883429</v>
      </c>
      <c r="BN10">
        <v>1869.0550230201829</v>
      </c>
      <c r="BO10">
        <v>2846.2638735727728</v>
      </c>
    </row>
    <row r="11" spans="1:67" x14ac:dyDescent="0.25">
      <c r="A11" s="1">
        <v>9</v>
      </c>
      <c r="B11" t="s">
        <v>65</v>
      </c>
      <c r="C11" t="s">
        <v>80</v>
      </c>
      <c r="D11">
        <v>2</v>
      </c>
      <c r="E11">
        <v>4</v>
      </c>
      <c r="F11">
        <v>1</v>
      </c>
      <c r="G11">
        <v>44.051760000000002</v>
      </c>
      <c r="H11">
        <v>10</v>
      </c>
      <c r="I11" t="s">
        <v>89</v>
      </c>
      <c r="J11">
        <v>2</v>
      </c>
      <c r="K11">
        <v>20</v>
      </c>
      <c r="L11">
        <v>60</v>
      </c>
      <c r="N11" t="s">
        <v>90</v>
      </c>
      <c r="O11">
        <v>40</v>
      </c>
      <c r="P11">
        <v>0.32</v>
      </c>
      <c r="Q11">
        <v>3.2500000000000001E-2</v>
      </c>
      <c r="R11">
        <v>77.5</v>
      </c>
      <c r="S11">
        <v>170</v>
      </c>
      <c r="T11">
        <v>50</v>
      </c>
      <c r="U11">
        <v>1812.1301775147931</v>
      </c>
      <c r="V11">
        <v>20</v>
      </c>
      <c r="W11">
        <v>0.95</v>
      </c>
      <c r="X11">
        <v>1</v>
      </c>
      <c r="Y11">
        <v>990453.2560185719</v>
      </c>
      <c r="Z11">
        <v>198090651.2037144</v>
      </c>
      <c r="AA11">
        <v>396181302.40742868</v>
      </c>
      <c r="AB11">
        <v>396181.30240742868</v>
      </c>
      <c r="AC11">
        <v>0</v>
      </c>
      <c r="AD11">
        <v>2053.0649089330591</v>
      </c>
      <c r="AE11">
        <v>739103.36721590126</v>
      </c>
      <c r="AF11">
        <v>443462.02032954071</v>
      </c>
      <c r="AG11">
        <v>19.535282488672049</v>
      </c>
      <c r="AH11">
        <v>208.17881082349959</v>
      </c>
      <c r="AI11">
        <v>104.08940541174979</v>
      </c>
      <c r="AJ11">
        <v>12875.892328241431</v>
      </c>
      <c r="AK11">
        <v>1835.336538461539</v>
      </c>
      <c r="AL11" t="s">
        <v>94</v>
      </c>
      <c r="AM11">
        <v>16133.857838821221</v>
      </c>
      <c r="AN11">
        <v>11053.23834724384</v>
      </c>
      <c r="AO11">
        <v>17695.19891999746</v>
      </c>
      <c r="AP11">
        <v>41898.325052768028</v>
      </c>
      <c r="AQ11">
        <v>24203.126132770569</v>
      </c>
      <c r="AR11">
        <v>2.9034938141203701E-2</v>
      </c>
      <c r="AS11">
        <v>659.10960518271463</v>
      </c>
      <c r="AT11">
        <v>825.88300671755223</v>
      </c>
      <c r="AU11">
        <v>565.80898452086865</v>
      </c>
      <c r="AV11">
        <v>905.80716865796046</v>
      </c>
      <c r="AW11">
        <v>2144.7514299864192</v>
      </c>
      <c r="AX11">
        <v>1238.944261328458</v>
      </c>
      <c r="AY11">
        <v>5.3282774626938849</v>
      </c>
      <c r="AZ11" t="s">
        <v>105</v>
      </c>
      <c r="BA11" t="str">
        <f>VLOOKUP($AZ11,Sheet1!$A$2:$B$58,2)</f>
        <v>2-Pyrone-4,6-Dicarboxylate</v>
      </c>
      <c r="BB11" t="s">
        <v>158</v>
      </c>
      <c r="BC11">
        <v>182.08457999999999</v>
      </c>
      <c r="BD11">
        <v>2.5714285714285721</v>
      </c>
      <c r="BE11">
        <v>355.5</v>
      </c>
      <c r="BF11" t="s">
        <v>65</v>
      </c>
      <c r="BG11">
        <v>-0.13056495501858609</v>
      </c>
      <c r="BH11">
        <v>0.30960674157303397</v>
      </c>
      <c r="BI11">
        <v>1.2797357813738699</v>
      </c>
      <c r="BJ11">
        <v>80</v>
      </c>
      <c r="BK11">
        <v>2094.9162526384011</v>
      </c>
      <c r="BL11">
        <v>1210.1563066385279</v>
      </c>
      <c r="BM11">
        <v>5.3350352256060756</v>
      </c>
      <c r="BN11">
        <v>906.95598835303281</v>
      </c>
      <c r="BO11">
        <v>1187.9602642853681</v>
      </c>
    </row>
    <row r="12" spans="1:67" x14ac:dyDescent="0.25">
      <c r="A12" s="1">
        <v>10</v>
      </c>
      <c r="B12" t="s">
        <v>65</v>
      </c>
      <c r="C12" t="s">
        <v>80</v>
      </c>
      <c r="D12">
        <v>2</v>
      </c>
      <c r="E12">
        <v>4</v>
      </c>
      <c r="F12">
        <v>1</v>
      </c>
      <c r="G12">
        <v>44.051760000000002</v>
      </c>
      <c r="H12">
        <v>10</v>
      </c>
      <c r="I12" t="s">
        <v>89</v>
      </c>
      <c r="J12">
        <v>2</v>
      </c>
      <c r="K12">
        <v>20</v>
      </c>
      <c r="L12">
        <v>60</v>
      </c>
      <c r="N12" t="s">
        <v>90</v>
      </c>
      <c r="O12">
        <v>40</v>
      </c>
      <c r="P12">
        <v>0.32</v>
      </c>
      <c r="Q12">
        <v>3.2500000000000001E-2</v>
      </c>
      <c r="R12">
        <v>77.5</v>
      </c>
      <c r="S12">
        <v>170</v>
      </c>
      <c r="T12">
        <v>50</v>
      </c>
      <c r="U12">
        <v>1812.1301775147931</v>
      </c>
      <c r="V12">
        <v>20</v>
      </c>
      <c r="W12">
        <v>0.95</v>
      </c>
      <c r="X12">
        <v>1</v>
      </c>
      <c r="Y12">
        <v>2379920.318922529</v>
      </c>
      <c r="Z12">
        <v>475984063.78450602</v>
      </c>
      <c r="AA12">
        <v>951968127.56901193</v>
      </c>
      <c r="AB12">
        <v>951968.12756901188</v>
      </c>
      <c r="AC12">
        <v>0</v>
      </c>
      <c r="AD12">
        <v>4933.2271494345023</v>
      </c>
      <c r="AE12">
        <v>1775961.773796421</v>
      </c>
      <c r="AF12">
        <v>1065577.064277852</v>
      </c>
      <c r="AG12">
        <v>46.94054509707253</v>
      </c>
      <c r="AH12">
        <v>500.22449705459508</v>
      </c>
      <c r="AI12">
        <v>250.11224852729751</v>
      </c>
      <c r="AJ12">
        <v>30938.96414599289</v>
      </c>
      <c r="AK12">
        <v>854.70085470085473</v>
      </c>
      <c r="AL12" t="s">
        <v>93</v>
      </c>
      <c r="AM12">
        <v>38767.39852173112</v>
      </c>
      <c r="AN12">
        <v>26559.38215423065</v>
      </c>
      <c r="AO12">
        <v>42519.082249640582</v>
      </c>
      <c r="AP12">
        <v>97120.445676655523</v>
      </c>
      <c r="AQ12">
        <v>54601.363427014941</v>
      </c>
      <c r="AR12">
        <v>2.9034938141203701E-2</v>
      </c>
      <c r="AS12">
        <v>659.10960518271463</v>
      </c>
      <c r="AT12">
        <v>825.88300671755246</v>
      </c>
      <c r="AU12">
        <v>565.80898452086853</v>
      </c>
      <c r="AV12">
        <v>905.80716865796069</v>
      </c>
      <c r="AW12">
        <v>2069.0097542713129</v>
      </c>
      <c r="AX12">
        <v>1163.2025856133521</v>
      </c>
      <c r="AY12">
        <v>5.3282774626938858</v>
      </c>
      <c r="AZ12" t="s">
        <v>106</v>
      </c>
      <c r="BA12" t="str">
        <f>VLOOKUP($AZ12,Sheet1!$A$2:$B$58,2)</f>
        <v>3-Methyl-1-Pentanol</v>
      </c>
      <c r="BB12" t="s">
        <v>159</v>
      </c>
      <c r="BC12">
        <v>102.17296</v>
      </c>
      <c r="BD12">
        <v>6</v>
      </c>
      <c r="BE12">
        <v>153</v>
      </c>
      <c r="BF12" t="s">
        <v>65</v>
      </c>
      <c r="BG12">
        <v>1.1672425998458309</v>
      </c>
      <c r="BH12">
        <v>0.229625</v>
      </c>
      <c r="BI12">
        <v>0.53258861711768102</v>
      </c>
      <c r="BJ12">
        <v>80</v>
      </c>
      <c r="BK12">
        <v>4856.0222838327754</v>
      </c>
      <c r="BL12">
        <v>2730.0681713507461</v>
      </c>
      <c r="BM12">
        <v>11.338369826519051</v>
      </c>
      <c r="BN12">
        <v>1927.5228705082379</v>
      </c>
      <c r="BO12">
        <v>2928.4994133245382</v>
      </c>
    </row>
    <row r="13" spans="1:67" x14ac:dyDescent="0.25">
      <c r="A13" s="1">
        <v>11</v>
      </c>
      <c r="B13" t="s">
        <v>65</v>
      </c>
      <c r="C13" t="s">
        <v>80</v>
      </c>
      <c r="D13">
        <v>2</v>
      </c>
      <c r="E13">
        <v>4</v>
      </c>
      <c r="F13">
        <v>1</v>
      </c>
      <c r="G13">
        <v>44.051760000000002</v>
      </c>
      <c r="H13">
        <v>10</v>
      </c>
      <c r="I13" t="s">
        <v>89</v>
      </c>
      <c r="J13">
        <v>2</v>
      </c>
      <c r="K13">
        <v>20</v>
      </c>
      <c r="L13">
        <v>60</v>
      </c>
      <c r="N13" t="s">
        <v>90</v>
      </c>
      <c r="O13">
        <v>40</v>
      </c>
      <c r="P13">
        <v>0.32</v>
      </c>
      <c r="Q13">
        <v>3.2500000000000001E-2</v>
      </c>
      <c r="R13">
        <v>77.5</v>
      </c>
      <c r="S13">
        <v>170</v>
      </c>
      <c r="T13">
        <v>50</v>
      </c>
      <c r="U13">
        <v>1812.1301775147931</v>
      </c>
      <c r="V13">
        <v>20</v>
      </c>
      <c r="W13">
        <v>0.95</v>
      </c>
      <c r="X13">
        <v>1</v>
      </c>
      <c r="Y13">
        <v>2386489.3360436512</v>
      </c>
      <c r="Z13">
        <v>477297867.20873022</v>
      </c>
      <c r="AA13">
        <v>954595734.41746044</v>
      </c>
      <c r="AB13">
        <v>954595.73441746039</v>
      </c>
      <c r="AC13">
        <v>0</v>
      </c>
      <c r="AD13">
        <v>4946.8437622888714</v>
      </c>
      <c r="AE13">
        <v>1780863.7544239941</v>
      </c>
      <c r="AF13">
        <v>1068518.252654396</v>
      </c>
      <c r="AG13">
        <v>47.070109621550827</v>
      </c>
      <c r="AH13">
        <v>501.60520852607982</v>
      </c>
      <c r="AI13">
        <v>250.80260426303991</v>
      </c>
      <c r="AJ13">
        <v>31024.361368567461</v>
      </c>
      <c r="AK13">
        <v>854.70085470085473</v>
      </c>
      <c r="AL13" t="s">
        <v>93</v>
      </c>
      <c r="AM13">
        <v>38874.403660771182</v>
      </c>
      <c r="AN13">
        <v>26632.690926255651</v>
      </c>
      <c r="AO13">
        <v>42636.442724716777</v>
      </c>
      <c r="AP13">
        <v>97386.156810295157</v>
      </c>
      <c r="AQ13">
        <v>54749.71408557838</v>
      </c>
      <c r="AR13">
        <v>2.9034938141203701E-2</v>
      </c>
      <c r="AS13">
        <v>659.10960518271463</v>
      </c>
      <c r="AT13">
        <v>825.88300671755223</v>
      </c>
      <c r="AU13">
        <v>565.80898452086865</v>
      </c>
      <c r="AV13">
        <v>905.80716865796046</v>
      </c>
      <c r="AW13">
        <v>2068.9596347510392</v>
      </c>
      <c r="AX13">
        <v>1163.1524660930791</v>
      </c>
      <c r="AY13">
        <v>5.3282774626938849</v>
      </c>
      <c r="AZ13" t="s">
        <v>107</v>
      </c>
      <c r="BA13" t="str">
        <f>VLOOKUP($AZ13,Sheet1!$A$2:$B$58,2)</f>
        <v>4-Hydroxystyrene</v>
      </c>
      <c r="BB13" t="s">
        <v>160</v>
      </c>
      <c r="BC13">
        <v>120.14731999999999</v>
      </c>
      <c r="BD13">
        <v>4.75</v>
      </c>
      <c r="BE13">
        <v>229</v>
      </c>
      <c r="BF13" t="s">
        <v>65</v>
      </c>
      <c r="BG13">
        <v>0.83163662134430028</v>
      </c>
      <c r="BH13">
        <v>0.194734982332156</v>
      </c>
      <c r="BI13">
        <v>0.53112262114966202</v>
      </c>
      <c r="BJ13">
        <v>80</v>
      </c>
      <c r="BK13">
        <v>4869.307840514758</v>
      </c>
      <c r="BL13">
        <v>2737.485704278919</v>
      </c>
      <c r="BM13">
        <v>11.70849359180769</v>
      </c>
      <c r="BN13">
        <v>1990.443910607308</v>
      </c>
      <c r="BO13">
        <v>2878.8639299074498</v>
      </c>
    </row>
    <row r="14" spans="1:67" x14ac:dyDescent="0.25">
      <c r="A14" s="1">
        <v>12</v>
      </c>
      <c r="B14" t="s">
        <v>65</v>
      </c>
      <c r="C14" t="s">
        <v>80</v>
      </c>
      <c r="D14">
        <v>2</v>
      </c>
      <c r="E14">
        <v>4</v>
      </c>
      <c r="F14">
        <v>1</v>
      </c>
      <c r="G14">
        <v>44.051760000000002</v>
      </c>
      <c r="H14">
        <v>10</v>
      </c>
      <c r="I14" t="s">
        <v>89</v>
      </c>
      <c r="J14">
        <v>2</v>
      </c>
      <c r="K14">
        <v>20</v>
      </c>
      <c r="L14">
        <v>60</v>
      </c>
      <c r="N14" t="s">
        <v>90</v>
      </c>
      <c r="O14">
        <v>40</v>
      </c>
      <c r="P14">
        <v>0.32</v>
      </c>
      <c r="Q14">
        <v>3.2500000000000001E-2</v>
      </c>
      <c r="R14">
        <v>77.5</v>
      </c>
      <c r="S14">
        <v>170</v>
      </c>
      <c r="T14">
        <v>50</v>
      </c>
      <c r="U14">
        <v>1812.1301775147931</v>
      </c>
      <c r="V14">
        <v>20</v>
      </c>
      <c r="W14">
        <v>0.95</v>
      </c>
      <c r="X14">
        <v>1</v>
      </c>
      <c r="Y14">
        <v>1660606.366283932</v>
      </c>
      <c r="Z14">
        <v>332121273.25678629</v>
      </c>
      <c r="AA14">
        <v>664242546.51357269</v>
      </c>
      <c r="AB14">
        <v>664242.54651357268</v>
      </c>
      <c r="AC14">
        <v>0</v>
      </c>
      <c r="AD14">
        <v>3442.194406905408</v>
      </c>
      <c r="AE14">
        <v>1239189.9864859469</v>
      </c>
      <c r="AF14">
        <v>743513.99189156829</v>
      </c>
      <c r="AG14">
        <v>32.753099927449313</v>
      </c>
      <c r="AH14">
        <v>349.03520835357779</v>
      </c>
      <c r="AI14">
        <v>174.51760417678889</v>
      </c>
      <c r="AJ14">
        <v>21587.882761691111</v>
      </c>
      <c r="AK14">
        <v>854.70085470085473</v>
      </c>
      <c r="AL14" t="s">
        <v>93</v>
      </c>
      <c r="AM14">
        <v>27050.22864740228</v>
      </c>
      <c r="AN14">
        <v>18531.998209860631</v>
      </c>
      <c r="AO14">
        <v>29667.99271005411</v>
      </c>
      <c r="AP14">
        <v>68024.81047365487</v>
      </c>
      <c r="AQ14">
        <v>38356.81776360076</v>
      </c>
      <c r="AR14">
        <v>2.9034938141203691E-2</v>
      </c>
      <c r="AS14">
        <v>659.1096051827144</v>
      </c>
      <c r="AT14">
        <v>825.88300671755212</v>
      </c>
      <c r="AU14">
        <v>565.80898452086842</v>
      </c>
      <c r="AV14">
        <v>905.80716865796046</v>
      </c>
      <c r="AW14">
        <v>2076.8968624140971</v>
      </c>
      <c r="AX14">
        <v>1171.089693756137</v>
      </c>
      <c r="AY14">
        <v>5.3282774626938849</v>
      </c>
      <c r="AZ14" t="s">
        <v>108</v>
      </c>
      <c r="BA14" t="str">
        <f>VLOOKUP($AZ14,Sheet1!$A$2:$B$58,2)</f>
        <v>5-Aminopentanoate</v>
      </c>
      <c r="BB14" t="s">
        <v>161</v>
      </c>
      <c r="BC14">
        <v>117.14444</v>
      </c>
      <c r="BD14">
        <v>4.8</v>
      </c>
      <c r="BE14">
        <v>247.5</v>
      </c>
      <c r="BF14" t="s">
        <v>65</v>
      </c>
      <c r="BG14">
        <v>0.73931383488174596</v>
      </c>
      <c r="BH14">
        <v>0.28703125000000101</v>
      </c>
      <c r="BI14">
        <v>0.76328653029413895</v>
      </c>
      <c r="BJ14">
        <v>80</v>
      </c>
      <c r="BK14">
        <v>3401.240523682744</v>
      </c>
      <c r="BL14">
        <v>1917.8408881800381</v>
      </c>
      <c r="BM14">
        <v>7.9865663739576984</v>
      </c>
      <c r="BN14">
        <v>1357.7162835728091</v>
      </c>
      <c r="BO14">
        <v>2043.5242401099349</v>
      </c>
    </row>
    <row r="15" spans="1:67" x14ac:dyDescent="0.25">
      <c r="A15" s="1">
        <v>13</v>
      </c>
      <c r="B15" t="s">
        <v>65</v>
      </c>
      <c r="C15" t="s">
        <v>80</v>
      </c>
      <c r="D15">
        <v>2</v>
      </c>
      <c r="E15">
        <v>4</v>
      </c>
      <c r="F15">
        <v>1</v>
      </c>
      <c r="G15">
        <v>44.051760000000002</v>
      </c>
      <c r="H15">
        <v>10</v>
      </c>
      <c r="I15" t="s">
        <v>89</v>
      </c>
      <c r="J15">
        <v>2</v>
      </c>
      <c r="K15">
        <v>20</v>
      </c>
      <c r="L15">
        <v>60</v>
      </c>
      <c r="N15" t="s">
        <v>90</v>
      </c>
      <c r="O15">
        <v>40</v>
      </c>
      <c r="P15">
        <v>0.32</v>
      </c>
      <c r="Q15">
        <v>3.2500000000000001E-2</v>
      </c>
      <c r="R15">
        <v>77.5</v>
      </c>
      <c r="S15">
        <v>170</v>
      </c>
      <c r="T15">
        <v>50</v>
      </c>
      <c r="U15">
        <v>1812.1301775147931</v>
      </c>
      <c r="V15">
        <v>20</v>
      </c>
      <c r="W15">
        <v>0.95</v>
      </c>
      <c r="X15">
        <v>1</v>
      </c>
      <c r="Y15">
        <v>1674232.55280285</v>
      </c>
      <c r="Z15">
        <v>334846510.56057</v>
      </c>
      <c r="AA15">
        <v>669693021.12114</v>
      </c>
      <c r="AB15">
        <v>669693.02112113999</v>
      </c>
      <c r="AC15">
        <v>0</v>
      </c>
      <c r="AD15">
        <v>3470.4395009717591</v>
      </c>
      <c r="AE15">
        <v>1249358.2203498329</v>
      </c>
      <c r="AF15">
        <v>749614.93220989988</v>
      </c>
      <c r="AG15">
        <v>33.021857086126779</v>
      </c>
      <c r="AH15">
        <v>351.8992337766154</v>
      </c>
      <c r="AI15">
        <v>175.9496168883077</v>
      </c>
      <c r="AJ15">
        <v>21765.023186437051</v>
      </c>
      <c r="AK15">
        <v>854.70085470085473</v>
      </c>
      <c r="AL15" t="s">
        <v>93</v>
      </c>
      <c r="AM15">
        <v>27272.190617687691</v>
      </c>
      <c r="AN15">
        <v>18684.063424894641</v>
      </c>
      <c r="AO15">
        <v>29911.434871012309</v>
      </c>
      <c r="AP15">
        <v>68575.978083720242</v>
      </c>
      <c r="AQ15">
        <v>38664.543212707933</v>
      </c>
      <c r="AR15">
        <v>2.9034938141203701E-2</v>
      </c>
      <c r="AS15">
        <v>659.10960518271463</v>
      </c>
      <c r="AT15">
        <v>825.88300671755223</v>
      </c>
      <c r="AU15">
        <v>565.80898452086853</v>
      </c>
      <c r="AV15">
        <v>905.80716865796046</v>
      </c>
      <c r="AW15">
        <v>2076.68447915761</v>
      </c>
      <c r="AX15">
        <v>1170.8773104996501</v>
      </c>
      <c r="AY15">
        <v>5.3282774626938858</v>
      </c>
      <c r="AZ15" t="s">
        <v>109</v>
      </c>
      <c r="BA15" t="str">
        <f>VLOOKUP($AZ15,Sheet1!$A$2:$B$58,2)</f>
        <v>Acetone</v>
      </c>
      <c r="BB15" t="s">
        <v>162</v>
      </c>
      <c r="BC15">
        <v>58.078139999999998</v>
      </c>
      <c r="BD15">
        <v>5.333333333333333</v>
      </c>
      <c r="BE15">
        <v>56</v>
      </c>
      <c r="BF15" t="s">
        <v>65</v>
      </c>
      <c r="BG15">
        <v>0.36592764917717091</v>
      </c>
      <c r="BH15">
        <v>0.57423423423423403</v>
      </c>
      <c r="BI15">
        <v>0.75707432004189301</v>
      </c>
      <c r="BJ15">
        <v>80</v>
      </c>
      <c r="BK15">
        <v>3428.7989041860119</v>
      </c>
      <c r="BL15">
        <v>1933.2271606353961</v>
      </c>
      <c r="BM15">
        <v>8.4315531952382159</v>
      </c>
      <c r="BN15">
        <v>1433.3640431904969</v>
      </c>
      <c r="BO15">
        <v>1995.4348609955159</v>
      </c>
    </row>
    <row r="16" spans="1:67" x14ac:dyDescent="0.25">
      <c r="A16" s="1">
        <v>14</v>
      </c>
      <c r="B16" t="s">
        <v>65</v>
      </c>
      <c r="C16" t="s">
        <v>80</v>
      </c>
      <c r="D16">
        <v>2</v>
      </c>
      <c r="E16">
        <v>4</v>
      </c>
      <c r="F16">
        <v>1</v>
      </c>
      <c r="G16">
        <v>44.051760000000002</v>
      </c>
      <c r="H16">
        <v>10</v>
      </c>
      <c r="I16" t="s">
        <v>89</v>
      </c>
      <c r="J16">
        <v>2</v>
      </c>
      <c r="K16">
        <v>20</v>
      </c>
      <c r="L16">
        <v>60</v>
      </c>
      <c r="N16" t="s">
        <v>90</v>
      </c>
      <c r="O16">
        <v>40</v>
      </c>
      <c r="P16">
        <v>0.32</v>
      </c>
      <c r="Q16">
        <v>3.2500000000000001E-2</v>
      </c>
      <c r="R16">
        <v>77.5</v>
      </c>
      <c r="S16">
        <v>170</v>
      </c>
      <c r="T16">
        <v>50</v>
      </c>
      <c r="U16">
        <v>1812.1301775147931</v>
      </c>
      <c r="V16">
        <v>20</v>
      </c>
      <c r="W16">
        <v>0.95</v>
      </c>
      <c r="X16">
        <v>1</v>
      </c>
      <c r="Y16">
        <v>1390290.5061918171</v>
      </c>
      <c r="Z16">
        <v>278058101.23836339</v>
      </c>
      <c r="AA16">
        <v>556116202.47672677</v>
      </c>
      <c r="AB16">
        <v>556116.20247672673</v>
      </c>
      <c r="AC16">
        <v>0</v>
      </c>
      <c r="AD16">
        <v>2881.869118144105</v>
      </c>
      <c r="AE16">
        <v>1037472.882531878</v>
      </c>
      <c r="AF16">
        <v>622483.72951912659</v>
      </c>
      <c r="AG16">
        <v>27.421503856681479</v>
      </c>
      <c r="AH16">
        <v>292.21876198545891</v>
      </c>
      <c r="AI16">
        <v>146.1093809927294</v>
      </c>
      <c r="AJ16">
        <v>18073.776580493621</v>
      </c>
      <c r="AK16">
        <v>854.70085470085473</v>
      </c>
      <c r="AL16" t="s">
        <v>93</v>
      </c>
      <c r="AM16">
        <v>22646.954053873062</v>
      </c>
      <c r="AN16">
        <v>15515.333251184031</v>
      </c>
      <c r="AO16">
        <v>24838.594768764</v>
      </c>
      <c r="AP16">
        <v>57090.764740251572</v>
      </c>
      <c r="AQ16">
        <v>32252.169971487569</v>
      </c>
      <c r="AR16">
        <v>2.9034938141203712E-2</v>
      </c>
      <c r="AS16">
        <v>659.10960518271474</v>
      </c>
      <c r="AT16">
        <v>825.88300671755246</v>
      </c>
      <c r="AU16">
        <v>565.80898452086865</v>
      </c>
      <c r="AV16">
        <v>905.8071686579608</v>
      </c>
      <c r="AW16">
        <v>2081.97059645731</v>
      </c>
      <c r="AX16">
        <v>1176.1634277993489</v>
      </c>
      <c r="AY16">
        <v>5.3282774626938867</v>
      </c>
      <c r="AZ16" t="s">
        <v>110</v>
      </c>
      <c r="BA16" t="str">
        <f>VLOOKUP($AZ16,Sheet1!$A$2:$B$58,2)</f>
        <v>Acrylate (PW1)</v>
      </c>
      <c r="BB16" t="s">
        <v>163</v>
      </c>
      <c r="BC16">
        <v>71.053619999999995</v>
      </c>
      <c r="BD16">
        <v>3.666666666666667</v>
      </c>
      <c r="BE16">
        <v>80</v>
      </c>
      <c r="BF16" t="s">
        <v>65</v>
      </c>
      <c r="BG16">
        <v>0.33346656415802289</v>
      </c>
      <c r="BH16">
        <v>0.56523076923077198</v>
      </c>
      <c r="BI16">
        <v>0.91169325105809396</v>
      </c>
      <c r="BJ16">
        <v>80</v>
      </c>
      <c r="BK16">
        <v>2854.5382370125781</v>
      </c>
      <c r="BL16">
        <v>1612.608498574378</v>
      </c>
      <c r="BM16">
        <v>6.9720024854784484</v>
      </c>
      <c r="BN16">
        <v>1185.240422531336</v>
      </c>
      <c r="BO16">
        <v>1669.2978144812421</v>
      </c>
    </row>
    <row r="17" spans="1:67" x14ac:dyDescent="0.25">
      <c r="A17" s="1">
        <v>15</v>
      </c>
      <c r="B17" t="s">
        <v>65</v>
      </c>
      <c r="C17" t="s">
        <v>80</v>
      </c>
      <c r="D17">
        <v>2</v>
      </c>
      <c r="E17">
        <v>4</v>
      </c>
      <c r="F17">
        <v>1</v>
      </c>
      <c r="G17">
        <v>44.051760000000002</v>
      </c>
      <c r="H17">
        <v>10</v>
      </c>
      <c r="I17" t="s">
        <v>89</v>
      </c>
      <c r="J17">
        <v>2</v>
      </c>
      <c r="K17">
        <v>20</v>
      </c>
      <c r="L17">
        <v>60</v>
      </c>
      <c r="N17" t="s">
        <v>90</v>
      </c>
      <c r="O17">
        <v>40</v>
      </c>
      <c r="P17">
        <v>0.32</v>
      </c>
      <c r="Q17">
        <v>3.2500000000000001E-2</v>
      </c>
      <c r="R17">
        <v>77.5</v>
      </c>
      <c r="S17">
        <v>170</v>
      </c>
      <c r="T17">
        <v>50</v>
      </c>
      <c r="U17">
        <v>1812.1301775147931</v>
      </c>
      <c r="V17">
        <v>20</v>
      </c>
      <c r="W17">
        <v>0.95</v>
      </c>
      <c r="X17">
        <v>1</v>
      </c>
      <c r="Y17">
        <v>1090843.320242808</v>
      </c>
      <c r="Z17">
        <v>218168664.04856169</v>
      </c>
      <c r="AA17">
        <v>436337328.09712338</v>
      </c>
      <c r="AB17">
        <v>436337.32809712342</v>
      </c>
      <c r="AC17">
        <v>0</v>
      </c>
      <c r="AD17">
        <v>2261.1588465438331</v>
      </c>
      <c r="AE17">
        <v>814017.18475578004</v>
      </c>
      <c r="AF17">
        <v>488410.31085346802</v>
      </c>
      <c r="AG17">
        <v>21.51533379524237</v>
      </c>
      <c r="AH17">
        <v>229.27933632705199</v>
      </c>
      <c r="AI17">
        <v>114.639668163526</v>
      </c>
      <c r="AJ17">
        <v>14180.96316315651</v>
      </c>
      <c r="AK17">
        <v>854.70085470085473</v>
      </c>
      <c r="AL17" t="s">
        <v>93</v>
      </c>
      <c r="AM17">
        <v>17769.148565346532</v>
      </c>
      <c r="AN17">
        <v>12173.569166313609</v>
      </c>
      <c r="AO17">
        <v>19488.743587799421</v>
      </c>
      <c r="AP17">
        <v>44978.381749517503</v>
      </c>
      <c r="AQ17">
        <v>25489.638161718089</v>
      </c>
      <c r="AR17">
        <v>2.9034938141203691E-2</v>
      </c>
      <c r="AS17">
        <v>659.1096051827144</v>
      </c>
      <c r="AT17">
        <v>825.88300671755212</v>
      </c>
      <c r="AU17">
        <v>565.80898452086842</v>
      </c>
      <c r="AV17">
        <v>905.80716865796035</v>
      </c>
      <c r="AW17">
        <v>2090.526792545671</v>
      </c>
      <c r="AX17">
        <v>1184.71962388771</v>
      </c>
      <c r="AY17">
        <v>5.328277462693884</v>
      </c>
      <c r="AZ17" t="s">
        <v>111</v>
      </c>
      <c r="BA17" t="str">
        <f>VLOOKUP($AZ17,Sheet1!$A$2:$B$58,2)</f>
        <v>Acrylate (PW2)</v>
      </c>
      <c r="BB17" t="s">
        <v>163</v>
      </c>
      <c r="BC17">
        <v>71.053619999999995</v>
      </c>
      <c r="BD17">
        <v>3.666666666666667</v>
      </c>
      <c r="BE17">
        <v>80</v>
      </c>
      <c r="BF17" t="s">
        <v>65</v>
      </c>
      <c r="BG17">
        <v>-0.13857912828002741</v>
      </c>
      <c r="BH17">
        <v>0.72039215686274505</v>
      </c>
      <c r="BI17">
        <v>1.16196198664267</v>
      </c>
      <c r="BJ17">
        <v>80</v>
      </c>
      <c r="BK17">
        <v>2248.9190874758751</v>
      </c>
      <c r="BL17">
        <v>1274.481908085904</v>
      </c>
      <c r="BM17">
        <v>5.870562536456327</v>
      </c>
      <c r="BN17">
        <v>997.99563119757556</v>
      </c>
      <c r="BO17">
        <v>1250.923456278299</v>
      </c>
    </row>
    <row r="18" spans="1:67" x14ac:dyDescent="0.25">
      <c r="A18" s="1">
        <v>16</v>
      </c>
      <c r="B18" t="s">
        <v>65</v>
      </c>
      <c r="C18" t="s">
        <v>80</v>
      </c>
      <c r="D18">
        <v>2</v>
      </c>
      <c r="E18">
        <v>4</v>
      </c>
      <c r="F18">
        <v>1</v>
      </c>
      <c r="G18">
        <v>44.051760000000002</v>
      </c>
      <c r="H18">
        <v>10</v>
      </c>
      <c r="I18" t="s">
        <v>89</v>
      </c>
      <c r="J18">
        <v>2</v>
      </c>
      <c r="K18">
        <v>20</v>
      </c>
      <c r="L18">
        <v>60</v>
      </c>
      <c r="N18" t="s">
        <v>90</v>
      </c>
      <c r="O18">
        <v>40</v>
      </c>
      <c r="P18">
        <v>0.32</v>
      </c>
      <c r="Q18">
        <v>3.2500000000000001E-2</v>
      </c>
      <c r="R18">
        <v>77.5</v>
      </c>
      <c r="S18">
        <v>170</v>
      </c>
      <c r="T18">
        <v>50</v>
      </c>
      <c r="U18">
        <v>1812.1301775147931</v>
      </c>
      <c r="V18">
        <v>20</v>
      </c>
      <c r="W18">
        <v>0.95</v>
      </c>
      <c r="X18">
        <v>1</v>
      </c>
      <c r="Y18">
        <v>1493870.7789632911</v>
      </c>
      <c r="Z18">
        <v>298774155.79265833</v>
      </c>
      <c r="AA18">
        <v>597548311.58531654</v>
      </c>
      <c r="AB18">
        <v>597548.31158531655</v>
      </c>
      <c r="AC18">
        <v>0</v>
      </c>
      <c r="AD18">
        <v>3096.5758920303028</v>
      </c>
      <c r="AE18">
        <v>1114767.321130909</v>
      </c>
      <c r="AF18">
        <v>668860.39267854556</v>
      </c>
      <c r="AG18">
        <v>29.46447749178105</v>
      </c>
      <c r="AH18">
        <v>313.98982273901652</v>
      </c>
      <c r="AI18">
        <v>156.9949113695082</v>
      </c>
      <c r="AJ18">
        <v>19420.320126522791</v>
      </c>
      <c r="AK18">
        <v>854.70085470085473</v>
      </c>
      <c r="AL18" t="s">
        <v>93</v>
      </c>
      <c r="AM18">
        <v>24334.21126227378</v>
      </c>
      <c r="AN18">
        <v>16671.266089062621</v>
      </c>
      <c r="AO18">
        <v>26689.1349328164</v>
      </c>
      <c r="AP18">
        <v>61280.498332560033</v>
      </c>
      <c r="AQ18">
        <v>34591.363399743634</v>
      </c>
      <c r="AR18">
        <v>2.9034938141203701E-2</v>
      </c>
      <c r="AS18">
        <v>659.10960518271463</v>
      </c>
      <c r="AT18">
        <v>825.88300671755246</v>
      </c>
      <c r="AU18">
        <v>565.80898452086842</v>
      </c>
      <c r="AV18">
        <v>905.80716865796069</v>
      </c>
      <c r="AW18">
        <v>2079.8094366225869</v>
      </c>
      <c r="AX18">
        <v>1174.002267964627</v>
      </c>
      <c r="AY18">
        <v>5.3282774626938858</v>
      </c>
      <c r="AZ18" t="s">
        <v>112</v>
      </c>
      <c r="BA18" t="str">
        <f>VLOOKUP($AZ18,Sheet1!$A$2:$B$58,2)</f>
        <v>Adipate</v>
      </c>
      <c r="BB18" t="s">
        <v>164</v>
      </c>
      <c r="BC18">
        <v>144.12291999999999</v>
      </c>
      <c r="BD18">
        <v>4</v>
      </c>
      <c r="BE18">
        <v>337.5</v>
      </c>
      <c r="BF18" t="s">
        <v>65</v>
      </c>
      <c r="BG18">
        <v>0.52273764489174657</v>
      </c>
      <c r="BH18">
        <v>0.25934117647058802</v>
      </c>
      <c r="BI18">
        <v>0.848479325892462</v>
      </c>
      <c r="BJ18">
        <v>80</v>
      </c>
      <c r="BK18">
        <v>3064.0249166280009</v>
      </c>
      <c r="BL18">
        <v>1729.568169987182</v>
      </c>
      <c r="BM18">
        <v>7.3270079235836629</v>
      </c>
      <c r="BN18">
        <v>1245.591347009223</v>
      </c>
      <c r="BO18">
        <v>1818.4335696187791</v>
      </c>
    </row>
    <row r="19" spans="1:67" x14ac:dyDescent="0.25">
      <c r="A19" s="1">
        <v>17</v>
      </c>
      <c r="B19" t="s">
        <v>65</v>
      </c>
      <c r="C19" t="s">
        <v>80</v>
      </c>
      <c r="D19">
        <v>2</v>
      </c>
      <c r="E19">
        <v>4</v>
      </c>
      <c r="F19">
        <v>1</v>
      </c>
      <c r="G19">
        <v>44.051760000000002</v>
      </c>
      <c r="H19">
        <v>10</v>
      </c>
      <c r="I19" t="s">
        <v>89</v>
      </c>
      <c r="J19">
        <v>2</v>
      </c>
      <c r="K19">
        <v>20</v>
      </c>
      <c r="L19">
        <v>60</v>
      </c>
      <c r="N19" t="s">
        <v>90</v>
      </c>
      <c r="O19">
        <v>40</v>
      </c>
      <c r="P19">
        <v>0.32</v>
      </c>
      <c r="Q19">
        <v>3.2500000000000001E-2</v>
      </c>
      <c r="R19">
        <v>77.5</v>
      </c>
      <c r="S19">
        <v>170</v>
      </c>
      <c r="T19">
        <v>50</v>
      </c>
      <c r="U19">
        <v>1812.1301775147931</v>
      </c>
      <c r="V19">
        <v>20</v>
      </c>
      <c r="W19">
        <v>0.95</v>
      </c>
      <c r="X19">
        <v>1</v>
      </c>
      <c r="Y19">
        <v>2041218.248280724</v>
      </c>
      <c r="Z19">
        <v>408243649.65614468</v>
      </c>
      <c r="AA19">
        <v>816487299.31228936</v>
      </c>
      <c r="AB19">
        <v>816487.29931228934</v>
      </c>
      <c r="AC19">
        <v>0</v>
      </c>
      <c r="AD19">
        <v>4231.1472364329138</v>
      </c>
      <c r="AE19">
        <v>1523213.005115849</v>
      </c>
      <c r="AF19">
        <v>913927.80306950933</v>
      </c>
      <c r="AG19">
        <v>40.260128238145292</v>
      </c>
      <c r="AH19">
        <v>429.03426787295052</v>
      </c>
      <c r="AI19">
        <v>214.51713393647529</v>
      </c>
      <c r="AJ19">
        <v>26535.837227649401</v>
      </c>
      <c r="AK19">
        <v>854.70085470085473</v>
      </c>
      <c r="AL19" t="s">
        <v>93</v>
      </c>
      <c r="AM19">
        <v>33250.155760153662</v>
      </c>
      <c r="AN19">
        <v>22779.542275104941</v>
      </c>
      <c r="AO19">
        <v>36467.912769200797</v>
      </c>
      <c r="AP19">
        <v>83420.23611760886</v>
      </c>
      <c r="AQ19">
        <v>46952.323348408063</v>
      </c>
      <c r="AR19">
        <v>2.9034938141203701E-2</v>
      </c>
      <c r="AS19">
        <v>659.10960518271463</v>
      </c>
      <c r="AT19">
        <v>825.88300671755223</v>
      </c>
      <c r="AU19">
        <v>565.80898452086876</v>
      </c>
      <c r="AV19">
        <v>905.8071686579608</v>
      </c>
      <c r="AW19">
        <v>2072.0310582262541</v>
      </c>
      <c r="AX19">
        <v>1166.2238895682931</v>
      </c>
      <c r="AY19">
        <v>5.3282774626938858</v>
      </c>
      <c r="AZ19" t="s">
        <v>113</v>
      </c>
      <c r="BA19" t="str">
        <f>VLOOKUP($AZ19,Sheet1!$A$2:$B$58,2)</f>
        <v>Benzoate (PW1)</v>
      </c>
      <c r="BB19" t="s">
        <v>165</v>
      </c>
      <c r="BC19">
        <v>121.1121</v>
      </c>
      <c r="BD19">
        <v>4.1428571428571432</v>
      </c>
      <c r="BE19">
        <v>249.2</v>
      </c>
      <c r="BF19" t="s">
        <v>65</v>
      </c>
      <c r="BG19">
        <v>0.67408053080919494</v>
      </c>
      <c r="BH19">
        <v>0.225860655737705</v>
      </c>
      <c r="BI19">
        <v>0.62096175779969898</v>
      </c>
      <c r="BJ19">
        <v>80</v>
      </c>
      <c r="BK19">
        <v>4171.0118058804437</v>
      </c>
      <c r="BL19">
        <v>2347.6161674204041</v>
      </c>
      <c r="BM19">
        <v>10.051776166014569</v>
      </c>
      <c r="BN19">
        <v>1708.801948222477</v>
      </c>
      <c r="BO19">
        <v>2462.2098576579669</v>
      </c>
    </row>
    <row r="20" spans="1:67" x14ac:dyDescent="0.25">
      <c r="A20" s="1">
        <v>18</v>
      </c>
      <c r="B20" t="s">
        <v>65</v>
      </c>
      <c r="C20" t="s">
        <v>80</v>
      </c>
      <c r="D20">
        <v>2</v>
      </c>
      <c r="E20">
        <v>4</v>
      </c>
      <c r="F20">
        <v>1</v>
      </c>
      <c r="G20">
        <v>44.051760000000002</v>
      </c>
      <c r="H20">
        <v>10</v>
      </c>
      <c r="I20" t="s">
        <v>89</v>
      </c>
      <c r="J20">
        <v>2</v>
      </c>
      <c r="K20">
        <v>20</v>
      </c>
      <c r="L20">
        <v>60</v>
      </c>
      <c r="N20" t="s">
        <v>90</v>
      </c>
      <c r="O20">
        <v>40</v>
      </c>
      <c r="P20">
        <v>0.32</v>
      </c>
      <c r="Q20">
        <v>3.2500000000000001E-2</v>
      </c>
      <c r="R20">
        <v>77.5</v>
      </c>
      <c r="S20">
        <v>170</v>
      </c>
      <c r="T20">
        <v>50</v>
      </c>
      <c r="U20">
        <v>1812.1301775147931</v>
      </c>
      <c r="V20">
        <v>20</v>
      </c>
      <c r="W20">
        <v>0.95</v>
      </c>
      <c r="X20">
        <v>1</v>
      </c>
      <c r="Y20">
        <v>2041218.248280721</v>
      </c>
      <c r="Z20">
        <v>408243649.65614408</v>
      </c>
      <c r="AA20">
        <v>816487299.31228828</v>
      </c>
      <c r="AB20">
        <v>816487.29931228829</v>
      </c>
      <c r="AC20">
        <v>0</v>
      </c>
      <c r="AD20">
        <v>4231.1472364329084</v>
      </c>
      <c r="AE20">
        <v>1523213.0051158471</v>
      </c>
      <c r="AF20">
        <v>913927.80306950805</v>
      </c>
      <c r="AG20">
        <v>40.260128238145242</v>
      </c>
      <c r="AH20">
        <v>429.0342678729499</v>
      </c>
      <c r="AI20">
        <v>214.51713393647489</v>
      </c>
      <c r="AJ20">
        <v>26535.837227649368</v>
      </c>
      <c r="AK20">
        <v>854.70085470085473</v>
      </c>
      <c r="AL20" t="s">
        <v>93</v>
      </c>
      <c r="AM20">
        <v>33250.155760153619</v>
      </c>
      <c r="AN20">
        <v>22779.542275104901</v>
      </c>
      <c r="AO20">
        <v>36467.912769200739</v>
      </c>
      <c r="AP20">
        <v>83420.236117608758</v>
      </c>
      <c r="AQ20">
        <v>46952.323348408019</v>
      </c>
      <c r="AR20">
        <v>2.9034938141203712E-2</v>
      </c>
      <c r="AS20">
        <v>659.10960518271474</v>
      </c>
      <c r="AT20">
        <v>825.88300671755246</v>
      </c>
      <c r="AU20">
        <v>565.80898452086865</v>
      </c>
      <c r="AV20">
        <v>905.80716865796046</v>
      </c>
      <c r="AW20">
        <v>2072.0310582262541</v>
      </c>
      <c r="AX20">
        <v>1166.223889568294</v>
      </c>
      <c r="AY20">
        <v>5.3282774626938858</v>
      </c>
      <c r="AZ20" t="s">
        <v>114</v>
      </c>
      <c r="BA20" t="str">
        <f>VLOOKUP($AZ20,Sheet1!$A$2:$B$58,2)</f>
        <v>Benzoate (PW2)</v>
      </c>
      <c r="BB20" t="s">
        <v>165</v>
      </c>
      <c r="BC20">
        <v>121.1121</v>
      </c>
      <c r="BD20">
        <v>4.1428571428571432</v>
      </c>
      <c r="BE20">
        <v>249.2</v>
      </c>
      <c r="BF20" t="s">
        <v>65</v>
      </c>
      <c r="BG20">
        <v>0.67408053080919639</v>
      </c>
      <c r="BH20">
        <v>0.225860655737705</v>
      </c>
      <c r="BI20">
        <v>0.62096175779969998</v>
      </c>
      <c r="BJ20">
        <v>80</v>
      </c>
      <c r="BK20">
        <v>4171.0118058804374</v>
      </c>
      <c r="BL20">
        <v>2347.6161674204009</v>
      </c>
      <c r="BM20">
        <v>10.05177616601455</v>
      </c>
      <c r="BN20">
        <v>1708.801948222474</v>
      </c>
      <c r="BO20">
        <v>2462.2098576579642</v>
      </c>
    </row>
    <row r="21" spans="1:67" x14ac:dyDescent="0.25">
      <c r="A21" s="1">
        <v>19</v>
      </c>
      <c r="B21" t="s">
        <v>65</v>
      </c>
      <c r="C21" t="s">
        <v>80</v>
      </c>
      <c r="D21">
        <v>2</v>
      </c>
      <c r="E21">
        <v>4</v>
      </c>
      <c r="F21">
        <v>1</v>
      </c>
      <c r="G21">
        <v>44.051760000000002</v>
      </c>
      <c r="H21">
        <v>10</v>
      </c>
      <c r="I21" t="s">
        <v>89</v>
      </c>
      <c r="J21">
        <v>2</v>
      </c>
      <c r="K21">
        <v>20</v>
      </c>
      <c r="L21">
        <v>60</v>
      </c>
      <c r="N21" t="s">
        <v>90</v>
      </c>
      <c r="O21">
        <v>40</v>
      </c>
      <c r="P21">
        <v>0.32</v>
      </c>
      <c r="Q21">
        <v>3.2500000000000001E-2</v>
      </c>
      <c r="R21">
        <v>77.5</v>
      </c>
      <c r="S21">
        <v>170</v>
      </c>
      <c r="T21">
        <v>50</v>
      </c>
      <c r="U21">
        <v>1812.1301775147931</v>
      </c>
      <c r="V21">
        <v>20</v>
      </c>
      <c r="W21">
        <v>0.95</v>
      </c>
      <c r="X21">
        <v>1</v>
      </c>
      <c r="Y21">
        <v>2623447.5808460461</v>
      </c>
      <c r="Z21">
        <v>524689516.16920918</v>
      </c>
      <c r="AA21">
        <v>1049379032.338418</v>
      </c>
      <c r="AB21">
        <v>1049379.0323384181</v>
      </c>
      <c r="AC21">
        <v>0</v>
      </c>
      <c r="AD21">
        <v>5438.0235876162806</v>
      </c>
      <c r="AE21">
        <v>1957688.4915418611</v>
      </c>
      <c r="AF21">
        <v>1174613.094925117</v>
      </c>
      <c r="AG21">
        <v>51.743774150498467</v>
      </c>
      <c r="AH21">
        <v>551.4103712816468</v>
      </c>
      <c r="AI21">
        <v>275.7051856408234</v>
      </c>
      <c r="AJ21">
        <v>34104.818550998592</v>
      </c>
      <c r="AK21">
        <v>854.70085470085473</v>
      </c>
      <c r="AL21" t="s">
        <v>93</v>
      </c>
      <c r="AM21">
        <v>42734.303774327629</v>
      </c>
      <c r="AN21">
        <v>29277.092307370709</v>
      </c>
      <c r="AO21">
        <v>46869.881558939967</v>
      </c>
      <c r="AP21">
        <v>106970.9154873978</v>
      </c>
      <c r="AQ21">
        <v>60101.033928457822</v>
      </c>
      <c r="AR21">
        <v>2.9034938141203701E-2</v>
      </c>
      <c r="AS21">
        <v>659.10960518271452</v>
      </c>
      <c r="AT21">
        <v>825.88300671755223</v>
      </c>
      <c r="AU21">
        <v>565.80898452086853</v>
      </c>
      <c r="AV21">
        <v>905.80716865796046</v>
      </c>
      <c r="AW21">
        <v>2067.3195421785308</v>
      </c>
      <c r="AX21">
        <v>1161.51237352057</v>
      </c>
      <c r="AY21">
        <v>5.3282774626938849</v>
      </c>
      <c r="AZ21" t="s">
        <v>115</v>
      </c>
      <c r="BA21" t="str">
        <f>VLOOKUP($AZ21,Sheet1!$A$2:$B$58,2)</f>
        <v>Benzyl Alcohol</v>
      </c>
      <c r="BB21" t="s">
        <v>166</v>
      </c>
      <c r="BC21">
        <v>108.13661999999999</v>
      </c>
      <c r="BD21">
        <v>4.8571428571428568</v>
      </c>
      <c r="BE21">
        <v>205</v>
      </c>
      <c r="BF21" t="s">
        <v>65</v>
      </c>
      <c r="BG21">
        <v>1.2866816382375179</v>
      </c>
      <c r="BH21">
        <v>0.19682142857142901</v>
      </c>
      <c r="BI21">
        <v>0.48314991340381702</v>
      </c>
      <c r="BJ21">
        <v>80</v>
      </c>
      <c r="BK21">
        <v>5348.5457743698889</v>
      </c>
      <c r="BL21">
        <v>3005.05169642289</v>
      </c>
      <c r="BM21">
        <v>12.49857764380365</v>
      </c>
      <c r="BN21">
        <v>2124.7581994466209</v>
      </c>
      <c r="BO21">
        <v>3223.787574923268</v>
      </c>
    </row>
    <row r="22" spans="1:67" x14ac:dyDescent="0.25">
      <c r="A22" s="1">
        <v>20</v>
      </c>
      <c r="B22" t="s">
        <v>65</v>
      </c>
      <c r="C22" t="s">
        <v>80</v>
      </c>
      <c r="D22">
        <v>2</v>
      </c>
      <c r="E22">
        <v>4</v>
      </c>
      <c r="F22">
        <v>1</v>
      </c>
      <c r="G22">
        <v>44.051760000000002</v>
      </c>
      <c r="H22">
        <v>10</v>
      </c>
      <c r="I22" t="s">
        <v>89</v>
      </c>
      <c r="J22">
        <v>2</v>
      </c>
      <c r="K22">
        <v>20</v>
      </c>
      <c r="L22">
        <v>60</v>
      </c>
      <c r="N22" t="s">
        <v>90</v>
      </c>
      <c r="O22">
        <v>40</v>
      </c>
      <c r="P22">
        <v>0.32</v>
      </c>
      <c r="Q22">
        <v>3.2500000000000001E-2</v>
      </c>
      <c r="R22">
        <v>77.5</v>
      </c>
      <c r="S22">
        <v>170</v>
      </c>
      <c r="T22">
        <v>50</v>
      </c>
      <c r="U22">
        <v>1812.1301775147931</v>
      </c>
      <c r="V22">
        <v>20</v>
      </c>
      <c r="W22">
        <v>0.95</v>
      </c>
      <c r="X22">
        <v>1</v>
      </c>
      <c r="Y22">
        <v>2682433.813591843</v>
      </c>
      <c r="Z22">
        <v>536486762.71836871</v>
      </c>
      <c r="AA22">
        <v>1072973525.4367369</v>
      </c>
      <c r="AB22">
        <v>1072973.5254367371</v>
      </c>
      <c r="AC22">
        <v>0</v>
      </c>
      <c r="AD22">
        <v>5560.2934310689279</v>
      </c>
      <c r="AE22">
        <v>2001705.635184814</v>
      </c>
      <c r="AF22">
        <v>1201023.381110888</v>
      </c>
      <c r="AG22">
        <v>52.907193739085393</v>
      </c>
      <c r="AH22">
        <v>563.80841602869555</v>
      </c>
      <c r="AI22">
        <v>281.90420801434777</v>
      </c>
      <c r="AJ22">
        <v>34871.639576693968</v>
      </c>
      <c r="AK22">
        <v>854.70085470085473</v>
      </c>
      <c r="AL22" t="s">
        <v>93</v>
      </c>
      <c r="AM22">
        <v>43695.152242223907</v>
      </c>
      <c r="AN22">
        <v>29935.36556336076</v>
      </c>
      <c r="AO22">
        <v>47923.715362439121</v>
      </c>
      <c r="AP22">
        <v>109356.8582369795</v>
      </c>
      <c r="AQ22">
        <v>61433.142874540383</v>
      </c>
      <c r="AR22">
        <v>2.9034938141203701E-2</v>
      </c>
      <c r="AS22">
        <v>659.10960518271463</v>
      </c>
      <c r="AT22">
        <v>825.88300671755246</v>
      </c>
      <c r="AU22">
        <v>565.80898452086853</v>
      </c>
      <c r="AV22">
        <v>905.80716865796069</v>
      </c>
      <c r="AW22">
        <v>2066.9563155490459</v>
      </c>
      <c r="AX22">
        <v>1161.1491468910849</v>
      </c>
      <c r="AY22">
        <v>5.3282774626938858</v>
      </c>
      <c r="AZ22" t="s">
        <v>116</v>
      </c>
      <c r="BA22" t="str">
        <f>VLOOKUP($AZ22,Sheet1!$A$2:$B$58,2)</f>
        <v>Beta Carotene</v>
      </c>
      <c r="BB22" t="s">
        <v>167</v>
      </c>
      <c r="BC22">
        <v>536.86703999999997</v>
      </c>
      <c r="BD22">
        <v>5.4</v>
      </c>
      <c r="BE22">
        <v>633</v>
      </c>
      <c r="BF22" t="s">
        <v>65</v>
      </c>
      <c r="BG22">
        <v>0.94953895065547211</v>
      </c>
      <c r="BH22">
        <v>3.8772321428571399E-2</v>
      </c>
      <c r="BI22">
        <v>0.47252553449137402</v>
      </c>
      <c r="BJ22">
        <v>80</v>
      </c>
      <c r="BK22">
        <v>5467.842911848973</v>
      </c>
      <c r="BL22">
        <v>3071.657143727019</v>
      </c>
      <c r="BM22">
        <v>13.14567145006191</v>
      </c>
      <c r="BN22">
        <v>2234.7641465105262</v>
      </c>
      <c r="BO22">
        <v>3233.0787653384468</v>
      </c>
    </row>
    <row r="23" spans="1:67" x14ac:dyDescent="0.25">
      <c r="A23" s="1">
        <v>21</v>
      </c>
      <c r="B23" t="s">
        <v>65</v>
      </c>
      <c r="C23" t="s">
        <v>80</v>
      </c>
      <c r="D23">
        <v>2</v>
      </c>
      <c r="E23">
        <v>4</v>
      </c>
      <c r="F23">
        <v>1</v>
      </c>
      <c r="G23">
        <v>44.051760000000002</v>
      </c>
      <c r="H23">
        <v>10</v>
      </c>
      <c r="I23" t="s">
        <v>89</v>
      </c>
      <c r="J23">
        <v>2</v>
      </c>
      <c r="K23">
        <v>20</v>
      </c>
      <c r="L23">
        <v>60</v>
      </c>
      <c r="N23" t="s">
        <v>90</v>
      </c>
      <c r="O23">
        <v>40</v>
      </c>
      <c r="P23">
        <v>0.32</v>
      </c>
      <c r="Q23">
        <v>3.2500000000000001E-2</v>
      </c>
      <c r="R23">
        <v>77.5</v>
      </c>
      <c r="S23">
        <v>170</v>
      </c>
      <c r="T23">
        <v>50</v>
      </c>
      <c r="U23">
        <v>1812.1301775147931</v>
      </c>
      <c r="V23">
        <v>20</v>
      </c>
      <c r="W23">
        <v>0.95</v>
      </c>
      <c r="X23">
        <v>1</v>
      </c>
      <c r="Y23">
        <v>2928612.1498510172</v>
      </c>
      <c r="Z23">
        <v>585722429.9702034</v>
      </c>
      <c r="AA23">
        <v>1171444859.940407</v>
      </c>
      <c r="AB23">
        <v>1171444.8599404071</v>
      </c>
      <c r="AC23">
        <v>66773.504273504266</v>
      </c>
      <c r="AD23">
        <v>6070.585159065181</v>
      </c>
      <c r="AE23">
        <v>2185410.6572634652</v>
      </c>
      <c r="AF23">
        <v>1311246.3943580789</v>
      </c>
      <c r="AG23">
        <v>57.762711465127452</v>
      </c>
      <c r="AH23">
        <v>615.55150736745668</v>
      </c>
      <c r="AI23">
        <v>307.77575368372828</v>
      </c>
      <c r="AJ23">
        <v>38071.957948063216</v>
      </c>
      <c r="AK23">
        <v>2170.1388888888891</v>
      </c>
      <c r="AL23" t="s">
        <v>95</v>
      </c>
      <c r="AM23">
        <v>47705.241820977892</v>
      </c>
      <c r="AN23">
        <v>32682.661117255699</v>
      </c>
      <c r="AO23">
        <v>52321.878126233823</v>
      </c>
      <c r="AP23">
        <v>120629.9997751857</v>
      </c>
      <c r="AQ23">
        <v>68308.121648951899</v>
      </c>
      <c r="AR23">
        <v>2.9034938141203712E-2</v>
      </c>
      <c r="AS23">
        <v>659.10960518271474</v>
      </c>
      <c r="AT23">
        <v>825.88300671755246</v>
      </c>
      <c r="AU23">
        <v>565.80898452086853</v>
      </c>
      <c r="AV23">
        <v>905.80716865796069</v>
      </c>
      <c r="AW23">
        <v>2088.3714894168802</v>
      </c>
      <c r="AX23">
        <v>1182.5643207589201</v>
      </c>
      <c r="AY23">
        <v>5.3282774626938858</v>
      </c>
      <c r="AZ23" t="s">
        <v>117</v>
      </c>
      <c r="BA23" t="str">
        <f>VLOOKUP($AZ23,Sheet1!$A$2:$B$58,2)</f>
        <v>Butane</v>
      </c>
      <c r="BB23" t="s">
        <v>168</v>
      </c>
      <c r="BC23">
        <v>58.121200000000002</v>
      </c>
      <c r="BD23">
        <v>6.5</v>
      </c>
      <c r="BE23">
        <v>-1</v>
      </c>
      <c r="BF23" t="s">
        <v>65</v>
      </c>
      <c r="BG23">
        <v>1.5877931292719529</v>
      </c>
      <c r="BH23">
        <v>0.32803571428571399</v>
      </c>
      <c r="BI23">
        <v>0.43280516731097401</v>
      </c>
      <c r="BJ23">
        <v>80</v>
      </c>
      <c r="BK23">
        <v>6031.4999887592849</v>
      </c>
      <c r="BL23">
        <v>3415.4060824475951</v>
      </c>
      <c r="BM23">
        <v>13.80099455491446</v>
      </c>
      <c r="BN23">
        <v>2346.1690743354588</v>
      </c>
      <c r="BO23">
        <v>3685.330914423826</v>
      </c>
    </row>
    <row r="24" spans="1:67" x14ac:dyDescent="0.25">
      <c r="A24" s="1">
        <v>22</v>
      </c>
      <c r="B24" t="s">
        <v>65</v>
      </c>
      <c r="C24" t="s">
        <v>80</v>
      </c>
      <c r="D24">
        <v>2</v>
      </c>
      <c r="E24">
        <v>4</v>
      </c>
      <c r="F24">
        <v>1</v>
      </c>
      <c r="G24">
        <v>44.051760000000002</v>
      </c>
      <c r="H24">
        <v>10</v>
      </c>
      <c r="I24" t="s">
        <v>89</v>
      </c>
      <c r="J24">
        <v>2</v>
      </c>
      <c r="K24">
        <v>20</v>
      </c>
      <c r="L24">
        <v>60</v>
      </c>
      <c r="N24" t="s">
        <v>90</v>
      </c>
      <c r="O24">
        <v>40</v>
      </c>
      <c r="P24">
        <v>0.32</v>
      </c>
      <c r="Q24">
        <v>3.2500000000000001E-2</v>
      </c>
      <c r="R24">
        <v>77.5</v>
      </c>
      <c r="S24">
        <v>170</v>
      </c>
      <c r="T24">
        <v>50</v>
      </c>
      <c r="U24">
        <v>1812.1301775147931</v>
      </c>
      <c r="V24">
        <v>20</v>
      </c>
      <c r="W24">
        <v>0.95</v>
      </c>
      <c r="X24">
        <v>1</v>
      </c>
      <c r="Y24">
        <v>1867239.4789396671</v>
      </c>
      <c r="Z24">
        <v>373447895.78793329</v>
      </c>
      <c r="AA24">
        <v>746895791.5758667</v>
      </c>
      <c r="AB24">
        <v>746895.79157586675</v>
      </c>
      <c r="AC24">
        <v>0</v>
      </c>
      <c r="AD24">
        <v>3870.514663352873</v>
      </c>
      <c r="AE24">
        <v>1393385.278807034</v>
      </c>
      <c r="AF24">
        <v>836031.16728422046</v>
      </c>
      <c r="AG24">
        <v>36.828644333724327</v>
      </c>
      <c r="AH24">
        <v>392.46647116990448</v>
      </c>
      <c r="AI24">
        <v>196.23323558495221</v>
      </c>
      <c r="AJ24">
        <v>24274.113226215672</v>
      </c>
      <c r="AK24">
        <v>854.70085470085473</v>
      </c>
      <c r="AL24" t="s">
        <v>93</v>
      </c>
      <c r="AM24">
        <v>30416.1515156676</v>
      </c>
      <c r="AN24">
        <v>20837.97785174481</v>
      </c>
      <c r="AO24">
        <v>33359.65004944188</v>
      </c>
      <c r="AP24">
        <v>76382.943448328922</v>
      </c>
      <c r="AQ24">
        <v>43023.293398887043</v>
      </c>
      <c r="AR24">
        <v>2.9034938141203712E-2</v>
      </c>
      <c r="AS24">
        <v>659.10960518271474</v>
      </c>
      <c r="AT24">
        <v>825.88300671755223</v>
      </c>
      <c r="AU24">
        <v>565.80898452086853</v>
      </c>
      <c r="AV24">
        <v>905.80716865796069</v>
      </c>
      <c r="AW24">
        <v>2074.0090989008891</v>
      </c>
      <c r="AX24">
        <v>1168.201930242928</v>
      </c>
      <c r="AY24">
        <v>5.3282774626938858</v>
      </c>
      <c r="AZ24" t="s">
        <v>118</v>
      </c>
      <c r="BA24" t="str">
        <f>VLOOKUP($AZ24,Sheet1!$A$2:$B$58,2)</f>
        <v>Butanol (PW1)</v>
      </c>
      <c r="BB24" t="s">
        <v>169</v>
      </c>
      <c r="BC24">
        <v>74.120199999999997</v>
      </c>
      <c r="BD24">
        <v>6</v>
      </c>
      <c r="BE24">
        <v>117.7</v>
      </c>
      <c r="BF24" t="s">
        <v>65</v>
      </c>
      <c r="BG24">
        <v>0.568437484289807</v>
      </c>
      <c r="BH24">
        <v>0.40344186046511799</v>
      </c>
      <c r="BI24">
        <v>0.67881944753278001</v>
      </c>
      <c r="BJ24">
        <v>80</v>
      </c>
      <c r="BK24">
        <v>3819.1471724164462</v>
      </c>
      <c r="BL24">
        <v>2151.1646699443522</v>
      </c>
      <c r="BM24">
        <v>9.2432242949578054</v>
      </c>
      <c r="BN24">
        <v>1571.3481301428269</v>
      </c>
      <c r="BO24">
        <v>2247.7990422736189</v>
      </c>
    </row>
    <row r="25" spans="1:67" x14ac:dyDescent="0.25">
      <c r="A25" s="1">
        <v>23</v>
      </c>
      <c r="B25" t="s">
        <v>65</v>
      </c>
      <c r="C25" t="s">
        <v>80</v>
      </c>
      <c r="D25">
        <v>2</v>
      </c>
      <c r="E25">
        <v>4</v>
      </c>
      <c r="F25">
        <v>1</v>
      </c>
      <c r="G25">
        <v>44.051760000000002</v>
      </c>
      <c r="H25">
        <v>10</v>
      </c>
      <c r="I25" t="s">
        <v>89</v>
      </c>
      <c r="J25">
        <v>2</v>
      </c>
      <c r="K25">
        <v>20</v>
      </c>
      <c r="L25">
        <v>60</v>
      </c>
      <c r="N25" t="s">
        <v>90</v>
      </c>
      <c r="O25">
        <v>40</v>
      </c>
      <c r="P25">
        <v>0.32</v>
      </c>
      <c r="Q25">
        <v>3.2500000000000001E-2</v>
      </c>
      <c r="R25">
        <v>77.5</v>
      </c>
      <c r="S25">
        <v>170</v>
      </c>
      <c r="T25">
        <v>50</v>
      </c>
      <c r="U25">
        <v>1812.1301775147931</v>
      </c>
      <c r="V25">
        <v>20</v>
      </c>
      <c r="W25">
        <v>0.95</v>
      </c>
      <c r="X25">
        <v>1</v>
      </c>
      <c r="Y25">
        <v>2237408.7110308679</v>
      </c>
      <c r="Z25">
        <v>447481742.20617372</v>
      </c>
      <c r="AA25">
        <v>894963484.41234732</v>
      </c>
      <c r="AB25">
        <v>894963.48441234732</v>
      </c>
      <c r="AC25">
        <v>0</v>
      </c>
      <c r="AD25">
        <v>4637.8214051451296</v>
      </c>
      <c r="AE25">
        <v>1669615.7058522471</v>
      </c>
      <c r="AF25">
        <v>1001769.423511348</v>
      </c>
      <c r="AG25">
        <v>44.129706219860267</v>
      </c>
      <c r="AH25">
        <v>470.27063817316719</v>
      </c>
      <c r="AI25">
        <v>235.13531908658359</v>
      </c>
      <c r="AJ25">
        <v>29086.313243401291</v>
      </c>
      <c r="AK25">
        <v>854.70085470085473</v>
      </c>
      <c r="AL25" t="s">
        <v>93</v>
      </c>
      <c r="AM25">
        <v>36445.97445842046</v>
      </c>
      <c r="AN25">
        <v>24968.984263463401</v>
      </c>
      <c r="AO25">
        <v>39973.004244719217</v>
      </c>
      <c r="AP25">
        <v>91355.972819986011</v>
      </c>
      <c r="AQ25">
        <v>51382.968575266787</v>
      </c>
      <c r="AR25">
        <v>2.9034938141203701E-2</v>
      </c>
      <c r="AS25">
        <v>659.10960518271463</v>
      </c>
      <c r="AT25">
        <v>825.88300671755212</v>
      </c>
      <c r="AU25">
        <v>565.80898452086853</v>
      </c>
      <c r="AV25">
        <v>905.80716865796046</v>
      </c>
      <c r="AW25">
        <v>2070.1695217465981</v>
      </c>
      <c r="AX25">
        <v>1164.362353088638</v>
      </c>
      <c r="AY25">
        <v>5.3282774626938849</v>
      </c>
      <c r="AZ25" t="s">
        <v>119</v>
      </c>
      <c r="BA25" t="str">
        <f>VLOOKUP($AZ25,Sheet1!$A$2:$B$58,2)</f>
        <v>Butanol (PW2)</v>
      </c>
      <c r="BB25" t="s">
        <v>169</v>
      </c>
      <c r="BC25">
        <v>74.120199999999997</v>
      </c>
      <c r="BD25">
        <v>6</v>
      </c>
      <c r="BE25">
        <v>117.7</v>
      </c>
      <c r="BF25" t="s">
        <v>65</v>
      </c>
      <c r="BG25">
        <v>1.151968736814273</v>
      </c>
      <c r="BH25">
        <v>0.33669421487603302</v>
      </c>
      <c r="BI25">
        <v>0.56651181576978005</v>
      </c>
      <c r="BJ25">
        <v>80</v>
      </c>
      <c r="BK25">
        <v>4567.7986409993009</v>
      </c>
      <c r="BL25">
        <v>2569.1484287633398</v>
      </c>
      <c r="BM25">
        <v>10.604797217514911</v>
      </c>
      <c r="BN25">
        <v>1802.815526977535</v>
      </c>
      <c r="BO25">
        <v>2764.9831140217661</v>
      </c>
    </row>
    <row r="26" spans="1:67" x14ac:dyDescent="0.25">
      <c r="A26" s="1">
        <v>24</v>
      </c>
      <c r="B26" t="s">
        <v>65</v>
      </c>
      <c r="C26" t="s">
        <v>80</v>
      </c>
      <c r="D26">
        <v>2</v>
      </c>
      <c r="E26">
        <v>4</v>
      </c>
      <c r="F26">
        <v>1</v>
      </c>
      <c r="G26">
        <v>44.051760000000002</v>
      </c>
      <c r="H26">
        <v>10</v>
      </c>
      <c r="I26" t="s">
        <v>89</v>
      </c>
      <c r="J26">
        <v>2</v>
      </c>
      <c r="K26">
        <v>20</v>
      </c>
      <c r="L26">
        <v>60</v>
      </c>
      <c r="N26" t="s">
        <v>90</v>
      </c>
      <c r="O26">
        <v>40</v>
      </c>
      <c r="P26">
        <v>0.32</v>
      </c>
      <c r="Q26">
        <v>3.2500000000000001E-2</v>
      </c>
      <c r="R26">
        <v>77.5</v>
      </c>
      <c r="S26">
        <v>170</v>
      </c>
      <c r="T26">
        <v>50</v>
      </c>
      <c r="U26">
        <v>1812.1301775147931</v>
      </c>
      <c r="V26">
        <v>20</v>
      </c>
      <c r="W26">
        <v>0.95</v>
      </c>
      <c r="X26">
        <v>1</v>
      </c>
      <c r="Y26">
        <v>1282185.741068094</v>
      </c>
      <c r="Z26">
        <v>256437148.21361879</v>
      </c>
      <c r="AA26">
        <v>512874296.42723757</v>
      </c>
      <c r="AB26">
        <v>512874.29642723763</v>
      </c>
      <c r="AC26">
        <v>0</v>
      </c>
      <c r="AD26">
        <v>2657.783732574123</v>
      </c>
      <c r="AE26">
        <v>956802.14372668439</v>
      </c>
      <c r="AF26">
        <v>574081.28623601061</v>
      </c>
      <c r="AG26">
        <v>25.289291041760041</v>
      </c>
      <c r="AH26">
        <v>269.49671901063277</v>
      </c>
      <c r="AI26">
        <v>134.74835950531639</v>
      </c>
      <c r="AJ26">
        <v>16668.414633885219</v>
      </c>
      <c r="AK26">
        <v>854.70085470085473</v>
      </c>
      <c r="AL26" t="s">
        <v>93</v>
      </c>
      <c r="AM26">
        <v>20885.995723324049</v>
      </c>
      <c r="AN26">
        <v>14308.90808359095</v>
      </c>
      <c r="AO26">
        <v>22907.221115903791</v>
      </c>
      <c r="AP26">
        <v>52718.019295501072</v>
      </c>
      <c r="AQ26">
        <v>29810.798179597281</v>
      </c>
      <c r="AR26">
        <v>2.9034938141203701E-2</v>
      </c>
      <c r="AS26">
        <v>659.10960518271452</v>
      </c>
      <c r="AT26">
        <v>825.88300671755246</v>
      </c>
      <c r="AU26">
        <v>565.80898452086853</v>
      </c>
      <c r="AV26">
        <v>905.80716865796069</v>
      </c>
      <c r="AW26">
        <v>2084.598544437174</v>
      </c>
      <c r="AX26">
        <v>1178.7913757792139</v>
      </c>
      <c r="AY26">
        <v>5.3282774626938858</v>
      </c>
      <c r="AZ26" t="s">
        <v>120</v>
      </c>
      <c r="BA26" t="str">
        <f>VLOOKUP($AZ26,Sheet1!$A$2:$B$58,2)</f>
        <v>Butyrate</v>
      </c>
      <c r="BB26" t="s">
        <v>170</v>
      </c>
      <c r="BC26">
        <v>87.095680000000002</v>
      </c>
      <c r="BD26">
        <v>4.75</v>
      </c>
      <c r="BE26">
        <v>163.5</v>
      </c>
      <c r="BF26" t="s">
        <v>65</v>
      </c>
      <c r="BG26">
        <v>5.1659339416589451E-18</v>
      </c>
      <c r="BH26">
        <v>0.5</v>
      </c>
      <c r="BI26">
        <v>0.98856072946915197</v>
      </c>
      <c r="BJ26">
        <v>80</v>
      </c>
      <c r="BK26">
        <v>2635.9009647750531</v>
      </c>
      <c r="BL26">
        <v>1490.539908979863</v>
      </c>
      <c r="BM26">
        <v>6.7374179752658216</v>
      </c>
      <c r="BN26">
        <v>1145.3610557951899</v>
      </c>
      <c r="BO26">
        <v>1490.539908979863</v>
      </c>
    </row>
    <row r="27" spans="1:67" x14ac:dyDescent="0.25">
      <c r="A27" s="1">
        <v>25</v>
      </c>
      <c r="B27" t="s">
        <v>65</v>
      </c>
      <c r="C27" t="s">
        <v>80</v>
      </c>
      <c r="D27">
        <v>2</v>
      </c>
      <c r="E27">
        <v>4</v>
      </c>
      <c r="F27">
        <v>1</v>
      </c>
      <c r="G27">
        <v>44.051760000000002</v>
      </c>
      <c r="H27">
        <v>10</v>
      </c>
      <c r="I27" t="s">
        <v>89</v>
      </c>
      <c r="J27">
        <v>2</v>
      </c>
      <c r="K27">
        <v>20</v>
      </c>
      <c r="L27">
        <v>60</v>
      </c>
      <c r="N27" t="s">
        <v>90</v>
      </c>
      <c r="O27">
        <v>40</v>
      </c>
      <c r="P27">
        <v>0.32</v>
      </c>
      <c r="Q27">
        <v>3.2500000000000001E-2</v>
      </c>
      <c r="R27">
        <v>77.5</v>
      </c>
      <c r="S27">
        <v>170</v>
      </c>
      <c r="T27">
        <v>50</v>
      </c>
      <c r="U27">
        <v>1812.1301775147931</v>
      </c>
      <c r="V27">
        <v>20</v>
      </c>
      <c r="W27">
        <v>0.95</v>
      </c>
      <c r="X27">
        <v>1</v>
      </c>
      <c r="Y27">
        <v>1734501.740380906</v>
      </c>
      <c r="Z27">
        <v>346900348.07618111</v>
      </c>
      <c r="AA27">
        <v>693800696.15236223</v>
      </c>
      <c r="AB27">
        <v>693800.69615236227</v>
      </c>
      <c r="AC27">
        <v>0</v>
      </c>
      <c r="AD27">
        <v>3595.3687223706629</v>
      </c>
      <c r="AE27">
        <v>1294332.740053439</v>
      </c>
      <c r="AF27">
        <v>776599.64403206331</v>
      </c>
      <c r="AG27">
        <v>34.210581134985887</v>
      </c>
      <c r="AH27">
        <v>364.56693689441181</v>
      </c>
      <c r="AI27">
        <v>182.28346844720591</v>
      </c>
      <c r="AJ27">
        <v>22548.52262495178</v>
      </c>
      <c r="AK27">
        <v>854.70085470085473</v>
      </c>
      <c r="AL27" t="s">
        <v>93</v>
      </c>
      <c r="AM27">
        <v>28253.937609316908</v>
      </c>
      <c r="AN27">
        <v>19356.654171855149</v>
      </c>
      <c r="AO27">
        <v>30988.189636024999</v>
      </c>
      <c r="AP27">
        <v>71013.815260824704</v>
      </c>
      <c r="AQ27">
        <v>40025.625624799708</v>
      </c>
      <c r="AR27">
        <v>2.9034938141203701E-2</v>
      </c>
      <c r="AS27">
        <v>659.10960518271463</v>
      </c>
      <c r="AT27">
        <v>825.88300671755223</v>
      </c>
      <c r="AU27">
        <v>565.80898452086865</v>
      </c>
      <c r="AV27">
        <v>905.80716865796046</v>
      </c>
      <c r="AW27">
        <v>2075.7851198324579</v>
      </c>
      <c r="AX27">
        <v>1169.9779511744971</v>
      </c>
      <c r="AY27">
        <v>5.3282774626938849</v>
      </c>
      <c r="AZ27" t="s">
        <v>121</v>
      </c>
      <c r="BA27" t="str">
        <f>VLOOKUP($AZ27,Sheet1!$A$2:$B$58,2)</f>
        <v>Catechol</v>
      </c>
      <c r="BB27" t="s">
        <v>171</v>
      </c>
      <c r="BC27">
        <v>110.10924</v>
      </c>
      <c r="BD27">
        <v>4.333333333333333</v>
      </c>
      <c r="BE27">
        <v>245</v>
      </c>
      <c r="BF27" t="s">
        <v>65</v>
      </c>
      <c r="BG27">
        <v>0.33608816689032528</v>
      </c>
      <c r="BH27">
        <v>0.29236074270557</v>
      </c>
      <c r="BI27">
        <v>0.73076805978117199</v>
      </c>
      <c r="BJ27">
        <v>80</v>
      </c>
      <c r="BK27">
        <v>3550.6907630412352</v>
      </c>
      <c r="BL27">
        <v>2001.281281239985</v>
      </c>
      <c r="BM27">
        <v>8.7780852554699695</v>
      </c>
      <c r="BN27">
        <v>1492.2744934298951</v>
      </c>
      <c r="BO27">
        <v>2058.4162696113399</v>
      </c>
    </row>
    <row r="28" spans="1:67" x14ac:dyDescent="0.25">
      <c r="A28" s="1">
        <v>26</v>
      </c>
      <c r="B28" t="s">
        <v>65</v>
      </c>
      <c r="C28" t="s">
        <v>80</v>
      </c>
      <c r="D28">
        <v>2</v>
      </c>
      <c r="E28">
        <v>4</v>
      </c>
      <c r="F28">
        <v>1</v>
      </c>
      <c r="G28">
        <v>44.051760000000002</v>
      </c>
      <c r="H28">
        <v>10</v>
      </c>
      <c r="I28" t="s">
        <v>89</v>
      </c>
      <c r="J28">
        <v>2</v>
      </c>
      <c r="K28">
        <v>20</v>
      </c>
      <c r="L28">
        <v>60</v>
      </c>
      <c r="N28" t="s">
        <v>90</v>
      </c>
      <c r="O28">
        <v>40</v>
      </c>
      <c r="P28">
        <v>0.32</v>
      </c>
      <c r="Q28">
        <v>3.2500000000000001E-2</v>
      </c>
      <c r="R28">
        <v>77.5</v>
      </c>
      <c r="S28">
        <v>170</v>
      </c>
      <c r="T28">
        <v>50</v>
      </c>
      <c r="U28">
        <v>1812.1301775147931</v>
      </c>
      <c r="V28">
        <v>20</v>
      </c>
      <c r="W28">
        <v>0.95</v>
      </c>
      <c r="X28">
        <v>1</v>
      </c>
      <c r="Y28">
        <v>1384981.45217581</v>
      </c>
      <c r="Z28">
        <v>276996290.43516201</v>
      </c>
      <c r="AA28">
        <v>553992580.87032402</v>
      </c>
      <c r="AB28">
        <v>553992.58087032405</v>
      </c>
      <c r="AC28">
        <v>0</v>
      </c>
      <c r="AD28">
        <v>2870.8642247443809</v>
      </c>
      <c r="AE28">
        <v>1033511.120907977</v>
      </c>
      <c r="AF28">
        <v>620106.67254478624</v>
      </c>
      <c r="AG28">
        <v>27.31679031334151</v>
      </c>
      <c r="AH28">
        <v>291.10287635942461</v>
      </c>
      <c r="AI28">
        <v>145.55143817971231</v>
      </c>
      <c r="AJ28">
        <v>18004.758878285531</v>
      </c>
      <c r="AK28">
        <v>854.70085470085473</v>
      </c>
      <c r="AL28" t="s">
        <v>93</v>
      </c>
      <c r="AM28">
        <v>22560.472917855401</v>
      </c>
      <c r="AN28">
        <v>15456.08538756127</v>
      </c>
      <c r="AO28">
        <v>24743.744490551089</v>
      </c>
      <c r="AP28">
        <v>56876.018038403046</v>
      </c>
      <c r="AQ28">
        <v>32132.273547851972</v>
      </c>
      <c r="AR28">
        <v>2.9034938141203701E-2</v>
      </c>
      <c r="AS28">
        <v>659.10960518271463</v>
      </c>
      <c r="AT28">
        <v>825.88300671755258</v>
      </c>
      <c r="AU28">
        <v>565.80898452086876</v>
      </c>
      <c r="AV28">
        <v>905.8071686579608</v>
      </c>
      <c r="AW28">
        <v>2082.0900766890181</v>
      </c>
      <c r="AX28">
        <v>1176.2829080310571</v>
      </c>
      <c r="AY28">
        <v>5.3282774626938876</v>
      </c>
      <c r="AZ28" t="s">
        <v>122</v>
      </c>
      <c r="BA28" t="str">
        <f>VLOOKUP($AZ28,Sheet1!$A$2:$B$58,2)</f>
        <v>cis,cis-Muconate</v>
      </c>
      <c r="BB28" t="s">
        <v>172</v>
      </c>
      <c r="BC28">
        <v>140.09155999999999</v>
      </c>
      <c r="BD28">
        <v>3.333333333333333</v>
      </c>
      <c r="BE28">
        <v>345.4</v>
      </c>
      <c r="BF28" t="s">
        <v>65</v>
      </c>
      <c r="BG28">
        <v>0.29836144677517401</v>
      </c>
      <c r="BH28">
        <v>0.28778067885117398</v>
      </c>
      <c r="BI28">
        <v>0.91518804783554697</v>
      </c>
      <c r="BJ28">
        <v>80</v>
      </c>
      <c r="BK28">
        <v>2843.8009019201531</v>
      </c>
      <c r="BL28">
        <v>1606.6136773925989</v>
      </c>
      <c r="BM28">
        <v>6.9792104622104407</v>
      </c>
      <c r="BN28">
        <v>1186.4657785757749</v>
      </c>
      <c r="BO28">
        <v>1657.335123344378</v>
      </c>
    </row>
    <row r="29" spans="1:67" x14ac:dyDescent="0.25">
      <c r="A29" s="1">
        <v>27</v>
      </c>
      <c r="B29" t="s">
        <v>65</v>
      </c>
      <c r="C29" t="s">
        <v>80</v>
      </c>
      <c r="D29">
        <v>2</v>
      </c>
      <c r="E29">
        <v>4</v>
      </c>
      <c r="F29">
        <v>1</v>
      </c>
      <c r="G29">
        <v>44.051760000000002</v>
      </c>
      <c r="H29">
        <v>10</v>
      </c>
      <c r="I29" t="s">
        <v>89</v>
      </c>
      <c r="J29">
        <v>2</v>
      </c>
      <c r="K29">
        <v>20</v>
      </c>
      <c r="L29">
        <v>60</v>
      </c>
      <c r="N29" t="s">
        <v>90</v>
      </c>
      <c r="O29">
        <v>40</v>
      </c>
      <c r="P29">
        <v>0.32</v>
      </c>
      <c r="Q29">
        <v>3.2500000000000001E-2</v>
      </c>
      <c r="R29">
        <v>77.5</v>
      </c>
      <c r="S29">
        <v>170</v>
      </c>
      <c r="T29">
        <v>50</v>
      </c>
      <c r="U29">
        <v>1812.1301775147931</v>
      </c>
      <c r="V29">
        <v>20</v>
      </c>
      <c r="W29">
        <v>0.95</v>
      </c>
      <c r="X29">
        <v>1</v>
      </c>
      <c r="Y29">
        <v>659560.54510571249</v>
      </c>
      <c r="Z29">
        <v>131912109.0211425</v>
      </c>
      <c r="AA29">
        <v>263824218.042285</v>
      </c>
      <c r="AB29">
        <v>263824.21804228501</v>
      </c>
      <c r="AC29">
        <v>0</v>
      </c>
      <c r="AD29">
        <v>1367.172657815875</v>
      </c>
      <c r="AE29">
        <v>492182.15681371512</v>
      </c>
      <c r="AF29">
        <v>295309.29408822907</v>
      </c>
      <c r="AG29">
        <v>13.008894148944091</v>
      </c>
      <c r="AH29">
        <v>138.6299950167782</v>
      </c>
      <c r="AI29">
        <v>69.314997508389112</v>
      </c>
      <c r="AJ29">
        <v>8574.2870863742628</v>
      </c>
      <c r="AK29">
        <v>854.70085470085473</v>
      </c>
      <c r="AL29" t="s">
        <v>93</v>
      </c>
      <c r="AM29">
        <v>10743.824613800311</v>
      </c>
      <c r="AN29">
        <v>7360.5491881535218</v>
      </c>
      <c r="AO29">
        <v>11783.54957642615</v>
      </c>
      <c r="AP29">
        <v>27533.361743028949</v>
      </c>
      <c r="AQ29">
        <v>15749.8121666028</v>
      </c>
      <c r="AR29">
        <v>2.9034938141203701E-2</v>
      </c>
      <c r="AS29">
        <v>659.10960518271463</v>
      </c>
      <c r="AT29">
        <v>825.88300671755212</v>
      </c>
      <c r="AU29">
        <v>565.80898452086853</v>
      </c>
      <c r="AV29">
        <v>905.80716865796035</v>
      </c>
      <c r="AW29">
        <v>2116.5028654848261</v>
      </c>
      <c r="AX29">
        <v>1210.695696826866</v>
      </c>
      <c r="AY29">
        <v>5.3282774626938849</v>
      </c>
      <c r="AZ29" t="s">
        <v>123</v>
      </c>
      <c r="BA29" t="str">
        <f>VLOOKUP($AZ29,Sheet1!$A$2:$B$58,2)</f>
        <v>Citrate</v>
      </c>
      <c r="BB29" t="s">
        <v>173</v>
      </c>
      <c r="BC29">
        <v>189.09639999999999</v>
      </c>
      <c r="BD29">
        <v>2.5</v>
      </c>
      <c r="BF29" t="s">
        <v>65</v>
      </c>
      <c r="BG29">
        <v>-0.35670564102394081</v>
      </c>
      <c r="BH29">
        <v>0.447692307692308</v>
      </c>
      <c r="BI29">
        <v>1.92176212011297</v>
      </c>
      <c r="BJ29">
        <v>80</v>
      </c>
      <c r="BK29">
        <v>1376.668087151447</v>
      </c>
      <c r="BL29">
        <v>787.49060833013993</v>
      </c>
      <c r="BM29">
        <v>3.822455516443398</v>
      </c>
      <c r="BN29">
        <v>649.8174377953776</v>
      </c>
      <c r="BO29">
        <v>726.85064935606988</v>
      </c>
    </row>
    <row r="30" spans="1:67" x14ac:dyDescent="0.25">
      <c r="A30" s="1">
        <v>28</v>
      </c>
      <c r="B30" t="s">
        <v>65</v>
      </c>
      <c r="C30" t="s">
        <v>80</v>
      </c>
      <c r="D30">
        <v>2</v>
      </c>
      <c r="E30">
        <v>4</v>
      </c>
      <c r="F30">
        <v>1</v>
      </c>
      <c r="G30">
        <v>44.051760000000002</v>
      </c>
      <c r="H30">
        <v>10</v>
      </c>
      <c r="I30" t="s">
        <v>89</v>
      </c>
      <c r="J30">
        <v>2</v>
      </c>
      <c r="K30">
        <v>20</v>
      </c>
      <c r="L30">
        <v>60</v>
      </c>
      <c r="N30" t="s">
        <v>90</v>
      </c>
      <c r="O30">
        <v>40</v>
      </c>
      <c r="P30">
        <v>0.32</v>
      </c>
      <c r="Q30">
        <v>3.2500000000000001E-2</v>
      </c>
      <c r="R30">
        <v>77.5</v>
      </c>
      <c r="S30">
        <v>170</v>
      </c>
      <c r="T30">
        <v>50</v>
      </c>
      <c r="U30">
        <v>1812.1301775147931</v>
      </c>
      <c r="V30">
        <v>20</v>
      </c>
      <c r="W30">
        <v>0.95</v>
      </c>
      <c r="X30">
        <v>1</v>
      </c>
      <c r="Y30">
        <v>1766799.1750285069</v>
      </c>
      <c r="Z30">
        <v>353359835.00570148</v>
      </c>
      <c r="AA30">
        <v>706719670.01140296</v>
      </c>
      <c r="AB30">
        <v>706719.67001140292</v>
      </c>
      <c r="AC30">
        <v>0</v>
      </c>
      <c r="AD30">
        <v>3662.3165862103951</v>
      </c>
      <c r="AE30">
        <v>1318433.971035742</v>
      </c>
      <c r="AF30">
        <v>791060.38262144511</v>
      </c>
      <c r="AG30">
        <v>34.847602120748071</v>
      </c>
      <c r="AH30">
        <v>371.35538601781121</v>
      </c>
      <c r="AI30">
        <v>185.67769300890561</v>
      </c>
      <c r="AJ30">
        <v>22968.389275370591</v>
      </c>
      <c r="AK30">
        <v>854.70085470085473</v>
      </c>
      <c r="AL30" t="s">
        <v>93</v>
      </c>
      <c r="AM30">
        <v>28780.042416380369</v>
      </c>
      <c r="AN30">
        <v>19717.086368927739</v>
      </c>
      <c r="AO30">
        <v>31565.207811513948</v>
      </c>
      <c r="AP30">
        <v>72320.218915379563</v>
      </c>
      <c r="AQ30">
        <v>40755.01110386561</v>
      </c>
      <c r="AR30">
        <v>2.9034938141203712E-2</v>
      </c>
      <c r="AS30">
        <v>659.10960518271474</v>
      </c>
      <c r="AT30">
        <v>825.88300671755223</v>
      </c>
      <c r="AU30">
        <v>565.80898452086853</v>
      </c>
      <c r="AV30">
        <v>905.80716865796046</v>
      </c>
      <c r="AW30">
        <v>2075.328416135711</v>
      </c>
      <c r="AX30">
        <v>1169.5212474777511</v>
      </c>
      <c r="AY30">
        <v>5.3282774626938858</v>
      </c>
      <c r="AZ30" t="s">
        <v>124</v>
      </c>
      <c r="BA30" t="str">
        <f>VLOOKUP($AZ30,Sheet1!$A$2:$B$58,2)</f>
        <v>Coumaric Acid</v>
      </c>
      <c r="BB30" t="s">
        <v>174</v>
      </c>
      <c r="BC30">
        <v>163.14818</v>
      </c>
      <c r="BD30">
        <v>4.1111111111111107</v>
      </c>
      <c r="BE30">
        <v>346</v>
      </c>
      <c r="BF30" t="s">
        <v>65</v>
      </c>
      <c r="BG30">
        <v>0.35737245254604988</v>
      </c>
      <c r="BH30">
        <v>0.193708260105448</v>
      </c>
      <c r="BI30">
        <v>0.71740947665134003</v>
      </c>
      <c r="BJ30">
        <v>80</v>
      </c>
      <c r="BK30">
        <v>3616.0109457689769</v>
      </c>
      <c r="BL30">
        <v>2037.75055519328</v>
      </c>
      <c r="BM30">
        <v>8.9265121978992301</v>
      </c>
      <c r="BN30">
        <v>1517.507073642869</v>
      </c>
      <c r="BO30">
        <v>2098.503872126108</v>
      </c>
    </row>
    <row r="31" spans="1:67" x14ac:dyDescent="0.25">
      <c r="A31" s="1">
        <v>29</v>
      </c>
      <c r="B31" t="s">
        <v>65</v>
      </c>
      <c r="C31" t="s">
        <v>80</v>
      </c>
      <c r="D31">
        <v>2</v>
      </c>
      <c r="E31">
        <v>4</v>
      </c>
      <c r="F31">
        <v>1</v>
      </c>
      <c r="G31">
        <v>44.051760000000002</v>
      </c>
      <c r="H31">
        <v>10</v>
      </c>
      <c r="I31" t="s">
        <v>89</v>
      </c>
      <c r="J31">
        <v>2</v>
      </c>
      <c r="K31">
        <v>20</v>
      </c>
      <c r="L31">
        <v>60</v>
      </c>
      <c r="N31" t="s">
        <v>90</v>
      </c>
      <c r="O31">
        <v>40</v>
      </c>
      <c r="P31">
        <v>0.32</v>
      </c>
      <c r="Q31">
        <v>3.2500000000000001E-2</v>
      </c>
      <c r="R31">
        <v>77.5</v>
      </c>
      <c r="S31">
        <v>170</v>
      </c>
      <c r="T31">
        <v>50</v>
      </c>
      <c r="U31">
        <v>1812.1301775147931</v>
      </c>
      <c r="V31">
        <v>20</v>
      </c>
      <c r="W31">
        <v>0.95</v>
      </c>
      <c r="X31">
        <v>1</v>
      </c>
      <c r="Y31">
        <v>1295247.7184350991</v>
      </c>
      <c r="Z31">
        <v>259049543.68701991</v>
      </c>
      <c r="AA31">
        <v>518099087.37403971</v>
      </c>
      <c r="AB31">
        <v>518099.08737403969</v>
      </c>
      <c r="AC31">
        <v>0</v>
      </c>
      <c r="AD31">
        <v>2684.859303491296</v>
      </c>
      <c r="AE31">
        <v>966549.34925686684</v>
      </c>
      <c r="AF31">
        <v>579929.60955412011</v>
      </c>
      <c r="AG31">
        <v>25.5469199769718</v>
      </c>
      <c r="AH31">
        <v>272.24215590908608</v>
      </c>
      <c r="AI31">
        <v>136.1210779545431</v>
      </c>
      <c r="AJ31">
        <v>16838.220339656291</v>
      </c>
      <c r="AK31">
        <v>854.70085470085473</v>
      </c>
      <c r="AL31" t="s">
        <v>93</v>
      </c>
      <c r="AM31">
        <v>21098.767082954171</v>
      </c>
      <c r="AN31">
        <v>14454.67684980631</v>
      </c>
      <c r="AO31">
        <v>23140.583252272321</v>
      </c>
      <c r="AP31">
        <v>53246.365127117628</v>
      </c>
      <c r="AQ31">
        <v>30105.78187484531</v>
      </c>
      <c r="AR31">
        <v>2.9034938141203701E-2</v>
      </c>
      <c r="AS31">
        <v>659.10960518271452</v>
      </c>
      <c r="AT31">
        <v>825.88300671755223</v>
      </c>
      <c r="AU31">
        <v>565.80898452086853</v>
      </c>
      <c r="AV31">
        <v>905.80716865796046</v>
      </c>
      <c r="AW31">
        <v>2084.2577177645799</v>
      </c>
      <c r="AX31">
        <v>1178.45054910662</v>
      </c>
      <c r="AY31">
        <v>5.3282774626938858</v>
      </c>
      <c r="AZ31" t="s">
        <v>125</v>
      </c>
      <c r="BA31" t="str">
        <f>VLOOKUP($AZ31,Sheet1!$A$2:$B$58,2)</f>
        <v>Ethyl Acetate</v>
      </c>
      <c r="BB31" t="s">
        <v>175</v>
      </c>
      <c r="BC31">
        <v>88.103520000000003</v>
      </c>
      <c r="BD31">
        <v>5</v>
      </c>
      <c r="BE31">
        <v>77.099999999999994</v>
      </c>
      <c r="BF31" t="s">
        <v>65</v>
      </c>
      <c r="BG31">
        <v>4.371212080793746E-2</v>
      </c>
      <c r="BH31">
        <v>0.48929577464788698</v>
      </c>
      <c r="BI31">
        <v>0.97859154929577397</v>
      </c>
      <c r="BJ31">
        <v>80</v>
      </c>
      <c r="BK31">
        <v>2662.3182563558812</v>
      </c>
      <c r="BL31">
        <v>1505.2890937422651</v>
      </c>
      <c r="BM31">
        <v>6.762341776919218</v>
      </c>
      <c r="BN31">
        <v>1149.598102076267</v>
      </c>
      <c r="BO31">
        <v>1512.720154279614</v>
      </c>
    </row>
    <row r="32" spans="1:67" x14ac:dyDescent="0.25">
      <c r="A32" s="1">
        <v>30</v>
      </c>
      <c r="B32" t="s">
        <v>65</v>
      </c>
      <c r="C32" t="s">
        <v>80</v>
      </c>
      <c r="D32">
        <v>2</v>
      </c>
      <c r="E32">
        <v>4</v>
      </c>
      <c r="F32">
        <v>1</v>
      </c>
      <c r="G32">
        <v>44.051760000000002</v>
      </c>
      <c r="H32">
        <v>10</v>
      </c>
      <c r="I32" t="s">
        <v>89</v>
      </c>
      <c r="J32">
        <v>2</v>
      </c>
      <c r="K32">
        <v>20</v>
      </c>
      <c r="L32">
        <v>60</v>
      </c>
      <c r="N32" t="s">
        <v>90</v>
      </c>
      <c r="O32">
        <v>40</v>
      </c>
      <c r="P32">
        <v>0.32</v>
      </c>
      <c r="Q32">
        <v>3.2500000000000001E-2</v>
      </c>
      <c r="R32">
        <v>77.5</v>
      </c>
      <c r="S32">
        <v>170</v>
      </c>
      <c r="T32">
        <v>50</v>
      </c>
      <c r="U32">
        <v>1812.1301775147931</v>
      </c>
      <c r="V32">
        <v>20</v>
      </c>
      <c r="W32">
        <v>0.95</v>
      </c>
      <c r="X32">
        <v>1</v>
      </c>
      <c r="Y32">
        <v>2647625.853750743</v>
      </c>
      <c r="Z32">
        <v>529525170.75014871</v>
      </c>
      <c r="AA32">
        <v>1059050341.500297</v>
      </c>
      <c r="AB32">
        <v>1059050.341500297</v>
      </c>
      <c r="AC32">
        <v>0</v>
      </c>
      <c r="AD32">
        <v>5488.1416152542361</v>
      </c>
      <c r="AE32">
        <v>1975730.981491525</v>
      </c>
      <c r="AF32">
        <v>1185438.5888949151</v>
      </c>
      <c r="AG32">
        <v>52.220656212737467</v>
      </c>
      <c r="AH32">
        <v>556.49229117082882</v>
      </c>
      <c r="AI32">
        <v>278.24614558541441</v>
      </c>
      <c r="AJ32">
        <v>34419.136098759671</v>
      </c>
      <c r="AK32">
        <v>1835.336538461539</v>
      </c>
      <c r="AL32" t="s">
        <v>94</v>
      </c>
      <c r="AM32">
        <v>43128.152565739227</v>
      </c>
      <c r="AN32">
        <v>29546.916462742371</v>
      </c>
      <c r="AO32">
        <v>47301.844749520453</v>
      </c>
      <c r="AP32">
        <v>108929.5416657028</v>
      </c>
      <c r="AQ32">
        <v>61627.696916182358</v>
      </c>
      <c r="AR32">
        <v>2.9034938141203712E-2</v>
      </c>
      <c r="AS32">
        <v>659.10960518271474</v>
      </c>
      <c r="AT32">
        <v>825.88300671755212</v>
      </c>
      <c r="AU32">
        <v>565.80898452086853</v>
      </c>
      <c r="AV32">
        <v>905.80716865796046</v>
      </c>
      <c r="AW32">
        <v>2085.9473925785928</v>
      </c>
      <c r="AX32">
        <v>1180.140223920632</v>
      </c>
      <c r="AY32">
        <v>5.328277462693884</v>
      </c>
      <c r="AZ32" t="s">
        <v>126</v>
      </c>
      <c r="BA32" t="str">
        <f>VLOOKUP($AZ32,Sheet1!$A$2:$B$58,2)</f>
        <v>Farnesene</v>
      </c>
      <c r="BB32" t="s">
        <v>176</v>
      </c>
      <c r="BC32">
        <v>204.34866</v>
      </c>
      <c r="BD32">
        <v>5.6</v>
      </c>
      <c r="BE32" t="s">
        <v>198</v>
      </c>
      <c r="BF32" t="s">
        <v>65</v>
      </c>
      <c r="BG32">
        <v>0.943184090407863</v>
      </c>
      <c r="BH32">
        <v>0.103202247191011</v>
      </c>
      <c r="BI32">
        <v>0.47873776036353399</v>
      </c>
      <c r="BJ32">
        <v>80</v>
      </c>
      <c r="BK32">
        <v>5446.47708328514</v>
      </c>
      <c r="BL32">
        <v>3081.384845809117</v>
      </c>
      <c r="BM32">
        <v>12.969123188862859</v>
      </c>
      <c r="BN32">
        <v>2204.7509421066861</v>
      </c>
      <c r="BO32">
        <v>3241.7261411784539</v>
      </c>
    </row>
    <row r="33" spans="1:67" x14ac:dyDescent="0.25">
      <c r="A33" s="1">
        <v>31</v>
      </c>
      <c r="B33" t="s">
        <v>65</v>
      </c>
      <c r="C33" t="s">
        <v>80</v>
      </c>
      <c r="D33">
        <v>2</v>
      </c>
      <c r="E33">
        <v>4</v>
      </c>
      <c r="F33">
        <v>1</v>
      </c>
      <c r="G33">
        <v>44.051760000000002</v>
      </c>
      <c r="H33">
        <v>10</v>
      </c>
      <c r="I33" t="s">
        <v>89</v>
      </c>
      <c r="J33">
        <v>2</v>
      </c>
      <c r="K33">
        <v>20</v>
      </c>
      <c r="L33">
        <v>60</v>
      </c>
      <c r="N33" t="s">
        <v>90</v>
      </c>
      <c r="O33">
        <v>40</v>
      </c>
      <c r="P33">
        <v>0.32</v>
      </c>
      <c r="Q33">
        <v>3.2500000000000001E-2</v>
      </c>
      <c r="R33">
        <v>77.5</v>
      </c>
      <c r="S33">
        <v>170</v>
      </c>
      <c r="T33">
        <v>50</v>
      </c>
      <c r="U33">
        <v>1812.1301775147931</v>
      </c>
      <c r="V33">
        <v>20</v>
      </c>
      <c r="W33">
        <v>0.95</v>
      </c>
      <c r="X33">
        <v>1</v>
      </c>
      <c r="Y33">
        <v>1406356.4842950399</v>
      </c>
      <c r="Z33">
        <v>281271296.85900801</v>
      </c>
      <c r="AA33">
        <v>562542593.71801591</v>
      </c>
      <c r="AB33">
        <v>562542.59371801594</v>
      </c>
      <c r="AC33">
        <v>0</v>
      </c>
      <c r="AD33">
        <v>2915.1715437467069</v>
      </c>
      <c r="AE33">
        <v>1049461.7557488149</v>
      </c>
      <c r="AF33">
        <v>629677.05344928871</v>
      </c>
      <c r="AG33">
        <v>27.73838243605524</v>
      </c>
      <c r="AH33">
        <v>295.5955959712341</v>
      </c>
      <c r="AI33">
        <v>147.79779798561711</v>
      </c>
      <c r="AJ33">
        <v>18282.63429583552</v>
      </c>
      <c r="AK33">
        <v>1835.336538461539</v>
      </c>
      <c r="AL33" t="s">
        <v>94</v>
      </c>
      <c r="AM33">
        <v>22908.65868777064</v>
      </c>
      <c r="AN33">
        <v>15694.62599839591</v>
      </c>
      <c r="AO33">
        <v>25125.625657554901</v>
      </c>
      <c r="AP33">
        <v>58721.255520463623</v>
      </c>
      <c r="AQ33">
        <v>33595.629862908732</v>
      </c>
      <c r="AR33">
        <v>2.9034938141203712E-2</v>
      </c>
      <c r="AS33">
        <v>659.10960518271486</v>
      </c>
      <c r="AT33">
        <v>825.88300671755223</v>
      </c>
      <c r="AU33">
        <v>565.80898452086853</v>
      </c>
      <c r="AV33">
        <v>905.80716865796046</v>
      </c>
      <c r="AW33">
        <v>2116.9675504991178</v>
      </c>
      <c r="AX33">
        <v>1211.1603818411579</v>
      </c>
      <c r="AY33">
        <v>5.3282774626938858</v>
      </c>
      <c r="AZ33" t="s">
        <v>127</v>
      </c>
      <c r="BA33" t="str">
        <f>VLOOKUP($AZ33,Sheet1!$A$2:$B$58,2)</f>
        <v>Gamma Butyrolactone</v>
      </c>
      <c r="BB33" t="s">
        <v>177</v>
      </c>
      <c r="BC33">
        <v>86.08784</v>
      </c>
      <c r="BD33">
        <v>4.5</v>
      </c>
      <c r="BE33">
        <v>204</v>
      </c>
      <c r="BF33" t="s">
        <v>65</v>
      </c>
      <c r="BG33">
        <v>0.17207886479754189</v>
      </c>
      <c r="BH33">
        <v>0.46119047619047698</v>
      </c>
      <c r="BI33">
        <v>0.90127822188738005</v>
      </c>
      <c r="BJ33">
        <v>80</v>
      </c>
      <c r="BK33">
        <v>2936.062776023181</v>
      </c>
      <c r="BL33">
        <v>1679.7814931454359</v>
      </c>
      <c r="BM33">
        <v>7.2178110344833106</v>
      </c>
      <c r="BN33">
        <v>1227.027875862163</v>
      </c>
      <c r="BO33">
        <v>1709.034900161018</v>
      </c>
    </row>
    <row r="34" spans="1:67" x14ac:dyDescent="0.25">
      <c r="A34" s="1">
        <v>32</v>
      </c>
      <c r="B34" t="s">
        <v>65</v>
      </c>
      <c r="C34" t="s">
        <v>80</v>
      </c>
      <c r="D34">
        <v>2</v>
      </c>
      <c r="E34">
        <v>4</v>
      </c>
      <c r="F34">
        <v>1</v>
      </c>
      <c r="G34">
        <v>44.051760000000002</v>
      </c>
      <c r="H34">
        <v>10</v>
      </c>
      <c r="I34" t="s">
        <v>89</v>
      </c>
      <c r="J34">
        <v>2</v>
      </c>
      <c r="K34">
        <v>20</v>
      </c>
      <c r="L34">
        <v>60</v>
      </c>
      <c r="N34" t="s">
        <v>90</v>
      </c>
      <c r="O34">
        <v>40</v>
      </c>
      <c r="P34">
        <v>0.32</v>
      </c>
      <c r="Q34">
        <v>3.2500000000000001E-2</v>
      </c>
      <c r="R34">
        <v>77.5</v>
      </c>
      <c r="S34">
        <v>170</v>
      </c>
      <c r="T34">
        <v>50</v>
      </c>
      <c r="U34">
        <v>1812.1301775147931</v>
      </c>
      <c r="V34">
        <v>20</v>
      </c>
      <c r="W34">
        <v>0.95</v>
      </c>
      <c r="X34">
        <v>1</v>
      </c>
      <c r="Y34">
        <v>825415.7573389262</v>
      </c>
      <c r="Z34">
        <v>165083151.46778521</v>
      </c>
      <c r="AA34">
        <v>330166302.93557048</v>
      </c>
      <c r="AB34">
        <v>330166.30293557048</v>
      </c>
      <c r="AC34">
        <v>0</v>
      </c>
      <c r="AD34">
        <v>1710.9662837447211</v>
      </c>
      <c r="AE34">
        <v>615947.86214809946</v>
      </c>
      <c r="AF34">
        <v>369568.71728885971</v>
      </c>
      <c r="AG34">
        <v>16.280152437516701</v>
      </c>
      <c r="AH34">
        <v>173.4903386440823</v>
      </c>
      <c r="AI34">
        <v>86.74516932204115</v>
      </c>
      <c r="AJ34">
        <v>10730.404845406039</v>
      </c>
      <c r="AK34">
        <v>854.70085470085473</v>
      </c>
      <c r="AL34" t="s">
        <v>93</v>
      </c>
      <c r="AM34">
        <v>13445.501244916381</v>
      </c>
      <c r="AN34">
        <v>9211.4565185162683</v>
      </c>
      <c r="AO34">
        <v>14746.678784747</v>
      </c>
      <c r="AP34">
        <v>34242.06346353954</v>
      </c>
      <c r="AQ34">
        <v>19495.384678792539</v>
      </c>
      <c r="AR34">
        <v>2.9034938141203712E-2</v>
      </c>
      <c r="AS34">
        <v>659.10960518271474</v>
      </c>
      <c r="AT34">
        <v>825.88300671755246</v>
      </c>
      <c r="AU34">
        <v>565.80898452086865</v>
      </c>
      <c r="AV34">
        <v>905.80716865796069</v>
      </c>
      <c r="AW34">
        <v>2103.3011573423992</v>
      </c>
      <c r="AX34">
        <v>1197.4939886844379</v>
      </c>
      <c r="AY34">
        <v>5.3282774626938858</v>
      </c>
      <c r="AZ34" t="s">
        <v>128</v>
      </c>
      <c r="BA34" t="str">
        <f>VLOOKUP($AZ34,Sheet1!$A$2:$B$58,2)</f>
        <v>L-Glutamate</v>
      </c>
      <c r="BB34" t="s">
        <v>178</v>
      </c>
      <c r="BC34">
        <v>146.11892</v>
      </c>
      <c r="BD34">
        <v>3.4</v>
      </c>
      <c r="BE34">
        <v>333.8</v>
      </c>
      <c r="BF34" t="s">
        <v>65</v>
      </c>
      <c r="BG34">
        <v>-0.2047876014392507</v>
      </c>
      <c r="BH34">
        <v>0.46295454545454501</v>
      </c>
      <c r="BI34">
        <v>1.5356121569469401</v>
      </c>
      <c r="BJ34">
        <v>80</v>
      </c>
      <c r="BK34">
        <v>1712.103173176977</v>
      </c>
      <c r="BL34">
        <v>974.76923393962727</v>
      </c>
      <c r="BM34">
        <v>4.5420460675413077</v>
      </c>
      <c r="BN34">
        <v>772.1478314820223</v>
      </c>
      <c r="BO34">
        <v>939.95534169495488</v>
      </c>
    </row>
    <row r="35" spans="1:67" x14ac:dyDescent="0.25">
      <c r="A35" s="1">
        <v>33</v>
      </c>
      <c r="B35" t="s">
        <v>65</v>
      </c>
      <c r="C35" t="s">
        <v>80</v>
      </c>
      <c r="D35">
        <v>2</v>
      </c>
      <c r="E35">
        <v>4</v>
      </c>
      <c r="F35">
        <v>1</v>
      </c>
      <c r="G35">
        <v>44.051760000000002</v>
      </c>
      <c r="H35">
        <v>10</v>
      </c>
      <c r="I35" t="s">
        <v>89</v>
      </c>
      <c r="J35">
        <v>2</v>
      </c>
      <c r="K35">
        <v>20</v>
      </c>
      <c r="L35">
        <v>60</v>
      </c>
      <c r="N35" t="s">
        <v>90</v>
      </c>
      <c r="O35">
        <v>40</v>
      </c>
      <c r="P35">
        <v>0.32</v>
      </c>
      <c r="Q35">
        <v>3.2500000000000001E-2</v>
      </c>
      <c r="R35">
        <v>77.5</v>
      </c>
      <c r="S35">
        <v>170</v>
      </c>
      <c r="T35">
        <v>50</v>
      </c>
      <c r="U35">
        <v>1812.1301775147931</v>
      </c>
      <c r="V35">
        <v>20</v>
      </c>
      <c r="W35">
        <v>0.95</v>
      </c>
      <c r="X35">
        <v>1</v>
      </c>
      <c r="Y35">
        <v>1331734.082076869</v>
      </c>
      <c r="Z35">
        <v>266346816.4153738</v>
      </c>
      <c r="AA35">
        <v>532693632.83074749</v>
      </c>
      <c r="AB35">
        <v>532693.63283074752</v>
      </c>
      <c r="AC35">
        <v>0</v>
      </c>
      <c r="AD35">
        <v>2760.4902051944291</v>
      </c>
      <c r="AE35">
        <v>993776.47386999452</v>
      </c>
      <c r="AF35">
        <v>596265.88432199671</v>
      </c>
      <c r="AG35">
        <v>26.266561632340359</v>
      </c>
      <c r="AH35">
        <v>279.91105673611821</v>
      </c>
      <c r="AI35">
        <v>139.95552836805911</v>
      </c>
      <c r="AJ35">
        <v>17312.5430669993</v>
      </c>
      <c r="AK35">
        <v>854.70085470085473</v>
      </c>
      <c r="AL35" t="s">
        <v>93</v>
      </c>
      <c r="AM35">
        <v>21693.106897049161</v>
      </c>
      <c r="AN35">
        <v>14861.856564049311</v>
      </c>
      <c r="AO35">
        <v>23792.439822570039</v>
      </c>
      <c r="AP35">
        <v>54722.207382798617</v>
      </c>
      <c r="AQ35">
        <v>30929.767560228571</v>
      </c>
      <c r="AR35">
        <v>2.9034938141203701E-2</v>
      </c>
      <c r="AS35">
        <v>659.10960518271463</v>
      </c>
      <c r="AT35">
        <v>825.88300671755246</v>
      </c>
      <c r="AU35">
        <v>565.80898452086853</v>
      </c>
      <c r="AV35">
        <v>905.80716865796069</v>
      </c>
      <c r="AW35">
        <v>2083.3410991799778</v>
      </c>
      <c r="AX35">
        <v>1177.533930522018</v>
      </c>
      <c r="AY35">
        <v>5.3282774626938858</v>
      </c>
      <c r="AZ35" t="s">
        <v>129</v>
      </c>
      <c r="BA35" t="str">
        <f>VLOOKUP($AZ35,Sheet1!$A$2:$B$58,2)</f>
        <v>Glutarate</v>
      </c>
      <c r="BB35" t="s">
        <v>179</v>
      </c>
      <c r="BC35">
        <v>130.09654</v>
      </c>
      <c r="BD35">
        <v>3.6</v>
      </c>
      <c r="BE35">
        <v>200</v>
      </c>
      <c r="BF35" t="s">
        <v>65</v>
      </c>
      <c r="BG35">
        <v>0.40789670438848902</v>
      </c>
      <c r="BH35">
        <v>0.322280701754386</v>
      </c>
      <c r="BI35">
        <v>0.95178045569615299</v>
      </c>
      <c r="BJ35">
        <v>80</v>
      </c>
      <c r="BK35">
        <v>2736.1103691399312</v>
      </c>
      <c r="BL35">
        <v>1546.488378011428</v>
      </c>
      <c r="BM35">
        <v>6.589879714014466</v>
      </c>
      <c r="BN35">
        <v>1120.279551382459</v>
      </c>
      <c r="BO35">
        <v>1615.830817757472</v>
      </c>
    </row>
    <row r="36" spans="1:67" x14ac:dyDescent="0.25">
      <c r="A36" s="1">
        <v>34</v>
      </c>
      <c r="B36" t="s">
        <v>65</v>
      </c>
      <c r="C36" t="s">
        <v>80</v>
      </c>
      <c r="D36">
        <v>2</v>
      </c>
      <c r="E36">
        <v>4</v>
      </c>
      <c r="F36">
        <v>1</v>
      </c>
      <c r="G36">
        <v>44.051760000000002</v>
      </c>
      <c r="H36">
        <v>10</v>
      </c>
      <c r="I36" t="s">
        <v>89</v>
      </c>
      <c r="J36">
        <v>2</v>
      </c>
      <c r="K36">
        <v>20</v>
      </c>
      <c r="L36">
        <v>60</v>
      </c>
      <c r="N36" t="s">
        <v>90</v>
      </c>
      <c r="O36">
        <v>40</v>
      </c>
      <c r="P36">
        <v>0.32</v>
      </c>
      <c r="Q36">
        <v>3.2500000000000001E-2</v>
      </c>
      <c r="R36">
        <v>77.5</v>
      </c>
      <c r="S36">
        <v>170</v>
      </c>
      <c r="T36">
        <v>50</v>
      </c>
      <c r="U36">
        <v>1812.1301775147931</v>
      </c>
      <c r="V36">
        <v>20</v>
      </c>
      <c r="W36">
        <v>0.95</v>
      </c>
      <c r="X36">
        <v>1</v>
      </c>
      <c r="Y36">
        <v>630369.6930045773</v>
      </c>
      <c r="Z36">
        <v>126073938.60091551</v>
      </c>
      <c r="AA36">
        <v>252147877.20183089</v>
      </c>
      <c r="AB36">
        <v>252147.87720183091</v>
      </c>
      <c r="AC36">
        <v>0</v>
      </c>
      <c r="AD36">
        <v>1306.664285768511</v>
      </c>
      <c r="AE36">
        <v>470399.14287666383</v>
      </c>
      <c r="AF36">
        <v>282239.48572599818</v>
      </c>
      <c r="AG36">
        <v>12.433146087725101</v>
      </c>
      <c r="AH36">
        <v>132.49450417921261</v>
      </c>
      <c r="AI36">
        <v>66.24725208960632</v>
      </c>
      <c r="AJ36">
        <v>8194.8060090595045</v>
      </c>
      <c r="AK36">
        <v>854.70085470085473</v>
      </c>
      <c r="AL36" t="s">
        <v>93</v>
      </c>
      <c r="AM36">
        <v>10268.32407388898</v>
      </c>
      <c r="AN36">
        <v>7034.7857622953507</v>
      </c>
      <c r="AO36">
        <v>11262.03285523307</v>
      </c>
      <c r="AP36">
        <v>26352.61669994469</v>
      </c>
      <c r="AQ36">
        <v>15090.58384471162</v>
      </c>
      <c r="AR36">
        <v>2.9034938141203701E-2</v>
      </c>
      <c r="AS36">
        <v>659.10960518271463</v>
      </c>
      <c r="AT36">
        <v>825.88300671755246</v>
      </c>
      <c r="AU36">
        <v>565.80898452086865</v>
      </c>
      <c r="AV36">
        <v>905.80716865796069</v>
      </c>
      <c r="AW36">
        <v>2119.5453277881038</v>
      </c>
      <c r="AX36">
        <v>1213.7381591301439</v>
      </c>
      <c r="AY36">
        <v>5.3282774626938867</v>
      </c>
      <c r="AZ36" t="s">
        <v>130</v>
      </c>
      <c r="BA36" t="str">
        <f>VLOOKUP($AZ36,Sheet1!$A$2:$B$58,2)</f>
        <v>Glycolate</v>
      </c>
      <c r="BB36" t="s">
        <v>180</v>
      </c>
      <c r="BC36">
        <v>75.041920000000005</v>
      </c>
      <c r="BD36">
        <v>2.5</v>
      </c>
      <c r="BE36">
        <v>112</v>
      </c>
      <c r="BF36" t="s">
        <v>65</v>
      </c>
      <c r="BG36">
        <v>-0.17923562093132439</v>
      </c>
      <c r="BH36">
        <v>1.1803703703703701</v>
      </c>
      <c r="BI36">
        <v>2.0107541424838402</v>
      </c>
      <c r="BJ36">
        <v>80</v>
      </c>
      <c r="BK36">
        <v>1317.6308349972339</v>
      </c>
      <c r="BL36">
        <v>754.52919223558069</v>
      </c>
      <c r="BM36">
        <v>3.4915982254116411</v>
      </c>
      <c r="BN36">
        <v>593.57169831997896</v>
      </c>
      <c r="BO36">
        <v>724.0591366772552</v>
      </c>
    </row>
    <row r="37" spans="1:67" x14ac:dyDescent="0.25">
      <c r="A37" s="1">
        <v>35</v>
      </c>
      <c r="B37" t="s">
        <v>65</v>
      </c>
      <c r="C37" t="s">
        <v>80</v>
      </c>
      <c r="D37">
        <v>2</v>
      </c>
      <c r="E37">
        <v>4</v>
      </c>
      <c r="F37">
        <v>1</v>
      </c>
      <c r="G37">
        <v>44.051760000000002</v>
      </c>
      <c r="H37">
        <v>10</v>
      </c>
      <c r="I37" t="s">
        <v>89</v>
      </c>
      <c r="J37">
        <v>2</v>
      </c>
      <c r="K37">
        <v>20</v>
      </c>
      <c r="L37">
        <v>60</v>
      </c>
      <c r="N37" t="s">
        <v>90</v>
      </c>
      <c r="O37">
        <v>40</v>
      </c>
      <c r="P37">
        <v>0.32</v>
      </c>
      <c r="Q37">
        <v>3.2500000000000001E-2</v>
      </c>
      <c r="R37">
        <v>77.5</v>
      </c>
      <c r="S37">
        <v>170</v>
      </c>
      <c r="T37">
        <v>50</v>
      </c>
      <c r="U37">
        <v>1812.1301775147931</v>
      </c>
      <c r="V37">
        <v>20</v>
      </c>
      <c r="W37">
        <v>0.95</v>
      </c>
      <c r="X37">
        <v>1</v>
      </c>
      <c r="Y37">
        <v>2608284.6292028441</v>
      </c>
      <c r="Z37">
        <v>521656925.84056878</v>
      </c>
      <c r="AA37">
        <v>1043313851.681138</v>
      </c>
      <c r="AB37">
        <v>1043313.851681138</v>
      </c>
      <c r="AC37">
        <v>0</v>
      </c>
      <c r="AD37">
        <v>5406.5930039462901</v>
      </c>
      <c r="AE37">
        <v>1946373.4814206639</v>
      </c>
      <c r="AF37">
        <v>1167824.088852399</v>
      </c>
      <c r="AG37">
        <v>51.444706484344543</v>
      </c>
      <c r="AH37">
        <v>548.22334027086993</v>
      </c>
      <c r="AI37">
        <v>274.11167013543502</v>
      </c>
      <c r="AJ37">
        <v>33907.700179636973</v>
      </c>
      <c r="AK37">
        <v>854.70085470085473</v>
      </c>
      <c r="AL37" t="s">
        <v>93</v>
      </c>
      <c r="AM37">
        <v>42487.30887099242</v>
      </c>
      <c r="AN37">
        <v>29107.877134881131</v>
      </c>
      <c r="AO37">
        <v>46598.983923023938</v>
      </c>
      <c r="AP37">
        <v>106357.58704021139</v>
      </c>
      <c r="AQ37">
        <v>59758.603117187427</v>
      </c>
      <c r="AR37">
        <v>2.9034938141203701E-2</v>
      </c>
      <c r="AS37">
        <v>659.10960518271463</v>
      </c>
      <c r="AT37">
        <v>825.88300671755212</v>
      </c>
      <c r="AU37">
        <v>565.80898452086853</v>
      </c>
      <c r="AV37">
        <v>905.80716865796046</v>
      </c>
      <c r="AW37">
        <v>2067.415567286359</v>
      </c>
      <c r="AX37">
        <v>1161.6083986283979</v>
      </c>
      <c r="AY37">
        <v>5.328277462693884</v>
      </c>
      <c r="AZ37" t="s">
        <v>131</v>
      </c>
      <c r="BA37" t="str">
        <f>VLOOKUP($AZ37,Sheet1!$A$2:$B$58,2)</f>
        <v>Heptane</v>
      </c>
      <c r="BB37" t="s">
        <v>181</v>
      </c>
      <c r="BC37">
        <v>100.20034</v>
      </c>
      <c r="BD37">
        <v>6.2857142857142856</v>
      </c>
      <c r="BE37">
        <v>98</v>
      </c>
      <c r="BF37" t="s">
        <v>65</v>
      </c>
      <c r="BG37">
        <v>1.037134586400362</v>
      </c>
      <c r="BH37">
        <v>0.21364532019704399</v>
      </c>
      <c r="BI37">
        <v>0.48595864780777598</v>
      </c>
      <c r="BJ37">
        <v>80</v>
      </c>
      <c r="BK37">
        <v>5317.8793520105701</v>
      </c>
      <c r="BL37">
        <v>2987.930155859372</v>
      </c>
      <c r="BM37">
        <v>12.668448920371381</v>
      </c>
      <c r="BN37">
        <v>2153.6363164631348</v>
      </c>
      <c r="BO37">
        <v>3164.2430355474348</v>
      </c>
    </row>
    <row r="38" spans="1:67" x14ac:dyDescent="0.25">
      <c r="A38" s="1">
        <v>36</v>
      </c>
      <c r="B38" t="s">
        <v>65</v>
      </c>
      <c r="C38" t="s">
        <v>80</v>
      </c>
      <c r="D38">
        <v>2</v>
      </c>
      <c r="E38">
        <v>4</v>
      </c>
      <c r="F38">
        <v>1</v>
      </c>
      <c r="G38">
        <v>44.051760000000002</v>
      </c>
      <c r="H38">
        <v>10</v>
      </c>
      <c r="I38" t="s">
        <v>89</v>
      </c>
      <c r="J38">
        <v>2</v>
      </c>
      <c r="K38">
        <v>20</v>
      </c>
      <c r="L38">
        <v>60</v>
      </c>
      <c r="N38" t="s">
        <v>90</v>
      </c>
      <c r="O38">
        <v>40</v>
      </c>
      <c r="P38">
        <v>0.32</v>
      </c>
      <c r="Q38">
        <v>3.2500000000000001E-2</v>
      </c>
      <c r="R38">
        <v>77.5</v>
      </c>
      <c r="S38">
        <v>170</v>
      </c>
      <c r="T38">
        <v>50</v>
      </c>
      <c r="U38">
        <v>1812.1301775147931</v>
      </c>
      <c r="V38">
        <v>20</v>
      </c>
      <c r="W38">
        <v>0.95</v>
      </c>
      <c r="X38">
        <v>1</v>
      </c>
      <c r="Y38">
        <v>2648500.3884259518</v>
      </c>
      <c r="Z38">
        <v>529700077.68519038</v>
      </c>
      <c r="AA38">
        <v>1059400155.370381</v>
      </c>
      <c r="AB38">
        <v>1059400.155370381</v>
      </c>
      <c r="AC38">
        <v>0</v>
      </c>
      <c r="AD38">
        <v>5489.9543978791662</v>
      </c>
      <c r="AE38">
        <v>1976383.5832364999</v>
      </c>
      <c r="AF38">
        <v>1185830.1499419</v>
      </c>
      <c r="AG38">
        <v>52.23790516600458</v>
      </c>
      <c r="AH38">
        <v>556.67610558872548</v>
      </c>
      <c r="AI38">
        <v>278.33805279436268</v>
      </c>
      <c r="AJ38">
        <v>34430.505049537373</v>
      </c>
      <c r="AK38">
        <v>854.70085470085473</v>
      </c>
      <c r="AL38" t="s">
        <v>93</v>
      </c>
      <c r="AM38">
        <v>43142.398183126221</v>
      </c>
      <c r="AN38">
        <v>29556.67607547449</v>
      </c>
      <c r="AO38">
        <v>47317.468975041673</v>
      </c>
      <c r="AP38">
        <v>107984.2801628389</v>
      </c>
      <c r="AQ38">
        <v>60666.811187797277</v>
      </c>
      <c r="AR38">
        <v>2.9034938141203701E-2</v>
      </c>
      <c r="AS38">
        <v>659.10960518271463</v>
      </c>
      <c r="AT38">
        <v>825.88300671755223</v>
      </c>
      <c r="AU38">
        <v>565.80898452086853</v>
      </c>
      <c r="AV38">
        <v>905.80716865796069</v>
      </c>
      <c r="AW38">
        <v>2067.1632949231089</v>
      </c>
      <c r="AX38">
        <v>1161.356126265149</v>
      </c>
      <c r="AY38">
        <v>5.3282774626938867</v>
      </c>
      <c r="AZ38" t="s">
        <v>132</v>
      </c>
      <c r="BA38" t="str">
        <f>VLOOKUP($AZ38,Sheet1!$A$2:$B$58,2)</f>
        <v>Hexane</v>
      </c>
      <c r="BB38" t="s">
        <v>182</v>
      </c>
      <c r="BC38">
        <v>86.173959999999994</v>
      </c>
      <c r="BD38">
        <v>6.333333333333333</v>
      </c>
      <c r="BE38">
        <v>69</v>
      </c>
      <c r="BF38" t="s">
        <v>65</v>
      </c>
      <c r="BG38">
        <v>1.1108040459053869</v>
      </c>
      <c r="BH38">
        <v>0.24464788732394399</v>
      </c>
      <c r="BI38">
        <v>0.47857968118272698</v>
      </c>
      <c r="BJ38">
        <v>80</v>
      </c>
      <c r="BK38">
        <v>5399.2140081419466</v>
      </c>
      <c r="BL38">
        <v>3033.3405593898642</v>
      </c>
      <c r="BM38">
        <v>12.806098593812751</v>
      </c>
      <c r="BN38">
        <v>2177.0367609481682</v>
      </c>
      <c r="BO38">
        <v>3222.1772471937788</v>
      </c>
    </row>
    <row r="39" spans="1:67" x14ac:dyDescent="0.25">
      <c r="A39" s="1">
        <v>37</v>
      </c>
      <c r="B39" t="s">
        <v>65</v>
      </c>
      <c r="C39" t="s">
        <v>80</v>
      </c>
      <c r="D39">
        <v>2</v>
      </c>
      <c r="E39">
        <v>4</v>
      </c>
      <c r="F39">
        <v>1</v>
      </c>
      <c r="G39">
        <v>44.051760000000002</v>
      </c>
      <c r="H39">
        <v>10</v>
      </c>
      <c r="I39" t="s">
        <v>89</v>
      </c>
      <c r="J39">
        <v>2</v>
      </c>
      <c r="K39">
        <v>20</v>
      </c>
      <c r="L39">
        <v>60</v>
      </c>
      <c r="N39" t="s">
        <v>90</v>
      </c>
      <c r="O39">
        <v>40</v>
      </c>
      <c r="P39">
        <v>0.32</v>
      </c>
      <c r="Q39">
        <v>3.2500000000000001E-2</v>
      </c>
      <c r="R39">
        <v>77.5</v>
      </c>
      <c r="S39">
        <v>170</v>
      </c>
      <c r="T39">
        <v>50</v>
      </c>
      <c r="U39">
        <v>1812.1301775147931</v>
      </c>
      <c r="V39">
        <v>20</v>
      </c>
      <c r="W39">
        <v>0.95</v>
      </c>
      <c r="X39">
        <v>1</v>
      </c>
      <c r="Y39">
        <v>1676266.3600623859</v>
      </c>
      <c r="Z39">
        <v>335253272.01247722</v>
      </c>
      <c r="AA39">
        <v>670506544.02495444</v>
      </c>
      <c r="AB39">
        <v>670506.54402495443</v>
      </c>
      <c r="AC39">
        <v>0</v>
      </c>
      <c r="AD39">
        <v>3474.655286311161</v>
      </c>
      <c r="AE39">
        <v>1250875.9030720179</v>
      </c>
      <c r="AF39">
        <v>750525.54184321081</v>
      </c>
      <c r="AG39">
        <v>33.061971043147082</v>
      </c>
      <c r="AH39">
        <v>352.32671036287701</v>
      </c>
      <c r="AI39">
        <v>176.1633551814385</v>
      </c>
      <c r="AJ39">
        <v>21791.462680811019</v>
      </c>
      <c r="AK39">
        <v>854.70085470085473</v>
      </c>
      <c r="AL39" t="s">
        <v>93</v>
      </c>
      <c r="AM39">
        <v>27305.32005312296</v>
      </c>
      <c r="AN39">
        <v>18706.760262181411</v>
      </c>
      <c r="AO39">
        <v>29947.77038084454</v>
      </c>
      <c r="AP39">
        <v>68658.24385081626</v>
      </c>
      <c r="AQ39">
        <v>38710.473469971723</v>
      </c>
      <c r="AR39">
        <v>2.9034938141203701E-2</v>
      </c>
      <c r="AS39">
        <v>659.10960518271463</v>
      </c>
      <c r="AT39">
        <v>825.88300671755246</v>
      </c>
      <c r="AU39">
        <v>565.80898452086853</v>
      </c>
      <c r="AV39">
        <v>905.80716865796069</v>
      </c>
      <c r="AW39">
        <v>2076.6530755596741</v>
      </c>
      <c r="AX39">
        <v>1170.8459069017131</v>
      </c>
      <c r="AY39">
        <v>5.3282774626938867</v>
      </c>
      <c r="AZ39" t="s">
        <v>133</v>
      </c>
      <c r="BA39" t="str">
        <f>VLOOKUP($AZ39,Sheet1!$A$2:$B$58,2)</f>
        <v>Isobutanol</v>
      </c>
      <c r="BB39" t="s">
        <v>183</v>
      </c>
      <c r="BC39">
        <v>86.130899999999997</v>
      </c>
      <c r="BD39">
        <v>5.6</v>
      </c>
      <c r="BE39">
        <v>108</v>
      </c>
      <c r="BF39" t="s">
        <v>65</v>
      </c>
      <c r="BG39">
        <v>0.59858453739545558</v>
      </c>
      <c r="BH39">
        <v>0.38673684210526299</v>
      </c>
      <c r="BI39">
        <v>0.75615576480222801</v>
      </c>
      <c r="BJ39">
        <v>80</v>
      </c>
      <c r="BK39">
        <v>3432.9121925408131</v>
      </c>
      <c r="BL39">
        <v>1935.523673498586</v>
      </c>
      <c r="BM39">
        <v>8.2095832216764713</v>
      </c>
      <c r="BN39">
        <v>1395.6291476849999</v>
      </c>
      <c r="BO39">
        <v>2037.2830448558129</v>
      </c>
    </row>
    <row r="40" spans="1:67" x14ac:dyDescent="0.25">
      <c r="A40" s="1">
        <v>38</v>
      </c>
      <c r="B40" t="s">
        <v>65</v>
      </c>
      <c r="C40" t="s">
        <v>80</v>
      </c>
      <c r="D40">
        <v>2</v>
      </c>
      <c r="E40">
        <v>4</v>
      </c>
      <c r="F40">
        <v>1</v>
      </c>
      <c r="G40">
        <v>44.051760000000002</v>
      </c>
      <c r="H40">
        <v>10</v>
      </c>
      <c r="I40" t="s">
        <v>89</v>
      </c>
      <c r="J40">
        <v>2</v>
      </c>
      <c r="K40">
        <v>20</v>
      </c>
      <c r="L40">
        <v>60</v>
      </c>
      <c r="N40" t="s">
        <v>90</v>
      </c>
      <c r="O40">
        <v>40</v>
      </c>
      <c r="P40">
        <v>0.32</v>
      </c>
      <c r="Q40">
        <v>3.2500000000000001E-2</v>
      </c>
      <c r="R40">
        <v>77.5</v>
      </c>
      <c r="S40">
        <v>170</v>
      </c>
      <c r="T40">
        <v>50</v>
      </c>
      <c r="U40">
        <v>1812.1301775147931</v>
      </c>
      <c r="V40">
        <v>20</v>
      </c>
      <c r="W40">
        <v>0.95</v>
      </c>
      <c r="X40">
        <v>1</v>
      </c>
      <c r="Y40">
        <v>1395956.1688275391</v>
      </c>
      <c r="Z40">
        <v>279191233.76550782</v>
      </c>
      <c r="AA40">
        <v>558382467.53101552</v>
      </c>
      <c r="AB40">
        <v>558382.46753101551</v>
      </c>
      <c r="AC40">
        <v>0</v>
      </c>
      <c r="AD40">
        <v>2893.613209117173</v>
      </c>
      <c r="AE40">
        <v>1041700.755282182</v>
      </c>
      <c r="AF40">
        <v>625020.45316930942</v>
      </c>
      <c r="AG40">
        <v>27.533250998105661</v>
      </c>
      <c r="AH40">
        <v>293.40960153580062</v>
      </c>
      <c r="AI40">
        <v>146.70480076790031</v>
      </c>
      <c r="AJ40">
        <v>18147.43019475801</v>
      </c>
      <c r="AK40">
        <v>854.70085470085473</v>
      </c>
      <c r="AL40" t="s">
        <v>93</v>
      </c>
      <c r="AM40">
        <v>22739.244119024541</v>
      </c>
      <c r="AN40">
        <v>15578.560787796359</v>
      </c>
      <c r="AO40">
        <v>24939.816130543051</v>
      </c>
      <c r="AP40">
        <v>57319.935956279762</v>
      </c>
      <c r="AQ40">
        <v>32380.11982573671</v>
      </c>
      <c r="AR40">
        <v>2.9034938141203701E-2</v>
      </c>
      <c r="AS40">
        <v>659.10960518271463</v>
      </c>
      <c r="AT40">
        <v>825.88300671755212</v>
      </c>
      <c r="AU40">
        <v>565.80898452086853</v>
      </c>
      <c r="AV40">
        <v>905.80716865796035</v>
      </c>
      <c r="AW40">
        <v>2081.8440931738678</v>
      </c>
      <c r="AX40">
        <v>1176.036924515907</v>
      </c>
      <c r="AY40">
        <v>5.328277462693884</v>
      </c>
      <c r="AZ40" t="s">
        <v>134</v>
      </c>
      <c r="BA40" t="str">
        <f>VLOOKUP($AZ40,Sheet1!$A$2:$B$58,2)</f>
        <v>Isobutyrate</v>
      </c>
      <c r="BB40" t="s">
        <v>170</v>
      </c>
      <c r="BC40">
        <v>87.095680000000002</v>
      </c>
      <c r="BD40">
        <v>4.75</v>
      </c>
      <c r="BE40">
        <v>155</v>
      </c>
      <c r="BF40" t="s">
        <v>65</v>
      </c>
      <c r="BG40">
        <v>0.17934661893875811</v>
      </c>
      <c r="BH40">
        <v>0.45924999999999999</v>
      </c>
      <c r="BI40">
        <v>0.90799303001741605</v>
      </c>
      <c r="BJ40">
        <v>80</v>
      </c>
      <c r="BK40">
        <v>2865.996797813988</v>
      </c>
      <c r="BL40">
        <v>1619.005991286836</v>
      </c>
      <c r="BM40">
        <v>7.1558934194562553</v>
      </c>
      <c r="BN40">
        <v>1216.501881307564</v>
      </c>
      <c r="BO40">
        <v>1649.494916506424</v>
      </c>
    </row>
    <row r="41" spans="1:67" x14ac:dyDescent="0.25">
      <c r="A41" s="1">
        <v>39</v>
      </c>
      <c r="B41" t="s">
        <v>65</v>
      </c>
      <c r="C41" t="s">
        <v>80</v>
      </c>
      <c r="D41">
        <v>2</v>
      </c>
      <c r="E41">
        <v>4</v>
      </c>
      <c r="F41">
        <v>1</v>
      </c>
      <c r="G41">
        <v>44.051760000000002</v>
      </c>
      <c r="H41">
        <v>10</v>
      </c>
      <c r="I41" t="s">
        <v>89</v>
      </c>
      <c r="J41">
        <v>2</v>
      </c>
      <c r="K41">
        <v>20</v>
      </c>
      <c r="L41">
        <v>60</v>
      </c>
      <c r="N41" t="s">
        <v>90</v>
      </c>
      <c r="O41">
        <v>40</v>
      </c>
      <c r="P41">
        <v>0.32</v>
      </c>
      <c r="Q41">
        <v>3.2500000000000001E-2</v>
      </c>
      <c r="R41">
        <v>77.5</v>
      </c>
      <c r="S41">
        <v>170</v>
      </c>
      <c r="T41">
        <v>50</v>
      </c>
      <c r="U41">
        <v>1812.1301775147931</v>
      </c>
      <c r="V41">
        <v>20</v>
      </c>
      <c r="W41">
        <v>0.95</v>
      </c>
      <c r="X41">
        <v>1</v>
      </c>
      <c r="Y41">
        <v>2655063.0050253249</v>
      </c>
      <c r="Z41">
        <v>531012601.00506502</v>
      </c>
      <c r="AA41">
        <v>1062025202.01013</v>
      </c>
      <c r="AB41">
        <v>1062025.20201013</v>
      </c>
      <c r="AC41">
        <v>66773.504273504266</v>
      </c>
      <c r="AD41">
        <v>5503.5577433869748</v>
      </c>
      <c r="AE41">
        <v>1981280.7876193109</v>
      </c>
      <c r="AF41">
        <v>1188768.472571586</v>
      </c>
      <c r="AG41">
        <v>52.367343449290111</v>
      </c>
      <c r="AH41">
        <v>558.05547176400557</v>
      </c>
      <c r="AI41">
        <v>279.02773588200279</v>
      </c>
      <c r="AJ41">
        <v>34515.819065329233</v>
      </c>
      <c r="AK41">
        <v>2170.1388888888891</v>
      </c>
      <c r="AL41" t="s">
        <v>95</v>
      </c>
      <c r="AM41">
        <v>43249.29906171043</v>
      </c>
      <c r="AN41">
        <v>29629.9134190984</v>
      </c>
      <c r="AO41">
        <v>47434.715099940477</v>
      </c>
      <c r="AP41">
        <v>109565.170435027</v>
      </c>
      <c r="AQ41">
        <v>62130.455335086481</v>
      </c>
      <c r="AR41">
        <v>2.9034938141203701E-2</v>
      </c>
      <c r="AS41">
        <v>659.10960518271463</v>
      </c>
      <c r="AT41">
        <v>825.88300671755223</v>
      </c>
      <c r="AU41">
        <v>565.80898452086853</v>
      </c>
      <c r="AV41">
        <v>905.80716865796069</v>
      </c>
      <c r="AW41">
        <v>2092.2422872400298</v>
      </c>
      <c r="AX41">
        <v>1186.4351185820699</v>
      </c>
      <c r="AY41">
        <v>5.3282774626938858</v>
      </c>
      <c r="AZ41" t="s">
        <v>135</v>
      </c>
      <c r="BA41" t="str">
        <f>VLOOKUP($AZ41,Sheet1!$A$2:$B$58,2)</f>
        <v>Isoprene</v>
      </c>
      <c r="BB41" t="s">
        <v>184</v>
      </c>
      <c r="BC41">
        <v>68.116219999999998</v>
      </c>
      <c r="BD41">
        <v>5.6</v>
      </c>
      <c r="BE41">
        <v>34.07</v>
      </c>
      <c r="BF41" t="s">
        <v>65</v>
      </c>
      <c r="BG41">
        <v>0.95490794485668606</v>
      </c>
      <c r="BH41">
        <v>0.308739495798319</v>
      </c>
      <c r="BI41">
        <v>0.47739675823366401</v>
      </c>
      <c r="BJ41">
        <v>80</v>
      </c>
      <c r="BK41">
        <v>5478.258521751347</v>
      </c>
      <c r="BL41">
        <v>3106.522766754324</v>
      </c>
      <c r="BM41">
        <v>12.996478849243459</v>
      </c>
      <c r="BN41">
        <v>2209.4014043713869</v>
      </c>
      <c r="BO41">
        <v>3268.8571173799601</v>
      </c>
    </row>
    <row r="42" spans="1:67" x14ac:dyDescent="0.25">
      <c r="A42" s="1">
        <v>40</v>
      </c>
      <c r="B42" t="s">
        <v>65</v>
      </c>
      <c r="C42" t="s">
        <v>80</v>
      </c>
      <c r="D42">
        <v>2</v>
      </c>
      <c r="E42">
        <v>4</v>
      </c>
      <c r="F42">
        <v>1</v>
      </c>
      <c r="G42">
        <v>44.051760000000002</v>
      </c>
      <c r="H42">
        <v>10</v>
      </c>
      <c r="I42" t="s">
        <v>89</v>
      </c>
      <c r="J42">
        <v>2</v>
      </c>
      <c r="K42">
        <v>20</v>
      </c>
      <c r="L42">
        <v>60</v>
      </c>
      <c r="N42" t="s">
        <v>90</v>
      </c>
      <c r="O42">
        <v>40</v>
      </c>
      <c r="P42">
        <v>0.32</v>
      </c>
      <c r="Q42">
        <v>3.2500000000000001E-2</v>
      </c>
      <c r="R42">
        <v>77.5</v>
      </c>
      <c r="S42">
        <v>170</v>
      </c>
      <c r="T42">
        <v>50</v>
      </c>
      <c r="U42">
        <v>1812.1301775147931</v>
      </c>
      <c r="V42">
        <v>20</v>
      </c>
      <c r="W42">
        <v>0.95</v>
      </c>
      <c r="X42">
        <v>1</v>
      </c>
      <c r="Y42">
        <v>1749270.3565811</v>
      </c>
      <c r="Z42">
        <v>349854071.31621993</v>
      </c>
      <c r="AA42">
        <v>699708142.63243985</v>
      </c>
      <c r="AB42">
        <v>699708.14263243985</v>
      </c>
      <c r="AC42">
        <v>0</v>
      </c>
      <c r="AD42">
        <v>3625.981906273963</v>
      </c>
      <c r="AE42">
        <v>1305353.4862586269</v>
      </c>
      <c r="AF42">
        <v>783212.09175517608</v>
      </c>
      <c r="AG42">
        <v>34.501871095096988</v>
      </c>
      <c r="AH42">
        <v>367.67108435354987</v>
      </c>
      <c r="AI42">
        <v>183.83554217677491</v>
      </c>
      <c r="AJ42">
        <v>22740.5146355543</v>
      </c>
      <c r="AK42">
        <v>854.70085470085473</v>
      </c>
      <c r="AL42" t="s">
        <v>93</v>
      </c>
      <c r="AM42">
        <v>28494.509037400119</v>
      </c>
      <c r="AN42">
        <v>19521.468648386741</v>
      </c>
      <c r="AO42">
        <v>31252.04217005174</v>
      </c>
      <c r="AP42">
        <v>71611.193176042012</v>
      </c>
      <c r="AQ42">
        <v>40359.151005990272</v>
      </c>
      <c r="AR42">
        <v>2.9034938141203701E-2</v>
      </c>
      <c r="AS42">
        <v>659.10960518271463</v>
      </c>
      <c r="AT42">
        <v>825.88300671755223</v>
      </c>
      <c r="AU42">
        <v>565.80898452086853</v>
      </c>
      <c r="AV42">
        <v>905.80716865796069</v>
      </c>
      <c r="AW42">
        <v>2075.5741907058068</v>
      </c>
      <c r="AX42">
        <v>1169.767022047846</v>
      </c>
      <c r="AY42">
        <v>5.3282774626938858</v>
      </c>
      <c r="AZ42" t="s">
        <v>136</v>
      </c>
      <c r="BA42" t="str">
        <f>VLOOKUP($AZ42,Sheet1!$A$2:$B$58,2)</f>
        <v>Isopropanol</v>
      </c>
      <c r="BB42" t="s">
        <v>156</v>
      </c>
      <c r="BC42">
        <v>60.093820000000001</v>
      </c>
      <c r="BD42">
        <v>6</v>
      </c>
      <c r="BE42">
        <v>82.5</v>
      </c>
      <c r="BF42" t="s">
        <v>65</v>
      </c>
      <c r="BG42">
        <v>0.56046860921144059</v>
      </c>
      <c r="BH42">
        <v>0.53116666666666601</v>
      </c>
      <c r="BI42">
        <v>0.72459838282662603</v>
      </c>
      <c r="BJ42">
        <v>80</v>
      </c>
      <c r="BK42">
        <v>3580.5596588021008</v>
      </c>
      <c r="BL42">
        <v>2017.957550299514</v>
      </c>
      <c r="BM42">
        <v>8.6313084996273091</v>
      </c>
      <c r="BN42">
        <v>1467.322444936643</v>
      </c>
      <c r="BO42">
        <v>2113.2372138654591</v>
      </c>
    </row>
    <row r="43" spans="1:67" x14ac:dyDescent="0.25">
      <c r="A43" s="1">
        <v>41</v>
      </c>
      <c r="B43" t="s">
        <v>65</v>
      </c>
      <c r="C43" t="s">
        <v>80</v>
      </c>
      <c r="D43">
        <v>2</v>
      </c>
      <c r="E43">
        <v>4</v>
      </c>
      <c r="F43">
        <v>1</v>
      </c>
      <c r="G43">
        <v>44.051760000000002</v>
      </c>
      <c r="H43">
        <v>10</v>
      </c>
      <c r="I43" t="s">
        <v>89</v>
      </c>
      <c r="J43">
        <v>2</v>
      </c>
      <c r="K43">
        <v>20</v>
      </c>
      <c r="L43">
        <v>60</v>
      </c>
      <c r="N43" t="s">
        <v>90</v>
      </c>
      <c r="O43">
        <v>40</v>
      </c>
      <c r="P43">
        <v>0.32</v>
      </c>
      <c r="Q43">
        <v>3.2500000000000001E-2</v>
      </c>
      <c r="R43">
        <v>77.5</v>
      </c>
      <c r="S43">
        <v>170</v>
      </c>
      <c r="T43">
        <v>50</v>
      </c>
      <c r="U43">
        <v>1812.1301775147931</v>
      </c>
      <c r="V43">
        <v>20</v>
      </c>
      <c r="W43">
        <v>0.95</v>
      </c>
      <c r="X43">
        <v>1</v>
      </c>
      <c r="Y43">
        <v>941661.8455977377</v>
      </c>
      <c r="Z43">
        <v>188332369.11954749</v>
      </c>
      <c r="AA43">
        <v>376664738.23909497</v>
      </c>
      <c r="AB43">
        <v>376664.73823909502</v>
      </c>
      <c r="AC43">
        <v>0</v>
      </c>
      <c r="AD43">
        <v>1951.927442845021</v>
      </c>
      <c r="AE43">
        <v>702693.87942420738</v>
      </c>
      <c r="AF43">
        <v>421616.32765452442</v>
      </c>
      <c r="AG43">
        <v>18.572941277918471</v>
      </c>
      <c r="AH43">
        <v>197.92356885413989</v>
      </c>
      <c r="AI43">
        <v>98.961784427069972</v>
      </c>
      <c r="AJ43">
        <v>12241.60399277059</v>
      </c>
      <c r="AK43">
        <v>854.70085470085473</v>
      </c>
      <c r="AL43" t="s">
        <v>93</v>
      </c>
      <c r="AM43">
        <v>15339.07658619585</v>
      </c>
      <c r="AN43">
        <v>10508.73704402478</v>
      </c>
      <c r="AO43">
        <v>16823.5033526019</v>
      </c>
      <c r="AP43">
        <v>38944.118477692064</v>
      </c>
      <c r="AQ43">
        <v>22120.615125090171</v>
      </c>
      <c r="AR43">
        <v>2.9034938141203701E-2</v>
      </c>
      <c r="AS43">
        <v>659.10960518271463</v>
      </c>
      <c r="AT43">
        <v>825.88300671755223</v>
      </c>
      <c r="AU43">
        <v>565.80898452086876</v>
      </c>
      <c r="AV43">
        <v>905.80716865796069</v>
      </c>
      <c r="AW43">
        <v>2096.820201762715</v>
      </c>
      <c r="AX43">
        <v>1191.013033104754</v>
      </c>
      <c r="AY43">
        <v>5.3282774626938849</v>
      </c>
      <c r="AZ43" t="s">
        <v>137</v>
      </c>
      <c r="BA43" t="str">
        <f>VLOOKUP($AZ43,Sheet1!$A$2:$B$58,2)</f>
        <v>Itaconate</v>
      </c>
      <c r="BB43" t="s">
        <v>185</v>
      </c>
      <c r="BC43">
        <v>128.08086</v>
      </c>
      <c r="BD43">
        <v>3.2</v>
      </c>
      <c r="BE43">
        <v>381</v>
      </c>
      <c r="BF43" t="s">
        <v>65</v>
      </c>
      <c r="BG43">
        <v>-0.23362853084913371</v>
      </c>
      <c r="BH43">
        <v>0.46295454545454501</v>
      </c>
      <c r="BI43">
        <v>1.3460442062411899</v>
      </c>
      <c r="BJ43">
        <v>80</v>
      </c>
      <c r="BK43">
        <v>1947.205923884603</v>
      </c>
      <c r="BL43">
        <v>1106.0307562545081</v>
      </c>
      <c r="BM43">
        <v>5.1817177522026308</v>
      </c>
      <c r="BN43">
        <v>880.89201787444722</v>
      </c>
      <c r="BO43">
        <v>1066.313906010156</v>
      </c>
    </row>
    <row r="44" spans="1:67" x14ac:dyDescent="0.25">
      <c r="A44" s="1">
        <v>42</v>
      </c>
      <c r="B44" t="s">
        <v>65</v>
      </c>
      <c r="C44" t="s">
        <v>80</v>
      </c>
      <c r="D44">
        <v>2</v>
      </c>
      <c r="E44">
        <v>4</v>
      </c>
      <c r="F44">
        <v>1</v>
      </c>
      <c r="G44">
        <v>44.051760000000002</v>
      </c>
      <c r="H44">
        <v>10</v>
      </c>
      <c r="I44" t="s">
        <v>89</v>
      </c>
      <c r="J44">
        <v>2</v>
      </c>
      <c r="K44">
        <v>20</v>
      </c>
      <c r="L44">
        <v>60</v>
      </c>
      <c r="N44" t="s">
        <v>90</v>
      </c>
      <c r="O44">
        <v>40</v>
      </c>
      <c r="P44">
        <v>0.32</v>
      </c>
      <c r="Q44">
        <v>3.2500000000000001E-2</v>
      </c>
      <c r="R44">
        <v>77.5</v>
      </c>
      <c r="S44">
        <v>170</v>
      </c>
      <c r="T44">
        <v>50</v>
      </c>
      <c r="U44">
        <v>1812.1301775147931</v>
      </c>
      <c r="V44">
        <v>20</v>
      </c>
      <c r="W44">
        <v>0.95</v>
      </c>
      <c r="X44">
        <v>1</v>
      </c>
      <c r="Y44">
        <v>2643907.278113455</v>
      </c>
      <c r="Z44">
        <v>528781455.62269098</v>
      </c>
      <c r="AA44">
        <v>1057562911.245382</v>
      </c>
      <c r="AB44">
        <v>1057562.9112453819</v>
      </c>
      <c r="AC44">
        <v>0</v>
      </c>
      <c r="AD44">
        <v>5480.4335511878726</v>
      </c>
      <c r="AE44">
        <v>1972956.078427634</v>
      </c>
      <c r="AF44">
        <v>1183773.6470565801</v>
      </c>
      <c r="AG44">
        <v>52.147312594461177</v>
      </c>
      <c r="AH44">
        <v>555.71070087424107</v>
      </c>
      <c r="AI44">
        <v>277.85535043712048</v>
      </c>
      <c r="AJ44">
        <v>34370.794615474922</v>
      </c>
      <c r="AK44">
        <v>854.70085470085473</v>
      </c>
      <c r="AL44" t="s">
        <v>93</v>
      </c>
      <c r="AM44">
        <v>43067.579317753683</v>
      </c>
      <c r="AN44">
        <v>29505.417984564388</v>
      </c>
      <c r="AO44">
        <v>47235.409574310492</v>
      </c>
      <c r="AP44">
        <v>107798.4927724939</v>
      </c>
      <c r="AQ44">
        <v>60563.083198183369</v>
      </c>
      <c r="AR44">
        <v>2.9034938141203712E-2</v>
      </c>
      <c r="AS44">
        <v>659.10960518271486</v>
      </c>
      <c r="AT44">
        <v>825.88300671755223</v>
      </c>
      <c r="AU44">
        <v>565.80898452086876</v>
      </c>
      <c r="AV44">
        <v>905.80716865796069</v>
      </c>
      <c r="AW44">
        <v>2067.1917191748762</v>
      </c>
      <c r="AX44">
        <v>1161.3845505169149</v>
      </c>
      <c r="AY44">
        <v>5.3282774626938858</v>
      </c>
      <c r="AZ44" t="s">
        <v>138</v>
      </c>
      <c r="BA44" t="str">
        <f>VLOOKUP($AZ44,Sheet1!$A$2:$B$58,2)</f>
        <v>Limonene</v>
      </c>
      <c r="BB44" t="s">
        <v>186</v>
      </c>
      <c r="BC44">
        <v>136.23244</v>
      </c>
      <c r="BD44">
        <v>5.6</v>
      </c>
      <c r="BE44">
        <v>176</v>
      </c>
      <c r="BF44" t="s">
        <v>65</v>
      </c>
      <c r="BG44">
        <v>0.9373221631834513</v>
      </c>
      <c r="BH44">
        <v>0.15502109704641301</v>
      </c>
      <c r="BI44">
        <v>0.47941109054688602</v>
      </c>
      <c r="BJ44">
        <v>80</v>
      </c>
      <c r="BK44">
        <v>5389.9246386246932</v>
      </c>
      <c r="BL44">
        <v>3028.1541599091679</v>
      </c>
      <c r="BM44">
        <v>12.955445358672581</v>
      </c>
      <c r="BN44">
        <v>2202.425710974338</v>
      </c>
      <c r="BO44">
        <v>3187.4989276503552</v>
      </c>
    </row>
    <row r="45" spans="1:67" x14ac:dyDescent="0.25">
      <c r="A45" s="1">
        <v>43</v>
      </c>
      <c r="B45" t="s">
        <v>65</v>
      </c>
      <c r="C45" t="s">
        <v>80</v>
      </c>
      <c r="D45">
        <v>2</v>
      </c>
      <c r="E45">
        <v>4</v>
      </c>
      <c r="F45">
        <v>1</v>
      </c>
      <c r="G45">
        <v>44.051760000000002</v>
      </c>
      <c r="H45">
        <v>10</v>
      </c>
      <c r="I45" t="s">
        <v>89</v>
      </c>
      <c r="J45">
        <v>2</v>
      </c>
      <c r="K45">
        <v>20</v>
      </c>
      <c r="L45">
        <v>60</v>
      </c>
      <c r="N45" t="s">
        <v>90</v>
      </c>
      <c r="O45">
        <v>40</v>
      </c>
      <c r="P45">
        <v>0.32</v>
      </c>
      <c r="Q45">
        <v>3.2500000000000001E-2</v>
      </c>
      <c r="R45">
        <v>77.5</v>
      </c>
      <c r="S45">
        <v>170</v>
      </c>
      <c r="T45">
        <v>50</v>
      </c>
      <c r="U45">
        <v>1812.1301775147931</v>
      </c>
      <c r="V45">
        <v>20</v>
      </c>
      <c r="W45">
        <v>0.95</v>
      </c>
      <c r="X45">
        <v>1</v>
      </c>
      <c r="Y45">
        <v>1342251.861044687</v>
      </c>
      <c r="Z45">
        <v>268450372.20893729</v>
      </c>
      <c r="AA45">
        <v>536900744.41787469</v>
      </c>
      <c r="AB45">
        <v>536900.74441787472</v>
      </c>
      <c r="AC45">
        <v>0</v>
      </c>
      <c r="AD45">
        <v>2782.2920245004138</v>
      </c>
      <c r="AE45">
        <v>1001625.128820149</v>
      </c>
      <c r="AF45">
        <v>600975.07729208947</v>
      </c>
      <c r="AG45">
        <v>26.47400987085258</v>
      </c>
      <c r="AH45">
        <v>282.12174028399829</v>
      </c>
      <c r="AI45">
        <v>141.0608701419992</v>
      </c>
      <c r="AJ45">
        <v>17449.274193580932</v>
      </c>
      <c r="AK45">
        <v>854.70085470085473</v>
      </c>
      <c r="AL45" t="s">
        <v>93</v>
      </c>
      <c r="AM45">
        <v>21864.434872009871</v>
      </c>
      <c r="AN45">
        <v>14979.232641222539</v>
      </c>
      <c r="AO45">
        <v>23980.34792413986</v>
      </c>
      <c r="AP45">
        <v>55147.642561514192</v>
      </c>
      <c r="AQ45">
        <v>31167.294637374329</v>
      </c>
      <c r="AR45">
        <v>2.9034938141203701E-2</v>
      </c>
      <c r="AS45">
        <v>659.10960518271452</v>
      </c>
      <c r="AT45">
        <v>825.88300671755178</v>
      </c>
      <c r="AU45">
        <v>565.80898452086842</v>
      </c>
      <c r="AV45">
        <v>905.80716865796012</v>
      </c>
      <c r="AW45">
        <v>2083.0861222209778</v>
      </c>
      <c r="AX45">
        <v>1177.2789535630179</v>
      </c>
      <c r="AY45">
        <v>5.3282774626938831</v>
      </c>
      <c r="AZ45" t="s">
        <v>139</v>
      </c>
      <c r="BA45" t="str">
        <f>VLOOKUP($AZ45,Sheet1!$A$2:$B$58,2)</f>
        <v>L-Lysine</v>
      </c>
      <c r="BB45" t="s">
        <v>187</v>
      </c>
      <c r="BC45">
        <v>147.19319999999999</v>
      </c>
      <c r="BD45">
        <v>4.833333333333333</v>
      </c>
      <c r="BF45" t="s">
        <v>65</v>
      </c>
      <c r="BG45">
        <v>0.32194430900870019</v>
      </c>
      <c r="BH45">
        <v>0.28261538461538499</v>
      </c>
      <c r="BI45">
        <v>0.94432237964542598</v>
      </c>
      <c r="BJ45">
        <v>80</v>
      </c>
      <c r="BK45">
        <v>2757.3821280757088</v>
      </c>
      <c r="BL45">
        <v>1558.3647318687169</v>
      </c>
      <c r="BM45">
        <v>6.7310991980912576</v>
      </c>
      <c r="BN45">
        <v>1144.286863675514</v>
      </c>
      <c r="BO45">
        <v>1613.095264400195</v>
      </c>
    </row>
    <row r="46" spans="1:67" x14ac:dyDescent="0.25">
      <c r="A46" s="1">
        <v>44</v>
      </c>
      <c r="B46" t="s">
        <v>65</v>
      </c>
      <c r="C46" t="s">
        <v>80</v>
      </c>
      <c r="D46">
        <v>2</v>
      </c>
      <c r="E46">
        <v>4</v>
      </c>
      <c r="F46">
        <v>1</v>
      </c>
      <c r="G46">
        <v>44.051760000000002</v>
      </c>
      <c r="H46">
        <v>10</v>
      </c>
      <c r="I46" t="s">
        <v>89</v>
      </c>
      <c r="J46">
        <v>2</v>
      </c>
      <c r="K46">
        <v>20</v>
      </c>
      <c r="L46">
        <v>60</v>
      </c>
      <c r="N46" t="s">
        <v>90</v>
      </c>
      <c r="O46">
        <v>40</v>
      </c>
      <c r="P46">
        <v>0.32</v>
      </c>
      <c r="Q46">
        <v>3.2500000000000001E-2</v>
      </c>
      <c r="R46">
        <v>77.5</v>
      </c>
      <c r="S46">
        <v>170</v>
      </c>
      <c r="T46">
        <v>50</v>
      </c>
      <c r="U46">
        <v>1812.1301775147931</v>
      </c>
      <c r="V46">
        <v>20</v>
      </c>
      <c r="W46">
        <v>0.95</v>
      </c>
      <c r="X46">
        <v>1</v>
      </c>
      <c r="Y46">
        <v>643408.52471361414</v>
      </c>
      <c r="Z46">
        <v>128681704.9427228</v>
      </c>
      <c r="AA46">
        <v>257363409.88544571</v>
      </c>
      <c r="AB46">
        <v>257363.4098854457</v>
      </c>
      <c r="AC46">
        <v>0</v>
      </c>
      <c r="AD46">
        <v>1333.6918791179589</v>
      </c>
      <c r="AE46">
        <v>480129.07648246532</v>
      </c>
      <c r="AF46">
        <v>288077.44588947919</v>
      </c>
      <c r="AG46">
        <v>12.69031850773632</v>
      </c>
      <c r="AH46">
        <v>135.23507619835709</v>
      </c>
      <c r="AI46">
        <v>67.617538099178546</v>
      </c>
      <c r="AJ46">
        <v>8364.3108212769857</v>
      </c>
      <c r="AK46">
        <v>854.70085470085473</v>
      </c>
      <c r="AL46" t="s">
        <v>93</v>
      </c>
      <c r="AM46">
        <v>10480.718405372671</v>
      </c>
      <c r="AN46">
        <v>7180.2962281086729</v>
      </c>
      <c r="AO46">
        <v>11494.98147686035</v>
      </c>
      <c r="AP46">
        <v>26880.02630945919</v>
      </c>
      <c r="AQ46">
        <v>15385.04483259884</v>
      </c>
      <c r="AR46">
        <v>2.9034938141203701E-2</v>
      </c>
      <c r="AS46">
        <v>659.10960518271463</v>
      </c>
      <c r="AT46">
        <v>825.88300671755212</v>
      </c>
      <c r="AU46">
        <v>565.80898452086842</v>
      </c>
      <c r="AV46">
        <v>905.80716865796046</v>
      </c>
      <c r="AW46">
        <v>2118.1522191954818</v>
      </c>
      <c r="AX46">
        <v>1212.345050537521</v>
      </c>
      <c r="AY46">
        <v>5.3282774626938849</v>
      </c>
      <c r="AZ46" t="s">
        <v>140</v>
      </c>
      <c r="BA46" t="str">
        <f>VLOOKUP($AZ46,Sheet1!$A$2:$B$58,2)</f>
        <v>L-Malate</v>
      </c>
      <c r="BB46" t="s">
        <v>188</v>
      </c>
      <c r="BC46">
        <v>132.06916000000001</v>
      </c>
      <c r="BD46">
        <v>2.5</v>
      </c>
      <c r="BF46" t="s">
        <v>65</v>
      </c>
      <c r="BG46">
        <v>-0.31867491342870968</v>
      </c>
      <c r="BH46">
        <v>0.65709677419354795</v>
      </c>
      <c r="BI46">
        <v>1.97000571614963</v>
      </c>
      <c r="BJ46">
        <v>80</v>
      </c>
      <c r="BK46">
        <v>1344.00131547296</v>
      </c>
      <c r="BL46">
        <v>769.25224162994164</v>
      </c>
      <c r="BM46">
        <v>3.6995518183876368</v>
      </c>
      <c r="BN46">
        <v>628.92380912589829</v>
      </c>
      <c r="BO46">
        <v>715.07750634706122</v>
      </c>
    </row>
    <row r="47" spans="1:67" x14ac:dyDescent="0.25">
      <c r="A47" s="1">
        <v>45</v>
      </c>
      <c r="B47" t="s">
        <v>65</v>
      </c>
      <c r="C47" t="s">
        <v>80</v>
      </c>
      <c r="D47">
        <v>2</v>
      </c>
      <c r="E47">
        <v>4</v>
      </c>
      <c r="F47">
        <v>1</v>
      </c>
      <c r="G47">
        <v>44.051760000000002</v>
      </c>
      <c r="H47">
        <v>10</v>
      </c>
      <c r="I47" t="s">
        <v>89</v>
      </c>
      <c r="J47">
        <v>2</v>
      </c>
      <c r="K47">
        <v>20</v>
      </c>
      <c r="L47">
        <v>60</v>
      </c>
      <c r="N47" t="s">
        <v>90</v>
      </c>
      <c r="O47">
        <v>40</v>
      </c>
      <c r="P47">
        <v>0.32</v>
      </c>
      <c r="Q47">
        <v>3.2500000000000001E-2</v>
      </c>
      <c r="R47">
        <v>77.5</v>
      </c>
      <c r="S47">
        <v>170</v>
      </c>
      <c r="T47">
        <v>50</v>
      </c>
      <c r="U47">
        <v>1812.1301775147931</v>
      </c>
      <c r="V47">
        <v>20</v>
      </c>
      <c r="W47">
        <v>0.95</v>
      </c>
      <c r="X47">
        <v>1</v>
      </c>
      <c r="Y47">
        <v>593226.71113787754</v>
      </c>
      <c r="Z47">
        <v>118645342.2275755</v>
      </c>
      <c r="AA47">
        <v>237290684.45515111</v>
      </c>
      <c r="AB47">
        <v>237290.68445515109</v>
      </c>
      <c r="AC47">
        <v>0</v>
      </c>
      <c r="AD47">
        <v>1229.6723104074561</v>
      </c>
      <c r="AE47">
        <v>442682.03174668422</v>
      </c>
      <c r="AF47">
        <v>265609.21904801048</v>
      </c>
      <c r="AG47">
        <v>11.70055357129039</v>
      </c>
      <c r="AH47">
        <v>124.68759178989809</v>
      </c>
      <c r="AI47">
        <v>62.343795894949032</v>
      </c>
      <c r="AJ47">
        <v>7711.9472447924099</v>
      </c>
      <c r="AK47">
        <v>854.70085470085473</v>
      </c>
      <c r="AL47" t="s">
        <v>93</v>
      </c>
      <c r="AM47">
        <v>9663.288363717098</v>
      </c>
      <c r="AN47">
        <v>6620.2783345038351</v>
      </c>
      <c r="AO47">
        <v>10598.44530214133</v>
      </c>
      <c r="AP47">
        <v>24850.214797714201</v>
      </c>
      <c r="AQ47">
        <v>14251.76949557286</v>
      </c>
      <c r="AR47">
        <v>2.9034938141203712E-2</v>
      </c>
      <c r="AS47">
        <v>659.10960518271474</v>
      </c>
      <c r="AT47">
        <v>825.88300671755223</v>
      </c>
      <c r="AU47">
        <v>565.80898452086853</v>
      </c>
      <c r="AV47">
        <v>905.80716865796069</v>
      </c>
      <c r="AW47">
        <v>2123.8494953511508</v>
      </c>
      <c r="AX47">
        <v>1218.0423266931909</v>
      </c>
      <c r="AY47">
        <v>5.3282774626938858</v>
      </c>
      <c r="AZ47" t="s">
        <v>141</v>
      </c>
      <c r="BA47" t="str">
        <f>VLOOKUP($AZ47,Sheet1!$A$2:$B$58,2)</f>
        <v>Malonate</v>
      </c>
      <c r="BB47" t="s">
        <v>189</v>
      </c>
      <c r="BC47">
        <v>102.04378</v>
      </c>
      <c r="BD47">
        <v>2</v>
      </c>
      <c r="BE47">
        <v>199</v>
      </c>
      <c r="BF47" t="s">
        <v>65</v>
      </c>
      <c r="BG47">
        <v>-0.35869948280986758</v>
      </c>
      <c r="BH47">
        <v>0.92238095238095197</v>
      </c>
      <c r="BI47">
        <v>2.13665104370296</v>
      </c>
      <c r="BJ47">
        <v>80</v>
      </c>
      <c r="BK47">
        <v>1242.5107398857101</v>
      </c>
      <c r="BL47">
        <v>712.58847477864322</v>
      </c>
      <c r="BM47">
        <v>3.4758892775573189</v>
      </c>
      <c r="BN47">
        <v>590.90117718474426</v>
      </c>
      <c r="BO47">
        <v>651.60956270096563</v>
      </c>
    </row>
    <row r="48" spans="1:67" x14ac:dyDescent="0.25">
      <c r="A48" s="1">
        <v>46</v>
      </c>
      <c r="B48" t="s">
        <v>65</v>
      </c>
      <c r="C48" t="s">
        <v>80</v>
      </c>
      <c r="D48">
        <v>2</v>
      </c>
      <c r="E48">
        <v>4</v>
      </c>
      <c r="F48">
        <v>1</v>
      </c>
      <c r="G48">
        <v>44.051760000000002</v>
      </c>
      <c r="H48">
        <v>10</v>
      </c>
      <c r="I48" t="s">
        <v>89</v>
      </c>
      <c r="J48">
        <v>2</v>
      </c>
      <c r="K48">
        <v>20</v>
      </c>
      <c r="L48">
        <v>60</v>
      </c>
      <c r="N48" t="s">
        <v>90</v>
      </c>
      <c r="O48">
        <v>40</v>
      </c>
      <c r="P48">
        <v>0.32</v>
      </c>
      <c r="Q48">
        <v>3.2500000000000001E-2</v>
      </c>
      <c r="R48">
        <v>77.5</v>
      </c>
      <c r="S48">
        <v>170</v>
      </c>
      <c r="T48">
        <v>50</v>
      </c>
      <c r="U48">
        <v>1812.1301775147931</v>
      </c>
      <c r="V48">
        <v>20</v>
      </c>
      <c r="W48">
        <v>0.95</v>
      </c>
      <c r="X48">
        <v>1</v>
      </c>
      <c r="Y48">
        <v>2579843.6788038178</v>
      </c>
      <c r="Z48">
        <v>515968735.76076382</v>
      </c>
      <c r="AA48">
        <v>1031937471.521528</v>
      </c>
      <c r="AB48">
        <v>1031937.471521528</v>
      </c>
      <c r="AC48">
        <v>0</v>
      </c>
      <c r="AD48">
        <v>5347.6390685776842</v>
      </c>
      <c r="AE48">
        <v>1925150.0646879659</v>
      </c>
      <c r="AF48">
        <v>1155090.0388127801</v>
      </c>
      <c r="AG48">
        <v>50.883749168171263</v>
      </c>
      <c r="AH48">
        <v>542.2454678202713</v>
      </c>
      <c r="AI48">
        <v>271.12273391013571</v>
      </c>
      <c r="AJ48">
        <v>33537.967824449654</v>
      </c>
      <c r="AK48">
        <v>854.70085470085473</v>
      </c>
      <c r="AL48" t="s">
        <v>93</v>
      </c>
      <c r="AM48">
        <v>42024.023756071023</v>
      </c>
      <c r="AN48">
        <v>28790.482445457568</v>
      </c>
      <c r="AO48">
        <v>46090.864764723061</v>
      </c>
      <c r="AP48">
        <v>105207.1748806791</v>
      </c>
      <c r="AQ48">
        <v>59116.310115956039</v>
      </c>
      <c r="AR48">
        <v>2.9034938141203712E-2</v>
      </c>
      <c r="AS48">
        <v>659.10960518271474</v>
      </c>
      <c r="AT48">
        <v>825.88300671755223</v>
      </c>
      <c r="AU48">
        <v>565.80898452086853</v>
      </c>
      <c r="AV48">
        <v>905.80716865796069</v>
      </c>
      <c r="AW48">
        <v>2067.5987245548358</v>
      </c>
      <c r="AX48">
        <v>1161.7915558968759</v>
      </c>
      <c r="AY48">
        <v>5.3282774626938858</v>
      </c>
      <c r="AZ48" t="s">
        <v>142</v>
      </c>
      <c r="BA48" t="str">
        <f>VLOOKUP($AZ48,Sheet1!$A$2:$B$58,2)</f>
        <v>Nonane</v>
      </c>
      <c r="BB48" t="s">
        <v>190</v>
      </c>
      <c r="BC48">
        <v>128.25309999999999</v>
      </c>
      <c r="BD48">
        <v>6.2222222222222223</v>
      </c>
      <c r="BE48">
        <v>151</v>
      </c>
      <c r="BF48" t="s">
        <v>65</v>
      </c>
      <c r="BG48">
        <v>0.97849460610894345</v>
      </c>
      <c r="BH48">
        <v>0.16875486381322999</v>
      </c>
      <c r="BI48">
        <v>0.49131599791074299</v>
      </c>
      <c r="BJ48">
        <v>80</v>
      </c>
      <c r="BK48">
        <v>5260.3587440339543</v>
      </c>
      <c r="BL48">
        <v>2955.815505797802</v>
      </c>
      <c r="BM48">
        <v>12.577642089397839</v>
      </c>
      <c r="BN48">
        <v>2138.199155197633</v>
      </c>
      <c r="BO48">
        <v>3122.1595888363222</v>
      </c>
    </row>
    <row r="49" spans="1:67" x14ac:dyDescent="0.25">
      <c r="A49" s="1">
        <v>47</v>
      </c>
      <c r="B49" t="s">
        <v>65</v>
      </c>
      <c r="C49" t="s">
        <v>80</v>
      </c>
      <c r="D49">
        <v>2</v>
      </c>
      <c r="E49">
        <v>4</v>
      </c>
      <c r="F49">
        <v>1</v>
      </c>
      <c r="G49">
        <v>44.051760000000002</v>
      </c>
      <c r="H49">
        <v>10</v>
      </c>
      <c r="I49" t="s">
        <v>89</v>
      </c>
      <c r="J49">
        <v>2</v>
      </c>
      <c r="K49">
        <v>20</v>
      </c>
      <c r="L49">
        <v>60</v>
      </c>
      <c r="N49" t="s">
        <v>90</v>
      </c>
      <c r="O49">
        <v>40</v>
      </c>
      <c r="P49">
        <v>0.32</v>
      </c>
      <c r="Q49">
        <v>3.2500000000000001E-2</v>
      </c>
      <c r="R49">
        <v>77.5</v>
      </c>
      <c r="S49">
        <v>170</v>
      </c>
      <c r="T49">
        <v>50</v>
      </c>
      <c r="U49">
        <v>1812.1301775147931</v>
      </c>
      <c r="V49">
        <v>20</v>
      </c>
      <c r="W49">
        <v>0.95</v>
      </c>
      <c r="X49">
        <v>1</v>
      </c>
      <c r="Y49">
        <v>2603105.4982272158</v>
      </c>
      <c r="Z49">
        <v>520621099.64544332</v>
      </c>
      <c r="AA49">
        <v>1041242199.290887</v>
      </c>
      <c r="AB49">
        <v>1041242.199290887</v>
      </c>
      <c r="AC49">
        <v>0</v>
      </c>
      <c r="AD49">
        <v>5395.8574220294086</v>
      </c>
      <c r="AE49">
        <v>1942508.6719305869</v>
      </c>
      <c r="AF49">
        <v>1165505.2031583521</v>
      </c>
      <c r="AG49">
        <v>51.342555488282969</v>
      </c>
      <c r="AH49">
        <v>547.13476257065679</v>
      </c>
      <c r="AI49">
        <v>273.56738128532839</v>
      </c>
      <c r="AJ49">
        <v>33840.371476953813</v>
      </c>
      <c r="AK49">
        <v>854.70085470085473</v>
      </c>
      <c r="AL49" t="s">
        <v>93</v>
      </c>
      <c r="AM49">
        <v>42402.944099225897</v>
      </c>
      <c r="AN49">
        <v>29050.07918353174</v>
      </c>
      <c r="AO49">
        <v>46506.45481850583</v>
      </c>
      <c r="AP49">
        <v>106148.0956144123</v>
      </c>
      <c r="AQ49">
        <v>59641.640795906489</v>
      </c>
      <c r="AR49">
        <v>2.9034938141203712E-2</v>
      </c>
      <c r="AS49">
        <v>659.10960518271474</v>
      </c>
      <c r="AT49">
        <v>825.88300671755223</v>
      </c>
      <c r="AU49">
        <v>565.80898452086865</v>
      </c>
      <c r="AV49">
        <v>905.80716865796069</v>
      </c>
      <c r="AW49">
        <v>2067.4486223934969</v>
      </c>
      <c r="AX49">
        <v>1161.641453735537</v>
      </c>
      <c r="AY49">
        <v>5.3282774626938858</v>
      </c>
      <c r="AZ49" t="s">
        <v>143</v>
      </c>
      <c r="BA49" t="str">
        <f>VLOOKUP($AZ49,Sheet1!$A$2:$B$58,2)</f>
        <v>Octane</v>
      </c>
      <c r="BB49" t="s">
        <v>191</v>
      </c>
      <c r="BC49">
        <v>114.22672</v>
      </c>
      <c r="BD49">
        <v>6.25</v>
      </c>
      <c r="BE49">
        <v>126</v>
      </c>
      <c r="BF49" t="s">
        <v>65</v>
      </c>
      <c r="BG49">
        <v>1.0212196406251199</v>
      </c>
      <c r="BH49">
        <v>0.18778378378378399</v>
      </c>
      <c r="BI49">
        <v>0.486925509691572</v>
      </c>
      <c r="BJ49">
        <v>80</v>
      </c>
      <c r="BK49">
        <v>5307.4047807206152</v>
      </c>
      <c r="BL49">
        <v>2982.0820397953239</v>
      </c>
      <c r="BM49">
        <v>12.6571494236413</v>
      </c>
      <c r="BN49">
        <v>2151.715402019021</v>
      </c>
      <c r="BO49">
        <v>3155.6893787015938</v>
      </c>
    </row>
    <row r="50" spans="1:67" x14ac:dyDescent="0.25">
      <c r="A50" s="1">
        <v>48</v>
      </c>
      <c r="B50" t="s">
        <v>65</v>
      </c>
      <c r="C50" t="s">
        <v>80</v>
      </c>
      <c r="D50">
        <v>2</v>
      </c>
      <c r="E50">
        <v>4</v>
      </c>
      <c r="F50">
        <v>1</v>
      </c>
      <c r="G50">
        <v>44.051760000000002</v>
      </c>
      <c r="H50">
        <v>10</v>
      </c>
      <c r="I50" t="s">
        <v>89</v>
      </c>
      <c r="J50">
        <v>2</v>
      </c>
      <c r="K50">
        <v>20</v>
      </c>
      <c r="L50">
        <v>60</v>
      </c>
      <c r="N50" t="s">
        <v>90</v>
      </c>
      <c r="O50">
        <v>40</v>
      </c>
      <c r="P50">
        <v>0.32</v>
      </c>
      <c r="Q50">
        <v>3.2500000000000001E-2</v>
      </c>
      <c r="R50">
        <v>77.5</v>
      </c>
      <c r="S50">
        <v>170</v>
      </c>
      <c r="T50">
        <v>50</v>
      </c>
      <c r="U50">
        <v>1812.1301775147931</v>
      </c>
      <c r="V50">
        <v>20</v>
      </c>
      <c r="W50">
        <v>0.95</v>
      </c>
      <c r="X50">
        <v>1</v>
      </c>
      <c r="Y50">
        <v>2667764.9575369102</v>
      </c>
      <c r="Z50">
        <v>533552991.50738192</v>
      </c>
      <c r="AA50">
        <v>1067105983.014764</v>
      </c>
      <c r="AB50">
        <v>1067105.983014764</v>
      </c>
      <c r="AC50">
        <v>66773.504273504266</v>
      </c>
      <c r="AD50">
        <v>5529.8870353732482</v>
      </c>
      <c r="AE50">
        <v>1990759.3327343699</v>
      </c>
      <c r="AF50">
        <v>1194455.599640622</v>
      </c>
      <c r="AG50">
        <v>52.617871406024761</v>
      </c>
      <c r="AH50">
        <v>560.72523669529346</v>
      </c>
      <c r="AI50">
        <v>280.36261834764667</v>
      </c>
      <c r="AJ50">
        <v>34680.944447979833</v>
      </c>
      <c r="AK50">
        <v>2170.1388888888891</v>
      </c>
      <c r="AL50" t="s">
        <v>95</v>
      </c>
      <c r="AM50">
        <v>43456.20584388524</v>
      </c>
      <c r="AN50">
        <v>29771.664387892521</v>
      </c>
      <c r="AO50">
        <v>47661.645119099943</v>
      </c>
      <c r="AP50">
        <v>110078.9535686465</v>
      </c>
      <c r="AQ50">
        <v>62417.308449546523</v>
      </c>
      <c r="AR50">
        <v>2.9034938141203701E-2</v>
      </c>
      <c r="AS50">
        <v>659.10960518271452</v>
      </c>
      <c r="AT50">
        <v>825.88300671755212</v>
      </c>
      <c r="AU50">
        <v>565.80898452086853</v>
      </c>
      <c r="AV50">
        <v>905.80716865796046</v>
      </c>
      <c r="AW50">
        <v>2092.0449768715348</v>
      </c>
      <c r="AX50">
        <v>1186.237808213574</v>
      </c>
      <c r="AY50">
        <v>5.3282774626938849</v>
      </c>
      <c r="AZ50" t="s">
        <v>144</v>
      </c>
      <c r="BA50" t="str">
        <f>VLOOKUP($AZ50,Sheet1!$A$2:$B$58,2)</f>
        <v>Pentane</v>
      </c>
      <c r="BB50" t="s">
        <v>192</v>
      </c>
      <c r="BC50">
        <v>72.147580000000005</v>
      </c>
      <c r="BD50">
        <v>6.4</v>
      </c>
      <c r="BE50">
        <v>36.1</v>
      </c>
      <c r="BF50" t="s">
        <v>65</v>
      </c>
      <c r="BG50">
        <v>1.155440924611663</v>
      </c>
      <c r="BH50">
        <v>0.29010033444816002</v>
      </c>
      <c r="BI50">
        <v>0.47512374278860497</v>
      </c>
      <c r="BJ50">
        <v>80</v>
      </c>
      <c r="BK50">
        <v>5503.9476784323233</v>
      </c>
      <c r="BL50">
        <v>3120.865422477325</v>
      </c>
      <c r="BM50">
        <v>12.862689992770671</v>
      </c>
      <c r="BN50">
        <v>2186.6572987710142</v>
      </c>
      <c r="BO50">
        <v>3317.2903796613091</v>
      </c>
    </row>
    <row r="51" spans="1:67" x14ac:dyDescent="0.25">
      <c r="A51" s="1">
        <v>49</v>
      </c>
      <c r="B51" t="s">
        <v>65</v>
      </c>
      <c r="C51" t="s">
        <v>80</v>
      </c>
      <c r="D51">
        <v>2</v>
      </c>
      <c r="E51">
        <v>4</v>
      </c>
      <c r="F51">
        <v>1</v>
      </c>
      <c r="G51">
        <v>44.051760000000002</v>
      </c>
      <c r="H51">
        <v>10</v>
      </c>
      <c r="I51" t="s">
        <v>89</v>
      </c>
      <c r="J51">
        <v>2</v>
      </c>
      <c r="K51">
        <v>20</v>
      </c>
      <c r="L51">
        <v>60</v>
      </c>
      <c r="N51" t="s">
        <v>90</v>
      </c>
      <c r="O51">
        <v>40</v>
      </c>
      <c r="P51">
        <v>0.32</v>
      </c>
      <c r="Q51">
        <v>3.2500000000000001E-2</v>
      </c>
      <c r="R51">
        <v>77.5</v>
      </c>
      <c r="S51">
        <v>170</v>
      </c>
      <c r="T51">
        <v>50</v>
      </c>
      <c r="U51">
        <v>1812.1301775147931</v>
      </c>
      <c r="V51">
        <v>20</v>
      </c>
      <c r="W51">
        <v>0.95</v>
      </c>
      <c r="X51">
        <v>1</v>
      </c>
      <c r="Y51">
        <v>2120694.2271938138</v>
      </c>
      <c r="Z51">
        <v>424138845.43876278</v>
      </c>
      <c r="AA51">
        <v>848277690.87752569</v>
      </c>
      <c r="AB51">
        <v>848277.69087752572</v>
      </c>
      <c r="AC51">
        <v>0</v>
      </c>
      <c r="AD51">
        <v>4395.8893304369049</v>
      </c>
      <c r="AE51">
        <v>1582520.158957286</v>
      </c>
      <c r="AF51">
        <v>949512.09537437151</v>
      </c>
      <c r="AG51">
        <v>41.827678942528927</v>
      </c>
      <c r="AH51">
        <v>445.73895805254489</v>
      </c>
      <c r="AI51">
        <v>222.86947902627239</v>
      </c>
      <c r="AJ51">
        <v>27569.024953519591</v>
      </c>
      <c r="AK51">
        <v>854.70085470085473</v>
      </c>
      <c r="AL51" t="s">
        <v>93</v>
      </c>
      <c r="AM51">
        <v>34544.769249072233</v>
      </c>
      <c r="AN51">
        <v>23666.47654733721</v>
      </c>
      <c r="AO51">
        <v>37887.811434466319</v>
      </c>
      <c r="AP51">
        <v>86634.971604629885</v>
      </c>
      <c r="AQ51">
        <v>48747.160170163566</v>
      </c>
      <c r="AR51">
        <v>2.9034938141203701E-2</v>
      </c>
      <c r="AS51">
        <v>659.10960518271463</v>
      </c>
      <c r="AT51">
        <v>825.88300671755212</v>
      </c>
      <c r="AU51">
        <v>565.80898452086853</v>
      </c>
      <c r="AV51">
        <v>905.80716865796046</v>
      </c>
      <c r="AW51">
        <v>2071.235454486155</v>
      </c>
      <c r="AX51">
        <v>1165.428285828194</v>
      </c>
      <c r="AY51">
        <v>5.328277462693884</v>
      </c>
      <c r="AZ51" t="s">
        <v>145</v>
      </c>
      <c r="BA51" t="str">
        <f>VLOOKUP($AZ51,Sheet1!$A$2:$B$58,2)</f>
        <v>Pentanol (PW1)</v>
      </c>
      <c r="BB51" t="s">
        <v>157</v>
      </c>
      <c r="BC51">
        <v>88.14658</v>
      </c>
      <c r="BD51">
        <v>6</v>
      </c>
      <c r="BE51">
        <v>138</v>
      </c>
      <c r="BF51" t="s">
        <v>65</v>
      </c>
      <c r="BG51">
        <v>0.84663222825224071</v>
      </c>
      <c r="BH51">
        <v>0.29869918699186998</v>
      </c>
      <c r="BI51">
        <v>0.59769034840183</v>
      </c>
      <c r="BJ51">
        <v>80</v>
      </c>
      <c r="BK51">
        <v>4331.7485802314932</v>
      </c>
      <c r="BL51">
        <v>2437.358008508178</v>
      </c>
      <c r="BM51">
        <v>10.29684172306138</v>
      </c>
      <c r="BN51">
        <v>1750.463092920435</v>
      </c>
      <c r="BO51">
        <v>2581.2854873110582</v>
      </c>
    </row>
    <row r="52" spans="1:67" x14ac:dyDescent="0.25">
      <c r="A52" s="1">
        <v>50</v>
      </c>
      <c r="B52" t="s">
        <v>65</v>
      </c>
      <c r="C52" t="s">
        <v>80</v>
      </c>
      <c r="D52">
        <v>2</v>
      </c>
      <c r="E52">
        <v>4</v>
      </c>
      <c r="F52">
        <v>1</v>
      </c>
      <c r="G52">
        <v>44.051760000000002</v>
      </c>
      <c r="H52">
        <v>10</v>
      </c>
      <c r="I52" t="s">
        <v>89</v>
      </c>
      <c r="J52">
        <v>2</v>
      </c>
      <c r="K52">
        <v>20</v>
      </c>
      <c r="L52">
        <v>60</v>
      </c>
      <c r="N52" t="s">
        <v>90</v>
      </c>
      <c r="O52">
        <v>40</v>
      </c>
      <c r="P52">
        <v>0.32</v>
      </c>
      <c r="Q52">
        <v>3.2500000000000001E-2</v>
      </c>
      <c r="R52">
        <v>77.5</v>
      </c>
      <c r="S52">
        <v>170</v>
      </c>
      <c r="T52">
        <v>50</v>
      </c>
      <c r="U52">
        <v>1812.1301775147931</v>
      </c>
      <c r="V52">
        <v>20</v>
      </c>
      <c r="W52">
        <v>0.95</v>
      </c>
      <c r="X52">
        <v>1</v>
      </c>
      <c r="Y52">
        <v>2316740.220585431</v>
      </c>
      <c r="Z52">
        <v>463348044.11708611</v>
      </c>
      <c r="AA52">
        <v>926696088.23417222</v>
      </c>
      <c r="AB52">
        <v>926696.0882341722</v>
      </c>
      <c r="AC52">
        <v>0</v>
      </c>
      <c r="AD52">
        <v>4802.2640352737608</v>
      </c>
      <c r="AE52">
        <v>1728815.052698554</v>
      </c>
      <c r="AF52">
        <v>1037289.031619132</v>
      </c>
      <c r="AG52">
        <v>45.694407471518417</v>
      </c>
      <c r="AH52">
        <v>486.94496300328541</v>
      </c>
      <c r="AI52">
        <v>243.4724815016427</v>
      </c>
      <c r="AJ52">
        <v>30117.6228676106</v>
      </c>
      <c r="AK52">
        <v>854.70085470085473</v>
      </c>
      <c r="AL52" t="s">
        <v>93</v>
      </c>
      <c r="AM52">
        <v>37738.234632754618</v>
      </c>
      <c r="AN52">
        <v>25854.306289742639</v>
      </c>
      <c r="AO52">
        <v>41390.32185527926</v>
      </c>
      <c r="AP52">
        <v>94564.864644808709</v>
      </c>
      <c r="AQ52">
        <v>53174.542789529449</v>
      </c>
      <c r="AR52">
        <v>2.9034938141203701E-2</v>
      </c>
      <c r="AS52">
        <v>659.10960518271463</v>
      </c>
      <c r="AT52">
        <v>825.88300671755212</v>
      </c>
      <c r="AU52">
        <v>565.80898452086853</v>
      </c>
      <c r="AV52">
        <v>905.80716865796046</v>
      </c>
      <c r="AW52">
        <v>2069.5063111115192</v>
      </c>
      <c r="AX52">
        <v>1163.6991424535579</v>
      </c>
      <c r="AY52">
        <v>5.3282774626938849</v>
      </c>
      <c r="AZ52" t="s">
        <v>146</v>
      </c>
      <c r="BA52" t="str">
        <f>VLOOKUP($AZ52,Sheet1!$A$2:$B$58,2)</f>
        <v>Pentanol (PW2)</v>
      </c>
      <c r="BB52" t="s">
        <v>157</v>
      </c>
      <c r="BC52">
        <v>88.14658</v>
      </c>
      <c r="BD52">
        <v>6</v>
      </c>
      <c r="BE52">
        <v>138</v>
      </c>
      <c r="BF52" t="s">
        <v>65</v>
      </c>
      <c r="BG52">
        <v>1.1556772653827989</v>
      </c>
      <c r="BH52">
        <v>0.27342281879194602</v>
      </c>
      <c r="BI52">
        <v>0.547112904693701</v>
      </c>
      <c r="BJ52">
        <v>80</v>
      </c>
      <c r="BK52">
        <v>4728.2432322404356</v>
      </c>
      <c r="BL52">
        <v>2658.7271394764721</v>
      </c>
      <c r="BM52">
        <v>11.017946809699341</v>
      </c>
      <c r="BN52">
        <v>1873.0509576488871</v>
      </c>
      <c r="BO52">
        <v>2855.192274591549</v>
      </c>
    </row>
    <row r="53" spans="1:67" x14ac:dyDescent="0.25">
      <c r="A53" s="1">
        <v>51</v>
      </c>
      <c r="B53" t="s">
        <v>65</v>
      </c>
      <c r="C53" t="s">
        <v>80</v>
      </c>
      <c r="D53">
        <v>2</v>
      </c>
      <c r="E53">
        <v>4</v>
      </c>
      <c r="F53">
        <v>1</v>
      </c>
      <c r="G53">
        <v>44.051760000000002</v>
      </c>
      <c r="H53">
        <v>10</v>
      </c>
      <c r="I53" t="s">
        <v>89</v>
      </c>
      <c r="J53">
        <v>2</v>
      </c>
      <c r="K53">
        <v>20</v>
      </c>
      <c r="L53">
        <v>60</v>
      </c>
      <c r="N53" t="s">
        <v>90</v>
      </c>
      <c r="O53">
        <v>40</v>
      </c>
      <c r="P53">
        <v>0.32</v>
      </c>
      <c r="Q53">
        <v>3.2500000000000001E-2</v>
      </c>
      <c r="R53">
        <v>77.5</v>
      </c>
      <c r="S53">
        <v>170</v>
      </c>
      <c r="T53">
        <v>50</v>
      </c>
      <c r="U53">
        <v>1812.1301775147931</v>
      </c>
      <c r="V53">
        <v>20</v>
      </c>
      <c r="W53">
        <v>0.95</v>
      </c>
      <c r="X53">
        <v>1</v>
      </c>
      <c r="Y53">
        <v>2400795.3018407901</v>
      </c>
      <c r="Z53">
        <v>480159060.36815792</v>
      </c>
      <c r="AA53">
        <v>960318120.73631585</v>
      </c>
      <c r="AB53">
        <v>960318.12073631585</v>
      </c>
      <c r="AC53">
        <v>0</v>
      </c>
      <c r="AD53">
        <v>4976.4979394931224</v>
      </c>
      <c r="AE53">
        <v>1791539.258217524</v>
      </c>
      <c r="AF53">
        <v>1074923.554930514</v>
      </c>
      <c r="AG53">
        <v>47.352274460145829</v>
      </c>
      <c r="AH53">
        <v>504.61211362658071</v>
      </c>
      <c r="AI53">
        <v>252.3060568132903</v>
      </c>
      <c r="AJ53">
        <v>31210.338923930271</v>
      </c>
      <c r="AK53">
        <v>854.70085470085473</v>
      </c>
      <c r="AL53" t="s">
        <v>93</v>
      </c>
      <c r="AM53">
        <v>39107.438806060003</v>
      </c>
      <c r="AN53">
        <v>26792.34232704858</v>
      </c>
      <c r="AO53">
        <v>42892.029658259358</v>
      </c>
      <c r="AP53">
        <v>97964.820911739705</v>
      </c>
      <c r="AQ53">
        <v>55072.791253480347</v>
      </c>
      <c r="AR53">
        <v>2.9034938141203712E-2</v>
      </c>
      <c r="AS53">
        <v>659.10960518271474</v>
      </c>
      <c r="AT53">
        <v>825.88300671755246</v>
      </c>
      <c r="AU53">
        <v>565.80898452086876</v>
      </c>
      <c r="AV53">
        <v>905.8071686579608</v>
      </c>
      <c r="AW53">
        <v>2068.8514338248328</v>
      </c>
      <c r="AX53">
        <v>1163.044265166872</v>
      </c>
      <c r="AY53">
        <v>5.3282774626938858</v>
      </c>
      <c r="AZ53" t="s">
        <v>147</v>
      </c>
      <c r="BA53" t="str">
        <f>VLOOKUP($AZ53,Sheet1!$A$2:$B$58,2)</f>
        <v>Phenol</v>
      </c>
      <c r="BB53" t="s">
        <v>193</v>
      </c>
      <c r="BC53">
        <v>94.11023999999999</v>
      </c>
      <c r="BD53">
        <v>4.666666666666667</v>
      </c>
      <c r="BE53">
        <v>181.7</v>
      </c>
      <c r="BF53" t="s">
        <v>65</v>
      </c>
      <c r="BG53">
        <v>0.97873253114949521</v>
      </c>
      <c r="BH53">
        <v>0.24713004484304901</v>
      </c>
      <c r="BI53">
        <v>0.52795774405813001</v>
      </c>
      <c r="BJ53">
        <v>80</v>
      </c>
      <c r="BK53">
        <v>4898.2410455869858</v>
      </c>
      <c r="BL53">
        <v>2753.6395626740168</v>
      </c>
      <c r="BM53">
        <v>11.636570309515021</v>
      </c>
      <c r="BN53">
        <v>1978.2169526175539</v>
      </c>
      <c r="BO53">
        <v>2920.0240929694319</v>
      </c>
    </row>
    <row r="54" spans="1:67" x14ac:dyDescent="0.25">
      <c r="A54" s="1">
        <v>52</v>
      </c>
      <c r="B54" t="s">
        <v>65</v>
      </c>
      <c r="C54" t="s">
        <v>80</v>
      </c>
      <c r="D54">
        <v>2</v>
      </c>
      <c r="E54">
        <v>4</v>
      </c>
      <c r="F54">
        <v>1</v>
      </c>
      <c r="G54">
        <v>44.051760000000002</v>
      </c>
      <c r="H54">
        <v>10</v>
      </c>
      <c r="I54" t="s">
        <v>89</v>
      </c>
      <c r="J54">
        <v>2</v>
      </c>
      <c r="K54">
        <v>20</v>
      </c>
      <c r="L54">
        <v>60</v>
      </c>
      <c r="N54" t="s">
        <v>90</v>
      </c>
      <c r="O54">
        <v>40</v>
      </c>
      <c r="P54">
        <v>0.32</v>
      </c>
      <c r="Q54">
        <v>3.2500000000000001E-2</v>
      </c>
      <c r="R54">
        <v>77.5</v>
      </c>
      <c r="S54">
        <v>170</v>
      </c>
      <c r="T54">
        <v>50</v>
      </c>
      <c r="U54">
        <v>1812.1301775147931</v>
      </c>
      <c r="V54">
        <v>20</v>
      </c>
      <c r="W54">
        <v>0.95</v>
      </c>
      <c r="X54">
        <v>1</v>
      </c>
      <c r="Y54">
        <v>2788328.4938229481</v>
      </c>
      <c r="Z54">
        <v>557665698.76458955</v>
      </c>
      <c r="AA54">
        <v>1115331397.5291791</v>
      </c>
      <c r="AB54">
        <v>1115331.397529179</v>
      </c>
      <c r="AC54">
        <v>66773.504273504266</v>
      </c>
      <c r="AD54">
        <v>5779.7976335177218</v>
      </c>
      <c r="AE54">
        <v>2080727.1480663801</v>
      </c>
      <c r="AF54">
        <v>1248436.288839828</v>
      </c>
      <c r="AG54">
        <v>54.995815771262777</v>
      </c>
      <c r="AH54">
        <v>586.06593143296891</v>
      </c>
      <c r="AI54">
        <v>293.03296571648451</v>
      </c>
      <c r="AJ54">
        <v>36248.270419698318</v>
      </c>
      <c r="AK54">
        <v>2170.1388888888891</v>
      </c>
      <c r="AL54" t="s">
        <v>95</v>
      </c>
      <c r="AM54">
        <v>45420.10968605509</v>
      </c>
      <c r="AN54">
        <v>31117.12667443497</v>
      </c>
      <c r="AO54">
        <v>49815.604171802363</v>
      </c>
      <c r="AP54">
        <v>114955.6456690773</v>
      </c>
      <c r="AQ54">
        <v>65140.041497274913</v>
      </c>
      <c r="AR54">
        <v>2.9034938141203701E-2</v>
      </c>
      <c r="AS54">
        <v>659.10960518271452</v>
      </c>
      <c r="AT54">
        <v>825.88300671755223</v>
      </c>
      <c r="AU54">
        <v>565.80898452086865</v>
      </c>
      <c r="AV54">
        <v>905.80716865796069</v>
      </c>
      <c r="AW54">
        <v>2090.2616691276639</v>
      </c>
      <c r="AX54">
        <v>1184.454500469704</v>
      </c>
      <c r="AY54">
        <v>5.3282774626938867</v>
      </c>
      <c r="AZ54" t="s">
        <v>148</v>
      </c>
      <c r="BA54" t="str">
        <f>VLOOKUP($AZ54,Sheet1!$A$2:$B$58,2)</f>
        <v>Propane (PW1)</v>
      </c>
      <c r="BB54" t="s">
        <v>194</v>
      </c>
      <c r="BC54">
        <v>44.094819999999999</v>
      </c>
      <c r="BD54">
        <v>6.666666666666667</v>
      </c>
      <c r="BE54">
        <v>-42</v>
      </c>
      <c r="BF54" t="s">
        <v>65</v>
      </c>
      <c r="BG54">
        <v>1.4012652316081211</v>
      </c>
      <c r="BH54">
        <v>0.454136125654451</v>
      </c>
      <c r="BI54">
        <v>0.454580037579211</v>
      </c>
      <c r="BJ54">
        <v>80</v>
      </c>
      <c r="BK54">
        <v>5747.7822834538629</v>
      </c>
      <c r="BL54">
        <v>3257.0020748637448</v>
      </c>
      <c r="BM54">
        <v>13.250383054216099</v>
      </c>
      <c r="BN54">
        <v>2252.565119216737</v>
      </c>
      <c r="BO54">
        <v>3495.2171642371259</v>
      </c>
    </row>
    <row r="55" spans="1:67" x14ac:dyDescent="0.25">
      <c r="A55" s="1">
        <v>53</v>
      </c>
      <c r="B55" t="s">
        <v>65</v>
      </c>
      <c r="C55" t="s">
        <v>80</v>
      </c>
      <c r="D55">
        <v>2</v>
      </c>
      <c r="E55">
        <v>4</v>
      </c>
      <c r="F55">
        <v>1</v>
      </c>
      <c r="G55">
        <v>44.051760000000002</v>
      </c>
      <c r="H55">
        <v>10</v>
      </c>
      <c r="I55" t="s">
        <v>89</v>
      </c>
      <c r="J55">
        <v>2</v>
      </c>
      <c r="K55">
        <v>20</v>
      </c>
      <c r="L55">
        <v>60</v>
      </c>
      <c r="N55" t="s">
        <v>90</v>
      </c>
      <c r="O55">
        <v>40</v>
      </c>
      <c r="P55">
        <v>0.32</v>
      </c>
      <c r="Q55">
        <v>3.2500000000000001E-2</v>
      </c>
      <c r="R55">
        <v>77.5</v>
      </c>
      <c r="S55">
        <v>170</v>
      </c>
      <c r="T55">
        <v>50</v>
      </c>
      <c r="U55">
        <v>1812.1301775147931</v>
      </c>
      <c r="V55">
        <v>20</v>
      </c>
      <c r="W55">
        <v>0.95</v>
      </c>
      <c r="X55">
        <v>1</v>
      </c>
      <c r="Y55">
        <v>3515531.609203578</v>
      </c>
      <c r="Z55">
        <v>703106321.84071565</v>
      </c>
      <c r="AA55">
        <v>1406212643.6814311</v>
      </c>
      <c r="AB55">
        <v>1406212.643681431</v>
      </c>
      <c r="AC55">
        <v>66773.504273504266</v>
      </c>
      <c r="AD55">
        <v>7287.1834579192882</v>
      </c>
      <c r="AE55">
        <v>2623386.0448509441</v>
      </c>
      <c r="AF55">
        <v>1574031.6269105659</v>
      </c>
      <c r="AG55">
        <v>69.338863461073799</v>
      </c>
      <c r="AH55">
        <v>738.91340693689619</v>
      </c>
      <c r="AI55">
        <v>369.4567034684481</v>
      </c>
      <c r="AJ55">
        <v>45701.910919646507</v>
      </c>
      <c r="AK55">
        <v>2170.1388888888891</v>
      </c>
      <c r="AL55" t="s">
        <v>95</v>
      </c>
      <c r="AM55">
        <v>57265.789037609458</v>
      </c>
      <c r="AN55">
        <v>39232.551922741339</v>
      </c>
      <c r="AO55">
        <v>62807.639589636179</v>
      </c>
      <c r="AP55">
        <v>144370.39076888619</v>
      </c>
      <c r="AQ55">
        <v>81562.751179250015</v>
      </c>
      <c r="AR55">
        <v>2.9034938141203701E-2</v>
      </c>
      <c r="AS55">
        <v>659.10960518271463</v>
      </c>
      <c r="AT55">
        <v>825.88300671755246</v>
      </c>
      <c r="AU55">
        <v>565.80898452086865</v>
      </c>
      <c r="AV55">
        <v>905.80716865796069</v>
      </c>
      <c r="AW55">
        <v>2082.0991802084318</v>
      </c>
      <c r="AX55">
        <v>1176.2920115504719</v>
      </c>
      <c r="AY55">
        <v>5.3282774626938858</v>
      </c>
      <c r="AZ55" t="s">
        <v>149</v>
      </c>
      <c r="BA55" t="str">
        <f>VLOOKUP($AZ55,Sheet1!$A$2:$B$58,2)</f>
        <v>Propane (PW2)</v>
      </c>
      <c r="BB55" t="s">
        <v>194</v>
      </c>
      <c r="BC55">
        <v>44.094819999999999</v>
      </c>
      <c r="BD55">
        <v>6.666666666666667</v>
      </c>
      <c r="BE55">
        <v>-42</v>
      </c>
      <c r="BF55" t="s">
        <v>65</v>
      </c>
      <c r="BG55">
        <v>2.5476212978875861</v>
      </c>
      <c r="BH55">
        <v>0.36019607843137302</v>
      </c>
      <c r="BI55">
        <v>0.36054816522965899</v>
      </c>
      <c r="BJ55">
        <v>80</v>
      </c>
      <c r="BK55">
        <v>7218.5195384443086</v>
      </c>
      <c r="BL55">
        <v>4078.137558962499</v>
      </c>
      <c r="BM55">
        <v>15.925213875534819</v>
      </c>
      <c r="BN55">
        <v>2707.28635884092</v>
      </c>
      <c r="BO55">
        <v>4511.2331796033886</v>
      </c>
    </row>
    <row r="56" spans="1:67" x14ac:dyDescent="0.25">
      <c r="A56" s="1">
        <v>54</v>
      </c>
      <c r="B56" t="s">
        <v>65</v>
      </c>
      <c r="C56" t="s">
        <v>80</v>
      </c>
      <c r="D56">
        <v>2</v>
      </c>
      <c r="E56">
        <v>4</v>
      </c>
      <c r="F56">
        <v>1</v>
      </c>
      <c r="G56">
        <v>44.051760000000002</v>
      </c>
      <c r="H56">
        <v>10</v>
      </c>
      <c r="I56" t="s">
        <v>89</v>
      </c>
      <c r="J56">
        <v>2</v>
      </c>
      <c r="K56">
        <v>20</v>
      </c>
      <c r="L56">
        <v>60</v>
      </c>
      <c r="N56" t="s">
        <v>90</v>
      </c>
      <c r="O56">
        <v>40</v>
      </c>
      <c r="P56">
        <v>0.32</v>
      </c>
      <c r="Q56">
        <v>3.2500000000000001E-2</v>
      </c>
      <c r="R56">
        <v>77.5</v>
      </c>
      <c r="S56">
        <v>170</v>
      </c>
      <c r="T56">
        <v>50</v>
      </c>
      <c r="U56">
        <v>1812.1301775147931</v>
      </c>
      <c r="V56">
        <v>20</v>
      </c>
      <c r="W56">
        <v>0.95</v>
      </c>
      <c r="X56">
        <v>1</v>
      </c>
      <c r="Y56">
        <v>1190838.8564047699</v>
      </c>
      <c r="Z56">
        <v>238167771.28095409</v>
      </c>
      <c r="AA56">
        <v>476335542.56190819</v>
      </c>
      <c r="AB56">
        <v>476335.54256190831</v>
      </c>
      <c r="AC56">
        <v>0</v>
      </c>
      <c r="AD56">
        <v>2468.4349851163138</v>
      </c>
      <c r="AE56">
        <v>888636.59464187303</v>
      </c>
      <c r="AF56">
        <v>533181.9567851238</v>
      </c>
      <c r="AG56">
        <v>23.487603596628649</v>
      </c>
      <c r="AH56">
        <v>250.29693779320851</v>
      </c>
      <c r="AI56">
        <v>125.1484688966043</v>
      </c>
      <c r="AJ56">
        <v>15480.90513326202</v>
      </c>
      <c r="AK56">
        <v>854.70085470085473</v>
      </c>
      <c r="AL56" t="s">
        <v>93</v>
      </c>
      <c r="AM56">
        <v>19398.012678973661</v>
      </c>
      <c r="AN56">
        <v>13289.49713983716</v>
      </c>
      <c r="AO56">
        <v>21275.239712422721</v>
      </c>
      <c r="AP56">
        <v>49023.115806773691</v>
      </c>
      <c r="AQ56">
        <v>27747.87609435097</v>
      </c>
      <c r="AR56">
        <v>2.9034938141203712E-2</v>
      </c>
      <c r="AS56">
        <v>659.10960518271474</v>
      </c>
      <c r="AT56">
        <v>825.88300671755223</v>
      </c>
      <c r="AU56">
        <v>565.80898452086865</v>
      </c>
      <c r="AV56">
        <v>905.80716865796069</v>
      </c>
      <c r="AW56">
        <v>2087.1910412269708</v>
      </c>
      <c r="AX56">
        <v>1181.38387256901</v>
      </c>
      <c r="AY56">
        <v>5.3282774626938849</v>
      </c>
      <c r="AZ56" t="s">
        <v>150</v>
      </c>
      <c r="BA56" t="str">
        <f>VLOOKUP($AZ56,Sheet1!$A$2:$B$58,2)</f>
        <v>Shikimate</v>
      </c>
      <c r="BB56" t="s">
        <v>195</v>
      </c>
      <c r="BC56">
        <v>173.14045999999999</v>
      </c>
      <c r="BD56">
        <v>3.8571428571428572</v>
      </c>
      <c r="BE56">
        <v>400.5</v>
      </c>
      <c r="BF56" t="s">
        <v>65</v>
      </c>
      <c r="BG56">
        <v>9.7920220933965851E-2</v>
      </c>
      <c r="BH56">
        <v>0.27081081081081099</v>
      </c>
      <c r="BI56">
        <v>1.06439126057068</v>
      </c>
      <c r="BJ56">
        <v>80</v>
      </c>
      <c r="BK56">
        <v>2451.1557903386838</v>
      </c>
      <c r="BL56">
        <v>1387.3938047175479</v>
      </c>
      <c r="BM56">
        <v>6.1595032238962446</v>
      </c>
      <c r="BN56">
        <v>1047.115548062362</v>
      </c>
      <c r="BO56">
        <v>1404.040242276322</v>
      </c>
    </row>
    <row r="57" spans="1:67" x14ac:dyDescent="0.25">
      <c r="A57" s="1">
        <v>55</v>
      </c>
      <c r="B57" t="s">
        <v>65</v>
      </c>
      <c r="C57" t="s">
        <v>80</v>
      </c>
      <c r="D57">
        <v>2</v>
      </c>
      <c r="E57">
        <v>4</v>
      </c>
      <c r="F57">
        <v>1</v>
      </c>
      <c r="G57">
        <v>44.051760000000002</v>
      </c>
      <c r="H57">
        <v>10</v>
      </c>
      <c r="I57" t="s">
        <v>89</v>
      </c>
      <c r="J57">
        <v>2</v>
      </c>
      <c r="K57">
        <v>20</v>
      </c>
      <c r="L57">
        <v>60</v>
      </c>
      <c r="N57" t="s">
        <v>90</v>
      </c>
      <c r="O57">
        <v>40</v>
      </c>
      <c r="P57">
        <v>0.32</v>
      </c>
      <c r="Q57">
        <v>3.2500000000000001E-2</v>
      </c>
      <c r="R57">
        <v>77.5</v>
      </c>
      <c r="S57">
        <v>170</v>
      </c>
      <c r="T57">
        <v>50</v>
      </c>
      <c r="U57">
        <v>1812.1301775147931</v>
      </c>
      <c r="V57">
        <v>20</v>
      </c>
      <c r="W57">
        <v>0.95</v>
      </c>
      <c r="X57">
        <v>1</v>
      </c>
      <c r="Y57">
        <v>2855242.419795821</v>
      </c>
      <c r="Z57">
        <v>571048483.95916414</v>
      </c>
      <c r="AA57">
        <v>1142096967.918328</v>
      </c>
      <c r="AB57">
        <v>1142096.967918328</v>
      </c>
      <c r="AC57">
        <v>0</v>
      </c>
      <c r="AD57">
        <v>5918.5004269095934</v>
      </c>
      <c r="AE57">
        <v>2130660.1536874529</v>
      </c>
      <c r="AF57">
        <v>1278396.0922124721</v>
      </c>
      <c r="AG57">
        <v>56.315597839081683</v>
      </c>
      <c r="AH57">
        <v>600.13026152822295</v>
      </c>
      <c r="AI57">
        <v>300.06513076411147</v>
      </c>
      <c r="AJ57">
        <v>37118.151457345673</v>
      </c>
      <c r="AK57">
        <v>854.70085470085473</v>
      </c>
      <c r="AL57" t="s">
        <v>93</v>
      </c>
      <c r="AM57">
        <v>46510.095268437282</v>
      </c>
      <c r="AN57">
        <v>31863.871226016439</v>
      </c>
      <c r="AO57">
        <v>51011.072229898949</v>
      </c>
      <c r="AP57">
        <v>116346.8188065002</v>
      </c>
      <c r="AQ57">
        <v>65335.746576601283</v>
      </c>
      <c r="AR57">
        <v>2.9034938141203701E-2</v>
      </c>
      <c r="AS57">
        <v>659.10960518271463</v>
      </c>
      <c r="AT57">
        <v>825.88300671755246</v>
      </c>
      <c r="AU57">
        <v>565.80898452086865</v>
      </c>
      <c r="AV57">
        <v>905.8071686579608</v>
      </c>
      <c r="AW57">
        <v>2065.978579131026</v>
      </c>
      <c r="AX57">
        <v>1160.171410473065</v>
      </c>
      <c r="AY57">
        <v>5.3282774626938867</v>
      </c>
      <c r="AZ57" t="s">
        <v>151</v>
      </c>
      <c r="BA57" t="str">
        <f>VLOOKUP($AZ57,Sheet1!$A$2:$B$58,2)</f>
        <v>Styrene</v>
      </c>
      <c r="BB57" t="s">
        <v>196</v>
      </c>
      <c r="BC57">
        <v>104.14832</v>
      </c>
      <c r="BD57">
        <v>5</v>
      </c>
      <c r="BE57">
        <v>145</v>
      </c>
      <c r="BF57" t="s">
        <v>65</v>
      </c>
      <c r="BG57">
        <v>1.120413549589063</v>
      </c>
      <c r="BH57">
        <v>0.187768313458262</v>
      </c>
      <c r="BI57">
        <v>0.44392674426427903</v>
      </c>
      <c r="BJ57">
        <v>80</v>
      </c>
      <c r="BK57">
        <v>5817.3409403250116</v>
      </c>
      <c r="BL57">
        <v>3266.787328830063</v>
      </c>
      <c r="BM57">
        <v>13.88284298861651</v>
      </c>
      <c r="BN57">
        <v>2360.0833080648072</v>
      </c>
      <c r="BO57">
        <v>3457.257632260204</v>
      </c>
    </row>
    <row r="58" spans="1:67" x14ac:dyDescent="0.25">
      <c r="A58" s="1">
        <v>56</v>
      </c>
      <c r="B58" t="s">
        <v>65</v>
      </c>
      <c r="C58" t="s">
        <v>80</v>
      </c>
      <c r="D58">
        <v>2</v>
      </c>
      <c r="E58">
        <v>4</v>
      </c>
      <c r="F58">
        <v>1</v>
      </c>
      <c r="G58">
        <v>44.051760000000002</v>
      </c>
      <c r="H58">
        <v>10</v>
      </c>
      <c r="I58" t="s">
        <v>89</v>
      </c>
      <c r="J58">
        <v>2</v>
      </c>
      <c r="K58">
        <v>20</v>
      </c>
      <c r="L58">
        <v>60</v>
      </c>
      <c r="N58" t="s">
        <v>90</v>
      </c>
      <c r="O58">
        <v>40</v>
      </c>
      <c r="P58">
        <v>0.32</v>
      </c>
      <c r="Q58">
        <v>3.2500000000000001E-2</v>
      </c>
      <c r="R58">
        <v>77.5</v>
      </c>
      <c r="S58">
        <v>170</v>
      </c>
      <c r="T58">
        <v>50</v>
      </c>
      <c r="U58">
        <v>1812.1301775147931</v>
      </c>
      <c r="V58">
        <v>20</v>
      </c>
      <c r="W58">
        <v>0.95</v>
      </c>
      <c r="X58">
        <v>1</v>
      </c>
      <c r="Y58">
        <v>779327.29876489367</v>
      </c>
      <c r="Z58">
        <v>155865459.75297871</v>
      </c>
      <c r="AA58">
        <v>311730919.50595742</v>
      </c>
      <c r="AB58">
        <v>311730.9195059574</v>
      </c>
      <c r="AC58">
        <v>0</v>
      </c>
      <c r="AD58">
        <v>1615.431641973209</v>
      </c>
      <c r="AE58">
        <v>581555.39111035538</v>
      </c>
      <c r="AF58">
        <v>348933.23466621322</v>
      </c>
      <c r="AG58">
        <v>15.37112310953971</v>
      </c>
      <c r="AH58">
        <v>163.80321768170711</v>
      </c>
      <c r="AI58">
        <v>81.901608840853569</v>
      </c>
      <c r="AJ58">
        <v>10131.254883943609</v>
      </c>
      <c r="AK58">
        <v>854.70085470085473</v>
      </c>
      <c r="AL58" t="s">
        <v>93</v>
      </c>
      <c r="AM58">
        <v>12694.7493703323</v>
      </c>
      <c r="AN58">
        <v>8697.1195575539186</v>
      </c>
      <c r="AO58">
        <v>13923.273502945111</v>
      </c>
      <c r="AP58">
        <v>32377.824666530691</v>
      </c>
      <c r="AQ58">
        <v>18454.55116358558</v>
      </c>
      <c r="AR58">
        <v>2.9034938141203701E-2</v>
      </c>
      <c r="AS58">
        <v>659.10960518271452</v>
      </c>
      <c r="AT58">
        <v>825.88300671755223</v>
      </c>
      <c r="AU58">
        <v>565.80898452086865</v>
      </c>
      <c r="AV58">
        <v>905.80716865796069</v>
      </c>
      <c r="AW58">
        <v>2106.4059168478188</v>
      </c>
      <c r="AX58">
        <v>1200.598748189859</v>
      </c>
      <c r="AY58">
        <v>5.3282774626938849</v>
      </c>
      <c r="AZ58" t="s">
        <v>152</v>
      </c>
      <c r="BA58" t="str">
        <f>VLOOKUP($AZ58,Sheet1!$A$2:$B$58,2)</f>
        <v>Succinate</v>
      </c>
      <c r="BB58" t="s">
        <v>197</v>
      </c>
      <c r="BC58">
        <v>116.07016</v>
      </c>
      <c r="BD58">
        <v>3</v>
      </c>
      <c r="BE58">
        <v>235</v>
      </c>
      <c r="BF58" t="s">
        <v>65</v>
      </c>
      <c r="BG58">
        <v>-0.28814475110373122</v>
      </c>
      <c r="BH58">
        <v>0.61727272727272697</v>
      </c>
      <c r="BI58">
        <v>1.6264263724805099</v>
      </c>
      <c r="BJ58">
        <v>80</v>
      </c>
      <c r="BK58">
        <v>1618.8912333265339</v>
      </c>
      <c r="BL58">
        <v>922.72755817927896</v>
      </c>
      <c r="BM58">
        <v>4.3832251931464086</v>
      </c>
      <c r="BN58">
        <v>745.14828283488964</v>
      </c>
      <c r="BO58">
        <v>873.74295049164471</v>
      </c>
    </row>
    <row r="59" spans="1:67" x14ac:dyDescent="0.25">
      <c r="A59" s="1">
        <v>57</v>
      </c>
      <c r="B59" t="s">
        <v>66</v>
      </c>
      <c r="C59" t="s">
        <v>81</v>
      </c>
      <c r="D59">
        <v>2</v>
      </c>
      <c r="E59">
        <v>4</v>
      </c>
      <c r="F59">
        <v>2</v>
      </c>
      <c r="G59">
        <v>60.050759999999997</v>
      </c>
      <c r="H59">
        <v>8</v>
      </c>
      <c r="I59" t="s">
        <v>89</v>
      </c>
      <c r="J59">
        <v>4</v>
      </c>
      <c r="K59">
        <v>300</v>
      </c>
      <c r="L59">
        <v>70</v>
      </c>
      <c r="N59" t="s">
        <v>90</v>
      </c>
      <c r="O59">
        <v>30</v>
      </c>
      <c r="P59">
        <v>0.32500000000000001</v>
      </c>
      <c r="Q59">
        <v>3.2500000000000001E-2</v>
      </c>
      <c r="R59">
        <v>77.5</v>
      </c>
      <c r="S59">
        <v>170</v>
      </c>
      <c r="T59">
        <v>20</v>
      </c>
      <c r="U59">
        <v>1812.1301775147931</v>
      </c>
      <c r="V59">
        <v>20</v>
      </c>
      <c r="W59">
        <v>0.95</v>
      </c>
      <c r="X59">
        <v>1</v>
      </c>
      <c r="Y59">
        <v>91498.79602612133</v>
      </c>
      <c r="Z59">
        <v>274496388.07836401</v>
      </c>
      <c r="AA59">
        <v>1097985552.3134561</v>
      </c>
      <c r="AB59">
        <v>1097985.5523134561</v>
      </c>
      <c r="AC59">
        <v>0</v>
      </c>
      <c r="AD59">
        <v>2844.9545628127689</v>
      </c>
      <c r="AE59">
        <v>1280229.553265746</v>
      </c>
      <c r="AF59">
        <v>896160.68728602224</v>
      </c>
      <c r="AG59">
        <v>53.815130353647973</v>
      </c>
      <c r="AH59">
        <v>732.45773430993131</v>
      </c>
      <c r="AI59">
        <v>146.49154686198631</v>
      </c>
      <c r="AJ59">
        <v>35684.530450187332</v>
      </c>
      <c r="AK59">
        <v>854.70085470085473</v>
      </c>
      <c r="AL59" t="s">
        <v>93</v>
      </c>
      <c r="AM59">
        <v>56765.474409019676</v>
      </c>
      <c r="AN59">
        <v>1021.106240821528</v>
      </c>
      <c r="AO59">
        <v>24903.562966537669</v>
      </c>
      <c r="AP59">
        <v>94325.811954729375</v>
      </c>
      <c r="AQ59">
        <v>69422.248988191714</v>
      </c>
      <c r="AR59">
        <v>3.9819343736507952E-2</v>
      </c>
      <c r="AS59">
        <v>663.09475078263699</v>
      </c>
      <c r="AT59">
        <v>1054.823690586335</v>
      </c>
      <c r="AU59">
        <v>18.97433368852391</v>
      </c>
      <c r="AV59">
        <v>462.76136103142471</v>
      </c>
      <c r="AW59">
        <v>1752.774941449813</v>
      </c>
      <c r="AX59">
        <v>1290.013580418389</v>
      </c>
      <c r="AY59">
        <v>2.7221256531260272</v>
      </c>
      <c r="AZ59" t="s">
        <v>96</v>
      </c>
      <c r="BA59" t="str">
        <f>VLOOKUP($AZ59,Sheet1!$A$2:$B$58,2)</f>
        <v>1,3-Butanediol (PW1)</v>
      </c>
      <c r="BB59" t="s">
        <v>153</v>
      </c>
      <c r="BC59">
        <v>90.119200000000006</v>
      </c>
      <c r="BD59">
        <v>5.5</v>
      </c>
      <c r="BE59">
        <v>207</v>
      </c>
      <c r="BF59" t="s">
        <v>199</v>
      </c>
      <c r="BG59">
        <v>1.2556478319385911</v>
      </c>
      <c r="BH59">
        <v>0.30435897435897502</v>
      </c>
      <c r="BI59">
        <v>0.464553366975266</v>
      </c>
      <c r="BJ59">
        <v>80</v>
      </c>
      <c r="BK59">
        <v>4716.290597736469</v>
      </c>
      <c r="BL59">
        <v>3471.1124494095852</v>
      </c>
      <c r="BM59">
        <v>6.0689295111607224</v>
      </c>
      <c r="BN59">
        <v>1031.718016897323</v>
      </c>
      <c r="BO59">
        <v>3684.5725808391462</v>
      </c>
    </row>
    <row r="60" spans="1:67" x14ac:dyDescent="0.25">
      <c r="A60" s="1">
        <v>58</v>
      </c>
      <c r="B60" t="s">
        <v>66</v>
      </c>
      <c r="C60" t="s">
        <v>81</v>
      </c>
      <c r="D60">
        <v>2</v>
      </c>
      <c r="E60">
        <v>4</v>
      </c>
      <c r="F60">
        <v>2</v>
      </c>
      <c r="G60">
        <v>60.050759999999997</v>
      </c>
      <c r="H60">
        <v>8</v>
      </c>
      <c r="I60" t="s">
        <v>89</v>
      </c>
      <c r="J60">
        <v>4</v>
      </c>
      <c r="K60">
        <v>300</v>
      </c>
      <c r="L60">
        <v>70</v>
      </c>
      <c r="N60" t="s">
        <v>90</v>
      </c>
      <c r="O60">
        <v>30</v>
      </c>
      <c r="P60">
        <v>0.32500000000000001</v>
      </c>
      <c r="Q60">
        <v>3.2500000000000001E-2</v>
      </c>
      <c r="R60">
        <v>77.5</v>
      </c>
      <c r="S60">
        <v>170</v>
      </c>
      <c r="T60">
        <v>20</v>
      </c>
      <c r="U60">
        <v>1812.1301775147931</v>
      </c>
      <c r="V60">
        <v>20</v>
      </c>
      <c r="W60">
        <v>0.95</v>
      </c>
      <c r="X60">
        <v>1</v>
      </c>
      <c r="Y60">
        <v>91498.79602612133</v>
      </c>
      <c r="Z60">
        <v>274496388.07836401</v>
      </c>
      <c r="AA60">
        <v>1097985552.3134561</v>
      </c>
      <c r="AB60">
        <v>1097985.5523134561</v>
      </c>
      <c r="AC60">
        <v>0</v>
      </c>
      <c r="AD60">
        <v>2844.9545628127689</v>
      </c>
      <c r="AE60">
        <v>1280229.553265746</v>
      </c>
      <c r="AF60">
        <v>896160.68728602224</v>
      </c>
      <c r="AG60">
        <v>53.815130353647973</v>
      </c>
      <c r="AH60">
        <v>732.45773430993131</v>
      </c>
      <c r="AI60">
        <v>146.49154686198631</v>
      </c>
      <c r="AJ60">
        <v>35684.530450187332</v>
      </c>
      <c r="AK60">
        <v>854.70085470085473</v>
      </c>
      <c r="AL60" t="s">
        <v>93</v>
      </c>
      <c r="AM60">
        <v>56765.474409019676</v>
      </c>
      <c r="AN60">
        <v>1021.106240821528</v>
      </c>
      <c r="AO60">
        <v>24903.562966537669</v>
      </c>
      <c r="AP60">
        <v>94325.811954729375</v>
      </c>
      <c r="AQ60">
        <v>69422.248988191714</v>
      </c>
      <c r="AR60">
        <v>3.9819343736507952E-2</v>
      </c>
      <c r="AS60">
        <v>663.09475078263699</v>
      </c>
      <c r="AT60">
        <v>1054.823690586335</v>
      </c>
      <c r="AU60">
        <v>18.97433368852391</v>
      </c>
      <c r="AV60">
        <v>462.76136103142471</v>
      </c>
      <c r="AW60">
        <v>1752.774941449813</v>
      </c>
      <c r="AX60">
        <v>1290.013580418389</v>
      </c>
      <c r="AY60">
        <v>2.7221256531260272</v>
      </c>
      <c r="AZ60" t="s">
        <v>97</v>
      </c>
      <c r="BA60" t="str">
        <f>VLOOKUP($AZ60,Sheet1!$A$2:$B$58,2)</f>
        <v>1,3-Butanediol (PW2)</v>
      </c>
      <c r="BB60" t="s">
        <v>153</v>
      </c>
      <c r="BC60">
        <v>90.119200000000006</v>
      </c>
      <c r="BD60">
        <v>5.5</v>
      </c>
      <c r="BE60">
        <v>207</v>
      </c>
      <c r="BF60" t="s">
        <v>199</v>
      </c>
      <c r="BG60">
        <v>1.255647831938594</v>
      </c>
      <c r="BH60">
        <v>0.30435897435897402</v>
      </c>
      <c r="BI60">
        <v>0.464553366975266</v>
      </c>
      <c r="BJ60">
        <v>80</v>
      </c>
      <c r="BK60">
        <v>4716.290597736469</v>
      </c>
      <c r="BL60">
        <v>3471.1124494095852</v>
      </c>
      <c r="BM60">
        <v>6.0689295111607198</v>
      </c>
      <c r="BN60">
        <v>1031.7180168973221</v>
      </c>
      <c r="BO60">
        <v>3684.5725808391471</v>
      </c>
    </row>
    <row r="61" spans="1:67" x14ac:dyDescent="0.25">
      <c r="A61" s="1">
        <v>59</v>
      </c>
      <c r="B61" t="s">
        <v>66</v>
      </c>
      <c r="C61" t="s">
        <v>81</v>
      </c>
      <c r="D61">
        <v>2</v>
      </c>
      <c r="E61">
        <v>4</v>
      </c>
      <c r="F61">
        <v>2</v>
      </c>
      <c r="G61">
        <v>60.050759999999997</v>
      </c>
      <c r="H61">
        <v>8</v>
      </c>
      <c r="I61" t="s">
        <v>89</v>
      </c>
      <c r="J61">
        <v>4</v>
      </c>
      <c r="K61">
        <v>300</v>
      </c>
      <c r="L61">
        <v>70</v>
      </c>
      <c r="N61" t="s">
        <v>90</v>
      </c>
      <c r="O61">
        <v>30</v>
      </c>
      <c r="P61">
        <v>0.32500000000000001</v>
      </c>
      <c r="Q61">
        <v>3.2500000000000001E-2</v>
      </c>
      <c r="R61">
        <v>77.5</v>
      </c>
      <c r="S61">
        <v>170</v>
      </c>
      <c r="T61">
        <v>20</v>
      </c>
      <c r="U61">
        <v>1812.1301775147931</v>
      </c>
      <c r="V61">
        <v>20</v>
      </c>
      <c r="W61">
        <v>0.95</v>
      </c>
      <c r="X61">
        <v>1</v>
      </c>
      <c r="Y61">
        <v>94761.411170279083</v>
      </c>
      <c r="Z61">
        <v>284284233.51083732</v>
      </c>
      <c r="AA61">
        <v>1137136934.043349</v>
      </c>
      <c r="AB61">
        <v>1137136.934043349</v>
      </c>
      <c r="AC61">
        <v>0</v>
      </c>
      <c r="AD61">
        <v>2946.3984314121308</v>
      </c>
      <c r="AE61">
        <v>1325879.294135459</v>
      </c>
      <c r="AF61">
        <v>928115.50589482102</v>
      </c>
      <c r="AG61">
        <v>55.734041496768477</v>
      </c>
      <c r="AH61">
        <v>758.57532055372019</v>
      </c>
      <c r="AI61">
        <v>151.71506411074401</v>
      </c>
      <c r="AJ61">
        <v>36956.950356408837</v>
      </c>
      <c r="AK61">
        <v>854.70085470085473</v>
      </c>
      <c r="AL61" t="s">
        <v>93</v>
      </c>
      <c r="AM61">
        <v>58789.587342913313</v>
      </c>
      <c r="AN61">
        <v>1057.5163011697241</v>
      </c>
      <c r="AO61">
        <v>25791.56089882649</v>
      </c>
      <c r="AP61">
        <v>97658.754855192747</v>
      </c>
      <c r="AQ61">
        <v>71867.19395636626</v>
      </c>
      <c r="AR61">
        <v>3.9819343736507952E-2</v>
      </c>
      <c r="AS61">
        <v>663.09475078263699</v>
      </c>
      <c r="AT61">
        <v>1054.823690586335</v>
      </c>
      <c r="AU61">
        <v>18.97433368852391</v>
      </c>
      <c r="AV61">
        <v>462.76136103142471</v>
      </c>
      <c r="AW61">
        <v>1752.2281218535909</v>
      </c>
      <c r="AX61">
        <v>1289.466760822166</v>
      </c>
      <c r="AY61">
        <v>2.7221256531260281</v>
      </c>
      <c r="AZ61" t="s">
        <v>98</v>
      </c>
      <c r="BA61" t="str">
        <f>VLOOKUP($AZ61,Sheet1!$A$2:$B$58,2)</f>
        <v>1,3-Diaminopropane</v>
      </c>
      <c r="BB61" t="s">
        <v>154</v>
      </c>
      <c r="BC61">
        <v>76.139580000000009</v>
      </c>
      <c r="BD61">
        <v>6</v>
      </c>
      <c r="BE61">
        <v>139.30000000000001</v>
      </c>
      <c r="BF61" t="s">
        <v>199</v>
      </c>
      <c r="BG61">
        <v>1.589435495296285</v>
      </c>
      <c r="BH61">
        <v>0.34783783783783701</v>
      </c>
      <c r="BI61">
        <v>0.44855889378575797</v>
      </c>
      <c r="BJ61">
        <v>80</v>
      </c>
      <c r="BK61">
        <v>4882.9377427596364</v>
      </c>
      <c r="BL61">
        <v>3593.3596978183132</v>
      </c>
      <c r="BM61">
        <v>5.9963177102409162</v>
      </c>
      <c r="BN61">
        <v>1019.374010740956</v>
      </c>
      <c r="BO61">
        <v>3863.5637320186811</v>
      </c>
    </row>
    <row r="62" spans="1:67" x14ac:dyDescent="0.25">
      <c r="A62" s="1">
        <v>60</v>
      </c>
      <c r="B62" t="s">
        <v>66</v>
      </c>
      <c r="C62" t="s">
        <v>81</v>
      </c>
      <c r="D62">
        <v>2</v>
      </c>
      <c r="E62">
        <v>4</v>
      </c>
      <c r="F62">
        <v>2</v>
      </c>
      <c r="G62">
        <v>60.050759999999997</v>
      </c>
      <c r="H62">
        <v>8</v>
      </c>
      <c r="I62" t="s">
        <v>89</v>
      </c>
      <c r="J62">
        <v>4</v>
      </c>
      <c r="K62">
        <v>300</v>
      </c>
      <c r="L62">
        <v>70</v>
      </c>
      <c r="N62" t="s">
        <v>90</v>
      </c>
      <c r="O62">
        <v>30</v>
      </c>
      <c r="P62">
        <v>0.32500000000000001</v>
      </c>
      <c r="Q62">
        <v>3.2500000000000001E-2</v>
      </c>
      <c r="R62">
        <v>77.5</v>
      </c>
      <c r="S62">
        <v>170</v>
      </c>
      <c r="T62">
        <v>20</v>
      </c>
      <c r="U62">
        <v>1812.1301775147931</v>
      </c>
      <c r="V62">
        <v>20</v>
      </c>
      <c r="W62">
        <v>0.95</v>
      </c>
      <c r="X62">
        <v>1</v>
      </c>
      <c r="Y62">
        <v>94472.049672770328</v>
      </c>
      <c r="Z62">
        <v>283416149.01831102</v>
      </c>
      <c r="AA62">
        <v>1133664596.0732441</v>
      </c>
      <c r="AB62">
        <v>1133664.596073244</v>
      </c>
      <c r="AC62">
        <v>0</v>
      </c>
      <c r="AD62">
        <v>2937.4013697195942</v>
      </c>
      <c r="AE62">
        <v>1321830.616373817</v>
      </c>
      <c r="AF62">
        <v>925281.43146167218</v>
      </c>
      <c r="AG62">
        <v>55.56385317316132</v>
      </c>
      <c r="AH62">
        <v>756.25895054595219</v>
      </c>
      <c r="AI62">
        <v>151.25179010919041</v>
      </c>
      <c r="AJ62">
        <v>36844.099372380428</v>
      </c>
      <c r="AK62">
        <v>854.70085470085473</v>
      </c>
      <c r="AL62" t="s">
        <v>93</v>
      </c>
      <c r="AM62">
        <v>58610.068667311287</v>
      </c>
      <c r="AN62">
        <v>1054.2870911277109</v>
      </c>
      <c r="AO62">
        <v>25712.804318562379</v>
      </c>
      <c r="AP62">
        <v>97363.155985520294</v>
      </c>
      <c r="AQ62">
        <v>71650.351666957926</v>
      </c>
      <c r="AR62">
        <v>3.9819343736507931E-2</v>
      </c>
      <c r="AS62">
        <v>663.09475078263688</v>
      </c>
      <c r="AT62">
        <v>1054.823690586335</v>
      </c>
      <c r="AU62">
        <v>18.97433368852391</v>
      </c>
      <c r="AV62">
        <v>462.7613610314246</v>
      </c>
      <c r="AW62">
        <v>1752.2750929834549</v>
      </c>
      <c r="AX62">
        <v>1289.51373195203</v>
      </c>
      <c r="AY62">
        <v>2.7221256531260272</v>
      </c>
      <c r="AZ62" t="s">
        <v>99</v>
      </c>
      <c r="BA62" t="str">
        <f>VLOOKUP($AZ62,Sheet1!$A$2:$B$58,2)</f>
        <v>1,3-Propanediol</v>
      </c>
      <c r="BB62" t="s">
        <v>155</v>
      </c>
      <c r="BC62">
        <v>76.092820000000003</v>
      </c>
      <c r="BD62">
        <v>5.333333333333333</v>
      </c>
      <c r="BE62">
        <v>213</v>
      </c>
      <c r="BF62" t="s">
        <v>199</v>
      </c>
      <c r="BG62">
        <v>1.578221364874816</v>
      </c>
      <c r="BH62">
        <v>0.34911764705882398</v>
      </c>
      <c r="BI62">
        <v>0.44993279933429098</v>
      </c>
      <c r="BJ62">
        <v>80</v>
      </c>
      <c r="BK62">
        <v>4868.157799276014</v>
      </c>
      <c r="BL62">
        <v>3582.5175833478961</v>
      </c>
      <c r="BM62">
        <v>5.9843681405847056</v>
      </c>
      <c r="BN62">
        <v>1017.3425838994</v>
      </c>
      <c r="BO62">
        <v>3850.8152153766141</v>
      </c>
    </row>
    <row r="63" spans="1:67" x14ac:dyDescent="0.25">
      <c r="A63" s="1">
        <v>61</v>
      </c>
      <c r="B63" t="s">
        <v>66</v>
      </c>
      <c r="C63" t="s">
        <v>81</v>
      </c>
      <c r="D63">
        <v>2</v>
      </c>
      <c r="E63">
        <v>4</v>
      </c>
      <c r="F63">
        <v>2</v>
      </c>
      <c r="G63">
        <v>60.050759999999997</v>
      </c>
      <c r="H63">
        <v>8</v>
      </c>
      <c r="I63" t="s">
        <v>89</v>
      </c>
      <c r="J63">
        <v>4</v>
      </c>
      <c r="K63">
        <v>300</v>
      </c>
      <c r="L63">
        <v>70</v>
      </c>
      <c r="N63" t="s">
        <v>90</v>
      </c>
      <c r="O63">
        <v>30</v>
      </c>
      <c r="P63">
        <v>0.32500000000000001</v>
      </c>
      <c r="Q63">
        <v>3.2500000000000001E-2</v>
      </c>
      <c r="R63">
        <v>77.5</v>
      </c>
      <c r="S63">
        <v>170</v>
      </c>
      <c r="T63">
        <v>20</v>
      </c>
      <c r="U63">
        <v>1812.1301775147931</v>
      </c>
      <c r="V63">
        <v>20</v>
      </c>
      <c r="W63">
        <v>0.95</v>
      </c>
      <c r="X63">
        <v>1</v>
      </c>
      <c r="Y63">
        <v>100883.2879262364</v>
      </c>
      <c r="Z63">
        <v>302649863.77870917</v>
      </c>
      <c r="AA63">
        <v>1210599455.1148369</v>
      </c>
      <c r="AB63">
        <v>1210599.455114837</v>
      </c>
      <c r="AC63">
        <v>0</v>
      </c>
      <c r="AD63">
        <v>3136.7447743833118</v>
      </c>
      <c r="AE63">
        <v>1411535.14847249</v>
      </c>
      <c r="AF63">
        <v>988074.60393074329</v>
      </c>
      <c r="AG63">
        <v>59.334630902740123</v>
      </c>
      <c r="AH63">
        <v>807.5816044955659</v>
      </c>
      <c r="AI63">
        <v>161.5163208991132</v>
      </c>
      <c r="AJ63">
        <v>39344.482291232212</v>
      </c>
      <c r="AK63">
        <v>854.70085470085473</v>
      </c>
      <c r="AL63" t="s">
        <v>93</v>
      </c>
      <c r="AM63">
        <v>62587.574348406357</v>
      </c>
      <c r="AN63">
        <v>1125.835086033994</v>
      </c>
      <c r="AO63">
        <v>27457.774552849249</v>
      </c>
      <c r="AP63">
        <v>103912.5925803734</v>
      </c>
      <c r="AQ63">
        <v>76454.818027524161</v>
      </c>
      <c r="AR63">
        <v>3.9819343736507938E-2</v>
      </c>
      <c r="AS63">
        <v>663.09475078263699</v>
      </c>
      <c r="AT63">
        <v>1054.823690586335</v>
      </c>
      <c r="AU63">
        <v>18.97433368852391</v>
      </c>
      <c r="AV63">
        <v>462.76136103142471</v>
      </c>
      <c r="AW63">
        <v>1751.297530622621</v>
      </c>
      <c r="AX63">
        <v>1288.5361695911961</v>
      </c>
      <c r="AY63">
        <v>2.7221256531260272</v>
      </c>
      <c r="AZ63" t="s">
        <v>100</v>
      </c>
      <c r="BA63" t="str">
        <f>VLOOKUP($AZ63,Sheet1!$A$2:$B$58,2)</f>
        <v>1,4-Butanediol</v>
      </c>
      <c r="BB63" t="s">
        <v>153</v>
      </c>
      <c r="BC63">
        <v>90.119200000000006</v>
      </c>
      <c r="BD63">
        <v>5.5</v>
      </c>
      <c r="BE63">
        <v>230</v>
      </c>
      <c r="BF63" t="s">
        <v>199</v>
      </c>
      <c r="BG63">
        <v>1.584782257086323</v>
      </c>
      <c r="BH63">
        <v>0.276046511627907</v>
      </c>
      <c r="BI63">
        <v>0.42133910027989202</v>
      </c>
      <c r="BJ63">
        <v>80</v>
      </c>
      <c r="BK63">
        <v>5195.6296290186701</v>
      </c>
      <c r="BL63">
        <v>3822.7409013762081</v>
      </c>
      <c r="BM63">
        <v>6.4910337878693367</v>
      </c>
      <c r="BN63">
        <v>1103.475743937787</v>
      </c>
      <c r="BO63">
        <v>4092.1538850808829</v>
      </c>
    </row>
    <row r="64" spans="1:67" x14ac:dyDescent="0.25">
      <c r="A64" s="1">
        <v>62</v>
      </c>
      <c r="B64" t="s">
        <v>66</v>
      </c>
      <c r="C64" t="s">
        <v>81</v>
      </c>
      <c r="D64">
        <v>2</v>
      </c>
      <c r="E64">
        <v>4</v>
      </c>
      <c r="F64">
        <v>2</v>
      </c>
      <c r="G64">
        <v>60.050759999999997</v>
      </c>
      <c r="H64">
        <v>8</v>
      </c>
      <c r="I64" t="s">
        <v>89</v>
      </c>
      <c r="J64">
        <v>4</v>
      </c>
      <c r="K64">
        <v>300</v>
      </c>
      <c r="L64">
        <v>70</v>
      </c>
      <c r="N64" t="s">
        <v>90</v>
      </c>
      <c r="O64">
        <v>30</v>
      </c>
      <c r="P64">
        <v>0.32500000000000001</v>
      </c>
      <c r="Q64">
        <v>3.2500000000000001E-2</v>
      </c>
      <c r="R64">
        <v>77.5</v>
      </c>
      <c r="S64">
        <v>170</v>
      </c>
      <c r="T64">
        <v>20</v>
      </c>
      <c r="U64">
        <v>1812.1301775147931</v>
      </c>
      <c r="V64">
        <v>20</v>
      </c>
      <c r="W64">
        <v>0.95</v>
      </c>
      <c r="X64">
        <v>1</v>
      </c>
      <c r="Y64">
        <v>130178.72466111831</v>
      </c>
      <c r="Z64">
        <v>390536173.98335493</v>
      </c>
      <c r="AA64">
        <v>1562144695.9334199</v>
      </c>
      <c r="AB64">
        <v>1562144.69593342</v>
      </c>
      <c r="AC64">
        <v>0</v>
      </c>
      <c r="AD64">
        <v>4047.622185105763</v>
      </c>
      <c r="AE64">
        <v>1821429.983297593</v>
      </c>
      <c r="AF64">
        <v>1275000.9883083149</v>
      </c>
      <c r="AG64">
        <v>76.564778348665442</v>
      </c>
      <c r="AH64">
        <v>1042.0947363440521</v>
      </c>
      <c r="AI64">
        <v>208.4189472688104</v>
      </c>
      <c r="AJ64">
        <v>50769.702617836141</v>
      </c>
      <c r="AK64">
        <v>854.70085470085473</v>
      </c>
      <c r="AL64" t="s">
        <v>93</v>
      </c>
      <c r="AM64">
        <v>80762.342066664016</v>
      </c>
      <c r="AN64">
        <v>1452.765653175449</v>
      </c>
      <c r="AO64">
        <v>35431.221035697767</v>
      </c>
      <c r="AP64">
        <v>133839.51119237641</v>
      </c>
      <c r="AQ64">
        <v>98408.290156678675</v>
      </c>
      <c r="AR64">
        <v>3.9819343736507931E-2</v>
      </c>
      <c r="AS64">
        <v>663.09475078263688</v>
      </c>
      <c r="AT64">
        <v>1054.823690586335</v>
      </c>
      <c r="AU64">
        <v>18.974333688523899</v>
      </c>
      <c r="AV64">
        <v>462.76136103142449</v>
      </c>
      <c r="AW64">
        <v>1748.055882600348</v>
      </c>
      <c r="AX64">
        <v>1285.294521568924</v>
      </c>
      <c r="AY64">
        <v>2.7221256531260272</v>
      </c>
      <c r="AZ64" t="s">
        <v>101</v>
      </c>
      <c r="BA64" t="str">
        <f>VLOOKUP($AZ64,Sheet1!$A$2:$B$58,2)</f>
        <v>1-Propanol (PW1)</v>
      </c>
      <c r="BB64" t="s">
        <v>156</v>
      </c>
      <c r="BC64">
        <v>60.093820000000001</v>
      </c>
      <c r="BD64">
        <v>6</v>
      </c>
      <c r="BE64">
        <v>97</v>
      </c>
      <c r="BF64" t="s">
        <v>199</v>
      </c>
      <c r="BG64">
        <v>2.368584865343125</v>
      </c>
      <c r="BH64">
        <v>0.32081081081081098</v>
      </c>
      <c r="BI64">
        <v>0.32652089562844999</v>
      </c>
      <c r="BJ64">
        <v>80</v>
      </c>
      <c r="BK64">
        <v>6691.9755596188224</v>
      </c>
      <c r="BL64">
        <v>4920.4145078339334</v>
      </c>
      <c r="BM64">
        <v>8.0523624980973949</v>
      </c>
      <c r="BN64">
        <v>1368.901624676557</v>
      </c>
      <c r="BO64">
        <v>5323.0739349422656</v>
      </c>
    </row>
    <row r="65" spans="1:67" x14ac:dyDescent="0.25">
      <c r="A65" s="1">
        <v>63</v>
      </c>
      <c r="B65" t="s">
        <v>66</v>
      </c>
      <c r="C65" t="s">
        <v>81</v>
      </c>
      <c r="D65">
        <v>2</v>
      </c>
      <c r="E65">
        <v>4</v>
      </c>
      <c r="F65">
        <v>2</v>
      </c>
      <c r="G65">
        <v>60.050759999999997</v>
      </c>
      <c r="H65">
        <v>8</v>
      </c>
      <c r="I65" t="s">
        <v>89</v>
      </c>
      <c r="J65">
        <v>4</v>
      </c>
      <c r="K65">
        <v>300</v>
      </c>
      <c r="L65">
        <v>70</v>
      </c>
      <c r="N65" t="s">
        <v>90</v>
      </c>
      <c r="O65">
        <v>30</v>
      </c>
      <c r="P65">
        <v>0.32500000000000001</v>
      </c>
      <c r="Q65">
        <v>3.2500000000000001E-2</v>
      </c>
      <c r="R65">
        <v>77.5</v>
      </c>
      <c r="S65">
        <v>170</v>
      </c>
      <c r="T65">
        <v>20</v>
      </c>
      <c r="U65">
        <v>1812.1301775147931</v>
      </c>
      <c r="V65">
        <v>20</v>
      </c>
      <c r="W65">
        <v>0.95</v>
      </c>
      <c r="X65">
        <v>1</v>
      </c>
      <c r="Y65">
        <v>137911.15337033049</v>
      </c>
      <c r="Z65">
        <v>413733460.11099148</v>
      </c>
      <c r="AA65">
        <v>1654933840.4439659</v>
      </c>
      <c r="AB65">
        <v>1654933.840443966</v>
      </c>
      <c r="AC65">
        <v>0</v>
      </c>
      <c r="AD65">
        <v>4288.0451118906958</v>
      </c>
      <c r="AE65">
        <v>1929620.300350813</v>
      </c>
      <c r="AF65">
        <v>1350734.210245569</v>
      </c>
      <c r="AG65">
        <v>81.112615883246193</v>
      </c>
      <c r="AH65">
        <v>1103.993662439711</v>
      </c>
      <c r="AI65">
        <v>220.79873248794209</v>
      </c>
      <c r="AJ65">
        <v>53785.349814428897</v>
      </c>
      <c r="AK65">
        <v>854.70085470085473</v>
      </c>
      <c r="AL65" t="s">
        <v>93</v>
      </c>
      <c r="AM65">
        <v>85559.508839077564</v>
      </c>
      <c r="AN65">
        <v>1539.0578401177779</v>
      </c>
      <c r="AO65">
        <v>37535.784522950162</v>
      </c>
      <c r="AP65">
        <v>141738.61734832509</v>
      </c>
      <c r="AQ65">
        <v>104202.83282537491</v>
      </c>
      <c r="AR65">
        <v>3.9819343736507938E-2</v>
      </c>
      <c r="AS65">
        <v>663.09475078263699</v>
      </c>
      <c r="AT65">
        <v>1054.823690586335</v>
      </c>
      <c r="AU65">
        <v>18.97433368852391</v>
      </c>
      <c r="AV65">
        <v>462.7613610314246</v>
      </c>
      <c r="AW65">
        <v>1747.4299873689711</v>
      </c>
      <c r="AX65">
        <v>1284.6686263375459</v>
      </c>
      <c r="AY65">
        <v>2.7221256531260272</v>
      </c>
      <c r="AZ65" t="s">
        <v>102</v>
      </c>
      <c r="BA65" t="str">
        <f>VLOOKUP($AZ65,Sheet1!$A$2:$B$58,2)</f>
        <v>1-Propanol (PW2)</v>
      </c>
      <c r="BB65" t="s">
        <v>156</v>
      </c>
      <c r="BC65">
        <v>60.093820000000001</v>
      </c>
      <c r="BD65">
        <v>6</v>
      </c>
      <c r="BE65">
        <v>97</v>
      </c>
      <c r="BF65" t="s">
        <v>199</v>
      </c>
      <c r="BG65">
        <v>2.639777861755769</v>
      </c>
      <c r="BH65">
        <v>0.30282352941176499</v>
      </c>
      <c r="BI65">
        <v>0.308213460110633</v>
      </c>
      <c r="BJ65">
        <v>80</v>
      </c>
      <c r="BK65">
        <v>7086.9308674162548</v>
      </c>
      <c r="BL65">
        <v>5210.1416412687468</v>
      </c>
      <c r="BM65">
        <v>8.4001587626413379</v>
      </c>
      <c r="BN65">
        <v>1428.026989649027</v>
      </c>
      <c r="BO65">
        <v>5658.9038777672276</v>
      </c>
    </row>
    <row r="66" spans="1:67" x14ac:dyDescent="0.25">
      <c r="A66" s="1">
        <v>64</v>
      </c>
      <c r="B66" t="s">
        <v>66</v>
      </c>
      <c r="C66" t="s">
        <v>81</v>
      </c>
      <c r="D66">
        <v>2</v>
      </c>
      <c r="E66">
        <v>4</v>
      </c>
      <c r="F66">
        <v>2</v>
      </c>
      <c r="G66">
        <v>60.050759999999997</v>
      </c>
      <c r="H66">
        <v>8</v>
      </c>
      <c r="I66" t="s">
        <v>89</v>
      </c>
      <c r="J66">
        <v>4</v>
      </c>
      <c r="K66">
        <v>300</v>
      </c>
      <c r="L66">
        <v>70</v>
      </c>
      <c r="N66" t="s">
        <v>90</v>
      </c>
      <c r="O66">
        <v>30</v>
      </c>
      <c r="P66">
        <v>0.32500000000000001</v>
      </c>
      <c r="Q66">
        <v>3.2500000000000001E-2</v>
      </c>
      <c r="R66">
        <v>77.5</v>
      </c>
      <c r="S66">
        <v>170</v>
      </c>
      <c r="T66">
        <v>20</v>
      </c>
      <c r="U66">
        <v>1812.1301775147931</v>
      </c>
      <c r="V66">
        <v>20</v>
      </c>
      <c r="W66">
        <v>0.95</v>
      </c>
      <c r="X66">
        <v>1</v>
      </c>
      <c r="Y66">
        <v>93044.648615728351</v>
      </c>
      <c r="Z66">
        <v>279133945.84718508</v>
      </c>
      <c r="AA66">
        <v>1116535783.3887401</v>
      </c>
      <c r="AB66">
        <v>1116535.7833887399</v>
      </c>
      <c r="AC66">
        <v>0</v>
      </c>
      <c r="AD66">
        <v>2893.019461688411</v>
      </c>
      <c r="AE66">
        <v>1301858.757759785</v>
      </c>
      <c r="AF66">
        <v>911301.13043184939</v>
      </c>
      <c r="AG66">
        <v>54.724325471291692</v>
      </c>
      <c r="AH66">
        <v>744.83245107710559</v>
      </c>
      <c r="AI66">
        <v>148.96649021542109</v>
      </c>
      <c r="AJ66">
        <v>36287.412960134061</v>
      </c>
      <c r="AK66">
        <v>854.70085470085473</v>
      </c>
      <c r="AL66" t="s">
        <v>93</v>
      </c>
      <c r="AM66">
        <v>57724.51495847568</v>
      </c>
      <c r="AN66">
        <v>1038.3576123716771</v>
      </c>
      <c r="AO66">
        <v>25324.30333662159</v>
      </c>
      <c r="AP66">
        <v>95904.986385682278</v>
      </c>
      <c r="AQ66">
        <v>70580.683049060695</v>
      </c>
      <c r="AR66">
        <v>3.9819343736507931E-2</v>
      </c>
      <c r="AS66">
        <v>663.09475078263688</v>
      </c>
      <c r="AT66">
        <v>1054.823690586335</v>
      </c>
      <c r="AU66">
        <v>18.97433368852391</v>
      </c>
      <c r="AV66">
        <v>462.76136103142449</v>
      </c>
      <c r="AW66">
        <v>1752.5110736356889</v>
      </c>
      <c r="AX66">
        <v>1289.7497126042649</v>
      </c>
      <c r="AY66">
        <v>2.7221256531260258</v>
      </c>
      <c r="AZ66" t="s">
        <v>103</v>
      </c>
      <c r="BA66" t="str">
        <f>VLOOKUP($AZ66,Sheet1!$A$2:$B$58,2)</f>
        <v>2,3-Butanediol</v>
      </c>
      <c r="BB66" t="s">
        <v>153</v>
      </c>
      <c r="BC66">
        <v>90.119200000000006</v>
      </c>
      <c r="BD66">
        <v>5.5</v>
      </c>
      <c r="BE66">
        <v>177</v>
      </c>
      <c r="BF66" t="s">
        <v>199</v>
      </c>
      <c r="BG66">
        <v>1.309864225203019</v>
      </c>
      <c r="BH66">
        <v>0.29930232558139502</v>
      </c>
      <c r="BI66">
        <v>0.45683523341214999</v>
      </c>
      <c r="BJ66">
        <v>80</v>
      </c>
      <c r="BK66">
        <v>4795.2493192841139</v>
      </c>
      <c r="BL66">
        <v>3529.034152453034</v>
      </c>
      <c r="BM66">
        <v>6.1384602855680352</v>
      </c>
      <c r="BN66">
        <v>1043.5382485465659</v>
      </c>
      <c r="BO66">
        <v>3751.7110707375482</v>
      </c>
    </row>
    <row r="67" spans="1:67" x14ac:dyDescent="0.25">
      <c r="A67" s="1">
        <v>65</v>
      </c>
      <c r="B67" t="s">
        <v>66</v>
      </c>
      <c r="C67" t="s">
        <v>81</v>
      </c>
      <c r="D67">
        <v>2</v>
      </c>
      <c r="E67">
        <v>4</v>
      </c>
      <c r="F67">
        <v>2</v>
      </c>
      <c r="G67">
        <v>60.050759999999997</v>
      </c>
      <c r="H67">
        <v>8</v>
      </c>
      <c r="I67" t="s">
        <v>89</v>
      </c>
      <c r="J67">
        <v>4</v>
      </c>
      <c r="K67">
        <v>300</v>
      </c>
      <c r="L67">
        <v>70</v>
      </c>
      <c r="N67" t="s">
        <v>90</v>
      </c>
      <c r="O67">
        <v>30</v>
      </c>
      <c r="P67">
        <v>0.32500000000000001</v>
      </c>
      <c r="Q67">
        <v>3.2500000000000001E-2</v>
      </c>
      <c r="R67">
        <v>77.5</v>
      </c>
      <c r="S67">
        <v>170</v>
      </c>
      <c r="T67">
        <v>20</v>
      </c>
      <c r="U67">
        <v>1812.1301775147931</v>
      </c>
      <c r="V67">
        <v>20</v>
      </c>
      <c r="W67">
        <v>0.95</v>
      </c>
      <c r="X67">
        <v>1</v>
      </c>
      <c r="Y67">
        <v>148220.95537686741</v>
      </c>
      <c r="Z67">
        <v>444662866.130602</v>
      </c>
      <c r="AA67">
        <v>1778651464.522408</v>
      </c>
      <c r="AB67">
        <v>1778651.4645224081</v>
      </c>
      <c r="AC67">
        <v>0</v>
      </c>
      <c r="AD67">
        <v>4608.6058136054999</v>
      </c>
      <c r="AE67">
        <v>2073872.6161224749</v>
      </c>
      <c r="AF67">
        <v>1451710.831285733</v>
      </c>
      <c r="AG67">
        <v>87.176338718940016</v>
      </c>
      <c r="AH67">
        <v>1186.524739862152</v>
      </c>
      <c r="AI67">
        <v>237.30494797243031</v>
      </c>
      <c r="AJ67">
        <v>57806.172596978256</v>
      </c>
      <c r="AK67">
        <v>854.70085470085473</v>
      </c>
      <c r="AL67" t="s">
        <v>93</v>
      </c>
      <c r="AM67">
        <v>91955.667339316744</v>
      </c>
      <c r="AN67">
        <v>1654.112940596955</v>
      </c>
      <c r="AO67">
        <v>40341.841155313159</v>
      </c>
      <c r="AP67">
        <v>152270.65373159281</v>
      </c>
      <c r="AQ67">
        <v>111928.8125762796</v>
      </c>
      <c r="AR67">
        <v>3.9819343736507938E-2</v>
      </c>
      <c r="AS67">
        <v>663.09475078263699</v>
      </c>
      <c r="AT67">
        <v>1054.823690586335</v>
      </c>
      <c r="AU67">
        <v>18.97433368852391</v>
      </c>
      <c r="AV67">
        <v>462.7613610314246</v>
      </c>
      <c r="AW67">
        <v>1746.697050704543</v>
      </c>
      <c r="AX67">
        <v>1283.935689673119</v>
      </c>
      <c r="AY67">
        <v>2.7221256531260272</v>
      </c>
      <c r="AZ67" t="s">
        <v>104</v>
      </c>
      <c r="BA67" t="str">
        <f>VLOOKUP($AZ67,Sheet1!$A$2:$B$58,2)</f>
        <v>2-Methyl-1-Butanol</v>
      </c>
      <c r="BB67" t="s">
        <v>157</v>
      </c>
      <c r="BC67">
        <v>88.14658</v>
      </c>
      <c r="BD67">
        <v>6</v>
      </c>
      <c r="BE67">
        <v>129</v>
      </c>
      <c r="BF67" t="s">
        <v>199</v>
      </c>
      <c r="BG67">
        <v>2.7020194796414798</v>
      </c>
      <c r="BH67">
        <v>0.192089552238806</v>
      </c>
      <c r="BI67">
        <v>0.28677506267613501</v>
      </c>
      <c r="BJ67">
        <v>80</v>
      </c>
      <c r="BK67">
        <v>7613.5326865796414</v>
      </c>
      <c r="BL67">
        <v>5596.4406288139826</v>
      </c>
      <c r="BM67">
        <v>9.1632279189800379</v>
      </c>
      <c r="BN67">
        <v>1557.748746226606</v>
      </c>
      <c r="BO67">
        <v>6055.7839403530343</v>
      </c>
    </row>
    <row r="68" spans="1:67" x14ac:dyDescent="0.25">
      <c r="A68" s="1">
        <v>66</v>
      </c>
      <c r="B68" t="s">
        <v>66</v>
      </c>
      <c r="C68" t="s">
        <v>81</v>
      </c>
      <c r="D68">
        <v>2</v>
      </c>
      <c r="E68">
        <v>4</v>
      </c>
      <c r="F68">
        <v>2</v>
      </c>
      <c r="G68">
        <v>60.050759999999997</v>
      </c>
      <c r="H68">
        <v>8</v>
      </c>
      <c r="I68" t="s">
        <v>89</v>
      </c>
      <c r="J68">
        <v>4</v>
      </c>
      <c r="K68">
        <v>300</v>
      </c>
      <c r="L68">
        <v>70</v>
      </c>
      <c r="N68" t="s">
        <v>90</v>
      </c>
      <c r="O68">
        <v>30</v>
      </c>
      <c r="P68">
        <v>0.32500000000000001</v>
      </c>
      <c r="Q68">
        <v>3.2500000000000001E-2</v>
      </c>
      <c r="R68">
        <v>77.5</v>
      </c>
      <c r="S68">
        <v>170</v>
      </c>
      <c r="T68">
        <v>20</v>
      </c>
      <c r="U68">
        <v>1812.1301775147931</v>
      </c>
      <c r="V68">
        <v>20</v>
      </c>
      <c r="W68">
        <v>0.95</v>
      </c>
      <c r="X68">
        <v>1</v>
      </c>
      <c r="Y68">
        <v>64638.333052094473</v>
      </c>
      <c r="Z68">
        <v>193914999.15628341</v>
      </c>
      <c r="AA68">
        <v>775659996.62513363</v>
      </c>
      <c r="AB68">
        <v>775659.99662513367</v>
      </c>
      <c r="AC68">
        <v>0</v>
      </c>
      <c r="AD68">
        <v>2009.787325471138</v>
      </c>
      <c r="AE68">
        <v>904404.29646201222</v>
      </c>
      <c r="AF68">
        <v>633083.00752340851</v>
      </c>
      <c r="AG68">
        <v>38.017115744866388</v>
      </c>
      <c r="AH68">
        <v>517.43683013481098</v>
      </c>
      <c r="AI68">
        <v>103.48736602696221</v>
      </c>
      <c r="AJ68">
        <v>25208.94989031685</v>
      </c>
      <c r="AK68">
        <v>1835.336538461539</v>
      </c>
      <c r="AL68" t="s">
        <v>94</v>
      </c>
      <c r="AM68">
        <v>40101.354335447853</v>
      </c>
      <c r="AN68">
        <v>721.34944001833117</v>
      </c>
      <c r="AO68">
        <v>17592.85222458357</v>
      </c>
      <c r="AP68">
        <v>67866.990204244561</v>
      </c>
      <c r="AQ68">
        <v>50274.137979660984</v>
      </c>
      <c r="AR68">
        <v>3.9819343736507938E-2</v>
      </c>
      <c r="AS68">
        <v>663.09475078263699</v>
      </c>
      <c r="AT68">
        <v>1054.823690586335</v>
      </c>
      <c r="AU68">
        <v>18.97433368852391</v>
      </c>
      <c r="AV68">
        <v>462.76136103142449</v>
      </c>
      <c r="AW68">
        <v>1785.169360550686</v>
      </c>
      <c r="AX68">
        <v>1322.407999519261</v>
      </c>
      <c r="AY68">
        <v>2.7221256531260272</v>
      </c>
      <c r="AZ68" t="s">
        <v>105</v>
      </c>
      <c r="BA68" t="str">
        <f>VLOOKUP($AZ68,Sheet1!$A$2:$B$58,2)</f>
        <v>2-Pyrone-4,6-Dicarboxylate</v>
      </c>
      <c r="BB68" t="s">
        <v>158</v>
      </c>
      <c r="BC68">
        <v>182.08457999999999</v>
      </c>
      <c r="BD68">
        <v>2.5714285714285721</v>
      </c>
      <c r="BE68">
        <v>355.5</v>
      </c>
      <c r="BF68" t="s">
        <v>199</v>
      </c>
      <c r="BG68">
        <v>0.57510008603838247</v>
      </c>
      <c r="BH68">
        <v>0.213233532934132</v>
      </c>
      <c r="BI68">
        <v>0.65759854502838899</v>
      </c>
      <c r="BJ68">
        <v>80</v>
      </c>
      <c r="BK68">
        <v>3393.349510212227</v>
      </c>
      <c r="BL68">
        <v>2513.7068989830491</v>
      </c>
      <c r="BM68">
        <v>4.5992682153097286</v>
      </c>
      <c r="BN68">
        <v>781.8755966026539</v>
      </c>
      <c r="BO68">
        <v>2611.4739136095741</v>
      </c>
    </row>
    <row r="69" spans="1:67" x14ac:dyDescent="0.25">
      <c r="A69" s="1">
        <v>67</v>
      </c>
      <c r="B69" t="s">
        <v>66</v>
      </c>
      <c r="C69" t="s">
        <v>81</v>
      </c>
      <c r="D69">
        <v>2</v>
      </c>
      <c r="E69">
        <v>4</v>
      </c>
      <c r="F69">
        <v>2</v>
      </c>
      <c r="G69">
        <v>60.050759999999997</v>
      </c>
      <c r="H69">
        <v>8</v>
      </c>
      <c r="I69" t="s">
        <v>89</v>
      </c>
      <c r="J69">
        <v>4</v>
      </c>
      <c r="K69">
        <v>300</v>
      </c>
      <c r="L69">
        <v>70</v>
      </c>
      <c r="N69" t="s">
        <v>90</v>
      </c>
      <c r="O69">
        <v>30</v>
      </c>
      <c r="P69">
        <v>0.32500000000000001</v>
      </c>
      <c r="Q69">
        <v>3.2500000000000001E-2</v>
      </c>
      <c r="R69">
        <v>77.5</v>
      </c>
      <c r="S69">
        <v>170</v>
      </c>
      <c r="T69">
        <v>20</v>
      </c>
      <c r="U69">
        <v>1812.1301775147931</v>
      </c>
      <c r="V69">
        <v>20</v>
      </c>
      <c r="W69">
        <v>0.95</v>
      </c>
      <c r="X69">
        <v>1</v>
      </c>
      <c r="Y69">
        <v>152684.26542837589</v>
      </c>
      <c r="Z69">
        <v>458052796.28512782</v>
      </c>
      <c r="AA69">
        <v>1832211185.140511</v>
      </c>
      <c r="AB69">
        <v>1832211.185140511</v>
      </c>
      <c r="AC69">
        <v>0</v>
      </c>
      <c r="AD69">
        <v>4747.3826592883916</v>
      </c>
      <c r="AE69">
        <v>2136322.196679777</v>
      </c>
      <c r="AF69">
        <v>1495425.537675844</v>
      </c>
      <c r="AG69">
        <v>89.801440060843035</v>
      </c>
      <c r="AH69">
        <v>1222.254018386401</v>
      </c>
      <c r="AI69">
        <v>244.45080367728019</v>
      </c>
      <c r="AJ69">
        <v>59546.863517066617</v>
      </c>
      <c r="AK69">
        <v>854.70085470085473</v>
      </c>
      <c r="AL69" t="s">
        <v>93</v>
      </c>
      <c r="AM69">
        <v>94724.686424946078</v>
      </c>
      <c r="AN69">
        <v>1703.9224894244151</v>
      </c>
      <c r="AO69">
        <v>41556.636625137631</v>
      </c>
      <c r="AP69">
        <v>156830.17328613799</v>
      </c>
      <c r="AQ69">
        <v>115273.5366610003</v>
      </c>
      <c r="AR69">
        <v>3.9819343736507938E-2</v>
      </c>
      <c r="AS69">
        <v>663.09475078263699</v>
      </c>
      <c r="AT69">
        <v>1054.8236905863359</v>
      </c>
      <c r="AU69">
        <v>18.97433368852391</v>
      </c>
      <c r="AV69">
        <v>462.76136103142471</v>
      </c>
      <c r="AW69">
        <v>1746.410449318864</v>
      </c>
      <c r="AX69">
        <v>1283.64908828744</v>
      </c>
      <c r="AY69">
        <v>2.7221256531260281</v>
      </c>
      <c r="AZ69" t="s">
        <v>106</v>
      </c>
      <c r="BA69" t="str">
        <f>VLOOKUP($AZ69,Sheet1!$A$2:$B$58,2)</f>
        <v>3-Methyl-1-Pentanol</v>
      </c>
      <c r="BB69" t="s">
        <v>159</v>
      </c>
      <c r="BC69">
        <v>102.17296</v>
      </c>
      <c r="BD69">
        <v>6</v>
      </c>
      <c r="BE69">
        <v>153</v>
      </c>
      <c r="BF69" t="s">
        <v>199</v>
      </c>
      <c r="BG69">
        <v>2.7705262442515819</v>
      </c>
      <c r="BH69">
        <v>0.16087499999999999</v>
      </c>
      <c r="BI69">
        <v>0.27839197214500999</v>
      </c>
      <c r="BJ69">
        <v>80</v>
      </c>
      <c r="BK69">
        <v>7841.508664306898</v>
      </c>
      <c r="BL69">
        <v>5763.6768330500172</v>
      </c>
      <c r="BM69">
        <v>9.4520139396124296</v>
      </c>
      <c r="BN69">
        <v>1606.8423697341129</v>
      </c>
      <c r="BO69">
        <v>6234.6662945727849</v>
      </c>
    </row>
    <row r="70" spans="1:67" x14ac:dyDescent="0.25">
      <c r="A70" s="1">
        <v>68</v>
      </c>
      <c r="B70" t="s">
        <v>66</v>
      </c>
      <c r="C70" t="s">
        <v>81</v>
      </c>
      <c r="D70">
        <v>2</v>
      </c>
      <c r="E70">
        <v>4</v>
      </c>
      <c r="F70">
        <v>2</v>
      </c>
      <c r="G70">
        <v>60.050759999999997</v>
      </c>
      <c r="H70">
        <v>8</v>
      </c>
      <c r="I70" t="s">
        <v>89</v>
      </c>
      <c r="J70">
        <v>4</v>
      </c>
      <c r="K70">
        <v>300</v>
      </c>
      <c r="L70">
        <v>70</v>
      </c>
      <c r="N70" t="s">
        <v>90</v>
      </c>
      <c r="O70">
        <v>30</v>
      </c>
      <c r="P70">
        <v>0.32500000000000001</v>
      </c>
      <c r="Q70">
        <v>3.2500000000000001E-2</v>
      </c>
      <c r="R70">
        <v>77.5</v>
      </c>
      <c r="S70">
        <v>170</v>
      </c>
      <c r="T70">
        <v>20</v>
      </c>
      <c r="U70">
        <v>1812.1301775147931</v>
      </c>
      <c r="V70">
        <v>20</v>
      </c>
      <c r="W70">
        <v>0.95</v>
      </c>
      <c r="X70">
        <v>1</v>
      </c>
      <c r="Y70">
        <v>153105.70203940541</v>
      </c>
      <c r="Z70">
        <v>459317106.11821622</v>
      </c>
      <c r="AA70">
        <v>1837268424.4728651</v>
      </c>
      <c r="AB70">
        <v>1837268.424472865</v>
      </c>
      <c r="AC70">
        <v>0</v>
      </c>
      <c r="AD70">
        <v>4760.4863072221024</v>
      </c>
      <c r="AE70">
        <v>2142218.838249946</v>
      </c>
      <c r="AF70">
        <v>1499553.1867749621</v>
      </c>
      <c r="AG70">
        <v>90.049308526258429</v>
      </c>
      <c r="AH70">
        <v>1225.627663927942</v>
      </c>
      <c r="AI70">
        <v>245.12553278558829</v>
      </c>
      <c r="AJ70">
        <v>59711.223795368111</v>
      </c>
      <c r="AK70">
        <v>854.70085470085473</v>
      </c>
      <c r="AL70" t="s">
        <v>93</v>
      </c>
      <c r="AM70">
        <v>94986.143954415471</v>
      </c>
      <c r="AN70">
        <v>1708.625628398069</v>
      </c>
      <c r="AO70">
        <v>41671.340573550013</v>
      </c>
      <c r="AP70">
        <v>157260.6942328825</v>
      </c>
      <c r="AQ70">
        <v>115589.3536593325</v>
      </c>
      <c r="AR70">
        <v>3.9819343736507938E-2</v>
      </c>
      <c r="AS70">
        <v>663.09475078263699</v>
      </c>
      <c r="AT70">
        <v>1054.823690586335</v>
      </c>
      <c r="AU70">
        <v>18.97433368852391</v>
      </c>
      <c r="AV70">
        <v>462.7613610314246</v>
      </c>
      <c r="AW70">
        <v>1746.3842511019971</v>
      </c>
      <c r="AX70">
        <v>1283.6228900705721</v>
      </c>
      <c r="AY70">
        <v>2.7221256531260272</v>
      </c>
      <c r="AZ70" t="s">
        <v>107</v>
      </c>
      <c r="BA70" t="str">
        <f>VLOOKUP($AZ70,Sheet1!$A$2:$B$58,2)</f>
        <v>4-Hydroxystyrene</v>
      </c>
      <c r="BB70" t="s">
        <v>160</v>
      </c>
      <c r="BC70">
        <v>120.14731999999999</v>
      </c>
      <c r="BD70">
        <v>4.75</v>
      </c>
      <c r="BE70">
        <v>229</v>
      </c>
      <c r="BF70" t="s">
        <v>199</v>
      </c>
      <c r="BG70">
        <v>2.4393456230304609</v>
      </c>
      <c r="BH70">
        <v>0.13643109540636</v>
      </c>
      <c r="BI70">
        <v>0.27762567430165203</v>
      </c>
      <c r="BJ70">
        <v>80</v>
      </c>
      <c r="BK70">
        <v>7863.0347116441244</v>
      </c>
      <c r="BL70">
        <v>5779.4676829666241</v>
      </c>
      <c r="BM70">
        <v>9.8169310162489545</v>
      </c>
      <c r="BN70">
        <v>1668.878272762322</v>
      </c>
      <c r="BO70">
        <v>6194.1564388818024</v>
      </c>
    </row>
    <row r="71" spans="1:67" x14ac:dyDescent="0.25">
      <c r="A71" s="1">
        <v>69</v>
      </c>
      <c r="B71" t="s">
        <v>66</v>
      </c>
      <c r="C71" t="s">
        <v>81</v>
      </c>
      <c r="D71">
        <v>2</v>
      </c>
      <c r="E71">
        <v>4</v>
      </c>
      <c r="F71">
        <v>2</v>
      </c>
      <c r="G71">
        <v>60.050759999999997</v>
      </c>
      <c r="H71">
        <v>8</v>
      </c>
      <c r="I71" t="s">
        <v>89</v>
      </c>
      <c r="J71">
        <v>4</v>
      </c>
      <c r="K71">
        <v>300</v>
      </c>
      <c r="L71">
        <v>70</v>
      </c>
      <c r="N71" t="s">
        <v>90</v>
      </c>
      <c r="O71">
        <v>30</v>
      </c>
      <c r="P71">
        <v>0.32500000000000001</v>
      </c>
      <c r="Q71">
        <v>3.2500000000000001E-2</v>
      </c>
      <c r="R71">
        <v>77.5</v>
      </c>
      <c r="S71">
        <v>170</v>
      </c>
      <c r="T71">
        <v>20</v>
      </c>
      <c r="U71">
        <v>1812.1301775147931</v>
      </c>
      <c r="V71">
        <v>20</v>
      </c>
      <c r="W71">
        <v>0.95</v>
      </c>
      <c r="X71">
        <v>1</v>
      </c>
      <c r="Y71">
        <v>106536.5345158022</v>
      </c>
      <c r="Z71">
        <v>319609603.54740661</v>
      </c>
      <c r="AA71">
        <v>1278438414.189626</v>
      </c>
      <c r="AB71">
        <v>1278438.414189626</v>
      </c>
      <c r="AC71">
        <v>0</v>
      </c>
      <c r="AD71">
        <v>3312.520089231165</v>
      </c>
      <c r="AE71">
        <v>1490634.040154024</v>
      </c>
      <c r="AF71">
        <v>1043443.828107817</v>
      </c>
      <c r="AG71">
        <v>62.659594895183773</v>
      </c>
      <c r="AH71">
        <v>852.83645339332168</v>
      </c>
      <c r="AI71">
        <v>170.56729067866431</v>
      </c>
      <c r="AJ71">
        <v>41549.248461162861</v>
      </c>
      <c r="AK71">
        <v>854.70085470085473</v>
      </c>
      <c r="AL71" t="s">
        <v>93</v>
      </c>
      <c r="AM71">
        <v>66094.825137982436</v>
      </c>
      <c r="AN71">
        <v>1188.9240623289461</v>
      </c>
      <c r="AO71">
        <v>28996.439415372941</v>
      </c>
      <c r="AP71">
        <v>109687.69851617511</v>
      </c>
      <c r="AQ71">
        <v>80691.25910080217</v>
      </c>
      <c r="AR71">
        <v>3.9819343736507938E-2</v>
      </c>
      <c r="AS71">
        <v>663.09475078263699</v>
      </c>
      <c r="AT71">
        <v>1054.823690586335</v>
      </c>
      <c r="AU71">
        <v>18.97433368852391</v>
      </c>
      <c r="AV71">
        <v>462.76136103142449</v>
      </c>
      <c r="AW71">
        <v>1750.5331577655329</v>
      </c>
      <c r="AX71">
        <v>1287.7717967341091</v>
      </c>
      <c r="AY71">
        <v>2.7221256531260258</v>
      </c>
      <c r="AZ71" t="s">
        <v>108</v>
      </c>
      <c r="BA71" t="str">
        <f>VLOOKUP($AZ71,Sheet1!$A$2:$B$58,2)</f>
        <v>5-Aminopentanoate</v>
      </c>
      <c r="BB71" t="s">
        <v>161</v>
      </c>
      <c r="BC71">
        <v>117.14444</v>
      </c>
      <c r="BD71">
        <v>4.8</v>
      </c>
      <c r="BE71">
        <v>247.5</v>
      </c>
      <c r="BF71" t="s">
        <v>199</v>
      </c>
      <c r="BG71">
        <v>1.858016425758606</v>
      </c>
      <c r="BH71">
        <v>0.20109374999999999</v>
      </c>
      <c r="BI71">
        <v>0.398981194210076</v>
      </c>
      <c r="BJ71">
        <v>80</v>
      </c>
      <c r="BK71">
        <v>5484.3849258087557</v>
      </c>
      <c r="BL71">
        <v>4034.562955040109</v>
      </c>
      <c r="BM71">
        <v>6.6703481081746094</v>
      </c>
      <c r="BN71">
        <v>1133.959178389684</v>
      </c>
      <c r="BO71">
        <v>4350.4257474190726</v>
      </c>
    </row>
    <row r="72" spans="1:67" x14ac:dyDescent="0.25">
      <c r="A72" s="1">
        <v>70</v>
      </c>
      <c r="B72" t="s">
        <v>66</v>
      </c>
      <c r="C72" t="s">
        <v>81</v>
      </c>
      <c r="D72">
        <v>2</v>
      </c>
      <c r="E72">
        <v>4</v>
      </c>
      <c r="F72">
        <v>2</v>
      </c>
      <c r="G72">
        <v>60.050759999999997</v>
      </c>
      <c r="H72">
        <v>8</v>
      </c>
      <c r="I72" t="s">
        <v>89</v>
      </c>
      <c r="J72">
        <v>4</v>
      </c>
      <c r="K72">
        <v>300</v>
      </c>
      <c r="L72">
        <v>70</v>
      </c>
      <c r="N72" t="s">
        <v>90</v>
      </c>
      <c r="O72">
        <v>30</v>
      </c>
      <c r="P72">
        <v>0.32500000000000001</v>
      </c>
      <c r="Q72">
        <v>3.2500000000000001E-2</v>
      </c>
      <c r="R72">
        <v>77.5</v>
      </c>
      <c r="S72">
        <v>170</v>
      </c>
      <c r="T72">
        <v>20</v>
      </c>
      <c r="U72">
        <v>1812.1301775147931</v>
      </c>
      <c r="V72">
        <v>20</v>
      </c>
      <c r="W72">
        <v>0.95</v>
      </c>
      <c r="X72">
        <v>1</v>
      </c>
      <c r="Y72">
        <v>96471.998392116308</v>
      </c>
      <c r="Z72">
        <v>289415995.17634892</v>
      </c>
      <c r="AA72">
        <v>1157663980.7053959</v>
      </c>
      <c r="AB72">
        <v>1157663.980705396</v>
      </c>
      <c r="AC72">
        <v>0</v>
      </c>
      <c r="AD72">
        <v>2999.5853926970171</v>
      </c>
      <c r="AE72">
        <v>1349813.426713658</v>
      </c>
      <c r="AF72">
        <v>944869.39869956044</v>
      </c>
      <c r="AG72">
        <v>56.740125492651607</v>
      </c>
      <c r="AH72">
        <v>772.26875582568493</v>
      </c>
      <c r="AI72">
        <v>154.45375116513699</v>
      </c>
      <c r="AJ72">
        <v>37624.079372925356</v>
      </c>
      <c r="AK72">
        <v>854.70085470085473</v>
      </c>
      <c r="AL72" t="s">
        <v>93</v>
      </c>
      <c r="AM72">
        <v>59850.828576490581</v>
      </c>
      <c r="AN72">
        <v>1076.606074626294</v>
      </c>
      <c r="AO72">
        <v>26257.137698073289</v>
      </c>
      <c r="AP72">
        <v>99406.214878743092</v>
      </c>
      <c r="AQ72">
        <v>73149.077180669803</v>
      </c>
      <c r="AR72">
        <v>3.9819343736507938E-2</v>
      </c>
      <c r="AS72">
        <v>663.09475078263699</v>
      </c>
      <c r="AT72">
        <v>1054.823690586335</v>
      </c>
      <c r="AU72">
        <v>18.97433368852391</v>
      </c>
      <c r="AV72">
        <v>462.76136103142449</v>
      </c>
      <c r="AW72">
        <v>1751.9562041084509</v>
      </c>
      <c r="AX72">
        <v>1289.1948430770269</v>
      </c>
      <c r="AY72">
        <v>2.7221256531260272</v>
      </c>
      <c r="AZ72" t="s">
        <v>109</v>
      </c>
      <c r="BA72" t="str">
        <f>VLOOKUP($AZ72,Sheet1!$A$2:$B$58,2)</f>
        <v>Acetone</v>
      </c>
      <c r="BB72" t="s">
        <v>162</v>
      </c>
      <c r="BC72">
        <v>58.078139999999998</v>
      </c>
      <c r="BD72">
        <v>5.333333333333333</v>
      </c>
      <c r="BE72">
        <v>56</v>
      </c>
      <c r="BF72" t="s">
        <v>199</v>
      </c>
      <c r="BG72">
        <v>1.1101650026993559</v>
      </c>
      <c r="BH72">
        <v>0.447924528301886</v>
      </c>
      <c r="BI72">
        <v>0.44060529974044099</v>
      </c>
      <c r="BJ72">
        <v>80</v>
      </c>
      <c r="BK72">
        <v>4970.3107439371543</v>
      </c>
      <c r="BL72">
        <v>3657.4538590334901</v>
      </c>
      <c r="BM72">
        <v>6.6125225555574927</v>
      </c>
      <c r="BN72">
        <v>1124.1288344447739</v>
      </c>
      <c r="BO72">
        <v>3846.1819094923799</v>
      </c>
    </row>
    <row r="73" spans="1:67" x14ac:dyDescent="0.25">
      <c r="A73" s="1">
        <v>71</v>
      </c>
      <c r="B73" t="s">
        <v>66</v>
      </c>
      <c r="C73" t="s">
        <v>81</v>
      </c>
      <c r="D73">
        <v>2</v>
      </c>
      <c r="E73">
        <v>4</v>
      </c>
      <c r="F73">
        <v>2</v>
      </c>
      <c r="G73">
        <v>60.050759999999997</v>
      </c>
      <c r="H73">
        <v>8</v>
      </c>
      <c r="I73" t="s">
        <v>89</v>
      </c>
      <c r="J73">
        <v>4</v>
      </c>
      <c r="K73">
        <v>300</v>
      </c>
      <c r="L73">
        <v>70</v>
      </c>
      <c r="N73" t="s">
        <v>90</v>
      </c>
      <c r="O73">
        <v>30</v>
      </c>
      <c r="P73">
        <v>0.32500000000000001</v>
      </c>
      <c r="Q73">
        <v>3.2500000000000001E-2</v>
      </c>
      <c r="R73">
        <v>77.5</v>
      </c>
      <c r="S73">
        <v>170</v>
      </c>
      <c r="T73">
        <v>20</v>
      </c>
      <c r="U73">
        <v>1812.1301775147931</v>
      </c>
      <c r="V73">
        <v>20</v>
      </c>
      <c r="W73">
        <v>0.95</v>
      </c>
      <c r="X73">
        <v>1</v>
      </c>
      <c r="Y73">
        <v>89194.366291241735</v>
      </c>
      <c r="Z73">
        <v>267583098.87372521</v>
      </c>
      <c r="AA73">
        <v>1070332395.4949009</v>
      </c>
      <c r="AB73">
        <v>1070332.3954949011</v>
      </c>
      <c r="AC73">
        <v>0</v>
      </c>
      <c r="AD73">
        <v>2773.3033698609461</v>
      </c>
      <c r="AE73">
        <v>1247986.516437426</v>
      </c>
      <c r="AF73">
        <v>873590.5615061979</v>
      </c>
      <c r="AG73">
        <v>52.459777147273932</v>
      </c>
      <c r="AH73">
        <v>714.01052564934423</v>
      </c>
      <c r="AI73">
        <v>142.80210512986889</v>
      </c>
      <c r="AJ73">
        <v>34785.802853584282</v>
      </c>
      <c r="AK73">
        <v>854.70085470085473</v>
      </c>
      <c r="AL73" t="s">
        <v>93</v>
      </c>
      <c r="AM73">
        <v>55335.815737824181</v>
      </c>
      <c r="AN73">
        <v>995.38931681797646</v>
      </c>
      <c r="AO73">
        <v>24276.357872077711</v>
      </c>
      <c r="AP73">
        <v>91971.708762927301</v>
      </c>
      <c r="AQ73">
        <v>67695.350890849601</v>
      </c>
      <c r="AR73">
        <v>3.9819343736507952E-2</v>
      </c>
      <c r="AS73">
        <v>663.09475078263699</v>
      </c>
      <c r="AT73">
        <v>1054.823690586335</v>
      </c>
      <c r="AU73">
        <v>18.97433368852391</v>
      </c>
      <c r="AV73">
        <v>462.7613610314246</v>
      </c>
      <c r="AW73">
        <v>1753.185273828534</v>
      </c>
      <c r="AX73">
        <v>1290.42391279711</v>
      </c>
      <c r="AY73">
        <v>2.7221256531260272</v>
      </c>
      <c r="AZ73" t="s">
        <v>110</v>
      </c>
      <c r="BA73" t="str">
        <f>VLOOKUP($AZ73,Sheet1!$A$2:$B$58,2)</f>
        <v>Acrylate (PW1)</v>
      </c>
      <c r="BB73" t="s">
        <v>163</v>
      </c>
      <c r="BC73">
        <v>71.053619999999995</v>
      </c>
      <c r="BD73">
        <v>3.666666666666667</v>
      </c>
      <c r="BE73">
        <v>80</v>
      </c>
      <c r="BF73" t="s">
        <v>199</v>
      </c>
      <c r="BG73">
        <v>1.2700651602652691</v>
      </c>
      <c r="BH73">
        <v>0.39599999999999802</v>
      </c>
      <c r="BI73">
        <v>0.47655558905284301</v>
      </c>
      <c r="BJ73">
        <v>80</v>
      </c>
      <c r="BK73">
        <v>4598.585438146365</v>
      </c>
      <c r="BL73">
        <v>3384.7675445424811</v>
      </c>
      <c r="BM73">
        <v>5.8700400962281751</v>
      </c>
      <c r="BN73">
        <v>997.9068163587898</v>
      </c>
      <c r="BO73">
        <v>3600.6786217875751</v>
      </c>
    </row>
    <row r="74" spans="1:67" x14ac:dyDescent="0.25">
      <c r="A74" s="1">
        <v>72</v>
      </c>
      <c r="B74" t="s">
        <v>66</v>
      </c>
      <c r="C74" t="s">
        <v>81</v>
      </c>
      <c r="D74">
        <v>2</v>
      </c>
      <c r="E74">
        <v>4</v>
      </c>
      <c r="F74">
        <v>2</v>
      </c>
      <c r="G74">
        <v>60.050759999999997</v>
      </c>
      <c r="H74">
        <v>8</v>
      </c>
      <c r="I74" t="s">
        <v>89</v>
      </c>
      <c r="J74">
        <v>4</v>
      </c>
      <c r="K74">
        <v>300</v>
      </c>
      <c r="L74">
        <v>70</v>
      </c>
      <c r="N74" t="s">
        <v>90</v>
      </c>
      <c r="O74">
        <v>30</v>
      </c>
      <c r="P74">
        <v>0.32500000000000001</v>
      </c>
      <c r="Q74">
        <v>3.2500000000000001E-2</v>
      </c>
      <c r="R74">
        <v>77.5</v>
      </c>
      <c r="S74">
        <v>170</v>
      </c>
      <c r="T74">
        <v>20</v>
      </c>
      <c r="U74">
        <v>1812.1301775147931</v>
      </c>
      <c r="V74">
        <v>20</v>
      </c>
      <c r="W74">
        <v>0.95</v>
      </c>
      <c r="X74">
        <v>1</v>
      </c>
      <c r="Y74">
        <v>69983.272013127833</v>
      </c>
      <c r="Z74">
        <v>209949816.0393835</v>
      </c>
      <c r="AA74">
        <v>839799264.15753412</v>
      </c>
      <c r="AB74">
        <v>839799.26415753411</v>
      </c>
      <c r="AC74">
        <v>0</v>
      </c>
      <c r="AD74">
        <v>2175.97649019858</v>
      </c>
      <c r="AE74">
        <v>979189.42058936087</v>
      </c>
      <c r="AF74">
        <v>685432.59441255254</v>
      </c>
      <c r="AG74">
        <v>41.160748223245527</v>
      </c>
      <c r="AH74">
        <v>560.22364320179099</v>
      </c>
      <c r="AI74">
        <v>112.0447286403582</v>
      </c>
      <c r="AJ74">
        <v>27293.476085119859</v>
      </c>
      <c r="AK74">
        <v>854.70085470085473</v>
      </c>
      <c r="AL74" t="s">
        <v>93</v>
      </c>
      <c r="AM74">
        <v>43417.3323481388</v>
      </c>
      <c r="AN74">
        <v>780.99777165717808</v>
      </c>
      <c r="AO74">
        <v>19047.60386886089</v>
      </c>
      <c r="AP74">
        <v>72346.507059616692</v>
      </c>
      <c r="AQ74">
        <v>53298.903190755787</v>
      </c>
      <c r="AR74">
        <v>3.9819343736507938E-2</v>
      </c>
      <c r="AS74">
        <v>663.09475078263699</v>
      </c>
      <c r="AT74">
        <v>1054.823690586335</v>
      </c>
      <c r="AU74">
        <v>18.974333688523899</v>
      </c>
      <c r="AV74">
        <v>462.7613610314246</v>
      </c>
      <c r="AW74">
        <v>1757.6577244715629</v>
      </c>
      <c r="AX74">
        <v>1294.8963634401391</v>
      </c>
      <c r="AY74">
        <v>2.7221256531260272</v>
      </c>
      <c r="AZ74" t="s">
        <v>111</v>
      </c>
      <c r="BA74" t="str">
        <f>VLOOKUP($AZ74,Sheet1!$A$2:$B$58,2)</f>
        <v>Acrylate (PW2)</v>
      </c>
      <c r="BB74" t="s">
        <v>163</v>
      </c>
      <c r="BC74">
        <v>71.053619999999995</v>
      </c>
      <c r="BD74">
        <v>3.666666666666667</v>
      </c>
      <c r="BE74">
        <v>80</v>
      </c>
      <c r="BF74" t="s">
        <v>199</v>
      </c>
      <c r="BG74">
        <v>0.59629053943488675</v>
      </c>
      <c r="BH74">
        <v>0.504705882352941</v>
      </c>
      <c r="BI74">
        <v>0.60737477036146903</v>
      </c>
      <c r="BJ74">
        <v>80</v>
      </c>
      <c r="BK74">
        <v>3617.3253529808339</v>
      </c>
      <c r="BL74">
        <v>2664.94515953779</v>
      </c>
      <c r="BM74">
        <v>5.0059458925830231</v>
      </c>
      <c r="BN74">
        <v>851.01080173911396</v>
      </c>
      <c r="BO74">
        <v>2766.31455124172</v>
      </c>
    </row>
    <row r="75" spans="1:67" x14ac:dyDescent="0.25">
      <c r="A75" s="1">
        <v>73</v>
      </c>
      <c r="B75" t="s">
        <v>66</v>
      </c>
      <c r="C75" t="s">
        <v>81</v>
      </c>
      <c r="D75">
        <v>2</v>
      </c>
      <c r="E75">
        <v>4</v>
      </c>
      <c r="F75">
        <v>2</v>
      </c>
      <c r="G75">
        <v>60.050759999999997</v>
      </c>
      <c r="H75">
        <v>8</v>
      </c>
      <c r="I75" t="s">
        <v>89</v>
      </c>
      <c r="J75">
        <v>4</v>
      </c>
      <c r="K75">
        <v>300</v>
      </c>
      <c r="L75">
        <v>70</v>
      </c>
      <c r="N75" t="s">
        <v>90</v>
      </c>
      <c r="O75">
        <v>30</v>
      </c>
      <c r="P75">
        <v>0.32500000000000001</v>
      </c>
      <c r="Q75">
        <v>3.2500000000000001E-2</v>
      </c>
      <c r="R75">
        <v>77.5</v>
      </c>
      <c r="S75">
        <v>170</v>
      </c>
      <c r="T75">
        <v>20</v>
      </c>
      <c r="U75">
        <v>1812.1301775147931</v>
      </c>
      <c r="V75">
        <v>20</v>
      </c>
      <c r="W75">
        <v>0.95</v>
      </c>
      <c r="X75">
        <v>1</v>
      </c>
      <c r="Y75">
        <v>97067.602742217903</v>
      </c>
      <c r="Z75">
        <v>291202808.2266537</v>
      </c>
      <c r="AA75">
        <v>1164811232.906615</v>
      </c>
      <c r="AB75">
        <v>1164811.2329066149</v>
      </c>
      <c r="AC75">
        <v>0</v>
      </c>
      <c r="AD75">
        <v>3018.104404826629</v>
      </c>
      <c r="AE75">
        <v>1358146.982171983</v>
      </c>
      <c r="AF75">
        <v>950702.88752038812</v>
      </c>
      <c r="AG75">
        <v>57.090430929793818</v>
      </c>
      <c r="AH75">
        <v>777.0366329100566</v>
      </c>
      <c r="AI75">
        <v>155.40732658201131</v>
      </c>
      <c r="AJ75">
        <v>37856.365069464977</v>
      </c>
      <c r="AK75">
        <v>854.70085470085473</v>
      </c>
      <c r="AL75" t="s">
        <v>93</v>
      </c>
      <c r="AM75">
        <v>60220.339050529386</v>
      </c>
      <c r="AN75">
        <v>1083.2528868835341</v>
      </c>
      <c r="AO75">
        <v>26419.245518941931</v>
      </c>
      <c r="AP75">
        <v>100014.6578615788</v>
      </c>
      <c r="AQ75">
        <v>73595.412342636831</v>
      </c>
      <c r="AR75">
        <v>3.9819343736507952E-2</v>
      </c>
      <c r="AS75">
        <v>663.09475078263699</v>
      </c>
      <c r="AT75">
        <v>1054.823690586335</v>
      </c>
      <c r="AU75">
        <v>18.97433368852391</v>
      </c>
      <c r="AV75">
        <v>462.7613610314246</v>
      </c>
      <c r="AW75">
        <v>1751.8637752896</v>
      </c>
      <c r="AX75">
        <v>1289.102414258175</v>
      </c>
      <c r="AY75">
        <v>2.7221256531260272</v>
      </c>
      <c r="AZ75" t="s">
        <v>112</v>
      </c>
      <c r="BA75" t="str">
        <f>VLOOKUP($AZ75,Sheet1!$A$2:$B$58,2)</f>
        <v>Adipate</v>
      </c>
      <c r="BB75" t="s">
        <v>164</v>
      </c>
      <c r="BC75">
        <v>144.12291999999999</v>
      </c>
      <c r="BD75">
        <v>4</v>
      </c>
      <c r="BE75">
        <v>337.5</v>
      </c>
      <c r="BF75" t="s">
        <v>199</v>
      </c>
      <c r="BG75">
        <v>1.572184713764083</v>
      </c>
      <c r="BH75">
        <v>0.17939546599496201</v>
      </c>
      <c r="BI75">
        <v>0.43790175678903898</v>
      </c>
      <c r="BJ75">
        <v>80</v>
      </c>
      <c r="BK75">
        <v>5000.7328930789372</v>
      </c>
      <c r="BL75">
        <v>3679.7706171318409</v>
      </c>
      <c r="BM75">
        <v>6.1981816153364839</v>
      </c>
      <c r="BN75">
        <v>1053.690874607202</v>
      </c>
      <c r="BO75">
        <v>3947.042018471735</v>
      </c>
    </row>
    <row r="76" spans="1:67" x14ac:dyDescent="0.25">
      <c r="A76" s="1">
        <v>74</v>
      </c>
      <c r="B76" t="s">
        <v>66</v>
      </c>
      <c r="C76" t="s">
        <v>81</v>
      </c>
      <c r="D76">
        <v>2</v>
      </c>
      <c r="E76">
        <v>4</v>
      </c>
      <c r="F76">
        <v>2</v>
      </c>
      <c r="G76">
        <v>60.050759999999997</v>
      </c>
      <c r="H76">
        <v>8</v>
      </c>
      <c r="I76" t="s">
        <v>89</v>
      </c>
      <c r="J76">
        <v>4</v>
      </c>
      <c r="K76">
        <v>300</v>
      </c>
      <c r="L76">
        <v>70</v>
      </c>
      <c r="N76" t="s">
        <v>90</v>
      </c>
      <c r="O76">
        <v>30</v>
      </c>
      <c r="P76">
        <v>0.32500000000000001</v>
      </c>
      <c r="Q76">
        <v>3.2500000000000001E-2</v>
      </c>
      <c r="R76">
        <v>77.5</v>
      </c>
      <c r="S76">
        <v>170</v>
      </c>
      <c r="T76">
        <v>20</v>
      </c>
      <c r="U76">
        <v>1812.1301775147931</v>
      </c>
      <c r="V76">
        <v>20</v>
      </c>
      <c r="W76">
        <v>0.95</v>
      </c>
      <c r="X76">
        <v>1</v>
      </c>
      <c r="Y76">
        <v>130954.7661489935</v>
      </c>
      <c r="Z76">
        <v>392864298.44698048</v>
      </c>
      <c r="AA76">
        <v>1571457193.7879219</v>
      </c>
      <c r="AB76">
        <v>1571457.1937879219</v>
      </c>
      <c r="AC76">
        <v>0</v>
      </c>
      <c r="AD76">
        <v>4071.7514946458818</v>
      </c>
      <c r="AE76">
        <v>1832288.1725906469</v>
      </c>
      <c r="AF76">
        <v>1282601.720813453</v>
      </c>
      <c r="AG76">
        <v>77.021208112155662</v>
      </c>
      <c r="AH76">
        <v>1048.307032184287</v>
      </c>
      <c r="AI76">
        <v>209.66140643685739</v>
      </c>
      <c r="AJ76">
        <v>51072.358798107467</v>
      </c>
      <c r="AK76">
        <v>854.70085470085473</v>
      </c>
      <c r="AL76" t="s">
        <v>93</v>
      </c>
      <c r="AM76">
        <v>81243.794994282231</v>
      </c>
      <c r="AN76">
        <v>1461.4261038132861</v>
      </c>
      <c r="AO76">
        <v>35642.439094265748</v>
      </c>
      <c r="AP76">
        <v>134632.2807509038</v>
      </c>
      <c r="AQ76">
        <v>98989.841656638077</v>
      </c>
      <c r="AR76">
        <v>3.9819343736507938E-2</v>
      </c>
      <c r="AS76">
        <v>663.09475078263699</v>
      </c>
      <c r="AT76">
        <v>1054.823690586335</v>
      </c>
      <c r="AU76">
        <v>18.974333688523899</v>
      </c>
      <c r="AV76">
        <v>462.76136103142449</v>
      </c>
      <c r="AW76">
        <v>1747.9897297229729</v>
      </c>
      <c r="AX76">
        <v>1285.228368691548</v>
      </c>
      <c r="AY76">
        <v>2.7221256531260272</v>
      </c>
      <c r="AZ76" t="s">
        <v>113</v>
      </c>
      <c r="BA76" t="str">
        <f>VLOOKUP($AZ76,Sheet1!$A$2:$B$58,2)</f>
        <v>Benzoate (PW1)</v>
      </c>
      <c r="BB76" t="s">
        <v>165</v>
      </c>
      <c r="BC76">
        <v>121.1121</v>
      </c>
      <c r="BD76">
        <v>4.1428571428571432</v>
      </c>
      <c r="BE76">
        <v>249.2</v>
      </c>
      <c r="BF76" t="s">
        <v>199</v>
      </c>
      <c r="BG76">
        <v>2.0491903637353062</v>
      </c>
      <c r="BH76">
        <v>0.15823770491803399</v>
      </c>
      <c r="BI76">
        <v>0.32458592396519997</v>
      </c>
      <c r="BJ76">
        <v>80</v>
      </c>
      <c r="BK76">
        <v>6731.6140375451896</v>
      </c>
      <c r="BL76">
        <v>4949.4920828319027</v>
      </c>
      <c r="BM76">
        <v>8.4338799581075605</v>
      </c>
      <c r="BN76">
        <v>1433.759592878285</v>
      </c>
      <c r="BO76">
        <v>5297.8544446669039</v>
      </c>
    </row>
    <row r="77" spans="1:67" x14ac:dyDescent="0.25">
      <c r="A77" s="1">
        <v>75</v>
      </c>
      <c r="B77" t="s">
        <v>66</v>
      </c>
      <c r="C77" t="s">
        <v>81</v>
      </c>
      <c r="D77">
        <v>2</v>
      </c>
      <c r="E77">
        <v>4</v>
      </c>
      <c r="F77">
        <v>2</v>
      </c>
      <c r="G77">
        <v>60.050759999999997</v>
      </c>
      <c r="H77">
        <v>8</v>
      </c>
      <c r="I77" t="s">
        <v>89</v>
      </c>
      <c r="J77">
        <v>4</v>
      </c>
      <c r="K77">
        <v>300</v>
      </c>
      <c r="L77">
        <v>70</v>
      </c>
      <c r="N77" t="s">
        <v>90</v>
      </c>
      <c r="O77">
        <v>30</v>
      </c>
      <c r="P77">
        <v>0.32500000000000001</v>
      </c>
      <c r="Q77">
        <v>3.2500000000000001E-2</v>
      </c>
      <c r="R77">
        <v>77.5</v>
      </c>
      <c r="S77">
        <v>170</v>
      </c>
      <c r="T77">
        <v>20</v>
      </c>
      <c r="U77">
        <v>1812.1301775147931</v>
      </c>
      <c r="V77">
        <v>20</v>
      </c>
      <c r="W77">
        <v>0.95</v>
      </c>
      <c r="X77">
        <v>1</v>
      </c>
      <c r="Y77">
        <v>130954.7661489943</v>
      </c>
      <c r="Z77">
        <v>392864298.44698298</v>
      </c>
      <c r="AA77">
        <v>1571457193.7879319</v>
      </c>
      <c r="AB77">
        <v>1571457.1937879319</v>
      </c>
      <c r="AC77">
        <v>0</v>
      </c>
      <c r="AD77">
        <v>4071.7514946459082</v>
      </c>
      <c r="AE77">
        <v>1832288.172590659</v>
      </c>
      <c r="AF77">
        <v>1282601.7208134611</v>
      </c>
      <c r="AG77">
        <v>77.021208112156131</v>
      </c>
      <c r="AH77">
        <v>1048.3070321842929</v>
      </c>
      <c r="AI77">
        <v>209.6614064368587</v>
      </c>
      <c r="AJ77">
        <v>51072.358798107787</v>
      </c>
      <c r="AK77">
        <v>854.70085470085473</v>
      </c>
      <c r="AL77" t="s">
        <v>93</v>
      </c>
      <c r="AM77">
        <v>81243.79499428274</v>
      </c>
      <c r="AN77">
        <v>1461.426103813295</v>
      </c>
      <c r="AO77">
        <v>35642.439094265967</v>
      </c>
      <c r="AP77">
        <v>134632.2807509047</v>
      </c>
      <c r="AQ77">
        <v>98989.841656638688</v>
      </c>
      <c r="AR77">
        <v>3.9819343736507938E-2</v>
      </c>
      <c r="AS77">
        <v>663.09475078263699</v>
      </c>
      <c r="AT77">
        <v>1054.823690586335</v>
      </c>
      <c r="AU77">
        <v>18.97433368852391</v>
      </c>
      <c r="AV77">
        <v>462.76136103142449</v>
      </c>
      <c r="AW77">
        <v>1747.9897297229729</v>
      </c>
      <c r="AX77">
        <v>1285.228368691548</v>
      </c>
      <c r="AY77">
        <v>2.7221256531260272</v>
      </c>
      <c r="AZ77" t="s">
        <v>114</v>
      </c>
      <c r="BA77" t="str">
        <f>VLOOKUP($AZ77,Sheet1!$A$2:$B$58,2)</f>
        <v>Benzoate (PW2)</v>
      </c>
      <c r="BB77" t="s">
        <v>165</v>
      </c>
      <c r="BC77">
        <v>121.1121</v>
      </c>
      <c r="BD77">
        <v>4.1428571428571432</v>
      </c>
      <c r="BE77">
        <v>249.2</v>
      </c>
      <c r="BF77" t="s">
        <v>199</v>
      </c>
      <c r="BG77">
        <v>2.049190363735319</v>
      </c>
      <c r="BH77">
        <v>0.15823770491803299</v>
      </c>
      <c r="BI77">
        <v>0.32458592396519798</v>
      </c>
      <c r="BJ77">
        <v>80</v>
      </c>
      <c r="BK77">
        <v>6731.6140375452323</v>
      </c>
      <c r="BL77">
        <v>4949.4920828319337</v>
      </c>
      <c r="BM77">
        <v>8.4338799581076156</v>
      </c>
      <c r="BN77">
        <v>1433.7595928782951</v>
      </c>
      <c r="BO77">
        <v>5297.8544446669384</v>
      </c>
    </row>
    <row r="78" spans="1:67" x14ac:dyDescent="0.25">
      <c r="A78" s="1">
        <v>76</v>
      </c>
      <c r="B78" t="s">
        <v>66</v>
      </c>
      <c r="C78" t="s">
        <v>81</v>
      </c>
      <c r="D78">
        <v>2</v>
      </c>
      <c r="E78">
        <v>4</v>
      </c>
      <c r="F78">
        <v>2</v>
      </c>
      <c r="G78">
        <v>60.050759999999997</v>
      </c>
      <c r="H78">
        <v>8</v>
      </c>
      <c r="I78" t="s">
        <v>89</v>
      </c>
      <c r="J78">
        <v>4</v>
      </c>
      <c r="K78">
        <v>300</v>
      </c>
      <c r="L78">
        <v>70</v>
      </c>
      <c r="N78" t="s">
        <v>90</v>
      </c>
      <c r="O78">
        <v>30</v>
      </c>
      <c r="P78">
        <v>0.32500000000000001</v>
      </c>
      <c r="Q78">
        <v>3.2500000000000001E-2</v>
      </c>
      <c r="R78">
        <v>77.5</v>
      </c>
      <c r="S78">
        <v>170</v>
      </c>
      <c r="T78">
        <v>20</v>
      </c>
      <c r="U78">
        <v>1812.1301775147931</v>
      </c>
      <c r="V78">
        <v>20</v>
      </c>
      <c r="W78">
        <v>0.95</v>
      </c>
      <c r="X78">
        <v>1</v>
      </c>
      <c r="Y78">
        <v>168307.805764135</v>
      </c>
      <c r="Z78">
        <v>504923417.29240501</v>
      </c>
      <c r="AA78">
        <v>2019693669.16962</v>
      </c>
      <c r="AB78">
        <v>2019693.6691696199</v>
      </c>
      <c r="AC78">
        <v>0</v>
      </c>
      <c r="AD78">
        <v>5233.1624104538387</v>
      </c>
      <c r="AE78">
        <v>2354923.0847042268</v>
      </c>
      <c r="AF78">
        <v>1648446.1592929589</v>
      </c>
      <c r="AG78">
        <v>98.990444684623256</v>
      </c>
      <c r="AH78">
        <v>1347.322144451829</v>
      </c>
      <c r="AI78">
        <v>269.46442889036592</v>
      </c>
      <c r="AJ78">
        <v>65640.044248012651</v>
      </c>
      <c r="AK78">
        <v>854.70085470085473</v>
      </c>
      <c r="AL78" t="s">
        <v>93</v>
      </c>
      <c r="AM78">
        <v>104417.46619501679</v>
      </c>
      <c r="AN78">
        <v>1878.27772942141</v>
      </c>
      <c r="AO78">
        <v>45808.952911362197</v>
      </c>
      <c r="AP78">
        <v>172790.48902715169</v>
      </c>
      <c r="AQ78">
        <v>126981.53611578949</v>
      </c>
      <c r="AR78">
        <v>3.9819343736507931E-2</v>
      </c>
      <c r="AS78">
        <v>663.09475078263688</v>
      </c>
      <c r="AT78">
        <v>1054.823690586335</v>
      </c>
      <c r="AU78">
        <v>18.97433368852391</v>
      </c>
      <c r="AV78">
        <v>462.76136103142449</v>
      </c>
      <c r="AW78">
        <v>1745.5269503804161</v>
      </c>
      <c r="AX78">
        <v>1282.7655893489921</v>
      </c>
      <c r="AY78">
        <v>2.7221256531260272</v>
      </c>
      <c r="AZ78" t="s">
        <v>115</v>
      </c>
      <c r="BA78" t="str">
        <f>VLOOKUP($AZ78,Sheet1!$A$2:$B$58,2)</f>
        <v>Benzyl Alcohol</v>
      </c>
      <c r="BB78" t="s">
        <v>166</v>
      </c>
      <c r="BC78">
        <v>108.13661999999999</v>
      </c>
      <c r="BD78">
        <v>4.8571428571428568</v>
      </c>
      <c r="BE78">
        <v>205</v>
      </c>
      <c r="BF78" t="s">
        <v>199</v>
      </c>
      <c r="BG78">
        <v>3.054022571832546</v>
      </c>
      <c r="BH78">
        <v>0.13789285714285701</v>
      </c>
      <c r="BI78">
        <v>0.25254962819541099</v>
      </c>
      <c r="BJ78">
        <v>80</v>
      </c>
      <c r="BK78">
        <v>8639.5244513575835</v>
      </c>
      <c r="BL78">
        <v>6349.0768057894747</v>
      </c>
      <c r="BM78">
        <v>10.419198872685749</v>
      </c>
      <c r="BN78">
        <v>1771.263808356578</v>
      </c>
      <c r="BO78">
        <v>6868.2606430010064</v>
      </c>
    </row>
    <row r="79" spans="1:67" x14ac:dyDescent="0.25">
      <c r="A79" s="1">
        <v>77</v>
      </c>
      <c r="B79" t="s">
        <v>66</v>
      </c>
      <c r="C79" t="s">
        <v>81</v>
      </c>
      <c r="D79">
        <v>2</v>
      </c>
      <c r="E79">
        <v>4</v>
      </c>
      <c r="F79">
        <v>2</v>
      </c>
      <c r="G79">
        <v>60.050759999999997</v>
      </c>
      <c r="H79">
        <v>8</v>
      </c>
      <c r="I79" t="s">
        <v>89</v>
      </c>
      <c r="J79">
        <v>4</v>
      </c>
      <c r="K79">
        <v>300</v>
      </c>
      <c r="L79">
        <v>70</v>
      </c>
      <c r="N79" t="s">
        <v>90</v>
      </c>
      <c r="O79">
        <v>30</v>
      </c>
      <c r="P79">
        <v>0.32500000000000001</v>
      </c>
      <c r="Q79">
        <v>3.2500000000000001E-2</v>
      </c>
      <c r="R79">
        <v>77.5</v>
      </c>
      <c r="S79">
        <v>170</v>
      </c>
      <c r="T79">
        <v>20</v>
      </c>
      <c r="U79">
        <v>1812.1301775147931</v>
      </c>
      <c r="V79">
        <v>20</v>
      </c>
      <c r="W79">
        <v>0.95</v>
      </c>
      <c r="X79">
        <v>1</v>
      </c>
      <c r="Y79">
        <v>176432.81858730369</v>
      </c>
      <c r="Z79">
        <v>529298455.76191127</v>
      </c>
      <c r="AA79">
        <v>2117193823.0476451</v>
      </c>
      <c r="AB79">
        <v>2117193.8230476449</v>
      </c>
      <c r="AC79">
        <v>0</v>
      </c>
      <c r="AD79">
        <v>5485.7918799999416</v>
      </c>
      <c r="AE79">
        <v>2468606.3459999738</v>
      </c>
      <c r="AF79">
        <v>1728024.442199982</v>
      </c>
      <c r="AG79">
        <v>103.769181052685</v>
      </c>
      <c r="AH79">
        <v>1412.3637487369649</v>
      </c>
      <c r="AI79">
        <v>282.4727497473931</v>
      </c>
      <c r="AJ79">
        <v>68808.799249048461</v>
      </c>
      <c r="AK79">
        <v>854.70085470085473</v>
      </c>
      <c r="AL79" t="s">
        <v>93</v>
      </c>
      <c r="AM79">
        <v>109458.1905271148</v>
      </c>
      <c r="AN79">
        <v>1968.951067878497</v>
      </c>
      <c r="AO79">
        <v>48020.367457056833</v>
      </c>
      <c r="AP79">
        <v>181090.64169874261</v>
      </c>
      <c r="AQ79">
        <v>133070.27424168581</v>
      </c>
      <c r="AR79">
        <v>3.9819343736507931E-2</v>
      </c>
      <c r="AS79">
        <v>663.09475078263688</v>
      </c>
      <c r="AT79">
        <v>1054.823690586335</v>
      </c>
      <c r="AU79">
        <v>18.97433368852391</v>
      </c>
      <c r="AV79">
        <v>462.76136103142471</v>
      </c>
      <c r="AW79">
        <v>1745.129332829566</v>
      </c>
      <c r="AX79">
        <v>1282.367971798142</v>
      </c>
      <c r="AY79">
        <v>2.7221256531260272</v>
      </c>
      <c r="AZ79" t="s">
        <v>116</v>
      </c>
      <c r="BA79" t="str">
        <f>VLOOKUP($AZ79,Sheet1!$A$2:$B$58,2)</f>
        <v>Beta Carotene</v>
      </c>
      <c r="BB79" t="s">
        <v>167</v>
      </c>
      <c r="BC79">
        <v>536.86703999999997</v>
      </c>
      <c r="BD79">
        <v>5.4</v>
      </c>
      <c r="BE79">
        <v>633</v>
      </c>
      <c r="BF79" t="s">
        <v>199</v>
      </c>
      <c r="BG79">
        <v>2.9088563189102059</v>
      </c>
      <c r="BH79">
        <v>2.6495535714285701E-2</v>
      </c>
      <c r="BI79">
        <v>0.24091931483305401</v>
      </c>
      <c r="BJ79">
        <v>80</v>
      </c>
      <c r="BK79">
        <v>9054.532084937131</v>
      </c>
      <c r="BL79">
        <v>6653.5137120842892</v>
      </c>
      <c r="BM79">
        <v>11.214781168459449</v>
      </c>
      <c r="BN79">
        <v>1906.512798638106</v>
      </c>
      <c r="BO79">
        <v>7148.0192862990243</v>
      </c>
    </row>
    <row r="80" spans="1:67" x14ac:dyDescent="0.25">
      <c r="A80" s="1">
        <v>78</v>
      </c>
      <c r="B80" t="s">
        <v>66</v>
      </c>
      <c r="C80" t="s">
        <v>81</v>
      </c>
      <c r="D80">
        <v>2</v>
      </c>
      <c r="E80">
        <v>4</v>
      </c>
      <c r="F80">
        <v>2</v>
      </c>
      <c r="G80">
        <v>60.050759999999997</v>
      </c>
      <c r="H80">
        <v>8</v>
      </c>
      <c r="I80" t="s">
        <v>89</v>
      </c>
      <c r="J80">
        <v>4</v>
      </c>
      <c r="K80">
        <v>300</v>
      </c>
      <c r="L80">
        <v>70</v>
      </c>
      <c r="N80" t="s">
        <v>90</v>
      </c>
      <c r="O80">
        <v>30</v>
      </c>
      <c r="P80">
        <v>0.32500000000000001</v>
      </c>
      <c r="Q80">
        <v>3.2500000000000001E-2</v>
      </c>
      <c r="R80">
        <v>77.5</v>
      </c>
      <c r="S80">
        <v>170</v>
      </c>
      <c r="T80">
        <v>20</v>
      </c>
      <c r="U80">
        <v>1812.1301775147931</v>
      </c>
      <c r="V80">
        <v>20</v>
      </c>
      <c r="W80">
        <v>0.95</v>
      </c>
      <c r="X80">
        <v>1</v>
      </c>
      <c r="Y80">
        <v>189163.29552354381</v>
      </c>
      <c r="Z80">
        <v>567489886.5706315</v>
      </c>
      <c r="AA80">
        <v>2269959546.282526</v>
      </c>
      <c r="AB80">
        <v>2269959.5462825261</v>
      </c>
      <c r="AC80">
        <v>66773.504273504266</v>
      </c>
      <c r="AD80">
        <v>5881.6181642736656</v>
      </c>
      <c r="AE80">
        <v>2646728.1739231502</v>
      </c>
      <c r="AF80">
        <v>1852709.7217462049</v>
      </c>
      <c r="AG80">
        <v>111.2566268502481</v>
      </c>
      <c r="AH80">
        <v>1514.272590146652</v>
      </c>
      <c r="AI80">
        <v>302.85451802933028</v>
      </c>
      <c r="AJ80">
        <v>73773.685254182099</v>
      </c>
      <c r="AK80">
        <v>2170.1388888888891</v>
      </c>
      <c r="AL80" t="s">
        <v>95</v>
      </c>
      <c r="AM80">
        <v>117356.1257363655</v>
      </c>
      <c r="AN80">
        <v>2111.020362916197</v>
      </c>
      <c r="AO80">
        <v>51485.268064986158</v>
      </c>
      <c r="AP80">
        <v>195410.97024235269</v>
      </c>
      <c r="AQ80">
        <v>143925.7021773665</v>
      </c>
      <c r="AR80">
        <v>3.9819343736507938E-2</v>
      </c>
      <c r="AS80">
        <v>663.09475078263699</v>
      </c>
      <c r="AT80">
        <v>1054.823690586335</v>
      </c>
      <c r="AU80">
        <v>18.97433368852391</v>
      </c>
      <c r="AV80">
        <v>462.76136103142471</v>
      </c>
      <c r="AW80">
        <v>1756.398479574405</v>
      </c>
      <c r="AX80">
        <v>1293.63711854298</v>
      </c>
      <c r="AY80">
        <v>2.7221256531260272</v>
      </c>
      <c r="AZ80" t="s">
        <v>117</v>
      </c>
      <c r="BA80" t="str">
        <f>VLOOKUP($AZ80,Sheet1!$A$2:$B$58,2)</f>
        <v>Butane</v>
      </c>
      <c r="BB80" t="s">
        <v>168</v>
      </c>
      <c r="BC80">
        <v>58.121200000000002</v>
      </c>
      <c r="BD80">
        <v>6.5</v>
      </c>
      <c r="BE80">
        <v>-1</v>
      </c>
      <c r="BF80" t="s">
        <v>199</v>
      </c>
      <c r="BG80">
        <v>3.605522668631314</v>
      </c>
      <c r="BH80">
        <v>0.228269230769231</v>
      </c>
      <c r="BI80">
        <v>0.22470571603478601</v>
      </c>
      <c r="BJ80">
        <v>80</v>
      </c>
      <c r="BK80">
        <v>9770.5485121176334</v>
      </c>
      <c r="BL80">
        <v>7196.2851088683246</v>
      </c>
      <c r="BM80">
        <v>11.5372032328352</v>
      </c>
      <c r="BN80">
        <v>1961.3245495819849</v>
      </c>
      <c r="BO80">
        <v>7809.2239625356488</v>
      </c>
    </row>
    <row r="81" spans="1:67" x14ac:dyDescent="0.25">
      <c r="A81" s="1">
        <v>79</v>
      </c>
      <c r="B81" t="s">
        <v>66</v>
      </c>
      <c r="C81" t="s">
        <v>81</v>
      </c>
      <c r="D81">
        <v>2</v>
      </c>
      <c r="E81">
        <v>4</v>
      </c>
      <c r="F81">
        <v>2</v>
      </c>
      <c r="G81">
        <v>60.050759999999997</v>
      </c>
      <c r="H81">
        <v>8</v>
      </c>
      <c r="I81" t="s">
        <v>89</v>
      </c>
      <c r="J81">
        <v>4</v>
      </c>
      <c r="K81">
        <v>300</v>
      </c>
      <c r="L81">
        <v>70</v>
      </c>
      <c r="N81" t="s">
        <v>90</v>
      </c>
      <c r="O81">
        <v>30</v>
      </c>
      <c r="P81">
        <v>0.32500000000000001</v>
      </c>
      <c r="Q81">
        <v>3.2500000000000001E-2</v>
      </c>
      <c r="R81">
        <v>77.5</v>
      </c>
      <c r="S81">
        <v>170</v>
      </c>
      <c r="T81">
        <v>20</v>
      </c>
      <c r="U81">
        <v>1812.1301775147931</v>
      </c>
      <c r="V81">
        <v>20</v>
      </c>
      <c r="W81">
        <v>0.95</v>
      </c>
      <c r="X81">
        <v>1</v>
      </c>
      <c r="Y81">
        <v>121232.88710063481</v>
      </c>
      <c r="Z81">
        <v>363698661.30190432</v>
      </c>
      <c r="AA81">
        <v>1454794645.207617</v>
      </c>
      <c r="AB81">
        <v>1454794.645207617</v>
      </c>
      <c r="AC81">
        <v>0</v>
      </c>
      <c r="AD81">
        <v>3769.4709690109221</v>
      </c>
      <c r="AE81">
        <v>1696261.936054915</v>
      </c>
      <c r="AF81">
        <v>1187383.35523844</v>
      </c>
      <c r="AG81">
        <v>71.30327289341831</v>
      </c>
      <c r="AH81">
        <v>970.48234147509822</v>
      </c>
      <c r="AI81">
        <v>194.09646829501969</v>
      </c>
      <c r="AJ81">
        <v>47280.825969247562</v>
      </c>
      <c r="AK81">
        <v>854.70085470085473</v>
      </c>
      <c r="AL81" t="s">
        <v>93</v>
      </c>
      <c r="AM81">
        <v>75212.381464320119</v>
      </c>
      <c r="AN81">
        <v>1352.9320929636001</v>
      </c>
      <c r="AO81">
        <v>32996.399610153341</v>
      </c>
      <c r="AP81">
        <v>124700.8403812321</v>
      </c>
      <c r="AQ81">
        <v>91704.440771078793</v>
      </c>
      <c r="AR81">
        <v>3.9819343736507938E-2</v>
      </c>
      <c r="AS81">
        <v>663.09475078263699</v>
      </c>
      <c r="AT81">
        <v>1054.823690586335</v>
      </c>
      <c r="AU81">
        <v>18.974333688523899</v>
      </c>
      <c r="AV81">
        <v>462.7613610314246</v>
      </c>
      <c r="AW81">
        <v>1748.879614090516</v>
      </c>
      <c r="AX81">
        <v>1286.1182530590911</v>
      </c>
      <c r="AY81">
        <v>2.7221256531260272</v>
      </c>
      <c r="AZ81" t="s">
        <v>118</v>
      </c>
      <c r="BA81" t="str">
        <f>VLOOKUP($AZ81,Sheet1!$A$2:$B$58,2)</f>
        <v>Butanol (PW1)</v>
      </c>
      <c r="BB81" t="s">
        <v>169</v>
      </c>
      <c r="BC81">
        <v>74.120199999999997</v>
      </c>
      <c r="BD81">
        <v>6</v>
      </c>
      <c r="BE81">
        <v>117.7</v>
      </c>
      <c r="BF81" t="s">
        <v>199</v>
      </c>
      <c r="BG81">
        <v>1.876838470443511</v>
      </c>
      <c r="BH81">
        <v>0.27929411764705903</v>
      </c>
      <c r="BI81">
        <v>0.35061504171581498</v>
      </c>
      <c r="BJ81">
        <v>80</v>
      </c>
      <c r="BK81">
        <v>6235.0420190616069</v>
      </c>
      <c r="BL81">
        <v>4585.2220385539385</v>
      </c>
      <c r="BM81">
        <v>7.827984944307472</v>
      </c>
      <c r="BN81">
        <v>1330.75744053227</v>
      </c>
      <c r="BO81">
        <v>4904.2845785293366</v>
      </c>
    </row>
    <row r="82" spans="1:67" x14ac:dyDescent="0.25">
      <c r="A82" s="1">
        <v>80</v>
      </c>
      <c r="B82" t="s">
        <v>66</v>
      </c>
      <c r="C82" t="s">
        <v>81</v>
      </c>
      <c r="D82">
        <v>2</v>
      </c>
      <c r="E82">
        <v>4</v>
      </c>
      <c r="F82">
        <v>2</v>
      </c>
      <c r="G82">
        <v>60.050759999999997</v>
      </c>
      <c r="H82">
        <v>8</v>
      </c>
      <c r="I82" t="s">
        <v>89</v>
      </c>
      <c r="J82">
        <v>4</v>
      </c>
      <c r="K82">
        <v>300</v>
      </c>
      <c r="L82">
        <v>70</v>
      </c>
      <c r="N82" t="s">
        <v>90</v>
      </c>
      <c r="O82">
        <v>30</v>
      </c>
      <c r="P82">
        <v>0.32500000000000001</v>
      </c>
      <c r="Q82">
        <v>3.2500000000000001E-2</v>
      </c>
      <c r="R82">
        <v>77.5</v>
      </c>
      <c r="S82">
        <v>170</v>
      </c>
      <c r="T82">
        <v>20</v>
      </c>
      <c r="U82">
        <v>1812.1301775147931</v>
      </c>
      <c r="V82">
        <v>20</v>
      </c>
      <c r="W82">
        <v>0.95</v>
      </c>
      <c r="X82">
        <v>1</v>
      </c>
      <c r="Y82">
        <v>143383.83501751869</v>
      </c>
      <c r="Z82">
        <v>430151505.05255598</v>
      </c>
      <c r="AA82">
        <v>1720606020.2102239</v>
      </c>
      <c r="AB82">
        <v>1720606.020210224</v>
      </c>
      <c r="AC82">
        <v>0</v>
      </c>
      <c r="AD82">
        <v>4458.2061555239352</v>
      </c>
      <c r="AE82">
        <v>2006192.769985771</v>
      </c>
      <c r="AF82">
        <v>1404334.93899004</v>
      </c>
      <c r="AG82">
        <v>84.3313803809055</v>
      </c>
      <c r="AH82">
        <v>1147.8030694919589</v>
      </c>
      <c r="AI82">
        <v>229.56061389839181</v>
      </c>
      <c r="AJ82">
        <v>55919.695656832293</v>
      </c>
      <c r="AK82">
        <v>854.70085470085473</v>
      </c>
      <c r="AL82" t="s">
        <v>93</v>
      </c>
      <c r="AM82">
        <v>88954.737885626819</v>
      </c>
      <c r="AN82">
        <v>1600.1317517611401</v>
      </c>
      <c r="AO82">
        <v>39025.304362726609</v>
      </c>
      <c r="AP82">
        <v>147329.2661489211</v>
      </c>
      <c r="AQ82">
        <v>108303.9617861945</v>
      </c>
      <c r="AR82">
        <v>3.9819343736507938E-2</v>
      </c>
      <c r="AS82">
        <v>663.09475078263699</v>
      </c>
      <c r="AT82">
        <v>1054.823690586335</v>
      </c>
      <c r="AU82">
        <v>18.97433368852391</v>
      </c>
      <c r="AV82">
        <v>462.7613610314246</v>
      </c>
      <c r="AW82">
        <v>1747.027802503274</v>
      </c>
      <c r="AX82">
        <v>1284.2664414718499</v>
      </c>
      <c r="AY82">
        <v>2.7221256531260272</v>
      </c>
      <c r="AZ82" t="s">
        <v>119</v>
      </c>
      <c r="BA82" t="str">
        <f>VLOOKUP($AZ82,Sheet1!$A$2:$B$58,2)</f>
        <v>Butanol (PW2)</v>
      </c>
      <c r="BB82" t="s">
        <v>169</v>
      </c>
      <c r="BC82">
        <v>74.120199999999997</v>
      </c>
      <c r="BD82">
        <v>6</v>
      </c>
      <c r="BE82">
        <v>117.7</v>
      </c>
      <c r="BF82" t="s">
        <v>199</v>
      </c>
      <c r="BG82">
        <v>2.6537201158964221</v>
      </c>
      <c r="BH82">
        <v>0.236146788990826</v>
      </c>
      <c r="BI82">
        <v>0.29644955278901802</v>
      </c>
      <c r="BJ82">
        <v>80</v>
      </c>
      <c r="BK82">
        <v>7366.4633074460517</v>
      </c>
      <c r="BL82">
        <v>5415.1980893097216</v>
      </c>
      <c r="BM82">
        <v>8.8243105790231677</v>
      </c>
      <c r="BN82">
        <v>1500.132798433938</v>
      </c>
      <c r="BO82">
        <v>5866.330509012113</v>
      </c>
    </row>
    <row r="83" spans="1:67" x14ac:dyDescent="0.25">
      <c r="A83" s="1">
        <v>81</v>
      </c>
      <c r="B83" t="s">
        <v>66</v>
      </c>
      <c r="C83" t="s">
        <v>81</v>
      </c>
      <c r="D83">
        <v>2</v>
      </c>
      <c r="E83">
        <v>4</v>
      </c>
      <c r="F83">
        <v>2</v>
      </c>
      <c r="G83">
        <v>60.050759999999997</v>
      </c>
      <c r="H83">
        <v>8</v>
      </c>
      <c r="I83" t="s">
        <v>89</v>
      </c>
      <c r="J83">
        <v>4</v>
      </c>
      <c r="K83">
        <v>300</v>
      </c>
      <c r="L83">
        <v>70</v>
      </c>
      <c r="N83" t="s">
        <v>90</v>
      </c>
      <c r="O83">
        <v>30</v>
      </c>
      <c r="P83">
        <v>0.32500000000000001</v>
      </c>
      <c r="Q83">
        <v>3.2500000000000001E-2</v>
      </c>
      <c r="R83">
        <v>77.5</v>
      </c>
      <c r="S83">
        <v>170</v>
      </c>
      <c r="T83">
        <v>20</v>
      </c>
      <c r="U83">
        <v>1812.1301775147931</v>
      </c>
      <c r="V83">
        <v>20</v>
      </c>
      <c r="W83">
        <v>0.95</v>
      </c>
      <c r="X83">
        <v>1</v>
      </c>
      <c r="Y83">
        <v>82537.327577914111</v>
      </c>
      <c r="Z83">
        <v>247611982.7337423</v>
      </c>
      <c r="AA83">
        <v>990447930.93496931</v>
      </c>
      <c r="AB83">
        <v>990447.93093496934</v>
      </c>
      <c r="AC83">
        <v>0</v>
      </c>
      <c r="AD83">
        <v>2566.3173385158352</v>
      </c>
      <c r="AE83">
        <v>1154842.8023321261</v>
      </c>
      <c r="AF83">
        <v>808389.96163248806</v>
      </c>
      <c r="AG83">
        <v>48.544431572401749</v>
      </c>
      <c r="AH83">
        <v>660.72021249827912</v>
      </c>
      <c r="AI83">
        <v>132.1440424996558</v>
      </c>
      <c r="AJ83">
        <v>32189.557755386501</v>
      </c>
      <c r="AK83">
        <v>854.70085470085473</v>
      </c>
      <c r="AL83" t="s">
        <v>93</v>
      </c>
      <c r="AM83">
        <v>51205.816468616627</v>
      </c>
      <c r="AN83">
        <v>921.09824337446616</v>
      </c>
      <c r="AO83">
        <v>22464.487224941491</v>
      </c>
      <c r="AP83">
        <v>85171.173322078466</v>
      </c>
      <c r="AQ83">
        <v>62706.686097136982</v>
      </c>
      <c r="AR83">
        <v>3.9819343736507938E-2</v>
      </c>
      <c r="AS83">
        <v>663.09475078263699</v>
      </c>
      <c r="AT83">
        <v>1054.823690586335</v>
      </c>
      <c r="AU83">
        <v>18.97433368852391</v>
      </c>
      <c r="AV83">
        <v>462.7613610314246</v>
      </c>
      <c r="AW83">
        <v>1754.4993434530099</v>
      </c>
      <c r="AX83">
        <v>1291.7379824215859</v>
      </c>
      <c r="AY83">
        <v>2.7221256531260272</v>
      </c>
      <c r="AZ83" t="s">
        <v>120</v>
      </c>
      <c r="BA83" t="str">
        <f>VLOOKUP($AZ83,Sheet1!$A$2:$B$58,2)</f>
        <v>Butyrate</v>
      </c>
      <c r="BB83" t="s">
        <v>170</v>
      </c>
      <c r="BC83">
        <v>87.095680000000002</v>
      </c>
      <c r="BD83">
        <v>4.75</v>
      </c>
      <c r="BE83">
        <v>163.5</v>
      </c>
      <c r="BF83" t="s">
        <v>199</v>
      </c>
      <c r="BG83">
        <v>0.87353717472065018</v>
      </c>
      <c r="BH83">
        <v>0.34911764705882298</v>
      </c>
      <c r="BI83">
        <v>0.51499212556879304</v>
      </c>
      <c r="BJ83">
        <v>80</v>
      </c>
      <c r="BK83">
        <v>4258.5586661039224</v>
      </c>
      <c r="BL83">
        <v>3135.3343048568481</v>
      </c>
      <c r="BM83">
        <v>5.7336649502621402</v>
      </c>
      <c r="BN83">
        <v>974.72304154456378</v>
      </c>
      <c r="BO83">
        <v>3283.8356245593591</v>
      </c>
    </row>
    <row r="84" spans="1:67" x14ac:dyDescent="0.25">
      <c r="A84" s="1">
        <v>82</v>
      </c>
      <c r="B84" t="s">
        <v>66</v>
      </c>
      <c r="C84" t="s">
        <v>81</v>
      </c>
      <c r="D84">
        <v>2</v>
      </c>
      <c r="E84">
        <v>4</v>
      </c>
      <c r="F84">
        <v>2</v>
      </c>
      <c r="G84">
        <v>60.050759999999997</v>
      </c>
      <c r="H84">
        <v>8</v>
      </c>
      <c r="I84" t="s">
        <v>89</v>
      </c>
      <c r="J84">
        <v>4</v>
      </c>
      <c r="K84">
        <v>300</v>
      </c>
      <c r="L84">
        <v>70</v>
      </c>
      <c r="N84" t="s">
        <v>90</v>
      </c>
      <c r="O84">
        <v>30</v>
      </c>
      <c r="P84">
        <v>0.32500000000000001</v>
      </c>
      <c r="Q84">
        <v>3.2500000000000001E-2</v>
      </c>
      <c r="R84">
        <v>77.5</v>
      </c>
      <c r="S84">
        <v>170</v>
      </c>
      <c r="T84">
        <v>20</v>
      </c>
      <c r="U84">
        <v>1812.1301775147931</v>
      </c>
      <c r="V84">
        <v>20</v>
      </c>
      <c r="W84">
        <v>0.95</v>
      </c>
      <c r="X84">
        <v>1</v>
      </c>
      <c r="Y84">
        <v>111691.08550489281</v>
      </c>
      <c r="Z84">
        <v>335073256.5146783</v>
      </c>
      <c r="AA84">
        <v>1340293026.058713</v>
      </c>
      <c r="AB84">
        <v>1340293.026058713</v>
      </c>
      <c r="AC84">
        <v>0</v>
      </c>
      <c r="AD84">
        <v>3472.7895571646859</v>
      </c>
      <c r="AE84">
        <v>1562755.3007241089</v>
      </c>
      <c r="AF84">
        <v>1093928.710506876</v>
      </c>
      <c r="AG84">
        <v>65.691250451757881</v>
      </c>
      <c r="AH84">
        <v>894.09919020328425</v>
      </c>
      <c r="AI84">
        <v>178.81983804065689</v>
      </c>
      <c r="AJ84">
        <v>43559.52334690818</v>
      </c>
      <c r="AK84">
        <v>854.70085470085473</v>
      </c>
      <c r="AL84" t="s">
        <v>93</v>
      </c>
      <c r="AM84">
        <v>69292.687240754531</v>
      </c>
      <c r="AN84">
        <v>1246.4477064880509</v>
      </c>
      <c r="AO84">
        <v>30399.372466911671</v>
      </c>
      <c r="AP84">
        <v>114953.3591488516</v>
      </c>
      <c r="AQ84">
        <v>84553.986681939947</v>
      </c>
      <c r="AR84">
        <v>3.9819343736507938E-2</v>
      </c>
      <c r="AS84">
        <v>663.09475078263699</v>
      </c>
      <c r="AT84">
        <v>1054.823690586335</v>
      </c>
      <c r="AU84">
        <v>18.97433368852391</v>
      </c>
      <c r="AV84">
        <v>462.76136103142471</v>
      </c>
      <c r="AW84">
        <v>1749.9036532006751</v>
      </c>
      <c r="AX84">
        <v>1287.1422921692499</v>
      </c>
      <c r="AY84">
        <v>2.7221256531260272</v>
      </c>
      <c r="AZ84" t="s">
        <v>121</v>
      </c>
      <c r="BA84" t="str">
        <f>VLOOKUP($AZ84,Sheet1!$A$2:$B$58,2)</f>
        <v>Catechol</v>
      </c>
      <c r="BB84" t="s">
        <v>171</v>
      </c>
      <c r="BC84">
        <v>110.10924</v>
      </c>
      <c r="BD84">
        <v>4.333333333333333</v>
      </c>
      <c r="BE84">
        <v>245</v>
      </c>
      <c r="BF84" t="s">
        <v>199</v>
      </c>
      <c r="BG84">
        <v>1.519084043750514</v>
      </c>
      <c r="BH84">
        <v>0.20406876790830999</v>
      </c>
      <c r="BI84">
        <v>0.38056818568797701</v>
      </c>
      <c r="BJ84">
        <v>80</v>
      </c>
      <c r="BK84">
        <v>5747.6679574425798</v>
      </c>
      <c r="BL84">
        <v>4227.6993340969966</v>
      </c>
      <c r="BM84">
        <v>7.4219078582823288</v>
      </c>
      <c r="BN84">
        <v>1261.724335907996</v>
      </c>
      <c r="BO84">
        <v>4485.9436215345841</v>
      </c>
    </row>
    <row r="85" spans="1:67" x14ac:dyDescent="0.25">
      <c r="A85" s="1">
        <v>83</v>
      </c>
      <c r="B85" t="s">
        <v>66</v>
      </c>
      <c r="C85" t="s">
        <v>81</v>
      </c>
      <c r="D85">
        <v>2</v>
      </c>
      <c r="E85">
        <v>4</v>
      </c>
      <c r="F85">
        <v>2</v>
      </c>
      <c r="G85">
        <v>60.050759999999997</v>
      </c>
      <c r="H85">
        <v>8</v>
      </c>
      <c r="I85" t="s">
        <v>89</v>
      </c>
      <c r="J85">
        <v>4</v>
      </c>
      <c r="K85">
        <v>300</v>
      </c>
      <c r="L85">
        <v>70</v>
      </c>
      <c r="N85" t="s">
        <v>90</v>
      </c>
      <c r="O85">
        <v>30</v>
      </c>
      <c r="P85">
        <v>0.32500000000000001</v>
      </c>
      <c r="Q85">
        <v>3.2500000000000001E-2</v>
      </c>
      <c r="R85">
        <v>77.5</v>
      </c>
      <c r="S85">
        <v>170</v>
      </c>
      <c r="T85">
        <v>20</v>
      </c>
      <c r="U85">
        <v>1812.1301775147931</v>
      </c>
      <c r="V85">
        <v>20</v>
      </c>
      <c r="W85">
        <v>0.95</v>
      </c>
      <c r="X85">
        <v>1</v>
      </c>
      <c r="Y85">
        <v>89296.252146310435</v>
      </c>
      <c r="Z85">
        <v>267888756.43893129</v>
      </c>
      <c r="AA85">
        <v>1071555025.755725</v>
      </c>
      <c r="AB85">
        <v>1071555.0257557251</v>
      </c>
      <c r="AC85">
        <v>0</v>
      </c>
      <c r="AD85">
        <v>2776.4712872637178</v>
      </c>
      <c r="AE85">
        <v>1249412.079268673</v>
      </c>
      <c r="AF85">
        <v>874588.45548807108</v>
      </c>
      <c r="AG85">
        <v>52.519701439284837</v>
      </c>
      <c r="AH85">
        <v>714.82613291198572</v>
      </c>
      <c r="AI85">
        <v>142.96522658239721</v>
      </c>
      <c r="AJ85">
        <v>34825.538337061073</v>
      </c>
      <c r="AK85">
        <v>854.70085470085473</v>
      </c>
      <c r="AL85" t="s">
        <v>93</v>
      </c>
      <c r="AM85">
        <v>55399.025300678892</v>
      </c>
      <c r="AN85">
        <v>996.52634033063964</v>
      </c>
      <c r="AO85">
        <v>24304.088519007521</v>
      </c>
      <c r="AP85">
        <v>92075.790832771469</v>
      </c>
      <c r="AQ85">
        <v>67771.702313763948</v>
      </c>
      <c r="AR85">
        <v>3.9819343736507938E-2</v>
      </c>
      <c r="AS85">
        <v>663.09475078263699</v>
      </c>
      <c r="AT85">
        <v>1054.823690586335</v>
      </c>
      <c r="AU85">
        <v>18.974333688523899</v>
      </c>
      <c r="AV85">
        <v>462.76136103142449</v>
      </c>
      <c r="AW85">
        <v>1753.1666843006581</v>
      </c>
      <c r="AX85">
        <v>1290.4053232692329</v>
      </c>
      <c r="AY85">
        <v>2.7221256531260258</v>
      </c>
      <c r="AZ85" t="s">
        <v>122</v>
      </c>
      <c r="BA85" t="str">
        <f>VLOOKUP($AZ85,Sheet1!$A$2:$B$58,2)</f>
        <v>cis,cis-Muconate</v>
      </c>
      <c r="BB85" t="s">
        <v>172</v>
      </c>
      <c r="BC85">
        <v>140.09155999999999</v>
      </c>
      <c r="BD85">
        <v>3.333333333333333</v>
      </c>
      <c r="BE85">
        <v>345.4</v>
      </c>
      <c r="BF85" t="s">
        <v>199</v>
      </c>
      <c r="BG85">
        <v>1.246902542345804</v>
      </c>
      <c r="BH85">
        <v>0.200619718309859</v>
      </c>
      <c r="BI85">
        <v>0.47601184536247099</v>
      </c>
      <c r="BJ85">
        <v>80</v>
      </c>
      <c r="BK85">
        <v>4603.7895416385736</v>
      </c>
      <c r="BL85">
        <v>3388.5851156881981</v>
      </c>
      <c r="BM85">
        <v>5.9013587867740549</v>
      </c>
      <c r="BN85">
        <v>1003.230993751589</v>
      </c>
      <c r="BO85">
        <v>3600.5585478869839</v>
      </c>
    </row>
    <row r="86" spans="1:67" x14ac:dyDescent="0.25">
      <c r="A86" s="1">
        <v>84</v>
      </c>
      <c r="B86" t="s">
        <v>66</v>
      </c>
      <c r="C86" t="s">
        <v>81</v>
      </c>
      <c r="D86">
        <v>2</v>
      </c>
      <c r="E86">
        <v>4</v>
      </c>
      <c r="F86">
        <v>2</v>
      </c>
      <c r="G86">
        <v>60.050759999999997</v>
      </c>
      <c r="H86">
        <v>8</v>
      </c>
      <c r="I86" t="s">
        <v>89</v>
      </c>
      <c r="J86">
        <v>4</v>
      </c>
      <c r="K86">
        <v>300</v>
      </c>
      <c r="L86">
        <v>70</v>
      </c>
      <c r="N86" t="s">
        <v>90</v>
      </c>
      <c r="O86">
        <v>30</v>
      </c>
      <c r="P86">
        <v>0.32500000000000001</v>
      </c>
      <c r="Q86">
        <v>3.2500000000000001E-2</v>
      </c>
      <c r="R86">
        <v>77.5</v>
      </c>
      <c r="S86">
        <v>170</v>
      </c>
      <c r="T86">
        <v>20</v>
      </c>
      <c r="U86">
        <v>1812.1301775147931</v>
      </c>
      <c r="V86">
        <v>20</v>
      </c>
      <c r="W86">
        <v>0.95</v>
      </c>
      <c r="X86">
        <v>1</v>
      </c>
      <c r="Y86">
        <v>40811.043916273236</v>
      </c>
      <c r="Z86">
        <v>122433131.74881969</v>
      </c>
      <c r="AA86">
        <v>489732526.99527901</v>
      </c>
      <c r="AB86">
        <v>489732.52699527901</v>
      </c>
      <c r="AC86">
        <v>0</v>
      </c>
      <c r="AD86">
        <v>1268.9299820907779</v>
      </c>
      <c r="AE86">
        <v>571018.49194085004</v>
      </c>
      <c r="AF86">
        <v>399712.94435859501</v>
      </c>
      <c r="AG86">
        <v>24.003066090571341</v>
      </c>
      <c r="AH86">
        <v>326.69680979411862</v>
      </c>
      <c r="AI86">
        <v>65.339361958823716</v>
      </c>
      <c r="AJ86">
        <v>15916.30712734657</v>
      </c>
      <c r="AK86">
        <v>854.70085470085473</v>
      </c>
      <c r="AL86" t="s">
        <v>93</v>
      </c>
      <c r="AM86">
        <v>25319.00275904419</v>
      </c>
      <c r="AN86">
        <v>455.44218555019359</v>
      </c>
      <c r="AO86">
        <v>11107.69153300003</v>
      </c>
      <c r="AP86">
        <v>42545.452926641803</v>
      </c>
      <c r="AQ86">
        <v>31437.761393641769</v>
      </c>
      <c r="AR86">
        <v>3.9819343736507938E-2</v>
      </c>
      <c r="AS86">
        <v>663.09475078263699</v>
      </c>
      <c r="AT86">
        <v>1054.823690586335</v>
      </c>
      <c r="AU86">
        <v>18.97433368852391</v>
      </c>
      <c r="AV86">
        <v>462.76136103142471</v>
      </c>
      <c r="AW86">
        <v>1772.5007616153721</v>
      </c>
      <c r="AX86">
        <v>1309.7394005839469</v>
      </c>
      <c r="AY86">
        <v>2.7221256531260281</v>
      </c>
      <c r="AZ86" t="s">
        <v>123</v>
      </c>
      <c r="BA86" t="str">
        <f>VLOOKUP($AZ86,Sheet1!$A$2:$B$58,2)</f>
        <v>Citrate</v>
      </c>
      <c r="BB86" t="s">
        <v>173</v>
      </c>
      <c r="BC86">
        <v>189.09639999999999</v>
      </c>
      <c r="BD86">
        <v>2.5</v>
      </c>
      <c r="BF86" t="s">
        <v>199</v>
      </c>
      <c r="BG86">
        <v>3.4900961450387777E-2</v>
      </c>
      <c r="BH86">
        <v>0.32520547945205402</v>
      </c>
      <c r="BI86">
        <v>1.04153360681785</v>
      </c>
      <c r="BJ86">
        <v>80</v>
      </c>
      <c r="BK86">
        <v>2127.2726463320901</v>
      </c>
      <c r="BL86">
        <v>1571.8880696820891</v>
      </c>
      <c r="BM86">
        <v>3.232067136490798</v>
      </c>
      <c r="BN86">
        <v>549.45141320343566</v>
      </c>
      <c r="BO86">
        <v>1577.821233128655</v>
      </c>
    </row>
    <row r="87" spans="1:67" x14ac:dyDescent="0.25">
      <c r="A87" s="1">
        <v>85</v>
      </c>
      <c r="B87" t="s">
        <v>66</v>
      </c>
      <c r="C87" t="s">
        <v>81</v>
      </c>
      <c r="D87">
        <v>2</v>
      </c>
      <c r="E87">
        <v>4</v>
      </c>
      <c r="F87">
        <v>2</v>
      </c>
      <c r="G87">
        <v>60.050759999999997</v>
      </c>
      <c r="H87">
        <v>8</v>
      </c>
      <c r="I87" t="s">
        <v>89</v>
      </c>
      <c r="J87">
        <v>4</v>
      </c>
      <c r="K87">
        <v>300</v>
      </c>
      <c r="L87">
        <v>70</v>
      </c>
      <c r="N87" t="s">
        <v>90</v>
      </c>
      <c r="O87">
        <v>30</v>
      </c>
      <c r="P87">
        <v>0.32500000000000001</v>
      </c>
      <c r="Q87">
        <v>3.2500000000000001E-2</v>
      </c>
      <c r="R87">
        <v>77.5</v>
      </c>
      <c r="S87">
        <v>170</v>
      </c>
      <c r="T87">
        <v>20</v>
      </c>
      <c r="U87">
        <v>1812.1301775147931</v>
      </c>
      <c r="V87">
        <v>20</v>
      </c>
      <c r="W87">
        <v>0.95</v>
      </c>
      <c r="X87">
        <v>1</v>
      </c>
      <c r="Y87">
        <v>113349.355461119</v>
      </c>
      <c r="Z87">
        <v>340048066.38335693</v>
      </c>
      <c r="AA87">
        <v>1360192265.533428</v>
      </c>
      <c r="AB87">
        <v>1360192.2655334279</v>
      </c>
      <c r="AC87">
        <v>0</v>
      </c>
      <c r="AD87">
        <v>3524.3498277172539</v>
      </c>
      <c r="AE87">
        <v>1585957.422472765</v>
      </c>
      <c r="AF87">
        <v>1110170.1957309351</v>
      </c>
      <c r="AG87">
        <v>66.666563982991406</v>
      </c>
      <c r="AH87">
        <v>907.37382011934278</v>
      </c>
      <c r="AI87">
        <v>181.4747640238686</v>
      </c>
      <c r="AJ87">
        <v>44206.248629836402</v>
      </c>
      <c r="AK87">
        <v>854.70085470085473</v>
      </c>
      <c r="AL87" t="s">
        <v>93</v>
      </c>
      <c r="AM87">
        <v>70321.471059249059</v>
      </c>
      <c r="AN87">
        <v>1264.953630880608</v>
      </c>
      <c r="AO87">
        <v>30850.709884057658</v>
      </c>
      <c r="AP87">
        <v>116647.3741746669</v>
      </c>
      <c r="AQ87">
        <v>85796.664290609275</v>
      </c>
      <c r="AR87">
        <v>3.9819343736507938E-2</v>
      </c>
      <c r="AS87">
        <v>663.09475078263699</v>
      </c>
      <c r="AT87">
        <v>1054.823690586335</v>
      </c>
      <c r="AU87">
        <v>18.97433368852391</v>
      </c>
      <c r="AV87">
        <v>462.76136103142471</v>
      </c>
      <c r="AW87">
        <v>1749.7133076248999</v>
      </c>
      <c r="AX87">
        <v>1286.9519465934759</v>
      </c>
      <c r="AY87">
        <v>2.7221256531260272</v>
      </c>
      <c r="AZ87" t="s">
        <v>124</v>
      </c>
      <c r="BA87" t="str">
        <f>VLOOKUP($AZ87,Sheet1!$A$2:$B$58,2)</f>
        <v>Coumaric Acid</v>
      </c>
      <c r="BB87" t="s">
        <v>174</v>
      </c>
      <c r="BC87">
        <v>163.14818</v>
      </c>
      <c r="BD87">
        <v>4.1111111111111107</v>
      </c>
      <c r="BE87">
        <v>346</v>
      </c>
      <c r="BF87" t="s">
        <v>199</v>
      </c>
      <c r="BG87">
        <v>1.547614074398004</v>
      </c>
      <c r="BH87">
        <v>0.135711775043937</v>
      </c>
      <c r="BI87">
        <v>0.37500057759656302</v>
      </c>
      <c r="BJ87">
        <v>80</v>
      </c>
      <c r="BK87">
        <v>5832.3687087333456</v>
      </c>
      <c r="BL87">
        <v>4289.833214530463</v>
      </c>
      <c r="BM87">
        <v>7.5261241267954251</v>
      </c>
      <c r="BN87">
        <v>1279.4411015552221</v>
      </c>
      <c r="BO87">
        <v>4552.9276071781233</v>
      </c>
    </row>
    <row r="88" spans="1:67" x14ac:dyDescent="0.25">
      <c r="A88" s="1">
        <v>86</v>
      </c>
      <c r="B88" t="s">
        <v>66</v>
      </c>
      <c r="C88" t="s">
        <v>81</v>
      </c>
      <c r="D88">
        <v>2</v>
      </c>
      <c r="E88">
        <v>4</v>
      </c>
      <c r="F88">
        <v>2</v>
      </c>
      <c r="G88">
        <v>60.050759999999997</v>
      </c>
      <c r="H88">
        <v>8</v>
      </c>
      <c r="I88" t="s">
        <v>89</v>
      </c>
      <c r="J88">
        <v>4</v>
      </c>
      <c r="K88">
        <v>300</v>
      </c>
      <c r="L88">
        <v>70</v>
      </c>
      <c r="N88" t="s">
        <v>90</v>
      </c>
      <c r="O88">
        <v>30</v>
      </c>
      <c r="P88">
        <v>0.32500000000000001</v>
      </c>
      <c r="Q88">
        <v>3.2500000000000001E-2</v>
      </c>
      <c r="R88">
        <v>77.5</v>
      </c>
      <c r="S88">
        <v>170</v>
      </c>
      <c r="T88">
        <v>20</v>
      </c>
      <c r="U88">
        <v>1812.1301775147931</v>
      </c>
      <c r="V88">
        <v>20</v>
      </c>
      <c r="W88">
        <v>0.95</v>
      </c>
      <c r="X88">
        <v>1</v>
      </c>
      <c r="Y88">
        <v>85192.859027630169</v>
      </c>
      <c r="Z88">
        <v>255578577.08289051</v>
      </c>
      <c r="AA88">
        <v>1022314308.331562</v>
      </c>
      <c r="AB88">
        <v>1022314.308331562</v>
      </c>
      <c r="AC88">
        <v>0</v>
      </c>
      <c r="AD88">
        <v>2648.8852699278041</v>
      </c>
      <c r="AE88">
        <v>1191998.3714675121</v>
      </c>
      <c r="AF88">
        <v>834398.86002725805</v>
      </c>
      <c r="AG88">
        <v>50.106285687770473</v>
      </c>
      <c r="AH88">
        <v>681.97802826770737</v>
      </c>
      <c r="AI88">
        <v>136.39560565354151</v>
      </c>
      <c r="AJ88">
        <v>33225.215020775773</v>
      </c>
      <c r="AK88">
        <v>854.70085470085473</v>
      </c>
      <c r="AL88" t="s">
        <v>93</v>
      </c>
      <c r="AM88">
        <v>52853.297190747318</v>
      </c>
      <c r="AN88">
        <v>950.73338453226654</v>
      </c>
      <c r="AO88">
        <v>23187.252961102051</v>
      </c>
      <c r="AP88">
        <v>87883.946450756208</v>
      </c>
      <c r="AQ88">
        <v>64696.693489654157</v>
      </c>
      <c r="AR88">
        <v>3.9819343736507952E-2</v>
      </c>
      <c r="AS88">
        <v>663.09475078263699</v>
      </c>
      <c r="AT88">
        <v>1054.823690586335</v>
      </c>
      <c r="AU88">
        <v>18.97433368852391</v>
      </c>
      <c r="AV88">
        <v>462.7613610314246</v>
      </c>
      <c r="AW88">
        <v>1753.9505322424291</v>
      </c>
      <c r="AX88">
        <v>1291.1891712110039</v>
      </c>
      <c r="AY88">
        <v>2.7221256531260272</v>
      </c>
      <c r="AZ88" t="s">
        <v>125</v>
      </c>
      <c r="BA88" t="str">
        <f>VLOOKUP($AZ88,Sheet1!$A$2:$B$58,2)</f>
        <v>Ethyl Acetate</v>
      </c>
      <c r="BB88" t="s">
        <v>175</v>
      </c>
      <c r="BC88">
        <v>88.103520000000003</v>
      </c>
      <c r="BD88">
        <v>5</v>
      </c>
      <c r="BE88">
        <v>77.099999999999994</v>
      </c>
      <c r="BF88" t="s">
        <v>199</v>
      </c>
      <c r="BG88">
        <v>0.98979374938837761</v>
      </c>
      <c r="BH88">
        <v>0.33436619718309801</v>
      </c>
      <c r="BI88">
        <v>0.49893939765928003</v>
      </c>
      <c r="BJ88">
        <v>80</v>
      </c>
      <c r="BK88">
        <v>4394.1973225378097</v>
      </c>
      <c r="BL88">
        <v>3234.8346744827072</v>
      </c>
      <c r="BM88">
        <v>5.8299865332886966</v>
      </c>
      <c r="BN88">
        <v>991.09771065907842</v>
      </c>
      <c r="BO88">
        <v>3403.0996118787311</v>
      </c>
    </row>
    <row r="89" spans="1:67" x14ac:dyDescent="0.25">
      <c r="A89" s="1">
        <v>87</v>
      </c>
      <c r="B89" t="s">
        <v>66</v>
      </c>
      <c r="C89" t="s">
        <v>81</v>
      </c>
      <c r="D89">
        <v>2</v>
      </c>
      <c r="E89">
        <v>4</v>
      </c>
      <c r="F89">
        <v>2</v>
      </c>
      <c r="G89">
        <v>60.050759999999997</v>
      </c>
      <c r="H89">
        <v>8</v>
      </c>
      <c r="I89" t="s">
        <v>89</v>
      </c>
      <c r="J89">
        <v>4</v>
      </c>
      <c r="K89">
        <v>300</v>
      </c>
      <c r="L89">
        <v>70</v>
      </c>
      <c r="N89" t="s">
        <v>90</v>
      </c>
      <c r="O89">
        <v>30</v>
      </c>
      <c r="P89">
        <v>0.32500000000000001</v>
      </c>
      <c r="Q89">
        <v>3.2500000000000001E-2</v>
      </c>
      <c r="R89">
        <v>77.5</v>
      </c>
      <c r="S89">
        <v>170</v>
      </c>
      <c r="T89">
        <v>20</v>
      </c>
      <c r="U89">
        <v>1812.1301775147931</v>
      </c>
      <c r="V89">
        <v>20</v>
      </c>
      <c r="W89">
        <v>0.95</v>
      </c>
      <c r="X89">
        <v>1</v>
      </c>
      <c r="Y89">
        <v>169858.96771204821</v>
      </c>
      <c r="Z89">
        <v>509576903.13614452</v>
      </c>
      <c r="AA89">
        <v>2038307612.5445781</v>
      </c>
      <c r="AB89">
        <v>2038307.612544578</v>
      </c>
      <c r="AC89">
        <v>0</v>
      </c>
      <c r="AD89">
        <v>5281.3923921917103</v>
      </c>
      <c r="AE89">
        <v>2376626.576486269</v>
      </c>
      <c r="AF89">
        <v>1663638.6035403879</v>
      </c>
      <c r="AG89">
        <v>99.902762507939016</v>
      </c>
      <c r="AH89">
        <v>1359.7393632050889</v>
      </c>
      <c r="AI89">
        <v>271.94787264101791</v>
      </c>
      <c r="AJ89">
        <v>66244.997407698786</v>
      </c>
      <c r="AK89">
        <v>1835.336538461539</v>
      </c>
      <c r="AL89" t="s">
        <v>94</v>
      </c>
      <c r="AM89">
        <v>105379.8006483944</v>
      </c>
      <c r="AN89">
        <v>1895.5883522309909</v>
      </c>
      <c r="AO89">
        <v>46231.138348973043</v>
      </c>
      <c r="AP89">
        <v>175355.72294678571</v>
      </c>
      <c r="AQ89">
        <v>129124.5845978127</v>
      </c>
      <c r="AR89">
        <v>3.9819343736507952E-2</v>
      </c>
      <c r="AS89">
        <v>663.09475078263699</v>
      </c>
      <c r="AT89">
        <v>1054.823690586335</v>
      </c>
      <c r="AU89">
        <v>18.97433368852391</v>
      </c>
      <c r="AV89">
        <v>462.76136103142471</v>
      </c>
      <c r="AW89">
        <v>1755.2640041645559</v>
      </c>
      <c r="AX89">
        <v>1292.5026431331321</v>
      </c>
      <c r="AY89">
        <v>2.7221256531260281</v>
      </c>
      <c r="AZ89" t="s">
        <v>126</v>
      </c>
      <c r="BA89" t="str">
        <f>VLOOKUP($AZ89,Sheet1!$A$2:$B$58,2)</f>
        <v>Farnesene</v>
      </c>
      <c r="BB89" t="s">
        <v>176</v>
      </c>
      <c r="BC89">
        <v>204.34866</v>
      </c>
      <c r="BD89">
        <v>5.6</v>
      </c>
      <c r="BE89" t="s">
        <v>198</v>
      </c>
      <c r="BF89" t="s">
        <v>199</v>
      </c>
      <c r="BG89">
        <v>2.726813228775903</v>
      </c>
      <c r="BH89">
        <v>7.2303370786517093E-2</v>
      </c>
      <c r="BI89">
        <v>0.25024333033847102</v>
      </c>
      <c r="BJ89">
        <v>80</v>
      </c>
      <c r="BK89">
        <v>8767.7861473392877</v>
      </c>
      <c r="BL89">
        <v>6456.229229890635</v>
      </c>
      <c r="BM89">
        <v>10.870580403274991</v>
      </c>
      <c r="BN89">
        <v>1847.998668556749</v>
      </c>
      <c r="BO89">
        <v>6919.7874787825394</v>
      </c>
    </row>
    <row r="90" spans="1:67" x14ac:dyDescent="0.25">
      <c r="A90" s="1">
        <v>88</v>
      </c>
      <c r="B90" t="s">
        <v>66</v>
      </c>
      <c r="C90" t="s">
        <v>81</v>
      </c>
      <c r="D90">
        <v>2</v>
      </c>
      <c r="E90">
        <v>4</v>
      </c>
      <c r="F90">
        <v>2</v>
      </c>
      <c r="G90">
        <v>60.050759999999997</v>
      </c>
      <c r="H90">
        <v>8</v>
      </c>
      <c r="I90" t="s">
        <v>89</v>
      </c>
      <c r="J90">
        <v>4</v>
      </c>
      <c r="K90">
        <v>300</v>
      </c>
      <c r="L90">
        <v>70</v>
      </c>
      <c r="N90" t="s">
        <v>90</v>
      </c>
      <c r="O90">
        <v>30</v>
      </c>
      <c r="P90">
        <v>0.32500000000000001</v>
      </c>
      <c r="Q90">
        <v>3.2500000000000001E-2</v>
      </c>
      <c r="R90">
        <v>77.5</v>
      </c>
      <c r="S90">
        <v>170</v>
      </c>
      <c r="T90">
        <v>20</v>
      </c>
      <c r="U90">
        <v>1812.1301775147931</v>
      </c>
      <c r="V90">
        <v>20</v>
      </c>
      <c r="W90">
        <v>0.95</v>
      </c>
      <c r="X90">
        <v>1</v>
      </c>
      <c r="Y90">
        <v>88415.577879565797</v>
      </c>
      <c r="Z90">
        <v>265246733.63869739</v>
      </c>
      <c r="AA90">
        <v>1060986934.55479</v>
      </c>
      <c r="AB90">
        <v>1060986.9345547899</v>
      </c>
      <c r="AC90">
        <v>0</v>
      </c>
      <c r="AD90">
        <v>2749.0886507445261</v>
      </c>
      <c r="AE90">
        <v>1237089.8928350371</v>
      </c>
      <c r="AF90">
        <v>865962.92498452577</v>
      </c>
      <c r="AG90">
        <v>52.00173177714376</v>
      </c>
      <c r="AH90">
        <v>707.77624038770932</v>
      </c>
      <c r="AI90">
        <v>141.5552480775419</v>
      </c>
      <c r="AJ90">
        <v>34482.075373030668</v>
      </c>
      <c r="AK90">
        <v>1835.336538461539</v>
      </c>
      <c r="AL90" t="s">
        <v>94</v>
      </c>
      <c r="AM90">
        <v>54852.658630047466</v>
      </c>
      <c r="AN90">
        <v>986.69821112064301</v>
      </c>
      <c r="AO90">
        <v>24064.392173182121</v>
      </c>
      <c r="AP90">
        <v>92156.768752660311</v>
      </c>
      <c r="AQ90">
        <v>68092.376579478194</v>
      </c>
      <c r="AR90">
        <v>3.9819343736507938E-2</v>
      </c>
      <c r="AS90">
        <v>663.09475078263699</v>
      </c>
      <c r="AT90">
        <v>1054.823690586335</v>
      </c>
      <c r="AU90">
        <v>18.97433368852391</v>
      </c>
      <c r="AV90">
        <v>462.76136103142443</v>
      </c>
      <c r="AW90">
        <v>1772.1865330870739</v>
      </c>
      <c r="AX90">
        <v>1309.425172055649</v>
      </c>
      <c r="AY90">
        <v>2.7221256531260258</v>
      </c>
      <c r="AZ90" t="s">
        <v>127</v>
      </c>
      <c r="BA90" t="str">
        <f>VLOOKUP($AZ90,Sheet1!$A$2:$B$58,2)</f>
        <v>Gamma Butyrolactone</v>
      </c>
      <c r="BB90" t="s">
        <v>177</v>
      </c>
      <c r="BC90">
        <v>86.08784</v>
      </c>
      <c r="BD90">
        <v>4.5</v>
      </c>
      <c r="BE90">
        <v>204</v>
      </c>
      <c r="BF90" t="s">
        <v>199</v>
      </c>
      <c r="BG90">
        <v>1.056037412263569</v>
      </c>
      <c r="BH90">
        <v>0.32972222222222197</v>
      </c>
      <c r="BI90">
        <v>0.48075322004926402</v>
      </c>
      <c r="BJ90">
        <v>80</v>
      </c>
      <c r="BK90">
        <v>4607.8384376330159</v>
      </c>
      <c r="BL90">
        <v>3404.6188289739098</v>
      </c>
      <c r="BM90">
        <v>6.0217249916135236</v>
      </c>
      <c r="BN90">
        <v>1023.693248574299</v>
      </c>
      <c r="BO90">
        <v>3584.1451890587168</v>
      </c>
    </row>
    <row r="91" spans="1:67" x14ac:dyDescent="0.25">
      <c r="A91" s="1">
        <v>89</v>
      </c>
      <c r="B91" t="s">
        <v>66</v>
      </c>
      <c r="C91" t="s">
        <v>81</v>
      </c>
      <c r="D91">
        <v>2</v>
      </c>
      <c r="E91">
        <v>4</v>
      </c>
      <c r="F91">
        <v>2</v>
      </c>
      <c r="G91">
        <v>60.050759999999997</v>
      </c>
      <c r="H91">
        <v>8</v>
      </c>
      <c r="I91" t="s">
        <v>89</v>
      </c>
      <c r="J91">
        <v>4</v>
      </c>
      <c r="K91">
        <v>300</v>
      </c>
      <c r="L91">
        <v>70</v>
      </c>
      <c r="N91" t="s">
        <v>90</v>
      </c>
      <c r="O91">
        <v>30</v>
      </c>
      <c r="P91">
        <v>0.32500000000000001</v>
      </c>
      <c r="Q91">
        <v>3.2500000000000001E-2</v>
      </c>
      <c r="R91">
        <v>77.5</v>
      </c>
      <c r="S91">
        <v>170</v>
      </c>
      <c r="T91">
        <v>20</v>
      </c>
      <c r="U91">
        <v>1812.1301775147931</v>
      </c>
      <c r="V91">
        <v>20</v>
      </c>
      <c r="W91">
        <v>0.95</v>
      </c>
      <c r="X91">
        <v>1</v>
      </c>
      <c r="Y91">
        <v>50822.271695315991</v>
      </c>
      <c r="Z91">
        <v>152466815.08594799</v>
      </c>
      <c r="AA91">
        <v>609867260.34379196</v>
      </c>
      <c r="AB91">
        <v>609867.26034379192</v>
      </c>
      <c r="AC91">
        <v>0</v>
      </c>
      <c r="AD91">
        <v>1580.207172461837</v>
      </c>
      <c r="AE91">
        <v>711093.22760782647</v>
      </c>
      <c r="AF91">
        <v>497765.25932547852</v>
      </c>
      <c r="AG91">
        <v>29.891182124092069</v>
      </c>
      <c r="AH91">
        <v>406.83776831126562</v>
      </c>
      <c r="AI91">
        <v>81.36755366225313</v>
      </c>
      <c r="AJ91">
        <v>19820.68596117324</v>
      </c>
      <c r="AK91">
        <v>854.70085470085473</v>
      </c>
      <c r="AL91" t="s">
        <v>93</v>
      </c>
      <c r="AM91">
        <v>31529.92704412308</v>
      </c>
      <c r="AN91">
        <v>567.16526396696361</v>
      </c>
      <c r="AO91">
        <v>13832.48412258303</v>
      </c>
      <c r="AP91">
        <v>52772.479123964142</v>
      </c>
      <c r="AQ91">
        <v>38939.99500138111</v>
      </c>
      <c r="AR91">
        <v>3.9819343736507931E-2</v>
      </c>
      <c r="AS91">
        <v>663.09475078263688</v>
      </c>
      <c r="AT91">
        <v>1054.823690586335</v>
      </c>
      <c r="AU91">
        <v>18.974333688523899</v>
      </c>
      <c r="AV91">
        <v>462.76136103142443</v>
      </c>
      <c r="AW91">
        <v>1765.486520569219</v>
      </c>
      <c r="AX91">
        <v>1302.725159537795</v>
      </c>
      <c r="AY91">
        <v>2.7221256531260258</v>
      </c>
      <c r="AZ91" t="s">
        <v>128</v>
      </c>
      <c r="BA91" t="str">
        <f>VLOOKUP($AZ91,Sheet1!$A$2:$B$58,2)</f>
        <v>L-Glutamate</v>
      </c>
      <c r="BB91" t="s">
        <v>178</v>
      </c>
      <c r="BC91">
        <v>146.11892</v>
      </c>
      <c r="BD91">
        <v>3.4</v>
      </c>
      <c r="BE91">
        <v>333.8</v>
      </c>
      <c r="BF91" t="s">
        <v>199</v>
      </c>
      <c r="BG91">
        <v>0.27648183158484951</v>
      </c>
      <c r="BH91">
        <v>0.33795454545454501</v>
      </c>
      <c r="BI91">
        <v>0.83636705621789997</v>
      </c>
      <c r="BJ91">
        <v>80</v>
      </c>
      <c r="BK91">
        <v>2638.623956198207</v>
      </c>
      <c r="BL91">
        <v>1946.9997500690561</v>
      </c>
      <c r="BM91">
        <v>3.7918958515278081</v>
      </c>
      <c r="BN91">
        <v>644.62229475972731</v>
      </c>
      <c r="BO91">
        <v>1994.0016614384799</v>
      </c>
    </row>
    <row r="92" spans="1:67" x14ac:dyDescent="0.25">
      <c r="A92" s="1">
        <v>90</v>
      </c>
      <c r="B92" t="s">
        <v>66</v>
      </c>
      <c r="C92" t="s">
        <v>81</v>
      </c>
      <c r="D92">
        <v>2</v>
      </c>
      <c r="E92">
        <v>4</v>
      </c>
      <c r="F92">
        <v>2</v>
      </c>
      <c r="G92">
        <v>60.050759999999997</v>
      </c>
      <c r="H92">
        <v>8</v>
      </c>
      <c r="I92" t="s">
        <v>89</v>
      </c>
      <c r="J92">
        <v>4</v>
      </c>
      <c r="K92">
        <v>300</v>
      </c>
      <c r="L92">
        <v>70</v>
      </c>
      <c r="N92" t="s">
        <v>90</v>
      </c>
      <c r="O92">
        <v>30</v>
      </c>
      <c r="P92">
        <v>0.32500000000000001</v>
      </c>
      <c r="Q92">
        <v>3.2500000000000001E-2</v>
      </c>
      <c r="R92">
        <v>77.5</v>
      </c>
      <c r="S92">
        <v>170</v>
      </c>
      <c r="T92">
        <v>20</v>
      </c>
      <c r="U92">
        <v>1812.1301775147931</v>
      </c>
      <c r="V92">
        <v>20</v>
      </c>
      <c r="W92">
        <v>0.95</v>
      </c>
      <c r="X92">
        <v>1</v>
      </c>
      <c r="Y92">
        <v>85437.667156813317</v>
      </c>
      <c r="Z92">
        <v>256313001.47044</v>
      </c>
      <c r="AA92">
        <v>1025252005.88176</v>
      </c>
      <c r="AB92">
        <v>1025252.00588176</v>
      </c>
      <c r="AC92">
        <v>0</v>
      </c>
      <c r="AD92">
        <v>2656.4970422612282</v>
      </c>
      <c r="AE92">
        <v>1195423.6690175531</v>
      </c>
      <c r="AF92">
        <v>836796.56831228686</v>
      </c>
      <c r="AG92">
        <v>50.250269892544743</v>
      </c>
      <c r="AH92">
        <v>683.93774375501221</v>
      </c>
      <c r="AI92">
        <v>136.78754875100239</v>
      </c>
      <c r="AJ92">
        <v>33320.690191157199</v>
      </c>
      <c r="AK92">
        <v>854.70085470085473</v>
      </c>
      <c r="AL92" t="s">
        <v>93</v>
      </c>
      <c r="AM92">
        <v>53005.175141013453</v>
      </c>
      <c r="AN92">
        <v>953.46538887953034</v>
      </c>
      <c r="AO92">
        <v>23253.883287670411</v>
      </c>
      <c r="AP92">
        <v>88134.03157575104</v>
      </c>
      <c r="AQ92">
        <v>64880.148288080629</v>
      </c>
      <c r="AR92">
        <v>3.9819343736507938E-2</v>
      </c>
      <c r="AS92">
        <v>663.09475078263699</v>
      </c>
      <c r="AT92">
        <v>1054.823690586335</v>
      </c>
      <c r="AU92">
        <v>18.97433368852391</v>
      </c>
      <c r="AV92">
        <v>462.76136103142443</v>
      </c>
      <c r="AW92">
        <v>1753.901655935719</v>
      </c>
      <c r="AX92">
        <v>1291.1402949042949</v>
      </c>
      <c r="AY92">
        <v>2.7221256531260272</v>
      </c>
      <c r="AZ92" t="s">
        <v>129</v>
      </c>
      <c r="BA92" t="str">
        <f>VLOOKUP($AZ92,Sheet1!$A$2:$B$58,2)</f>
        <v>Glutarate</v>
      </c>
      <c r="BB92" t="s">
        <v>179</v>
      </c>
      <c r="BC92">
        <v>130.09654</v>
      </c>
      <c r="BD92">
        <v>3.6</v>
      </c>
      <c r="BE92">
        <v>200</v>
      </c>
      <c r="BF92" t="s">
        <v>199</v>
      </c>
      <c r="BG92">
        <v>1.305047527260665</v>
      </c>
      <c r="BH92">
        <v>0.22578947368421001</v>
      </c>
      <c r="BI92">
        <v>0.49750976568802602</v>
      </c>
      <c r="BJ92">
        <v>80</v>
      </c>
      <c r="BK92">
        <v>4406.7015787875516</v>
      </c>
      <c r="BL92">
        <v>3244.0074144040309</v>
      </c>
      <c r="BM92">
        <v>5.5343299102894576</v>
      </c>
      <c r="BN92">
        <v>940.83608474920777</v>
      </c>
      <c r="BO92">
        <v>3465.865494038344</v>
      </c>
    </row>
    <row r="93" spans="1:67" x14ac:dyDescent="0.25">
      <c r="A93" s="1">
        <v>91</v>
      </c>
      <c r="B93" t="s">
        <v>66</v>
      </c>
      <c r="C93" t="s">
        <v>81</v>
      </c>
      <c r="D93">
        <v>2</v>
      </c>
      <c r="E93">
        <v>4</v>
      </c>
      <c r="F93">
        <v>2</v>
      </c>
      <c r="G93">
        <v>60.050759999999997</v>
      </c>
      <c r="H93">
        <v>8</v>
      </c>
      <c r="I93" t="s">
        <v>89</v>
      </c>
      <c r="J93">
        <v>4</v>
      </c>
      <c r="K93">
        <v>300</v>
      </c>
      <c r="L93">
        <v>70</v>
      </c>
      <c r="N93" t="s">
        <v>90</v>
      </c>
      <c r="O93">
        <v>30</v>
      </c>
      <c r="P93">
        <v>0.32500000000000001</v>
      </c>
      <c r="Q93">
        <v>3.2500000000000001E-2</v>
      </c>
      <c r="R93">
        <v>77.5</v>
      </c>
      <c r="S93">
        <v>170</v>
      </c>
      <c r="T93">
        <v>20</v>
      </c>
      <c r="U93">
        <v>1812.1301775147931</v>
      </c>
      <c r="V93">
        <v>20</v>
      </c>
      <c r="W93">
        <v>0.95</v>
      </c>
      <c r="X93">
        <v>1</v>
      </c>
      <c r="Y93">
        <v>35218.769324400768</v>
      </c>
      <c r="Z93">
        <v>105656307.9732023</v>
      </c>
      <c r="AA93">
        <v>422625231.89280921</v>
      </c>
      <c r="AB93">
        <v>422625.23189280921</v>
      </c>
      <c r="AC93">
        <v>0</v>
      </c>
      <c r="AD93">
        <v>1095.0504579043879</v>
      </c>
      <c r="AE93">
        <v>492772.7060569746</v>
      </c>
      <c r="AF93">
        <v>344940.89423988218</v>
      </c>
      <c r="AG93">
        <v>20.71396285418454</v>
      </c>
      <c r="AH93">
        <v>281.93004831637683</v>
      </c>
      <c r="AI93">
        <v>56.386009663275367</v>
      </c>
      <c r="AJ93">
        <v>13735.320036516299</v>
      </c>
      <c r="AK93">
        <v>854.70085470085473</v>
      </c>
      <c r="AL93" t="s">
        <v>93</v>
      </c>
      <c r="AM93">
        <v>21849.5787445192</v>
      </c>
      <c r="AN93">
        <v>393.03364320698671</v>
      </c>
      <c r="AO93">
        <v>9585.6216427568124</v>
      </c>
      <c r="AP93">
        <v>36832.633278943344</v>
      </c>
      <c r="AQ93">
        <v>27247.011636186529</v>
      </c>
      <c r="AR93">
        <v>3.9819343736507938E-2</v>
      </c>
      <c r="AS93">
        <v>663.09475078263699</v>
      </c>
      <c r="AT93">
        <v>1054.823690586335</v>
      </c>
      <c r="AU93">
        <v>18.97433368852391</v>
      </c>
      <c r="AV93">
        <v>462.76136103142449</v>
      </c>
      <c r="AW93">
        <v>1778.1548387542159</v>
      </c>
      <c r="AX93">
        <v>1315.393477722791</v>
      </c>
      <c r="AY93">
        <v>2.7221256531260272</v>
      </c>
      <c r="AZ93" t="s">
        <v>130</v>
      </c>
      <c r="BA93" t="str">
        <f>VLOOKUP($AZ93,Sheet1!$A$2:$B$58,2)</f>
        <v>Glycolate</v>
      </c>
      <c r="BB93" t="s">
        <v>180</v>
      </c>
      <c r="BC93">
        <v>75.041920000000005</v>
      </c>
      <c r="BD93">
        <v>2.5</v>
      </c>
      <c r="BE93">
        <v>112</v>
      </c>
      <c r="BF93" t="s">
        <v>199</v>
      </c>
      <c r="BG93">
        <v>6.2253999446799962E-2</v>
      </c>
      <c r="BH93">
        <v>0.9496</v>
      </c>
      <c r="BI93">
        <v>1.2069153631290599</v>
      </c>
      <c r="BJ93">
        <v>80</v>
      </c>
      <c r="BK93">
        <v>1841.631663947167</v>
      </c>
      <c r="BL93">
        <v>1362.3505818093261</v>
      </c>
      <c r="BM93">
        <v>2.757046483716969</v>
      </c>
      <c r="BN93">
        <v>468.69790223188471</v>
      </c>
      <c r="BO93">
        <v>1372.9337617152819</v>
      </c>
    </row>
    <row r="94" spans="1:67" x14ac:dyDescent="0.25">
      <c r="A94" s="1">
        <v>92</v>
      </c>
      <c r="B94" t="s">
        <v>66</v>
      </c>
      <c r="C94" t="s">
        <v>81</v>
      </c>
      <c r="D94">
        <v>2</v>
      </c>
      <c r="E94">
        <v>4</v>
      </c>
      <c r="F94">
        <v>2</v>
      </c>
      <c r="G94">
        <v>60.050759999999997</v>
      </c>
      <c r="H94">
        <v>8</v>
      </c>
      <c r="I94" t="s">
        <v>89</v>
      </c>
      <c r="J94">
        <v>4</v>
      </c>
      <c r="K94">
        <v>300</v>
      </c>
      <c r="L94">
        <v>70</v>
      </c>
      <c r="N94" t="s">
        <v>90</v>
      </c>
      <c r="O94">
        <v>30</v>
      </c>
      <c r="P94">
        <v>0.32500000000000001</v>
      </c>
      <c r="Q94">
        <v>3.2500000000000001E-2</v>
      </c>
      <c r="R94">
        <v>77.5</v>
      </c>
      <c r="S94">
        <v>170</v>
      </c>
      <c r="T94">
        <v>20</v>
      </c>
      <c r="U94">
        <v>1812.1301775147931</v>
      </c>
      <c r="V94">
        <v>20</v>
      </c>
      <c r="W94">
        <v>0.95</v>
      </c>
      <c r="X94">
        <v>1</v>
      </c>
      <c r="Y94">
        <v>167751.35379871249</v>
      </c>
      <c r="Z94">
        <v>503254061.39613742</v>
      </c>
      <c r="AA94">
        <v>2013016245.584549</v>
      </c>
      <c r="AB94">
        <v>2013016.2455845489</v>
      </c>
      <c r="AC94">
        <v>0</v>
      </c>
      <c r="AD94">
        <v>5215.8607559319244</v>
      </c>
      <c r="AE94">
        <v>2347137.340169366</v>
      </c>
      <c r="AF94">
        <v>1642996.138118556</v>
      </c>
      <c r="AG94">
        <v>98.663166771084249</v>
      </c>
      <c r="AH94">
        <v>1342.8676864310989</v>
      </c>
      <c r="AI94">
        <v>268.57353728621979</v>
      </c>
      <c r="AJ94">
        <v>65423.027981497857</v>
      </c>
      <c r="AK94">
        <v>854.70085470085473</v>
      </c>
      <c r="AL94" t="s">
        <v>93</v>
      </c>
      <c r="AM94">
        <v>104072.2456984102</v>
      </c>
      <c r="AN94">
        <v>1872.0678490810369</v>
      </c>
      <c r="AO94">
        <v>45657.501338657377</v>
      </c>
      <c r="AP94">
        <v>172222.0423836899</v>
      </c>
      <c r="AQ94">
        <v>126564.5410450326</v>
      </c>
      <c r="AR94">
        <v>3.9819343736507938E-2</v>
      </c>
      <c r="AS94">
        <v>663.09475078263699</v>
      </c>
      <c r="AT94">
        <v>1054.823690586335</v>
      </c>
      <c r="AU94">
        <v>18.97433368852391</v>
      </c>
      <c r="AV94">
        <v>462.7613610314246</v>
      </c>
      <c r="AW94">
        <v>1745.555591006673</v>
      </c>
      <c r="AX94">
        <v>1282.794229975249</v>
      </c>
      <c r="AY94">
        <v>2.7221256531260272</v>
      </c>
      <c r="AZ94" t="s">
        <v>131</v>
      </c>
      <c r="BA94" t="str">
        <f>VLOOKUP($AZ94,Sheet1!$A$2:$B$58,2)</f>
        <v>Heptane</v>
      </c>
      <c r="BB94" t="s">
        <v>181</v>
      </c>
      <c r="BC94">
        <v>100.20034</v>
      </c>
      <c r="BD94">
        <v>6.2857142857142856</v>
      </c>
      <c r="BE94">
        <v>98</v>
      </c>
      <c r="BF94" t="s">
        <v>199</v>
      </c>
      <c r="BG94">
        <v>2.8088622788068451</v>
      </c>
      <c r="BH94">
        <v>0.14930817610062899</v>
      </c>
      <c r="BI94">
        <v>0.25338736651342603</v>
      </c>
      <c r="BJ94">
        <v>80</v>
      </c>
      <c r="BK94">
        <v>8611.1021191844957</v>
      </c>
      <c r="BL94">
        <v>6328.2270522516274</v>
      </c>
      <c r="BM94">
        <v>10.619814585504139</v>
      </c>
      <c r="BN94">
        <v>1805.3684795357051</v>
      </c>
      <c r="BO94">
        <v>6805.7336396487908</v>
      </c>
    </row>
    <row r="95" spans="1:67" x14ac:dyDescent="0.25">
      <c r="A95" s="1">
        <v>93</v>
      </c>
      <c r="B95" t="s">
        <v>66</v>
      </c>
      <c r="C95" t="s">
        <v>81</v>
      </c>
      <c r="D95">
        <v>2</v>
      </c>
      <c r="E95">
        <v>4</v>
      </c>
      <c r="F95">
        <v>2</v>
      </c>
      <c r="G95">
        <v>60.050759999999997</v>
      </c>
      <c r="H95">
        <v>8</v>
      </c>
      <c r="I95" t="s">
        <v>89</v>
      </c>
      <c r="J95">
        <v>4</v>
      </c>
      <c r="K95">
        <v>300</v>
      </c>
      <c r="L95">
        <v>70</v>
      </c>
      <c r="N95" t="s">
        <v>90</v>
      </c>
      <c r="O95">
        <v>30</v>
      </c>
      <c r="P95">
        <v>0.32500000000000001</v>
      </c>
      <c r="Q95">
        <v>3.2500000000000001E-2</v>
      </c>
      <c r="R95">
        <v>77.5</v>
      </c>
      <c r="S95">
        <v>170</v>
      </c>
      <c r="T95">
        <v>20</v>
      </c>
      <c r="U95">
        <v>1812.1301775147931</v>
      </c>
      <c r="V95">
        <v>20</v>
      </c>
      <c r="W95">
        <v>0.95</v>
      </c>
      <c r="X95">
        <v>1</v>
      </c>
      <c r="Y95">
        <v>174200.9015066266</v>
      </c>
      <c r="Z95">
        <v>522602704.51987982</v>
      </c>
      <c r="AA95">
        <v>2090410818.079519</v>
      </c>
      <c r="AB95">
        <v>2090410.8180795191</v>
      </c>
      <c r="AC95">
        <v>0</v>
      </c>
      <c r="AD95">
        <v>5416.3953091349058</v>
      </c>
      <c r="AE95">
        <v>2437377.8891107081</v>
      </c>
      <c r="AF95">
        <v>1706164.522377495</v>
      </c>
      <c r="AG95">
        <v>102.4564762538056</v>
      </c>
      <c r="AH95">
        <v>1394.4970116969091</v>
      </c>
      <c r="AI95">
        <v>278.89940233938182</v>
      </c>
      <c r="AJ95">
        <v>67938.351587584373</v>
      </c>
      <c r="AK95">
        <v>854.70085470085473</v>
      </c>
      <c r="AL95" t="s">
        <v>93</v>
      </c>
      <c r="AM95">
        <v>108073.5184065105</v>
      </c>
      <c r="AN95">
        <v>1944.0433689900331</v>
      </c>
      <c r="AO95">
        <v>47412.898397694909</v>
      </c>
      <c r="AP95">
        <v>178810.61421778571</v>
      </c>
      <c r="AQ95">
        <v>131397.71582009079</v>
      </c>
      <c r="AR95">
        <v>3.9819343736507938E-2</v>
      </c>
      <c r="AS95">
        <v>663.09475078263699</v>
      </c>
      <c r="AT95">
        <v>1054.823690586335</v>
      </c>
      <c r="AU95">
        <v>18.974333688523899</v>
      </c>
      <c r="AV95">
        <v>462.7613610314246</v>
      </c>
      <c r="AW95">
        <v>1745.2348622144229</v>
      </c>
      <c r="AX95">
        <v>1282.473501182998</v>
      </c>
      <c r="AY95">
        <v>2.7221256531260272</v>
      </c>
      <c r="AZ95" t="s">
        <v>132</v>
      </c>
      <c r="BA95" t="str">
        <f>VLOOKUP($AZ95,Sheet1!$A$2:$B$58,2)</f>
        <v>Hexane</v>
      </c>
      <c r="BB95" t="s">
        <v>182</v>
      </c>
      <c r="BC95">
        <v>86.173959999999994</v>
      </c>
      <c r="BD95">
        <v>6.333333333333333</v>
      </c>
      <c r="BE95">
        <v>69</v>
      </c>
      <c r="BF95" t="s">
        <v>199</v>
      </c>
      <c r="BG95">
        <v>3.0453355838611551</v>
      </c>
      <c r="BH95">
        <v>0.16718309859154901</v>
      </c>
      <c r="BI95">
        <v>0.244006049340111</v>
      </c>
      <c r="BJ95">
        <v>80</v>
      </c>
      <c r="BK95">
        <v>8940.5307108892866</v>
      </c>
      <c r="BL95">
        <v>6569.8857910045408</v>
      </c>
      <c r="BM95">
        <v>10.899634533107941</v>
      </c>
      <c r="BN95">
        <v>1852.9378706283489</v>
      </c>
      <c r="BO95">
        <v>7087.592840260937</v>
      </c>
    </row>
    <row r="96" spans="1:67" x14ac:dyDescent="0.25">
      <c r="A96" s="1">
        <v>94</v>
      </c>
      <c r="B96" t="s">
        <v>66</v>
      </c>
      <c r="C96" t="s">
        <v>81</v>
      </c>
      <c r="D96">
        <v>2</v>
      </c>
      <c r="E96">
        <v>4</v>
      </c>
      <c r="F96">
        <v>2</v>
      </c>
      <c r="G96">
        <v>60.050759999999997</v>
      </c>
      <c r="H96">
        <v>8</v>
      </c>
      <c r="I96" t="s">
        <v>89</v>
      </c>
      <c r="J96">
        <v>4</v>
      </c>
      <c r="K96">
        <v>300</v>
      </c>
      <c r="L96">
        <v>70</v>
      </c>
      <c r="N96" t="s">
        <v>90</v>
      </c>
      <c r="O96">
        <v>30</v>
      </c>
      <c r="P96">
        <v>0.32500000000000001</v>
      </c>
      <c r="Q96">
        <v>3.2500000000000001E-2</v>
      </c>
      <c r="R96">
        <v>77.5</v>
      </c>
      <c r="S96">
        <v>170</v>
      </c>
      <c r="T96">
        <v>20</v>
      </c>
      <c r="U96">
        <v>1812.1301775147931</v>
      </c>
      <c r="V96">
        <v>20</v>
      </c>
      <c r="W96">
        <v>0.95</v>
      </c>
      <c r="X96">
        <v>1</v>
      </c>
      <c r="Y96">
        <v>107541.2045577627</v>
      </c>
      <c r="Z96">
        <v>322623613.67328799</v>
      </c>
      <c r="AA96">
        <v>1290494454.693152</v>
      </c>
      <c r="AB96">
        <v>1290494.4546931521</v>
      </c>
      <c r="AC96">
        <v>0</v>
      </c>
      <c r="AD96">
        <v>3343.7581026710441</v>
      </c>
      <c r="AE96">
        <v>1504691.1462019701</v>
      </c>
      <c r="AF96">
        <v>1053283.802341379</v>
      </c>
      <c r="AG96">
        <v>63.250492826289573</v>
      </c>
      <c r="AH96">
        <v>860.87894547653298</v>
      </c>
      <c r="AI96">
        <v>172.17578909530661</v>
      </c>
      <c r="AJ96">
        <v>41941.069777527453</v>
      </c>
      <c r="AK96">
        <v>854.70085470085473</v>
      </c>
      <c r="AL96" t="s">
        <v>93</v>
      </c>
      <c r="AM96">
        <v>66718.118274431312</v>
      </c>
      <c r="AN96">
        <v>1200.1359568496059</v>
      </c>
      <c r="AO96">
        <v>29269.884146202119</v>
      </c>
      <c r="AP96">
        <v>110714.0248635092</v>
      </c>
      <c r="AQ96">
        <v>81444.140717307106</v>
      </c>
      <c r="AR96">
        <v>3.9819343736507938E-2</v>
      </c>
      <c r="AS96">
        <v>663.09475078263699</v>
      </c>
      <c r="AT96">
        <v>1054.823690586335</v>
      </c>
      <c r="AU96">
        <v>18.97433368852391</v>
      </c>
      <c r="AV96">
        <v>462.76136103142471</v>
      </c>
      <c r="AW96">
        <v>1750.4057267596791</v>
      </c>
      <c r="AX96">
        <v>1287.6443657282539</v>
      </c>
      <c r="AY96">
        <v>2.7221256531260272</v>
      </c>
      <c r="AZ96" t="s">
        <v>133</v>
      </c>
      <c r="BA96" t="str">
        <f>VLOOKUP($AZ96,Sheet1!$A$2:$B$58,2)</f>
        <v>Isobutanol</v>
      </c>
      <c r="BB96" t="s">
        <v>183</v>
      </c>
      <c r="BC96">
        <v>86.130899999999997</v>
      </c>
      <c r="BD96">
        <v>5.6</v>
      </c>
      <c r="BE96">
        <v>108</v>
      </c>
      <c r="BF96" t="s">
        <v>199</v>
      </c>
      <c r="BG96">
        <v>1.727836814199547</v>
      </c>
      <c r="BH96">
        <v>0.27094736842105299</v>
      </c>
      <c r="BI96">
        <v>0.39525383728882102</v>
      </c>
      <c r="BJ96">
        <v>80</v>
      </c>
      <c r="BK96">
        <v>5535.7012431754611</v>
      </c>
      <c r="BL96">
        <v>4072.207035865355</v>
      </c>
      <c r="BM96">
        <v>6.8809526405657824</v>
      </c>
      <c r="BN96">
        <v>1169.761948896183</v>
      </c>
      <c r="BO96">
        <v>4365.9392942792783</v>
      </c>
    </row>
    <row r="97" spans="1:67" x14ac:dyDescent="0.25">
      <c r="A97" s="1">
        <v>95</v>
      </c>
      <c r="B97" t="s">
        <v>66</v>
      </c>
      <c r="C97" t="s">
        <v>81</v>
      </c>
      <c r="D97">
        <v>2</v>
      </c>
      <c r="E97">
        <v>4</v>
      </c>
      <c r="F97">
        <v>2</v>
      </c>
      <c r="G97">
        <v>60.050759999999997</v>
      </c>
      <c r="H97">
        <v>8</v>
      </c>
      <c r="I97" t="s">
        <v>89</v>
      </c>
      <c r="J97">
        <v>4</v>
      </c>
      <c r="K97">
        <v>300</v>
      </c>
      <c r="L97">
        <v>70</v>
      </c>
      <c r="N97" t="s">
        <v>90</v>
      </c>
      <c r="O97">
        <v>30</v>
      </c>
      <c r="P97">
        <v>0.32500000000000001</v>
      </c>
      <c r="Q97">
        <v>3.2500000000000001E-2</v>
      </c>
      <c r="R97">
        <v>77.5</v>
      </c>
      <c r="S97">
        <v>170</v>
      </c>
      <c r="T97">
        <v>20</v>
      </c>
      <c r="U97">
        <v>1812.1301775147931</v>
      </c>
      <c r="V97">
        <v>20</v>
      </c>
      <c r="W97">
        <v>0.95</v>
      </c>
      <c r="X97">
        <v>1</v>
      </c>
      <c r="Y97">
        <v>89557.848014062823</v>
      </c>
      <c r="Z97">
        <v>268673544.04218853</v>
      </c>
      <c r="AA97">
        <v>1074694176.1687541</v>
      </c>
      <c r="AB97">
        <v>1074694.176168754</v>
      </c>
      <c r="AC97">
        <v>0</v>
      </c>
      <c r="AD97">
        <v>2784.605037541291</v>
      </c>
      <c r="AE97">
        <v>1253072.266893581</v>
      </c>
      <c r="AF97">
        <v>877150.58682550665</v>
      </c>
      <c r="AG97">
        <v>52.673559373317659</v>
      </c>
      <c r="AH97">
        <v>716.92023605782447</v>
      </c>
      <c r="AI97">
        <v>143.3840472115649</v>
      </c>
      <c r="AJ97">
        <v>34927.560725484502</v>
      </c>
      <c r="AK97">
        <v>854.70085470085473</v>
      </c>
      <c r="AL97" t="s">
        <v>93</v>
      </c>
      <c r="AM97">
        <v>55561.318294481403</v>
      </c>
      <c r="AN97">
        <v>999.44569211160547</v>
      </c>
      <c r="AO97">
        <v>24375.288025966031</v>
      </c>
      <c r="AP97">
        <v>92343.025566778364</v>
      </c>
      <c r="AQ97">
        <v>67967.737540812333</v>
      </c>
      <c r="AR97">
        <v>3.9819343736507938E-2</v>
      </c>
      <c r="AS97">
        <v>663.09475078263699</v>
      </c>
      <c r="AT97">
        <v>1054.823690586335</v>
      </c>
      <c r="AU97">
        <v>18.97433368852391</v>
      </c>
      <c r="AV97">
        <v>462.76136103142471</v>
      </c>
      <c r="AW97">
        <v>1753.1191486853591</v>
      </c>
      <c r="AX97">
        <v>1290.3577876539341</v>
      </c>
      <c r="AY97">
        <v>2.7221256531260272</v>
      </c>
      <c r="AZ97" t="s">
        <v>134</v>
      </c>
      <c r="BA97" t="str">
        <f>VLOOKUP($AZ97,Sheet1!$A$2:$B$58,2)</f>
        <v>Isobutyrate</v>
      </c>
      <c r="BB97" t="s">
        <v>170</v>
      </c>
      <c r="BC97">
        <v>87.095680000000002</v>
      </c>
      <c r="BD97">
        <v>4.75</v>
      </c>
      <c r="BE97">
        <v>155</v>
      </c>
      <c r="BF97" t="s">
        <v>199</v>
      </c>
      <c r="BG97">
        <v>1.1197620084765809</v>
      </c>
      <c r="BH97">
        <v>0.32174999999999998</v>
      </c>
      <c r="BI97">
        <v>0.47462142861498002</v>
      </c>
      <c r="BJ97">
        <v>80</v>
      </c>
      <c r="BK97">
        <v>4617.151278338918</v>
      </c>
      <c r="BL97">
        <v>3398.3868770406161</v>
      </c>
      <c r="BM97">
        <v>6.0494403521016649</v>
      </c>
      <c r="BN97">
        <v>1028.4048598572831</v>
      </c>
      <c r="BO97">
        <v>3588.7464184816349</v>
      </c>
    </row>
    <row r="98" spans="1:67" x14ac:dyDescent="0.25">
      <c r="A98" s="1">
        <v>96</v>
      </c>
      <c r="B98" t="s">
        <v>66</v>
      </c>
      <c r="C98" t="s">
        <v>81</v>
      </c>
      <c r="D98">
        <v>2</v>
      </c>
      <c r="E98">
        <v>4</v>
      </c>
      <c r="F98">
        <v>2</v>
      </c>
      <c r="G98">
        <v>60.050759999999997</v>
      </c>
      <c r="H98">
        <v>8</v>
      </c>
      <c r="I98" t="s">
        <v>89</v>
      </c>
      <c r="J98">
        <v>4</v>
      </c>
      <c r="K98">
        <v>300</v>
      </c>
      <c r="L98">
        <v>70</v>
      </c>
      <c r="N98" t="s">
        <v>90</v>
      </c>
      <c r="O98">
        <v>30</v>
      </c>
      <c r="P98">
        <v>0.32500000000000001</v>
      </c>
      <c r="Q98">
        <v>3.2500000000000001E-2</v>
      </c>
      <c r="R98">
        <v>77.5</v>
      </c>
      <c r="S98">
        <v>170</v>
      </c>
      <c r="T98">
        <v>20</v>
      </c>
      <c r="U98">
        <v>1812.1301775147931</v>
      </c>
      <c r="V98">
        <v>20</v>
      </c>
      <c r="W98">
        <v>0.95</v>
      </c>
      <c r="X98">
        <v>1</v>
      </c>
      <c r="Y98">
        <v>170336.09964382459</v>
      </c>
      <c r="Z98">
        <v>511008298.93147367</v>
      </c>
      <c r="AA98">
        <v>2044033195.7258949</v>
      </c>
      <c r="AB98">
        <v>2044033.195725895</v>
      </c>
      <c r="AC98">
        <v>66773.504273504266</v>
      </c>
      <c r="AD98">
        <v>5296.2277640799193</v>
      </c>
      <c r="AE98">
        <v>2383302.4938359638</v>
      </c>
      <c r="AF98">
        <v>1668311.7456851751</v>
      </c>
      <c r="AG98">
        <v>100.1833882453215</v>
      </c>
      <c r="AH98">
        <v>1363.5588557983699</v>
      </c>
      <c r="AI98">
        <v>272.71177115967402</v>
      </c>
      <c r="AJ98">
        <v>66431.078861091577</v>
      </c>
      <c r="AK98">
        <v>2170.1388888888891</v>
      </c>
      <c r="AL98" t="s">
        <v>95</v>
      </c>
      <c r="AM98">
        <v>105675.8113243737</v>
      </c>
      <c r="AN98">
        <v>1900.9130386136731</v>
      </c>
      <c r="AO98">
        <v>46361.001097144581</v>
      </c>
      <c r="AP98">
        <v>176177.94211296781</v>
      </c>
      <c r="AQ98">
        <v>129816.94101582321</v>
      </c>
      <c r="AR98">
        <v>3.9819343736507938E-2</v>
      </c>
      <c r="AS98">
        <v>663.09475078263699</v>
      </c>
      <c r="AT98">
        <v>1054.823690586335</v>
      </c>
      <c r="AU98">
        <v>18.97433368852391</v>
      </c>
      <c r="AV98">
        <v>462.7613610314246</v>
      </c>
      <c r="AW98">
        <v>1758.554439000972</v>
      </c>
      <c r="AX98">
        <v>1295.793077969548</v>
      </c>
      <c r="AY98">
        <v>2.7221256531260272</v>
      </c>
      <c r="AZ98" t="s">
        <v>135</v>
      </c>
      <c r="BA98" t="str">
        <f>VLOOKUP($AZ98,Sheet1!$A$2:$B$58,2)</f>
        <v>Isoprene</v>
      </c>
      <c r="BB98" t="s">
        <v>184</v>
      </c>
      <c r="BC98">
        <v>68.116219999999998</v>
      </c>
      <c r="BD98">
        <v>5.6</v>
      </c>
      <c r="BE98">
        <v>34.07</v>
      </c>
      <c r="BF98" t="s">
        <v>199</v>
      </c>
      <c r="BG98">
        <v>2.7435472774336298</v>
      </c>
      <c r="BH98">
        <v>0.216302521008403</v>
      </c>
      <c r="BI98">
        <v>0.249542368628838</v>
      </c>
      <c r="BJ98">
        <v>80</v>
      </c>
      <c r="BK98">
        <v>8808.8971056483915</v>
      </c>
      <c r="BL98">
        <v>6490.8470507911634</v>
      </c>
      <c r="BM98">
        <v>10.892041280550069</v>
      </c>
      <c r="BN98">
        <v>1851.647017693512</v>
      </c>
      <c r="BO98">
        <v>6957.2500879548797</v>
      </c>
    </row>
    <row r="99" spans="1:67" x14ac:dyDescent="0.25">
      <c r="A99" s="1">
        <v>97</v>
      </c>
      <c r="B99" t="s">
        <v>66</v>
      </c>
      <c r="C99" t="s">
        <v>81</v>
      </c>
      <c r="D99">
        <v>2</v>
      </c>
      <c r="E99">
        <v>4</v>
      </c>
      <c r="F99">
        <v>2</v>
      </c>
      <c r="G99">
        <v>60.050759999999997</v>
      </c>
      <c r="H99">
        <v>8</v>
      </c>
      <c r="I99" t="s">
        <v>89</v>
      </c>
      <c r="J99">
        <v>4</v>
      </c>
      <c r="K99">
        <v>300</v>
      </c>
      <c r="L99">
        <v>70</v>
      </c>
      <c r="N99" t="s">
        <v>90</v>
      </c>
      <c r="O99">
        <v>30</v>
      </c>
      <c r="P99">
        <v>0.32500000000000001</v>
      </c>
      <c r="Q99">
        <v>3.2500000000000001E-2</v>
      </c>
      <c r="R99">
        <v>77.5</v>
      </c>
      <c r="S99">
        <v>170</v>
      </c>
      <c r="T99">
        <v>20</v>
      </c>
      <c r="U99">
        <v>1812.1301775147931</v>
      </c>
      <c r="V99">
        <v>20</v>
      </c>
      <c r="W99">
        <v>0.95</v>
      </c>
      <c r="X99">
        <v>1</v>
      </c>
      <c r="Y99">
        <v>107083.9543816684</v>
      </c>
      <c r="Z99">
        <v>321251863.14500523</v>
      </c>
      <c r="AA99">
        <v>1285007452.5800209</v>
      </c>
      <c r="AB99">
        <v>1285007.452580021</v>
      </c>
      <c r="AC99">
        <v>0</v>
      </c>
      <c r="AD99">
        <v>3329.5409104092469</v>
      </c>
      <c r="AE99">
        <v>1498293.409684161</v>
      </c>
      <c r="AF99">
        <v>1048805.386778913</v>
      </c>
      <c r="AG99">
        <v>62.981560568167659</v>
      </c>
      <c r="AH99">
        <v>857.21860848259905</v>
      </c>
      <c r="AI99">
        <v>171.44372169651979</v>
      </c>
      <c r="AJ99">
        <v>41762.742208850686</v>
      </c>
      <c r="AK99">
        <v>854.70085470085473</v>
      </c>
      <c r="AL99" t="s">
        <v>93</v>
      </c>
      <c r="AM99">
        <v>66434.442157401427</v>
      </c>
      <c r="AN99">
        <v>1195.0331464443921</v>
      </c>
      <c r="AO99">
        <v>29145.432688408371</v>
      </c>
      <c r="AP99">
        <v>110246.9183673974</v>
      </c>
      <c r="AQ99">
        <v>81101.485678988989</v>
      </c>
      <c r="AR99">
        <v>3.9819343736507938E-2</v>
      </c>
      <c r="AS99">
        <v>663.09475078263699</v>
      </c>
      <c r="AT99">
        <v>1054.823690586335</v>
      </c>
      <c r="AU99">
        <v>18.974333688523899</v>
      </c>
      <c r="AV99">
        <v>462.76136103142449</v>
      </c>
      <c r="AW99">
        <v>1750.4634272768201</v>
      </c>
      <c r="AX99">
        <v>1287.7020662453949</v>
      </c>
      <c r="AY99">
        <v>2.7221256531260272</v>
      </c>
      <c r="AZ99" t="s">
        <v>136</v>
      </c>
      <c r="BA99" t="str">
        <f>VLOOKUP($AZ99,Sheet1!$A$2:$B$58,2)</f>
        <v>Isopropanol</v>
      </c>
      <c r="BB99" t="s">
        <v>156</v>
      </c>
      <c r="BC99">
        <v>60.093820000000001</v>
      </c>
      <c r="BD99">
        <v>6</v>
      </c>
      <c r="BE99">
        <v>82.5</v>
      </c>
      <c r="BF99" t="s">
        <v>199</v>
      </c>
      <c r="BG99">
        <v>1.558601328594317</v>
      </c>
      <c r="BH99">
        <v>0.39</v>
      </c>
      <c r="BI99">
        <v>0.39694157741520902</v>
      </c>
      <c r="BJ99">
        <v>80</v>
      </c>
      <c r="BK99">
        <v>5512.3459183698678</v>
      </c>
      <c r="BL99">
        <v>4055.0742839494501</v>
      </c>
      <c r="BM99">
        <v>7.0135847562316753</v>
      </c>
      <c r="BN99">
        <v>1192.309408559385</v>
      </c>
      <c r="BO99">
        <v>4320.036509810483</v>
      </c>
    </row>
    <row r="100" spans="1:67" x14ac:dyDescent="0.25">
      <c r="A100" s="1">
        <v>98</v>
      </c>
      <c r="B100" t="s">
        <v>66</v>
      </c>
      <c r="C100" t="s">
        <v>81</v>
      </c>
      <c r="D100">
        <v>2</v>
      </c>
      <c r="E100">
        <v>4</v>
      </c>
      <c r="F100">
        <v>2</v>
      </c>
      <c r="G100">
        <v>60.050759999999997</v>
      </c>
      <c r="H100">
        <v>8</v>
      </c>
      <c r="I100" t="s">
        <v>89</v>
      </c>
      <c r="J100">
        <v>4</v>
      </c>
      <c r="K100">
        <v>300</v>
      </c>
      <c r="L100">
        <v>70</v>
      </c>
      <c r="N100" t="s">
        <v>90</v>
      </c>
      <c r="O100">
        <v>30</v>
      </c>
      <c r="P100">
        <v>0.32500000000000001</v>
      </c>
      <c r="Q100">
        <v>3.2500000000000001E-2</v>
      </c>
      <c r="R100">
        <v>77.5</v>
      </c>
      <c r="S100">
        <v>170</v>
      </c>
      <c r="T100">
        <v>20</v>
      </c>
      <c r="U100">
        <v>1812.1301775147931</v>
      </c>
      <c r="V100">
        <v>20</v>
      </c>
      <c r="W100">
        <v>0.95</v>
      </c>
      <c r="X100">
        <v>1</v>
      </c>
      <c r="Y100">
        <v>57979.743827970276</v>
      </c>
      <c r="Z100">
        <v>173939231.4839108</v>
      </c>
      <c r="AA100">
        <v>695756925.93564332</v>
      </c>
      <c r="AB100">
        <v>695756.92593564326</v>
      </c>
      <c r="AC100">
        <v>0</v>
      </c>
      <c r="AD100">
        <v>1802.753084390414</v>
      </c>
      <c r="AE100">
        <v>811238.88797568611</v>
      </c>
      <c r="AF100">
        <v>567867.22158298024</v>
      </c>
      <c r="AG100">
        <v>34.100858235146369</v>
      </c>
      <c r="AH100">
        <v>464.13410497752932</v>
      </c>
      <c r="AI100">
        <v>92.826820995505869</v>
      </c>
      <c r="AJ100">
        <v>22612.100092908411</v>
      </c>
      <c r="AK100">
        <v>854.70085470085473</v>
      </c>
      <c r="AL100" t="s">
        <v>93</v>
      </c>
      <c r="AM100">
        <v>35970.393135758517</v>
      </c>
      <c r="AN100">
        <v>647.04106321871564</v>
      </c>
      <c r="AO100">
        <v>15780.559569236</v>
      </c>
      <c r="AP100">
        <v>60084.235146586499</v>
      </c>
      <c r="AQ100">
        <v>44303.675577350499</v>
      </c>
      <c r="AR100">
        <v>3.9819343736507931E-2</v>
      </c>
      <c r="AS100">
        <v>663.09475078263688</v>
      </c>
      <c r="AT100">
        <v>1054.823690586335</v>
      </c>
      <c r="AU100">
        <v>18.97433368852391</v>
      </c>
      <c r="AV100">
        <v>462.76136103142471</v>
      </c>
      <c r="AW100">
        <v>1761.9566854379091</v>
      </c>
      <c r="AX100">
        <v>1299.1953244064839</v>
      </c>
      <c r="AY100">
        <v>2.7221256531260272</v>
      </c>
      <c r="AZ100" t="s">
        <v>137</v>
      </c>
      <c r="BA100" t="str">
        <f>VLOOKUP($AZ100,Sheet1!$A$2:$B$58,2)</f>
        <v>Itaconate</v>
      </c>
      <c r="BB100" t="s">
        <v>185</v>
      </c>
      <c r="BC100">
        <v>128.08086</v>
      </c>
      <c r="BD100">
        <v>3.2</v>
      </c>
      <c r="BE100">
        <v>381</v>
      </c>
      <c r="BF100" t="s">
        <v>199</v>
      </c>
      <c r="BG100">
        <v>0.3154197015135623</v>
      </c>
      <c r="BH100">
        <v>0.33795454545454501</v>
      </c>
      <c r="BI100">
        <v>0.733119378627061</v>
      </c>
      <c r="BJ100">
        <v>80</v>
      </c>
      <c r="BK100">
        <v>3004.2117573293249</v>
      </c>
      <c r="BL100">
        <v>2215.1837788675248</v>
      </c>
      <c r="BM100">
        <v>4.3259213482617307</v>
      </c>
      <c r="BN100">
        <v>735.40662920449427</v>
      </c>
      <c r="BO100">
        <v>2268.8051281248308</v>
      </c>
    </row>
    <row r="101" spans="1:67" x14ac:dyDescent="0.25">
      <c r="A101" s="1">
        <v>99</v>
      </c>
      <c r="B101" t="s">
        <v>66</v>
      </c>
      <c r="C101" t="s">
        <v>81</v>
      </c>
      <c r="D101">
        <v>2</v>
      </c>
      <c r="E101">
        <v>4</v>
      </c>
      <c r="F101">
        <v>2</v>
      </c>
      <c r="G101">
        <v>60.050759999999997</v>
      </c>
      <c r="H101">
        <v>8</v>
      </c>
      <c r="I101" t="s">
        <v>89</v>
      </c>
      <c r="J101">
        <v>4</v>
      </c>
      <c r="K101">
        <v>300</v>
      </c>
      <c r="L101">
        <v>70</v>
      </c>
      <c r="N101" t="s">
        <v>90</v>
      </c>
      <c r="O101">
        <v>30</v>
      </c>
      <c r="P101">
        <v>0.32500000000000001</v>
      </c>
      <c r="Q101">
        <v>3.2500000000000001E-2</v>
      </c>
      <c r="R101">
        <v>77.5</v>
      </c>
      <c r="S101">
        <v>170</v>
      </c>
      <c r="T101">
        <v>20</v>
      </c>
      <c r="U101">
        <v>1812.1301775147931</v>
      </c>
      <c r="V101">
        <v>20</v>
      </c>
      <c r="W101">
        <v>0.95</v>
      </c>
      <c r="X101">
        <v>1</v>
      </c>
      <c r="Y101">
        <v>169620.40174616111</v>
      </c>
      <c r="Z101">
        <v>508861205.23848343</v>
      </c>
      <c r="AA101">
        <v>2035444820.953933</v>
      </c>
      <c r="AB101">
        <v>2035444.820953934</v>
      </c>
      <c r="AC101">
        <v>0</v>
      </c>
      <c r="AD101">
        <v>5273.9747062476417</v>
      </c>
      <c r="AE101">
        <v>2373288.6178114391</v>
      </c>
      <c r="AF101">
        <v>1661302.0324680069</v>
      </c>
      <c r="AG101">
        <v>99.762449639248487</v>
      </c>
      <c r="AH101">
        <v>1357.8296169084581</v>
      </c>
      <c r="AI101">
        <v>271.56592338169168</v>
      </c>
      <c r="AJ101">
        <v>66151.956681002848</v>
      </c>
      <c r="AK101">
        <v>854.70085470085473</v>
      </c>
      <c r="AL101" t="s">
        <v>93</v>
      </c>
      <c r="AM101">
        <v>105231.79531040551</v>
      </c>
      <c r="AN101">
        <v>1892.9260090396631</v>
      </c>
      <c r="AO101">
        <v>46166.206974887587</v>
      </c>
      <c r="AP101">
        <v>174131.37885514891</v>
      </c>
      <c r="AQ101">
        <v>127965.1718802613</v>
      </c>
      <c r="AR101">
        <v>3.9819343736507952E-2</v>
      </c>
      <c r="AS101">
        <v>663.09475078263699</v>
      </c>
      <c r="AT101">
        <v>1054.823690586335</v>
      </c>
      <c r="AU101">
        <v>18.97433368852391</v>
      </c>
      <c r="AV101">
        <v>462.76136103142471</v>
      </c>
      <c r="AW101">
        <v>1745.4601353999051</v>
      </c>
      <c r="AX101">
        <v>1282.6987743684799</v>
      </c>
      <c r="AY101">
        <v>2.7221256531260272</v>
      </c>
      <c r="AZ101" t="s">
        <v>138</v>
      </c>
      <c r="BA101" t="str">
        <f>VLOOKUP($AZ101,Sheet1!$A$2:$B$58,2)</f>
        <v>Limonene</v>
      </c>
      <c r="BB101" t="s">
        <v>186</v>
      </c>
      <c r="BC101">
        <v>136.23244</v>
      </c>
      <c r="BD101">
        <v>5.6</v>
      </c>
      <c r="BE101">
        <v>176</v>
      </c>
      <c r="BF101" t="s">
        <v>199</v>
      </c>
      <c r="BG101">
        <v>2.7184462044470381</v>
      </c>
      <c r="BH101">
        <v>0.108607594936709</v>
      </c>
      <c r="BI101">
        <v>0.25059529001545799</v>
      </c>
      <c r="BJ101">
        <v>80</v>
      </c>
      <c r="BK101">
        <v>8706.5689427574434</v>
      </c>
      <c r="BL101">
        <v>6398.2585940130639</v>
      </c>
      <c r="BM101">
        <v>10.859849964637551</v>
      </c>
      <c r="BN101">
        <v>1846.1744939883829</v>
      </c>
      <c r="BO101">
        <v>6860.3944487690605</v>
      </c>
    </row>
    <row r="102" spans="1:67" x14ac:dyDescent="0.25">
      <c r="A102" s="1">
        <v>100</v>
      </c>
      <c r="B102" t="s">
        <v>66</v>
      </c>
      <c r="C102" t="s">
        <v>81</v>
      </c>
      <c r="D102">
        <v>2</v>
      </c>
      <c r="E102">
        <v>4</v>
      </c>
      <c r="F102">
        <v>2</v>
      </c>
      <c r="G102">
        <v>60.050759999999997</v>
      </c>
      <c r="H102">
        <v>8</v>
      </c>
      <c r="I102" t="s">
        <v>89</v>
      </c>
      <c r="J102">
        <v>4</v>
      </c>
      <c r="K102">
        <v>300</v>
      </c>
      <c r="L102">
        <v>70</v>
      </c>
      <c r="N102" t="s">
        <v>90</v>
      </c>
      <c r="O102">
        <v>30</v>
      </c>
      <c r="P102">
        <v>0.32500000000000001</v>
      </c>
      <c r="Q102">
        <v>3.2500000000000001E-2</v>
      </c>
      <c r="R102">
        <v>77.5</v>
      </c>
      <c r="S102">
        <v>170</v>
      </c>
      <c r="T102">
        <v>20</v>
      </c>
      <c r="U102">
        <v>1812.1301775147931</v>
      </c>
      <c r="V102">
        <v>20</v>
      </c>
      <c r="W102">
        <v>0.95</v>
      </c>
      <c r="X102">
        <v>1</v>
      </c>
      <c r="Y102">
        <v>86112.437376164948</v>
      </c>
      <c r="Z102">
        <v>258337312.12849489</v>
      </c>
      <c r="AA102">
        <v>1033349248.513979</v>
      </c>
      <c r="AB102">
        <v>1033349.248513979</v>
      </c>
      <c r="AC102">
        <v>0</v>
      </c>
      <c r="AD102">
        <v>2677.477543620465</v>
      </c>
      <c r="AE102">
        <v>1204864.89462921</v>
      </c>
      <c r="AF102">
        <v>843405.42624044663</v>
      </c>
      <c r="AG102">
        <v>50.64713683386276</v>
      </c>
      <c r="AH102">
        <v>689.33935216420957</v>
      </c>
      <c r="AI102">
        <v>137.8678704328419</v>
      </c>
      <c r="AJ102">
        <v>33583.850576704332</v>
      </c>
      <c r="AK102">
        <v>854.70085470085473</v>
      </c>
      <c r="AL102" t="s">
        <v>93</v>
      </c>
      <c r="AM102">
        <v>53423.79979272624</v>
      </c>
      <c r="AN102">
        <v>960.99567465404209</v>
      </c>
      <c r="AO102">
        <v>23437.53797358313</v>
      </c>
      <c r="AP102">
        <v>88823.346898785472</v>
      </c>
      <c r="AQ102">
        <v>65385.808925202349</v>
      </c>
      <c r="AR102">
        <v>3.9819343736507931E-2</v>
      </c>
      <c r="AS102">
        <v>663.09475078263688</v>
      </c>
      <c r="AT102">
        <v>1054.823690586335</v>
      </c>
      <c r="AU102">
        <v>18.974333688523899</v>
      </c>
      <c r="AV102">
        <v>462.7613610314246</v>
      </c>
      <c r="AW102">
        <v>1753.768375696176</v>
      </c>
      <c r="AX102">
        <v>1291.007014664752</v>
      </c>
      <c r="AY102">
        <v>2.7221256531260272</v>
      </c>
      <c r="AZ102" t="s">
        <v>139</v>
      </c>
      <c r="BA102" t="str">
        <f>VLOOKUP($AZ102,Sheet1!$A$2:$B$58,2)</f>
        <v>L-Lysine</v>
      </c>
      <c r="BB102" t="s">
        <v>187</v>
      </c>
      <c r="BC102">
        <v>147.19319999999999</v>
      </c>
      <c r="BD102">
        <v>4.833333333333333</v>
      </c>
      <c r="BF102" t="s">
        <v>199</v>
      </c>
      <c r="BG102">
        <v>1.226180656072799</v>
      </c>
      <c r="BH102">
        <v>0.19800000000000001</v>
      </c>
      <c r="BI102">
        <v>0.49361131868139402</v>
      </c>
      <c r="BJ102">
        <v>80</v>
      </c>
      <c r="BK102">
        <v>4441.1673449392738</v>
      </c>
      <c r="BL102">
        <v>3269.2904462601168</v>
      </c>
      <c r="BM102">
        <v>5.6672128655692973</v>
      </c>
      <c r="BN102">
        <v>963.42618714678053</v>
      </c>
      <c r="BO102">
        <v>3477.7411577924931</v>
      </c>
    </row>
    <row r="103" spans="1:67" x14ac:dyDescent="0.25">
      <c r="A103" s="1">
        <v>101</v>
      </c>
      <c r="B103" t="s">
        <v>66</v>
      </c>
      <c r="C103" t="s">
        <v>81</v>
      </c>
      <c r="D103">
        <v>2</v>
      </c>
      <c r="E103">
        <v>4</v>
      </c>
      <c r="F103">
        <v>2</v>
      </c>
      <c r="G103">
        <v>60.050759999999997</v>
      </c>
      <c r="H103">
        <v>8</v>
      </c>
      <c r="I103" t="s">
        <v>89</v>
      </c>
      <c r="J103">
        <v>4</v>
      </c>
      <c r="K103">
        <v>300</v>
      </c>
      <c r="L103">
        <v>70</v>
      </c>
      <c r="N103" t="s">
        <v>90</v>
      </c>
      <c r="O103">
        <v>30</v>
      </c>
      <c r="P103">
        <v>0.32500000000000001</v>
      </c>
      <c r="Q103">
        <v>3.2500000000000001E-2</v>
      </c>
      <c r="R103">
        <v>77.5</v>
      </c>
      <c r="S103">
        <v>170</v>
      </c>
      <c r="T103">
        <v>20</v>
      </c>
      <c r="U103">
        <v>1812.1301775147931</v>
      </c>
      <c r="V103">
        <v>20</v>
      </c>
      <c r="W103">
        <v>0.95</v>
      </c>
      <c r="X103">
        <v>1</v>
      </c>
      <c r="Y103">
        <v>40022.728548287021</v>
      </c>
      <c r="Z103">
        <v>120068185.6448611</v>
      </c>
      <c r="AA103">
        <v>480272742.57944429</v>
      </c>
      <c r="AB103">
        <v>480272.74257944431</v>
      </c>
      <c r="AC103">
        <v>0</v>
      </c>
      <c r="AD103">
        <v>1244.419043144133</v>
      </c>
      <c r="AE103">
        <v>559988.56941485964</v>
      </c>
      <c r="AF103">
        <v>391991.99859040172</v>
      </c>
      <c r="AG103">
        <v>23.53941742927255</v>
      </c>
      <c r="AH103">
        <v>320.38626021932362</v>
      </c>
      <c r="AI103">
        <v>64.077252043864732</v>
      </c>
      <c r="AJ103">
        <v>15608.864133831939</v>
      </c>
      <c r="AK103">
        <v>854.70085470085473</v>
      </c>
      <c r="AL103" t="s">
        <v>93</v>
      </c>
      <c r="AM103">
        <v>24829.93516699758</v>
      </c>
      <c r="AN103">
        <v>446.64476113647288</v>
      </c>
      <c r="AO103">
        <v>10893.132847457</v>
      </c>
      <c r="AP103">
        <v>41740.144916666854</v>
      </c>
      <c r="AQ103">
        <v>30847.012069209839</v>
      </c>
      <c r="AR103">
        <v>3.9819343736507938E-2</v>
      </c>
      <c r="AS103">
        <v>663.09475078263699</v>
      </c>
      <c r="AT103">
        <v>1054.823690586335</v>
      </c>
      <c r="AU103">
        <v>18.974333688523899</v>
      </c>
      <c r="AV103">
        <v>462.7613610314246</v>
      </c>
      <c r="AW103">
        <v>1773.202121168925</v>
      </c>
      <c r="AX103">
        <v>1310.4407601375001</v>
      </c>
      <c r="AY103">
        <v>2.7221256531260272</v>
      </c>
      <c r="AZ103" t="s">
        <v>140</v>
      </c>
      <c r="BA103" t="str">
        <f>VLOOKUP($AZ103,Sheet1!$A$2:$B$58,2)</f>
        <v>L-Malate</v>
      </c>
      <c r="BB103" t="s">
        <v>188</v>
      </c>
      <c r="BC103">
        <v>132.06916000000001</v>
      </c>
      <c r="BD103">
        <v>2.5</v>
      </c>
      <c r="BF103" t="s">
        <v>199</v>
      </c>
      <c r="BG103">
        <v>7.074565547576446E-2</v>
      </c>
      <c r="BH103">
        <v>0.4748</v>
      </c>
      <c r="BI103">
        <v>1.0620483737592901</v>
      </c>
      <c r="BJ103">
        <v>80</v>
      </c>
      <c r="BK103">
        <v>2087.007245833342</v>
      </c>
      <c r="BL103">
        <v>1542.350603460492</v>
      </c>
      <c r="BM103">
        <v>3.1331169467174722</v>
      </c>
      <c r="BN103">
        <v>532.62988094197021</v>
      </c>
      <c r="BO103">
        <v>1554.3773648913721</v>
      </c>
    </row>
    <row r="104" spans="1:67" x14ac:dyDescent="0.25">
      <c r="A104" s="1">
        <v>102</v>
      </c>
      <c r="B104" t="s">
        <v>66</v>
      </c>
      <c r="C104" t="s">
        <v>81</v>
      </c>
      <c r="D104">
        <v>2</v>
      </c>
      <c r="E104">
        <v>4</v>
      </c>
      <c r="F104">
        <v>2</v>
      </c>
      <c r="G104">
        <v>60.050759999999997</v>
      </c>
      <c r="H104">
        <v>8</v>
      </c>
      <c r="I104" t="s">
        <v>89</v>
      </c>
      <c r="J104">
        <v>4</v>
      </c>
      <c r="K104">
        <v>300</v>
      </c>
      <c r="L104">
        <v>70</v>
      </c>
      <c r="N104" t="s">
        <v>90</v>
      </c>
      <c r="O104">
        <v>30</v>
      </c>
      <c r="P104">
        <v>0.32500000000000001</v>
      </c>
      <c r="Q104">
        <v>3.2500000000000001E-2</v>
      </c>
      <c r="R104">
        <v>77.5</v>
      </c>
      <c r="S104">
        <v>170</v>
      </c>
      <c r="T104">
        <v>20</v>
      </c>
      <c r="U104">
        <v>1812.1301775147931</v>
      </c>
      <c r="V104">
        <v>20</v>
      </c>
      <c r="W104">
        <v>0.95</v>
      </c>
      <c r="X104">
        <v>1</v>
      </c>
      <c r="Y104">
        <v>37237.036896760801</v>
      </c>
      <c r="Z104">
        <v>111711110.6902824</v>
      </c>
      <c r="AA104">
        <v>446844442.76112962</v>
      </c>
      <c r="AB104">
        <v>446844.44276112958</v>
      </c>
      <c r="AC104">
        <v>0</v>
      </c>
      <c r="AD104">
        <v>1157.80406547452</v>
      </c>
      <c r="AE104">
        <v>521011.82946353382</v>
      </c>
      <c r="AF104">
        <v>364708.28062447358</v>
      </c>
      <c r="AG104">
        <v>21.901009429792911</v>
      </c>
      <c r="AH104">
        <v>298.08649799097162</v>
      </c>
      <c r="AI104">
        <v>59.617299598194307</v>
      </c>
      <c r="AJ104">
        <v>14522.444389736709</v>
      </c>
      <c r="AK104">
        <v>854.70085470085473</v>
      </c>
      <c r="AL104" t="s">
        <v>93</v>
      </c>
      <c r="AM104">
        <v>23101.703594300299</v>
      </c>
      <c r="AN104">
        <v>415.55706103639949</v>
      </c>
      <c r="AO104">
        <v>10134.940931693031</v>
      </c>
      <c r="AP104">
        <v>38894.405899774261</v>
      </c>
      <c r="AQ104">
        <v>28759.464968081229</v>
      </c>
      <c r="AR104">
        <v>3.9819343736507938E-2</v>
      </c>
      <c r="AS104">
        <v>663.09475078263699</v>
      </c>
      <c r="AT104">
        <v>1054.823690586335</v>
      </c>
      <c r="AU104">
        <v>18.97433368852391</v>
      </c>
      <c r="AV104">
        <v>462.7613610314246</v>
      </c>
      <c r="AW104">
        <v>1775.9184125488059</v>
      </c>
      <c r="AX104">
        <v>1313.157051517381</v>
      </c>
      <c r="AY104">
        <v>2.7221256531260272</v>
      </c>
      <c r="AZ104" t="s">
        <v>141</v>
      </c>
      <c r="BA104" t="str">
        <f>VLOOKUP($AZ104,Sheet1!$A$2:$B$58,2)</f>
        <v>Malonate</v>
      </c>
      <c r="BB104" t="s">
        <v>189</v>
      </c>
      <c r="BC104">
        <v>102.04378</v>
      </c>
      <c r="BD104">
        <v>2</v>
      </c>
      <c r="BE104">
        <v>199</v>
      </c>
      <c r="BF104" t="s">
        <v>199</v>
      </c>
      <c r="BG104">
        <v>1.212698880753005E-2</v>
      </c>
      <c r="BH104">
        <v>0.66047619047618999</v>
      </c>
      <c r="BI104">
        <v>1.1414998966208101</v>
      </c>
      <c r="BJ104">
        <v>80</v>
      </c>
      <c r="BK104">
        <v>1944.720294988713</v>
      </c>
      <c r="BL104">
        <v>1437.973248404061</v>
      </c>
      <c r="BM104">
        <v>2.9687379911021861</v>
      </c>
      <c r="BN104">
        <v>504.68545848737159</v>
      </c>
      <c r="BO104">
        <v>1440.034836501341</v>
      </c>
    </row>
    <row r="105" spans="1:67" x14ac:dyDescent="0.25">
      <c r="A105" s="1">
        <v>103</v>
      </c>
      <c r="B105" t="s">
        <v>66</v>
      </c>
      <c r="C105" t="s">
        <v>81</v>
      </c>
      <c r="D105">
        <v>2</v>
      </c>
      <c r="E105">
        <v>4</v>
      </c>
      <c r="F105">
        <v>2</v>
      </c>
      <c r="G105">
        <v>60.050759999999997</v>
      </c>
      <c r="H105">
        <v>8</v>
      </c>
      <c r="I105" t="s">
        <v>89</v>
      </c>
      <c r="J105">
        <v>4</v>
      </c>
      <c r="K105">
        <v>300</v>
      </c>
      <c r="L105">
        <v>70</v>
      </c>
      <c r="N105" t="s">
        <v>90</v>
      </c>
      <c r="O105">
        <v>30</v>
      </c>
      <c r="P105">
        <v>0.32500000000000001</v>
      </c>
      <c r="Q105">
        <v>3.2500000000000001E-2</v>
      </c>
      <c r="R105">
        <v>77.5</v>
      </c>
      <c r="S105">
        <v>170</v>
      </c>
      <c r="T105">
        <v>20</v>
      </c>
      <c r="U105">
        <v>1812.1301775147931</v>
      </c>
      <c r="V105">
        <v>20</v>
      </c>
      <c r="W105">
        <v>0.95</v>
      </c>
      <c r="X105">
        <v>1</v>
      </c>
      <c r="Y105">
        <v>166502.82360997371</v>
      </c>
      <c r="Z105">
        <v>499508470.82992113</v>
      </c>
      <c r="AA105">
        <v>1998033883.319685</v>
      </c>
      <c r="AB105">
        <v>1998033.883319685</v>
      </c>
      <c r="AC105">
        <v>0</v>
      </c>
      <c r="AD105">
        <v>5177.0404455942044</v>
      </c>
      <c r="AE105">
        <v>2329668.2005173918</v>
      </c>
      <c r="AF105">
        <v>1630767.7403621741</v>
      </c>
      <c r="AG105">
        <v>97.92884219223123</v>
      </c>
      <c r="AH105">
        <v>1332.873067562015</v>
      </c>
      <c r="AI105">
        <v>266.57461351240312</v>
      </c>
      <c r="AJ105">
        <v>64936.101207889747</v>
      </c>
      <c r="AK105">
        <v>854.70085470085473</v>
      </c>
      <c r="AL105" t="s">
        <v>93</v>
      </c>
      <c r="AM105">
        <v>103297.6627360562</v>
      </c>
      <c r="AN105">
        <v>1858.134529486194</v>
      </c>
      <c r="AO105">
        <v>45317.684297108528</v>
      </c>
      <c r="AP105">
        <v>170946.59932813299</v>
      </c>
      <c r="AQ105">
        <v>125628.9150310244</v>
      </c>
      <c r="AR105">
        <v>3.9819343736507952E-2</v>
      </c>
      <c r="AS105">
        <v>663.09475078263699</v>
      </c>
      <c r="AT105">
        <v>1054.823690586335</v>
      </c>
      <c r="AU105">
        <v>18.97433368852391</v>
      </c>
      <c r="AV105">
        <v>462.76136103142471</v>
      </c>
      <c r="AW105">
        <v>1745.6205495881411</v>
      </c>
      <c r="AX105">
        <v>1282.8591885567159</v>
      </c>
      <c r="AY105">
        <v>2.7221256531260281</v>
      </c>
      <c r="AZ105" t="s">
        <v>142</v>
      </c>
      <c r="BA105" t="str">
        <f>VLOOKUP($AZ105,Sheet1!$A$2:$B$58,2)</f>
        <v>Nonane</v>
      </c>
      <c r="BB105" t="s">
        <v>190</v>
      </c>
      <c r="BC105">
        <v>128.25309999999999</v>
      </c>
      <c r="BD105">
        <v>6.2222222222222223</v>
      </c>
      <c r="BE105">
        <v>151</v>
      </c>
      <c r="BF105" t="s">
        <v>199</v>
      </c>
      <c r="BG105">
        <v>2.7512676881964349</v>
      </c>
      <c r="BH105">
        <v>0.117524752475248</v>
      </c>
      <c r="BI105">
        <v>0.25528740502135</v>
      </c>
      <c r="BJ105">
        <v>80</v>
      </c>
      <c r="BK105">
        <v>8547.3299664066471</v>
      </c>
      <c r="BL105">
        <v>6281.4457515512213</v>
      </c>
      <c r="BM105">
        <v>10.57746298742372</v>
      </c>
      <c r="BN105">
        <v>1798.1687078620321</v>
      </c>
      <c r="BO105">
        <v>6749.1612585446146</v>
      </c>
    </row>
    <row r="106" spans="1:67" x14ac:dyDescent="0.25">
      <c r="A106" s="1">
        <v>104</v>
      </c>
      <c r="B106" t="s">
        <v>66</v>
      </c>
      <c r="C106" t="s">
        <v>81</v>
      </c>
      <c r="D106">
        <v>2</v>
      </c>
      <c r="E106">
        <v>4</v>
      </c>
      <c r="F106">
        <v>2</v>
      </c>
      <c r="G106">
        <v>60.050759999999997</v>
      </c>
      <c r="H106">
        <v>8</v>
      </c>
      <c r="I106" t="s">
        <v>89</v>
      </c>
      <c r="J106">
        <v>4</v>
      </c>
      <c r="K106">
        <v>300</v>
      </c>
      <c r="L106">
        <v>70</v>
      </c>
      <c r="N106" t="s">
        <v>90</v>
      </c>
      <c r="O106">
        <v>30</v>
      </c>
      <c r="P106">
        <v>0.32500000000000001</v>
      </c>
      <c r="Q106">
        <v>3.2500000000000001E-2</v>
      </c>
      <c r="R106">
        <v>77.5</v>
      </c>
      <c r="S106">
        <v>170</v>
      </c>
      <c r="T106">
        <v>20</v>
      </c>
      <c r="U106">
        <v>1812.1301775147931</v>
      </c>
      <c r="V106">
        <v>20</v>
      </c>
      <c r="W106">
        <v>0.95</v>
      </c>
      <c r="X106">
        <v>1</v>
      </c>
      <c r="Y106">
        <v>171215.12478899019</v>
      </c>
      <c r="Z106">
        <v>513645374.36697072</v>
      </c>
      <c r="AA106">
        <v>2054581497.4678831</v>
      </c>
      <c r="AB106">
        <v>2054581.4974678829</v>
      </c>
      <c r="AC106">
        <v>0</v>
      </c>
      <c r="AD106">
        <v>5323.5591247773027</v>
      </c>
      <c r="AE106">
        <v>2395601.6061497862</v>
      </c>
      <c r="AF106">
        <v>1676921.1243048499</v>
      </c>
      <c r="AG106">
        <v>100.7003879745607</v>
      </c>
      <c r="AH106">
        <v>1370.595546926477</v>
      </c>
      <c r="AI106">
        <v>274.11910938529547</v>
      </c>
      <c r="AJ106">
        <v>66773.898667706191</v>
      </c>
      <c r="AK106">
        <v>854.70085470085473</v>
      </c>
      <c r="AL106" t="s">
        <v>93</v>
      </c>
      <c r="AM106">
        <v>106221.154886802</v>
      </c>
      <c r="AN106">
        <v>1910.722763993135</v>
      </c>
      <c r="AO106">
        <v>46600.248595500227</v>
      </c>
      <c r="AP106">
        <v>175760.47717320221</v>
      </c>
      <c r="AQ106">
        <v>129160.2285777019</v>
      </c>
      <c r="AR106">
        <v>3.9819343736507952E-2</v>
      </c>
      <c r="AS106">
        <v>663.09475078263699</v>
      </c>
      <c r="AT106">
        <v>1054.823690586335</v>
      </c>
      <c r="AU106">
        <v>18.97433368852391</v>
      </c>
      <c r="AV106">
        <v>462.76136103142471</v>
      </c>
      <c r="AW106">
        <v>1745.380337736171</v>
      </c>
      <c r="AX106">
        <v>1282.618976704746</v>
      </c>
      <c r="AY106">
        <v>2.7221256531260281</v>
      </c>
      <c r="AZ106" t="s">
        <v>143</v>
      </c>
      <c r="BA106" t="str">
        <f>VLOOKUP($AZ106,Sheet1!$A$2:$B$58,2)</f>
        <v>Octane</v>
      </c>
      <c r="BB106" t="s">
        <v>191</v>
      </c>
      <c r="BC106">
        <v>114.22672</v>
      </c>
      <c r="BD106">
        <v>6.25</v>
      </c>
      <c r="BE106">
        <v>126</v>
      </c>
      <c r="BF106" t="s">
        <v>199</v>
      </c>
      <c r="BG106">
        <v>2.922593604908164</v>
      </c>
      <c r="BH106">
        <v>0.128324324324324</v>
      </c>
      <c r="BI106">
        <v>0.24826120835120899</v>
      </c>
      <c r="BJ106">
        <v>80</v>
      </c>
      <c r="BK106">
        <v>8788.0238586601099</v>
      </c>
      <c r="BL106">
        <v>6458.0114288850982</v>
      </c>
      <c r="BM106">
        <v>10.78336186435661</v>
      </c>
      <c r="BN106">
        <v>1833.1715169406241</v>
      </c>
      <c r="BO106">
        <v>6954.8523417194856</v>
      </c>
    </row>
    <row r="107" spans="1:67" x14ac:dyDescent="0.25">
      <c r="A107" s="1">
        <v>105</v>
      </c>
      <c r="B107" t="s">
        <v>66</v>
      </c>
      <c r="C107" t="s">
        <v>81</v>
      </c>
      <c r="D107">
        <v>2</v>
      </c>
      <c r="E107">
        <v>4</v>
      </c>
      <c r="F107">
        <v>2</v>
      </c>
      <c r="G107">
        <v>60.050759999999997</v>
      </c>
      <c r="H107">
        <v>8</v>
      </c>
      <c r="I107" t="s">
        <v>89</v>
      </c>
      <c r="J107">
        <v>4</v>
      </c>
      <c r="K107">
        <v>300</v>
      </c>
      <c r="L107">
        <v>70</v>
      </c>
      <c r="N107" t="s">
        <v>90</v>
      </c>
      <c r="O107">
        <v>30</v>
      </c>
      <c r="P107">
        <v>0.32500000000000001</v>
      </c>
      <c r="Q107">
        <v>3.2500000000000001E-2</v>
      </c>
      <c r="R107">
        <v>77.5</v>
      </c>
      <c r="S107">
        <v>170</v>
      </c>
      <c r="T107">
        <v>20</v>
      </c>
      <c r="U107">
        <v>1812.1301775147931</v>
      </c>
      <c r="V107">
        <v>20</v>
      </c>
      <c r="W107">
        <v>0.95</v>
      </c>
      <c r="X107">
        <v>1</v>
      </c>
      <c r="Y107">
        <v>171436.06824034621</v>
      </c>
      <c r="Z107">
        <v>514308204.72103852</v>
      </c>
      <c r="AA107">
        <v>2057232818.8841541</v>
      </c>
      <c r="AB107">
        <v>2057232.8188841541</v>
      </c>
      <c r="AC107">
        <v>66773.504273504266</v>
      </c>
      <c r="AD107">
        <v>5330.4288772479167</v>
      </c>
      <c r="AE107">
        <v>2398692.994761562</v>
      </c>
      <c r="AF107">
        <v>1679085.096333093</v>
      </c>
      <c r="AG107">
        <v>100.83033613947551</v>
      </c>
      <c r="AH107">
        <v>1372.364223092932</v>
      </c>
      <c r="AI107">
        <v>274.47284461858652</v>
      </c>
      <c r="AJ107">
        <v>66860.066613735005</v>
      </c>
      <c r="AK107">
        <v>2170.1388888888891</v>
      </c>
      <c r="AL107" t="s">
        <v>95</v>
      </c>
      <c r="AM107">
        <v>106358.22728970231</v>
      </c>
      <c r="AN107">
        <v>1913.18844383644</v>
      </c>
      <c r="AO107">
        <v>46660.38358515971</v>
      </c>
      <c r="AP107">
        <v>177301.62123616261</v>
      </c>
      <c r="AQ107">
        <v>130641.2376510029</v>
      </c>
      <c r="AR107">
        <v>3.9819343736507952E-2</v>
      </c>
      <c r="AS107">
        <v>663.09475078263699</v>
      </c>
      <c r="AT107">
        <v>1054.823690586335</v>
      </c>
      <c r="AU107">
        <v>18.97433368852391</v>
      </c>
      <c r="AV107">
        <v>462.7613610314246</v>
      </c>
      <c r="AW107">
        <v>1758.4154533701719</v>
      </c>
      <c r="AX107">
        <v>1295.654092338747</v>
      </c>
      <c r="AY107">
        <v>2.7221256531260272</v>
      </c>
      <c r="AZ107" t="s">
        <v>144</v>
      </c>
      <c r="BA107" t="str">
        <f>VLOOKUP($AZ107,Sheet1!$A$2:$B$58,2)</f>
        <v>Pentane</v>
      </c>
      <c r="BB107" t="s">
        <v>192</v>
      </c>
      <c r="BC107">
        <v>72.147580000000005</v>
      </c>
      <c r="BD107">
        <v>6.4</v>
      </c>
      <c r="BE107">
        <v>36.1</v>
      </c>
      <c r="BF107" t="s">
        <v>199</v>
      </c>
      <c r="BG107">
        <v>2.9626352975950252</v>
      </c>
      <c r="BH107">
        <v>0.202905982905983</v>
      </c>
      <c r="BI107">
        <v>0.24794125416202401</v>
      </c>
      <c r="BJ107">
        <v>80</v>
      </c>
      <c r="BK107">
        <v>8865.0810618081287</v>
      </c>
      <c r="BL107">
        <v>6532.0618825501442</v>
      </c>
      <c r="BM107">
        <v>10.761006933334301</v>
      </c>
      <c r="BN107">
        <v>1829.3711786668309</v>
      </c>
      <c r="BO107">
        <v>7035.7098831412977</v>
      </c>
    </row>
    <row r="108" spans="1:67" x14ac:dyDescent="0.25">
      <c r="A108" s="1">
        <v>106</v>
      </c>
      <c r="B108" t="s">
        <v>66</v>
      </c>
      <c r="C108" t="s">
        <v>81</v>
      </c>
      <c r="D108">
        <v>2</v>
      </c>
      <c r="E108">
        <v>4</v>
      </c>
      <c r="F108">
        <v>2</v>
      </c>
      <c r="G108">
        <v>60.050759999999997</v>
      </c>
      <c r="H108">
        <v>8</v>
      </c>
      <c r="I108" t="s">
        <v>89</v>
      </c>
      <c r="J108">
        <v>4</v>
      </c>
      <c r="K108">
        <v>300</v>
      </c>
      <c r="L108">
        <v>70</v>
      </c>
      <c r="N108" t="s">
        <v>90</v>
      </c>
      <c r="O108">
        <v>30</v>
      </c>
      <c r="P108">
        <v>0.32500000000000001</v>
      </c>
      <c r="Q108">
        <v>3.2500000000000001E-2</v>
      </c>
      <c r="R108">
        <v>77.5</v>
      </c>
      <c r="S108">
        <v>170</v>
      </c>
      <c r="T108">
        <v>20</v>
      </c>
      <c r="U108">
        <v>1812.1301775147931</v>
      </c>
      <c r="V108">
        <v>20</v>
      </c>
      <c r="W108">
        <v>0.95</v>
      </c>
      <c r="X108">
        <v>1</v>
      </c>
      <c r="Y108">
        <v>137921.02566707219</v>
      </c>
      <c r="Z108">
        <v>413763077.00121659</v>
      </c>
      <c r="AA108">
        <v>1655052308.0048659</v>
      </c>
      <c r="AB108">
        <v>1655052.3080048659</v>
      </c>
      <c r="AC108">
        <v>0</v>
      </c>
      <c r="AD108">
        <v>4288.3520693248965</v>
      </c>
      <c r="AE108">
        <v>1929758.4311962039</v>
      </c>
      <c r="AF108">
        <v>1350830.901837342</v>
      </c>
      <c r="AG108">
        <v>81.118422286817804</v>
      </c>
      <c r="AH108">
        <v>1104.072691240284</v>
      </c>
      <c r="AI108">
        <v>220.81453824805681</v>
      </c>
      <c r="AJ108">
        <v>53789.200010158158</v>
      </c>
      <c r="AK108">
        <v>854.70085470085473</v>
      </c>
      <c r="AL108" t="s">
        <v>93</v>
      </c>
      <c r="AM108">
        <v>85565.633571122016</v>
      </c>
      <c r="AN108">
        <v>1539.168012756676</v>
      </c>
      <c r="AO108">
        <v>37538.471502169647</v>
      </c>
      <c r="AP108">
        <v>141748.70244873769</v>
      </c>
      <c r="AQ108">
        <v>104210.230946568</v>
      </c>
      <c r="AR108">
        <v>3.9819343736507952E-2</v>
      </c>
      <c r="AS108">
        <v>663.09475078263699</v>
      </c>
      <c r="AT108">
        <v>1054.823690586335</v>
      </c>
      <c r="AU108">
        <v>18.97433368852391</v>
      </c>
      <c r="AV108">
        <v>462.7613610314246</v>
      </c>
      <c r="AW108">
        <v>1747.4292331222109</v>
      </c>
      <c r="AX108">
        <v>1284.667872090786</v>
      </c>
      <c r="AY108">
        <v>2.7221256531260272</v>
      </c>
      <c r="AZ108" t="s">
        <v>145</v>
      </c>
      <c r="BA108" t="str">
        <f>VLOOKUP($AZ108,Sheet1!$A$2:$B$58,2)</f>
        <v>Pentanol (PW1)</v>
      </c>
      <c r="BB108" t="s">
        <v>157</v>
      </c>
      <c r="BC108">
        <v>88.14658</v>
      </c>
      <c r="BD108">
        <v>6</v>
      </c>
      <c r="BE108">
        <v>138</v>
      </c>
      <c r="BF108" t="s">
        <v>199</v>
      </c>
      <c r="BG108">
        <v>2.3407786708499301</v>
      </c>
      <c r="BH108">
        <v>0.20643478260869599</v>
      </c>
      <c r="BI108">
        <v>0.308191398392898</v>
      </c>
      <c r="BJ108">
        <v>80</v>
      </c>
      <c r="BK108">
        <v>7087.4351224368829</v>
      </c>
      <c r="BL108">
        <v>5210.5115473284013</v>
      </c>
      <c r="BM108">
        <v>8.6999482415529066</v>
      </c>
      <c r="BN108">
        <v>1478.9912010639939</v>
      </c>
      <c r="BO108">
        <v>5608.4439213728892</v>
      </c>
    </row>
    <row r="109" spans="1:67" x14ac:dyDescent="0.25">
      <c r="A109" s="1">
        <v>107</v>
      </c>
      <c r="B109" t="s">
        <v>66</v>
      </c>
      <c r="C109" t="s">
        <v>81</v>
      </c>
      <c r="D109">
        <v>2</v>
      </c>
      <c r="E109">
        <v>4</v>
      </c>
      <c r="F109">
        <v>2</v>
      </c>
      <c r="G109">
        <v>60.050759999999997</v>
      </c>
      <c r="H109">
        <v>8</v>
      </c>
      <c r="I109" t="s">
        <v>89</v>
      </c>
      <c r="J109">
        <v>4</v>
      </c>
      <c r="K109">
        <v>300</v>
      </c>
      <c r="L109">
        <v>70</v>
      </c>
      <c r="N109" t="s">
        <v>90</v>
      </c>
      <c r="O109">
        <v>30</v>
      </c>
      <c r="P109">
        <v>0.32500000000000001</v>
      </c>
      <c r="Q109">
        <v>3.2500000000000001E-2</v>
      </c>
      <c r="R109">
        <v>77.5</v>
      </c>
      <c r="S109">
        <v>170</v>
      </c>
      <c r="T109">
        <v>20</v>
      </c>
      <c r="U109">
        <v>1812.1301775147931</v>
      </c>
      <c r="V109">
        <v>20</v>
      </c>
      <c r="W109">
        <v>0.95</v>
      </c>
      <c r="X109">
        <v>1</v>
      </c>
      <c r="Y109">
        <v>147114.82884420309</v>
      </c>
      <c r="Z109">
        <v>441344486.5326094</v>
      </c>
      <c r="AA109">
        <v>1765377946.1304381</v>
      </c>
      <c r="AB109">
        <v>1765377.946130438</v>
      </c>
      <c r="AC109">
        <v>0</v>
      </c>
      <c r="AD109">
        <v>4574.21323290692</v>
      </c>
      <c r="AE109">
        <v>2058395.9548081141</v>
      </c>
      <c r="AF109">
        <v>1440877.1683656799</v>
      </c>
      <c r="AG109">
        <v>86.525769027007016</v>
      </c>
      <c r="AH109">
        <v>1177.6700776243661</v>
      </c>
      <c r="AI109">
        <v>235.5340155248733</v>
      </c>
      <c r="AJ109">
        <v>57374.783249239219</v>
      </c>
      <c r="AK109">
        <v>854.70085470085473</v>
      </c>
      <c r="AL109" t="s">
        <v>93</v>
      </c>
      <c r="AM109">
        <v>91269.431015888389</v>
      </c>
      <c r="AN109">
        <v>1641.768814174578</v>
      </c>
      <c r="AO109">
        <v>40040.782639228462</v>
      </c>
      <c r="AP109">
        <v>151140.683934003</v>
      </c>
      <c r="AQ109">
        <v>111099.90129477459</v>
      </c>
      <c r="AR109">
        <v>3.9819343736507938E-2</v>
      </c>
      <c r="AS109">
        <v>663.09475078263699</v>
      </c>
      <c r="AT109">
        <v>1054.823690586335</v>
      </c>
      <c r="AU109">
        <v>18.97433368852391</v>
      </c>
      <c r="AV109">
        <v>462.76136103142471</v>
      </c>
      <c r="AW109">
        <v>1746.7707670627919</v>
      </c>
      <c r="AX109">
        <v>1284.009406031367</v>
      </c>
      <c r="AY109">
        <v>2.7221256531260281</v>
      </c>
      <c r="AZ109" t="s">
        <v>146</v>
      </c>
      <c r="BA109" t="str">
        <f>VLOOKUP($AZ109,Sheet1!$A$2:$B$58,2)</f>
        <v>Pentanol (PW2)</v>
      </c>
      <c r="BB109" t="s">
        <v>157</v>
      </c>
      <c r="BC109">
        <v>88.14658</v>
      </c>
      <c r="BD109">
        <v>6</v>
      </c>
      <c r="BE109">
        <v>138</v>
      </c>
      <c r="BF109" t="s">
        <v>199</v>
      </c>
      <c r="BG109">
        <v>2.663225230113238</v>
      </c>
      <c r="BH109">
        <v>0.193533834586467</v>
      </c>
      <c r="BI109">
        <v>0.288931266154905</v>
      </c>
      <c r="BJ109">
        <v>80</v>
      </c>
      <c r="BK109">
        <v>7557.0341967001514</v>
      </c>
      <c r="BL109">
        <v>5554.9950647387286</v>
      </c>
      <c r="BM109">
        <v>9.1134755461304273</v>
      </c>
      <c r="BN109">
        <v>1549.2908428421731</v>
      </c>
      <c r="BO109">
        <v>6007.7433538579789</v>
      </c>
    </row>
    <row r="110" spans="1:67" x14ac:dyDescent="0.25">
      <c r="A110" s="1">
        <v>108</v>
      </c>
      <c r="B110" t="s">
        <v>66</v>
      </c>
      <c r="C110" t="s">
        <v>81</v>
      </c>
      <c r="D110">
        <v>2</v>
      </c>
      <c r="E110">
        <v>4</v>
      </c>
      <c r="F110">
        <v>2</v>
      </c>
      <c r="G110">
        <v>60.050759999999997</v>
      </c>
      <c r="H110">
        <v>8</v>
      </c>
      <c r="I110" t="s">
        <v>89</v>
      </c>
      <c r="J110">
        <v>4</v>
      </c>
      <c r="K110">
        <v>300</v>
      </c>
      <c r="L110">
        <v>70</v>
      </c>
      <c r="N110" t="s">
        <v>90</v>
      </c>
      <c r="O110">
        <v>30</v>
      </c>
      <c r="P110">
        <v>0.32500000000000001</v>
      </c>
      <c r="Q110">
        <v>3.2500000000000001E-2</v>
      </c>
      <c r="R110">
        <v>77.5</v>
      </c>
      <c r="S110">
        <v>170</v>
      </c>
      <c r="T110">
        <v>20</v>
      </c>
      <c r="U110">
        <v>1812.1301775147931</v>
      </c>
      <c r="V110">
        <v>20</v>
      </c>
      <c r="W110">
        <v>0.95</v>
      </c>
      <c r="X110">
        <v>1</v>
      </c>
      <c r="Y110">
        <v>154023.50414463229</v>
      </c>
      <c r="Z110">
        <v>462070512.4338969</v>
      </c>
      <c r="AA110">
        <v>1848282049.7355881</v>
      </c>
      <c r="AB110">
        <v>1848282.049735588</v>
      </c>
      <c r="AC110">
        <v>0</v>
      </c>
      <c r="AD110">
        <v>4789.0233525213544</v>
      </c>
      <c r="AE110">
        <v>2155060.5086346101</v>
      </c>
      <c r="AF110">
        <v>1508542.356044227</v>
      </c>
      <c r="AG110">
        <v>90.589114972646399</v>
      </c>
      <c r="AH110">
        <v>1232.9747688051191</v>
      </c>
      <c r="AI110">
        <v>246.59495376102379</v>
      </c>
      <c r="AJ110">
        <v>60069.166616406597</v>
      </c>
      <c r="AK110">
        <v>854.70085470085473</v>
      </c>
      <c r="AL110" t="s">
        <v>93</v>
      </c>
      <c r="AM110">
        <v>95555.544582396731</v>
      </c>
      <c r="AN110">
        <v>1718.86809603905</v>
      </c>
      <c r="AO110">
        <v>41921.142139374053</v>
      </c>
      <c r="AP110">
        <v>158198.28014954319</v>
      </c>
      <c r="AQ110">
        <v>116277.1380101692</v>
      </c>
      <c r="AR110">
        <v>3.9819343736507938E-2</v>
      </c>
      <c r="AS110">
        <v>663.09475078263699</v>
      </c>
      <c r="AT110">
        <v>1054.823690586335</v>
      </c>
      <c r="AU110">
        <v>18.97433368852391</v>
      </c>
      <c r="AV110">
        <v>462.76136103142449</v>
      </c>
      <c r="AW110">
        <v>1746.3276928724999</v>
      </c>
      <c r="AX110">
        <v>1283.566331841075</v>
      </c>
      <c r="AY110">
        <v>2.7221256531260272</v>
      </c>
      <c r="AZ110" t="s">
        <v>147</v>
      </c>
      <c r="BA110" t="str">
        <f>VLOOKUP($AZ110,Sheet1!$A$2:$B$58,2)</f>
        <v>Phenol</v>
      </c>
      <c r="BB110" t="s">
        <v>193</v>
      </c>
      <c r="BC110">
        <v>94.11023999999999</v>
      </c>
      <c r="BD110">
        <v>4.666666666666667</v>
      </c>
      <c r="BE110">
        <v>181.7</v>
      </c>
      <c r="BF110" t="s">
        <v>199</v>
      </c>
      <c r="BG110">
        <v>2.5960790491834049</v>
      </c>
      <c r="BH110">
        <v>0.17313901345291499</v>
      </c>
      <c r="BI110">
        <v>0.27597134608886298</v>
      </c>
      <c r="BJ110">
        <v>80</v>
      </c>
      <c r="BK110">
        <v>7909.9140074771612</v>
      </c>
      <c r="BL110">
        <v>5813.8569005084591</v>
      </c>
      <c r="BM110">
        <v>9.7336686388677833</v>
      </c>
      <c r="BN110">
        <v>1654.723668607523</v>
      </c>
      <c r="BO110">
        <v>6255.1903388696383</v>
      </c>
    </row>
    <row r="111" spans="1:67" x14ac:dyDescent="0.25">
      <c r="A111" s="1">
        <v>109</v>
      </c>
      <c r="B111" t="s">
        <v>66</v>
      </c>
      <c r="C111" t="s">
        <v>81</v>
      </c>
      <c r="D111">
        <v>2</v>
      </c>
      <c r="E111">
        <v>4</v>
      </c>
      <c r="F111">
        <v>2</v>
      </c>
      <c r="G111">
        <v>60.050759999999997</v>
      </c>
      <c r="H111">
        <v>8</v>
      </c>
      <c r="I111" t="s">
        <v>89</v>
      </c>
      <c r="J111">
        <v>4</v>
      </c>
      <c r="K111">
        <v>300</v>
      </c>
      <c r="L111">
        <v>70</v>
      </c>
      <c r="N111" t="s">
        <v>90</v>
      </c>
      <c r="O111">
        <v>30</v>
      </c>
      <c r="P111">
        <v>0.32500000000000001</v>
      </c>
      <c r="Q111">
        <v>3.2500000000000001E-2</v>
      </c>
      <c r="R111">
        <v>77.5</v>
      </c>
      <c r="S111">
        <v>170</v>
      </c>
      <c r="T111">
        <v>20</v>
      </c>
      <c r="U111">
        <v>1812.1301775147931</v>
      </c>
      <c r="V111">
        <v>20</v>
      </c>
      <c r="W111">
        <v>0.95</v>
      </c>
      <c r="X111">
        <v>1</v>
      </c>
      <c r="Y111">
        <v>177411.69705681581</v>
      </c>
      <c r="Z111">
        <v>532235091.17044729</v>
      </c>
      <c r="AA111">
        <v>2128940364.6817889</v>
      </c>
      <c r="AB111">
        <v>2128940.3646817892</v>
      </c>
      <c r="AC111">
        <v>66773.504273504266</v>
      </c>
      <c r="AD111">
        <v>5516.2279610111327</v>
      </c>
      <c r="AE111">
        <v>2482302.5824550102</v>
      </c>
      <c r="AF111">
        <v>1737611.807718507</v>
      </c>
      <c r="AG111">
        <v>104.3449096384702</v>
      </c>
      <c r="AH111">
        <v>1420.1997764999851</v>
      </c>
      <c r="AI111">
        <v>284.03995529999702</v>
      </c>
      <c r="AJ111">
        <v>69190.561852158149</v>
      </c>
      <c r="AK111">
        <v>2170.1388888888891</v>
      </c>
      <c r="AL111" t="s">
        <v>95</v>
      </c>
      <c r="AM111">
        <v>110065.4826787488</v>
      </c>
      <c r="AN111">
        <v>1979.8751341792081</v>
      </c>
      <c r="AO111">
        <v>48286.792400999482</v>
      </c>
      <c r="AP111">
        <v>183406.05855397499</v>
      </c>
      <c r="AQ111">
        <v>135119.2661529755</v>
      </c>
      <c r="AR111">
        <v>3.9819343736507931E-2</v>
      </c>
      <c r="AS111">
        <v>663.09475078263688</v>
      </c>
      <c r="AT111">
        <v>1054.823690586335</v>
      </c>
      <c r="AU111">
        <v>18.974333688523899</v>
      </c>
      <c r="AV111">
        <v>462.7613610314246</v>
      </c>
      <c r="AW111">
        <v>1757.6905206917379</v>
      </c>
      <c r="AX111">
        <v>1294.929159660313</v>
      </c>
      <c r="AY111">
        <v>2.7221256531260272</v>
      </c>
      <c r="AZ111" t="s">
        <v>148</v>
      </c>
      <c r="BA111" t="str">
        <f>VLOOKUP($AZ111,Sheet1!$A$2:$B$58,2)</f>
        <v>Propane (PW1)</v>
      </c>
      <c r="BB111" t="s">
        <v>194</v>
      </c>
      <c r="BC111">
        <v>44.094819999999999</v>
      </c>
      <c r="BD111">
        <v>6.666666666666667</v>
      </c>
      <c r="BE111">
        <v>-42</v>
      </c>
      <c r="BF111" t="s">
        <v>199</v>
      </c>
      <c r="BG111">
        <v>3.2279826191070509</v>
      </c>
      <c r="BH111">
        <v>0.32081081081081098</v>
      </c>
      <c r="BI111">
        <v>0.23959002970647</v>
      </c>
      <c r="BJ111">
        <v>80</v>
      </c>
      <c r="BK111">
        <v>9170.302927698749</v>
      </c>
      <c r="BL111">
        <v>6755.9633076487762</v>
      </c>
      <c r="BM111">
        <v>10.9740151458928</v>
      </c>
      <c r="BN111">
        <v>1865.5825748017751</v>
      </c>
      <c r="BO111">
        <v>7304.720352896974</v>
      </c>
    </row>
    <row r="112" spans="1:67" x14ac:dyDescent="0.25">
      <c r="A112" s="1">
        <v>110</v>
      </c>
      <c r="B112" t="s">
        <v>66</v>
      </c>
      <c r="C112" t="s">
        <v>81</v>
      </c>
      <c r="D112">
        <v>2</v>
      </c>
      <c r="E112">
        <v>4</v>
      </c>
      <c r="F112">
        <v>2</v>
      </c>
      <c r="G112">
        <v>60.050759999999997</v>
      </c>
      <c r="H112">
        <v>8</v>
      </c>
      <c r="I112" t="s">
        <v>89</v>
      </c>
      <c r="J112">
        <v>4</v>
      </c>
      <c r="K112">
        <v>300</v>
      </c>
      <c r="L112">
        <v>70</v>
      </c>
      <c r="N112" t="s">
        <v>90</v>
      </c>
      <c r="O112">
        <v>30</v>
      </c>
      <c r="P112">
        <v>0.32500000000000001</v>
      </c>
      <c r="Q112">
        <v>3.2500000000000001E-2</v>
      </c>
      <c r="R112">
        <v>77.5</v>
      </c>
      <c r="S112">
        <v>170</v>
      </c>
      <c r="T112">
        <v>20</v>
      </c>
      <c r="U112">
        <v>1812.1301775147931</v>
      </c>
      <c r="V112">
        <v>20</v>
      </c>
      <c r="W112">
        <v>0.95</v>
      </c>
      <c r="X112">
        <v>1</v>
      </c>
      <c r="Y112">
        <v>225539.63553893249</v>
      </c>
      <c r="Z112">
        <v>676618906.61679745</v>
      </c>
      <c r="AA112">
        <v>2706475626.4671898</v>
      </c>
      <c r="AB112">
        <v>2706475.6264671902</v>
      </c>
      <c r="AC112">
        <v>66773.504273504266</v>
      </c>
      <c r="AD112">
        <v>7012.6607462510756</v>
      </c>
      <c r="AE112">
        <v>3155697.335812984</v>
      </c>
      <c r="AF112">
        <v>2208988.135069089</v>
      </c>
      <c r="AG112">
        <v>132.6514163418814</v>
      </c>
      <c r="AH112">
        <v>1805.469116738682</v>
      </c>
      <c r="AI112">
        <v>361.09382334773647</v>
      </c>
      <c r="AJ112">
        <v>87960.457860183669</v>
      </c>
      <c r="AK112">
        <v>2170.1388888888891</v>
      </c>
      <c r="AL112" t="s">
        <v>95</v>
      </c>
      <c r="AM112">
        <v>139923.85654724791</v>
      </c>
      <c r="AN112">
        <v>2516.9722379261721</v>
      </c>
      <c r="AO112">
        <v>61385.949969115209</v>
      </c>
      <c r="AP112">
        <v>232571.42553424661</v>
      </c>
      <c r="AQ112">
        <v>171185.4755651314</v>
      </c>
      <c r="AR112">
        <v>3.9819343736507938E-2</v>
      </c>
      <c r="AS112">
        <v>663.09475078263699</v>
      </c>
      <c r="AT112">
        <v>1054.823690586335</v>
      </c>
      <c r="AU112">
        <v>18.97433368852391</v>
      </c>
      <c r="AV112">
        <v>462.76136103142471</v>
      </c>
      <c r="AW112">
        <v>1753.2524864630329</v>
      </c>
      <c r="AX112">
        <v>1290.491125431608</v>
      </c>
      <c r="AY112">
        <v>2.7221256531260281</v>
      </c>
      <c r="AZ112" t="s">
        <v>149</v>
      </c>
      <c r="BA112" t="str">
        <f>VLOOKUP($AZ112,Sheet1!$A$2:$B$58,2)</f>
        <v>Propane (PW2)</v>
      </c>
      <c r="BB112" t="s">
        <v>194</v>
      </c>
      <c r="BC112">
        <v>44.094819999999999</v>
      </c>
      <c r="BD112">
        <v>6.666666666666667</v>
      </c>
      <c r="BE112">
        <v>-42</v>
      </c>
      <c r="BF112" t="s">
        <v>199</v>
      </c>
      <c r="BG112">
        <v>4.915933499608407</v>
      </c>
      <c r="BH112">
        <v>0.252352941176471</v>
      </c>
      <c r="BI112">
        <v>0.188463875391784</v>
      </c>
      <c r="BJ112">
        <v>80</v>
      </c>
      <c r="BK112">
        <v>11628.57127671233</v>
      </c>
      <c r="BL112">
        <v>8559.2737782565691</v>
      </c>
      <c r="BM112">
        <v>13.138757667778419</v>
      </c>
      <c r="BN112">
        <v>2233.588803522332</v>
      </c>
      <c r="BO112">
        <v>9394.9824731899971</v>
      </c>
    </row>
    <row r="113" spans="1:67" x14ac:dyDescent="0.25">
      <c r="A113" s="1">
        <v>111</v>
      </c>
      <c r="B113" t="s">
        <v>66</v>
      </c>
      <c r="C113" t="s">
        <v>81</v>
      </c>
      <c r="D113">
        <v>2</v>
      </c>
      <c r="E113">
        <v>4</v>
      </c>
      <c r="F113">
        <v>2</v>
      </c>
      <c r="G113">
        <v>60.050759999999997</v>
      </c>
      <c r="H113">
        <v>8</v>
      </c>
      <c r="I113" t="s">
        <v>89</v>
      </c>
      <c r="J113">
        <v>4</v>
      </c>
      <c r="K113">
        <v>300</v>
      </c>
      <c r="L113">
        <v>70</v>
      </c>
      <c r="N113" t="s">
        <v>90</v>
      </c>
      <c r="O113">
        <v>30</v>
      </c>
      <c r="P113">
        <v>0.32500000000000001</v>
      </c>
      <c r="Q113">
        <v>3.2500000000000001E-2</v>
      </c>
      <c r="R113">
        <v>77.5</v>
      </c>
      <c r="S113">
        <v>170</v>
      </c>
      <c r="T113">
        <v>20</v>
      </c>
      <c r="U113">
        <v>1812.1301775147931</v>
      </c>
      <c r="V113">
        <v>20</v>
      </c>
      <c r="W113">
        <v>0.95</v>
      </c>
      <c r="X113">
        <v>1</v>
      </c>
      <c r="Y113">
        <v>76398.505692849751</v>
      </c>
      <c r="Z113">
        <v>229195517.07854921</v>
      </c>
      <c r="AA113">
        <v>916782068.31419683</v>
      </c>
      <c r="AB113">
        <v>916782.06831419677</v>
      </c>
      <c r="AC113">
        <v>0</v>
      </c>
      <c r="AD113">
        <v>2375.4441238866179</v>
      </c>
      <c r="AE113">
        <v>1068949.855748978</v>
      </c>
      <c r="AF113">
        <v>748264.89902428468</v>
      </c>
      <c r="AG113">
        <v>44.933875867731551</v>
      </c>
      <c r="AH113">
        <v>611.57828096966284</v>
      </c>
      <c r="AI113">
        <v>122.3156561939326</v>
      </c>
      <c r="AJ113">
        <v>29795.417220211399</v>
      </c>
      <c r="AK113">
        <v>854.70085470085473</v>
      </c>
      <c r="AL113" t="s">
        <v>93</v>
      </c>
      <c r="AM113">
        <v>47397.316775148873</v>
      </c>
      <c r="AN113">
        <v>852.59035463305042</v>
      </c>
      <c r="AO113">
        <v>20793.66155296854</v>
      </c>
      <c r="AP113">
        <v>78900.025204694175</v>
      </c>
      <c r="AQ113">
        <v>58106.363651725638</v>
      </c>
      <c r="AR113">
        <v>3.9819343736507938E-2</v>
      </c>
      <c r="AS113">
        <v>663.09475078263699</v>
      </c>
      <c r="AT113">
        <v>1054.823690586335</v>
      </c>
      <c r="AU113">
        <v>18.97433368852391</v>
      </c>
      <c r="AV113">
        <v>462.76136103142471</v>
      </c>
      <c r="AW113">
        <v>1755.914077764985</v>
      </c>
      <c r="AX113">
        <v>1293.152716733561</v>
      </c>
      <c r="AY113">
        <v>2.7221256531260272</v>
      </c>
      <c r="AZ113" t="s">
        <v>150</v>
      </c>
      <c r="BA113" t="str">
        <f>VLOOKUP($AZ113,Sheet1!$A$2:$B$58,2)</f>
        <v>Shikimate</v>
      </c>
      <c r="BB113" t="s">
        <v>195</v>
      </c>
      <c r="BC113">
        <v>173.14045999999999</v>
      </c>
      <c r="BD113">
        <v>3.8571428571428572</v>
      </c>
      <c r="BE113">
        <v>400.5</v>
      </c>
      <c r="BF113" t="s">
        <v>199</v>
      </c>
      <c r="BG113">
        <v>0.90015399591220158</v>
      </c>
      <c r="BH113">
        <v>0.18972972972973001</v>
      </c>
      <c r="BI113">
        <v>0.55637310419405195</v>
      </c>
      <c r="BJ113">
        <v>80</v>
      </c>
      <c r="BK113">
        <v>3945.0012602347078</v>
      </c>
      <c r="BL113">
        <v>2905.3181825862812</v>
      </c>
      <c r="BM113">
        <v>5.2156288137844271</v>
      </c>
      <c r="BN113">
        <v>886.65689834335262</v>
      </c>
      <c r="BO113">
        <v>3058.3443618913561</v>
      </c>
    </row>
    <row r="114" spans="1:67" x14ac:dyDescent="0.25">
      <c r="A114" s="1">
        <v>112</v>
      </c>
      <c r="B114" t="s">
        <v>66</v>
      </c>
      <c r="C114" t="s">
        <v>81</v>
      </c>
      <c r="D114">
        <v>2</v>
      </c>
      <c r="E114">
        <v>4</v>
      </c>
      <c r="F114">
        <v>2</v>
      </c>
      <c r="G114">
        <v>60.050759999999997</v>
      </c>
      <c r="H114">
        <v>8</v>
      </c>
      <c r="I114" t="s">
        <v>89</v>
      </c>
      <c r="J114">
        <v>4</v>
      </c>
      <c r="K114">
        <v>300</v>
      </c>
      <c r="L114">
        <v>70</v>
      </c>
      <c r="N114" t="s">
        <v>90</v>
      </c>
      <c r="O114">
        <v>30</v>
      </c>
      <c r="P114">
        <v>0.32500000000000001</v>
      </c>
      <c r="Q114">
        <v>3.2500000000000001E-2</v>
      </c>
      <c r="R114">
        <v>77.5</v>
      </c>
      <c r="S114">
        <v>170</v>
      </c>
      <c r="T114">
        <v>20</v>
      </c>
      <c r="U114">
        <v>1812.1301775147931</v>
      </c>
      <c r="V114">
        <v>20</v>
      </c>
      <c r="W114">
        <v>0.95</v>
      </c>
      <c r="X114">
        <v>1</v>
      </c>
      <c r="Y114">
        <v>183178.6501507051</v>
      </c>
      <c r="Z114">
        <v>549535950.45211542</v>
      </c>
      <c r="AA114">
        <v>2198143801.8084621</v>
      </c>
      <c r="AB114">
        <v>2198143.801808462</v>
      </c>
      <c r="AC114">
        <v>0</v>
      </c>
      <c r="AD114">
        <v>5695.5387304479664</v>
      </c>
      <c r="AE114">
        <v>2562992.4287015852</v>
      </c>
      <c r="AF114">
        <v>1794094.7000911089</v>
      </c>
      <c r="AG114">
        <v>107.7367502524432</v>
      </c>
      <c r="AH114">
        <v>1466.3648582330379</v>
      </c>
      <c r="AI114">
        <v>293.27297164660757</v>
      </c>
      <c r="AJ114">
        <v>71439.673558775001</v>
      </c>
      <c r="AK114">
        <v>854.70085470085473</v>
      </c>
      <c r="AL114" t="s">
        <v>93</v>
      </c>
      <c r="AM114">
        <v>113643.27651306039</v>
      </c>
      <c r="AN114">
        <v>2044.2330498070201</v>
      </c>
      <c r="AO114">
        <v>49856.405179923277</v>
      </c>
      <c r="AP114">
        <v>187981.88397634329</v>
      </c>
      <c r="AQ114">
        <v>138125.47879642001</v>
      </c>
      <c r="AR114">
        <v>3.9819343736507952E-2</v>
      </c>
      <c r="AS114">
        <v>663.09475078263699</v>
      </c>
      <c r="AT114">
        <v>1054.823690586335</v>
      </c>
      <c r="AU114">
        <v>18.97433368852391</v>
      </c>
      <c r="AV114">
        <v>462.76136103142471</v>
      </c>
      <c r="AW114">
        <v>1744.826009099716</v>
      </c>
      <c r="AX114">
        <v>1282.0646480682919</v>
      </c>
      <c r="AY114">
        <v>2.7221256531260281</v>
      </c>
      <c r="AZ114" t="s">
        <v>151</v>
      </c>
      <c r="BA114" t="str">
        <f>VLOOKUP($AZ114,Sheet1!$A$2:$B$58,2)</f>
        <v>Styrene</v>
      </c>
      <c r="BB114" t="s">
        <v>196</v>
      </c>
      <c r="BC114">
        <v>104.14832</v>
      </c>
      <c r="BD114">
        <v>5</v>
      </c>
      <c r="BE114">
        <v>145</v>
      </c>
      <c r="BF114" t="s">
        <v>199</v>
      </c>
      <c r="BG114">
        <v>3.0439079775641278</v>
      </c>
      <c r="BH114">
        <v>0.131550255536627</v>
      </c>
      <c r="BI114">
        <v>0.23204709573494001</v>
      </c>
      <c r="BJ114">
        <v>80</v>
      </c>
      <c r="BK114">
        <v>9399.0941988171617</v>
      </c>
      <c r="BL114">
        <v>6906.2739398209987</v>
      </c>
      <c r="BM114">
        <v>11.61974060476625</v>
      </c>
      <c r="BN114">
        <v>1975.355902810262</v>
      </c>
      <c r="BO114">
        <v>7423.738296006899</v>
      </c>
    </row>
    <row r="115" spans="1:67" x14ac:dyDescent="0.25">
      <c r="A115" s="1">
        <v>113</v>
      </c>
      <c r="B115" t="s">
        <v>66</v>
      </c>
      <c r="C115" t="s">
        <v>81</v>
      </c>
      <c r="D115">
        <v>2</v>
      </c>
      <c r="E115">
        <v>4</v>
      </c>
      <c r="F115">
        <v>2</v>
      </c>
      <c r="G115">
        <v>60.050759999999997</v>
      </c>
      <c r="H115">
        <v>8</v>
      </c>
      <c r="I115" t="s">
        <v>89</v>
      </c>
      <c r="J115">
        <v>4</v>
      </c>
      <c r="K115">
        <v>300</v>
      </c>
      <c r="L115">
        <v>70</v>
      </c>
      <c r="N115" t="s">
        <v>90</v>
      </c>
      <c r="O115">
        <v>30</v>
      </c>
      <c r="P115">
        <v>0.32500000000000001</v>
      </c>
      <c r="Q115">
        <v>3.2500000000000001E-2</v>
      </c>
      <c r="R115">
        <v>77.5</v>
      </c>
      <c r="S115">
        <v>170</v>
      </c>
      <c r="T115">
        <v>20</v>
      </c>
      <c r="U115">
        <v>1812.1301775147931</v>
      </c>
      <c r="V115">
        <v>20</v>
      </c>
      <c r="W115">
        <v>0.95</v>
      </c>
      <c r="X115">
        <v>1</v>
      </c>
      <c r="Y115">
        <v>49182.577085296587</v>
      </c>
      <c r="Z115">
        <v>147547731.2558898</v>
      </c>
      <c r="AA115">
        <v>590190925.02355909</v>
      </c>
      <c r="AB115">
        <v>590190.92502355913</v>
      </c>
      <c r="AC115">
        <v>0</v>
      </c>
      <c r="AD115">
        <v>1529.2244615957561</v>
      </c>
      <c r="AE115">
        <v>688151.0077180902</v>
      </c>
      <c r="AF115">
        <v>481705.70540266309</v>
      </c>
      <c r="AG115">
        <v>28.92679370576602</v>
      </c>
      <c r="AH115">
        <v>393.71183604575089</v>
      </c>
      <c r="AI115">
        <v>78.742367209150189</v>
      </c>
      <c r="AJ115">
        <v>19181.205063265668</v>
      </c>
      <c r="AK115">
        <v>854.70085470085473</v>
      </c>
      <c r="AL115" t="s">
        <v>93</v>
      </c>
      <c r="AM115">
        <v>30512.667293545699</v>
      </c>
      <c r="AN115">
        <v>548.8666363122976</v>
      </c>
      <c r="AO115">
        <v>13386.20242555553</v>
      </c>
      <c r="AP115">
        <v>51097.43984782452</v>
      </c>
      <c r="AQ115">
        <v>37711.23742226899</v>
      </c>
      <c r="AR115">
        <v>3.9819343736507938E-2</v>
      </c>
      <c r="AS115">
        <v>663.09475078263699</v>
      </c>
      <c r="AT115">
        <v>1054.823690586335</v>
      </c>
      <c r="AU115">
        <v>18.97433368852391</v>
      </c>
      <c r="AV115">
        <v>462.7613610314246</v>
      </c>
      <c r="AW115">
        <v>1766.439805516336</v>
      </c>
      <c r="AX115">
        <v>1303.678444484912</v>
      </c>
      <c r="AY115">
        <v>2.7221256531260272</v>
      </c>
      <c r="AZ115" t="s">
        <v>152</v>
      </c>
      <c r="BA115" t="str">
        <f>VLOOKUP($AZ115,Sheet1!$A$2:$B$58,2)</f>
        <v>Succinate</v>
      </c>
      <c r="BB115" t="s">
        <v>197</v>
      </c>
      <c r="BC115">
        <v>116.07016</v>
      </c>
      <c r="BD115">
        <v>3</v>
      </c>
      <c r="BE115">
        <v>235</v>
      </c>
      <c r="BF115" t="s">
        <v>199</v>
      </c>
      <c r="BG115">
        <v>0.20827045328205271</v>
      </c>
      <c r="BH115">
        <v>0.43962962962962898</v>
      </c>
      <c r="BI115">
        <v>0.86425064092107495</v>
      </c>
      <c r="BJ115">
        <v>80</v>
      </c>
      <c r="BK115">
        <v>2554.8719923912258</v>
      </c>
      <c r="BL115">
        <v>1885.5618711134489</v>
      </c>
      <c r="BM115">
        <v>3.728847907175457</v>
      </c>
      <c r="BN115">
        <v>633.90414421982757</v>
      </c>
      <c r="BO115">
        <v>1920.9678481713979</v>
      </c>
    </row>
    <row r="116" spans="1:67" x14ac:dyDescent="0.25">
      <c r="A116" s="1">
        <v>114</v>
      </c>
      <c r="B116" t="s">
        <v>67</v>
      </c>
      <c r="C116" t="s">
        <v>82</v>
      </c>
      <c r="D116">
        <v>1</v>
      </c>
      <c r="E116">
        <v>0</v>
      </c>
      <c r="F116">
        <v>1</v>
      </c>
      <c r="G116">
        <v>28.009699999999999</v>
      </c>
      <c r="H116">
        <v>2</v>
      </c>
      <c r="I116" t="s">
        <v>89</v>
      </c>
      <c r="J116">
        <v>4</v>
      </c>
      <c r="K116">
        <v>300</v>
      </c>
      <c r="L116">
        <v>70</v>
      </c>
      <c r="N116" t="s">
        <v>73</v>
      </c>
      <c r="O116">
        <v>30</v>
      </c>
      <c r="P116">
        <v>0.5</v>
      </c>
      <c r="Q116">
        <v>3.2500000000000001E-2</v>
      </c>
      <c r="R116">
        <v>77.5</v>
      </c>
      <c r="S116">
        <v>170</v>
      </c>
      <c r="T116">
        <v>20</v>
      </c>
      <c r="U116">
        <v>1812.1301775147931</v>
      </c>
      <c r="V116">
        <v>20</v>
      </c>
      <c r="W116">
        <v>0.95</v>
      </c>
      <c r="X116">
        <v>1</v>
      </c>
      <c r="Y116">
        <v>77891.401352541827</v>
      </c>
      <c r="Z116">
        <v>233674204.0576255</v>
      </c>
      <c r="AA116">
        <v>934696816.23050189</v>
      </c>
      <c r="AB116">
        <v>934696.81623050186</v>
      </c>
      <c r="AC116">
        <v>0</v>
      </c>
      <c r="AD116">
        <v>2421.8624430700961</v>
      </c>
      <c r="AE116">
        <v>4359352.397526172</v>
      </c>
      <c r="AF116">
        <v>3051546.6782683199</v>
      </c>
      <c r="AG116">
        <v>85.472906994292188</v>
      </c>
      <c r="AH116">
        <v>959.27549507563413</v>
      </c>
      <c r="AI116">
        <v>191.8550990151268</v>
      </c>
      <c r="AJ116">
        <v>30377.64652749131</v>
      </c>
      <c r="AK116">
        <v>854.70085470085473</v>
      </c>
      <c r="AL116" t="s">
        <v>93</v>
      </c>
      <c r="AM116">
        <v>74343.850868361638</v>
      </c>
      <c r="AN116">
        <v>869.25073860763052</v>
      </c>
      <c r="AO116">
        <v>32615.366832571559</v>
      </c>
      <c r="AP116">
        <v>106445.44898916141</v>
      </c>
      <c r="AQ116">
        <v>73830.08215658988</v>
      </c>
      <c r="AR116">
        <v>9.9548359341269845E-3</v>
      </c>
      <c r="AS116">
        <v>355.40673174389531</v>
      </c>
      <c r="AT116">
        <v>869.79434165409009</v>
      </c>
      <c r="AU116">
        <v>10.16989791473547</v>
      </c>
      <c r="AV116">
        <v>381.58719504824597</v>
      </c>
      <c r="AW116">
        <v>1245.3706412052859</v>
      </c>
      <c r="AX116">
        <v>863.78344615704009</v>
      </c>
      <c r="AY116">
        <v>2.2446305591073288</v>
      </c>
      <c r="AZ116" t="s">
        <v>96</v>
      </c>
      <c r="BA116" t="str">
        <f>VLOOKUP($AZ116,Sheet1!$A$2:$B$58,2)</f>
        <v>1,3-Butanediol (PW1)</v>
      </c>
      <c r="BB116" t="s">
        <v>153</v>
      </c>
      <c r="BC116">
        <v>90.119200000000006</v>
      </c>
      <c r="BD116">
        <v>5.5</v>
      </c>
      <c r="BE116">
        <v>207</v>
      </c>
      <c r="BF116" t="s">
        <v>200</v>
      </c>
      <c r="BG116">
        <v>3.41847242319063</v>
      </c>
      <c r="BH116">
        <v>9.0909090909090995E-2</v>
      </c>
      <c r="BI116">
        <v>0.29249034435753402</v>
      </c>
      <c r="BJ116">
        <v>80</v>
      </c>
      <c r="BK116">
        <v>5322.2724494580716</v>
      </c>
      <c r="BL116">
        <v>3691.5041078294939</v>
      </c>
      <c r="BM116">
        <v>6.1742825275657118</v>
      </c>
      <c r="BN116">
        <v>1049.628029686171</v>
      </c>
      <c r="BO116">
        <v>4272.6444197719011</v>
      </c>
    </row>
    <row r="117" spans="1:67" x14ac:dyDescent="0.25">
      <c r="A117" s="1">
        <v>115</v>
      </c>
      <c r="B117" t="s">
        <v>67</v>
      </c>
      <c r="C117" t="s">
        <v>82</v>
      </c>
      <c r="D117">
        <v>1</v>
      </c>
      <c r="E117">
        <v>0</v>
      </c>
      <c r="F117">
        <v>1</v>
      </c>
      <c r="G117">
        <v>28.009699999999999</v>
      </c>
      <c r="H117">
        <v>2</v>
      </c>
      <c r="I117" t="s">
        <v>89</v>
      </c>
      <c r="J117">
        <v>4</v>
      </c>
      <c r="K117">
        <v>300</v>
      </c>
      <c r="L117">
        <v>70</v>
      </c>
      <c r="N117" t="s">
        <v>73</v>
      </c>
      <c r="O117">
        <v>30</v>
      </c>
      <c r="P117">
        <v>0.5</v>
      </c>
      <c r="Q117">
        <v>3.2500000000000001E-2</v>
      </c>
      <c r="R117">
        <v>77.5</v>
      </c>
      <c r="S117">
        <v>170</v>
      </c>
      <c r="T117">
        <v>20</v>
      </c>
      <c r="U117">
        <v>1812.1301775147931</v>
      </c>
      <c r="V117">
        <v>20</v>
      </c>
      <c r="W117">
        <v>0.95</v>
      </c>
      <c r="X117">
        <v>1</v>
      </c>
      <c r="Y117">
        <v>77891.401352541827</v>
      </c>
      <c r="Z117">
        <v>233674204.0576255</v>
      </c>
      <c r="AA117">
        <v>934696816.23050189</v>
      </c>
      <c r="AB117">
        <v>934696.81623050186</v>
      </c>
      <c r="AC117">
        <v>0</v>
      </c>
      <c r="AD117">
        <v>2421.8624430700961</v>
      </c>
      <c r="AE117">
        <v>4359352.397526172</v>
      </c>
      <c r="AF117">
        <v>3051546.6782683199</v>
      </c>
      <c r="AG117">
        <v>85.472906994292188</v>
      </c>
      <c r="AH117">
        <v>959.27549507563413</v>
      </c>
      <c r="AI117">
        <v>191.8550990151268</v>
      </c>
      <c r="AJ117">
        <v>30377.64652749131</v>
      </c>
      <c r="AK117">
        <v>854.70085470085473</v>
      </c>
      <c r="AL117" t="s">
        <v>93</v>
      </c>
      <c r="AM117">
        <v>74343.850868361638</v>
      </c>
      <c r="AN117">
        <v>869.25073860763052</v>
      </c>
      <c r="AO117">
        <v>32615.366832571559</v>
      </c>
      <c r="AP117">
        <v>106445.44898916141</v>
      </c>
      <c r="AQ117">
        <v>73830.08215658988</v>
      </c>
      <c r="AR117">
        <v>9.9548359341269845E-3</v>
      </c>
      <c r="AS117">
        <v>355.40673174389531</v>
      </c>
      <c r="AT117">
        <v>869.79434165409009</v>
      </c>
      <c r="AU117">
        <v>10.16989791473547</v>
      </c>
      <c r="AV117">
        <v>381.58719504824597</v>
      </c>
      <c r="AW117">
        <v>1245.3706412052859</v>
      </c>
      <c r="AX117">
        <v>863.78344615704009</v>
      </c>
      <c r="AY117">
        <v>2.2446305591073288</v>
      </c>
      <c r="AZ117" t="s">
        <v>97</v>
      </c>
      <c r="BA117" t="str">
        <f>VLOOKUP($AZ117,Sheet1!$A$2:$B$58,2)</f>
        <v>1,3-Butanediol (PW2)</v>
      </c>
      <c r="BB117" t="s">
        <v>153</v>
      </c>
      <c r="BC117">
        <v>90.119200000000006</v>
      </c>
      <c r="BD117">
        <v>5.5</v>
      </c>
      <c r="BE117">
        <v>207</v>
      </c>
      <c r="BF117" t="s">
        <v>200</v>
      </c>
      <c r="BG117">
        <v>3.4184724231906261</v>
      </c>
      <c r="BH117">
        <v>9.0909090909090995E-2</v>
      </c>
      <c r="BI117">
        <v>0.29249034435753402</v>
      </c>
      <c r="BJ117">
        <v>80</v>
      </c>
      <c r="BK117">
        <v>5322.2724494580716</v>
      </c>
      <c r="BL117">
        <v>3691.5041078294939</v>
      </c>
      <c r="BM117">
        <v>6.1742825275657172</v>
      </c>
      <c r="BN117">
        <v>1049.6280296861721</v>
      </c>
      <c r="BO117">
        <v>4272.6444197718993</v>
      </c>
    </row>
    <row r="118" spans="1:67" x14ac:dyDescent="0.25">
      <c r="A118" s="1">
        <v>116</v>
      </c>
      <c r="B118" t="s">
        <v>67</v>
      </c>
      <c r="C118" t="s">
        <v>82</v>
      </c>
      <c r="D118">
        <v>1</v>
      </c>
      <c r="E118">
        <v>0</v>
      </c>
      <c r="F118">
        <v>1</v>
      </c>
      <c r="G118">
        <v>28.009699999999999</v>
      </c>
      <c r="H118">
        <v>2</v>
      </c>
      <c r="I118" t="s">
        <v>89</v>
      </c>
      <c r="J118">
        <v>4</v>
      </c>
      <c r="K118">
        <v>300</v>
      </c>
      <c r="L118">
        <v>70</v>
      </c>
      <c r="N118" t="s">
        <v>73</v>
      </c>
      <c r="O118">
        <v>30</v>
      </c>
      <c r="P118">
        <v>0.5</v>
      </c>
      <c r="Q118">
        <v>3.2500000000000001E-2</v>
      </c>
      <c r="R118">
        <v>77.5</v>
      </c>
      <c r="S118">
        <v>170</v>
      </c>
      <c r="T118">
        <v>20</v>
      </c>
      <c r="U118">
        <v>1812.1301775147931</v>
      </c>
      <c r="V118">
        <v>20</v>
      </c>
      <c r="W118">
        <v>0.95</v>
      </c>
      <c r="X118">
        <v>1</v>
      </c>
      <c r="Y118">
        <v>101827.0724187585</v>
      </c>
      <c r="Z118">
        <v>305481217.25627548</v>
      </c>
      <c r="AA118">
        <v>1221924869.0251019</v>
      </c>
      <c r="AB118">
        <v>1221924.8690251019</v>
      </c>
      <c r="AC118">
        <v>0</v>
      </c>
      <c r="AD118">
        <v>3166.0896850807831</v>
      </c>
      <c r="AE118">
        <v>5698961.4331454094</v>
      </c>
      <c r="AF118">
        <v>3989273.003201786</v>
      </c>
      <c r="AG118">
        <v>111.7383400377811</v>
      </c>
      <c r="AH118">
        <v>1254.056463363647</v>
      </c>
      <c r="AI118">
        <v>250.81129267272951</v>
      </c>
      <c r="AJ118">
        <v>39712.558243315812</v>
      </c>
      <c r="AK118">
        <v>854.70085470085473</v>
      </c>
      <c r="AL118" t="s">
        <v>93</v>
      </c>
      <c r="AM118">
        <v>97189.375910682662</v>
      </c>
      <c r="AN118">
        <v>1136.367511346232</v>
      </c>
      <c r="AO118">
        <v>42637.919754363997</v>
      </c>
      <c r="AP118">
        <v>138893.00252004559</v>
      </c>
      <c r="AQ118">
        <v>96255.082765681553</v>
      </c>
      <c r="AR118">
        <v>9.9548359341269845E-3</v>
      </c>
      <c r="AS118">
        <v>355.40673174389531</v>
      </c>
      <c r="AT118">
        <v>869.7943416540902</v>
      </c>
      <c r="AU118">
        <v>10.16989791473547</v>
      </c>
      <c r="AV118">
        <v>381.58719504824597</v>
      </c>
      <c r="AW118">
        <v>1243.020099216463</v>
      </c>
      <c r="AX118">
        <v>861.43290416821742</v>
      </c>
      <c r="AY118">
        <v>2.2446305591073301</v>
      </c>
      <c r="AZ118" t="s">
        <v>98</v>
      </c>
      <c r="BA118" t="str">
        <f>VLOOKUP($AZ118,Sheet1!$A$2:$B$58,2)</f>
        <v>1,3-Diaminopropane</v>
      </c>
      <c r="BB118" t="s">
        <v>154</v>
      </c>
      <c r="BC118">
        <v>76.139580000000009</v>
      </c>
      <c r="BD118">
        <v>6</v>
      </c>
      <c r="BE118">
        <v>139.30000000000001</v>
      </c>
      <c r="BF118" t="s">
        <v>200</v>
      </c>
      <c r="BG118">
        <v>4.0893378619860972</v>
      </c>
      <c r="BH118">
        <v>8.2307692307691999E-2</v>
      </c>
      <c r="BI118">
        <v>0.22373699118446699</v>
      </c>
      <c r="BJ118">
        <v>80</v>
      </c>
      <c r="BK118">
        <v>6944.6501260022778</v>
      </c>
      <c r="BL118">
        <v>4812.7541382840782</v>
      </c>
      <c r="BM118">
        <v>8.4512267716503757</v>
      </c>
      <c r="BN118">
        <v>1436.708551180564</v>
      </c>
      <c r="BO118">
        <v>5507.9415748217143</v>
      </c>
    </row>
    <row r="119" spans="1:67" x14ac:dyDescent="0.25">
      <c r="A119" s="1">
        <v>117</v>
      </c>
      <c r="B119" t="s">
        <v>67</v>
      </c>
      <c r="C119" t="s">
        <v>82</v>
      </c>
      <c r="D119">
        <v>1</v>
      </c>
      <c r="E119">
        <v>0</v>
      </c>
      <c r="F119">
        <v>1</v>
      </c>
      <c r="G119">
        <v>28.009699999999999</v>
      </c>
      <c r="H119">
        <v>2</v>
      </c>
      <c r="I119" t="s">
        <v>89</v>
      </c>
      <c r="J119">
        <v>4</v>
      </c>
      <c r="K119">
        <v>300</v>
      </c>
      <c r="L119">
        <v>70</v>
      </c>
      <c r="N119" t="s">
        <v>73</v>
      </c>
      <c r="O119">
        <v>30</v>
      </c>
      <c r="P119">
        <v>0.5</v>
      </c>
      <c r="Q119">
        <v>3.2500000000000001E-2</v>
      </c>
      <c r="R119">
        <v>77.5</v>
      </c>
      <c r="S119">
        <v>170</v>
      </c>
      <c r="T119">
        <v>20</v>
      </c>
      <c r="U119">
        <v>1812.1301775147931</v>
      </c>
      <c r="V119">
        <v>20</v>
      </c>
      <c r="W119">
        <v>0.95</v>
      </c>
      <c r="X119">
        <v>1</v>
      </c>
      <c r="Y119">
        <v>67090.413349666866</v>
      </c>
      <c r="Z119">
        <v>201271240.04900059</v>
      </c>
      <c r="AA119">
        <v>805084960.19600236</v>
      </c>
      <c r="AB119">
        <v>805084.96019600239</v>
      </c>
      <c r="AC119">
        <v>0</v>
      </c>
      <c r="AD119">
        <v>2086.0293891259471</v>
      </c>
      <c r="AE119">
        <v>3754852.900426704</v>
      </c>
      <c r="AF119">
        <v>2628397.0302986931</v>
      </c>
      <c r="AG119">
        <v>73.620612299557294</v>
      </c>
      <c r="AH119">
        <v>826.25538073889606</v>
      </c>
      <c r="AI119">
        <v>165.2510761477792</v>
      </c>
      <c r="AJ119">
        <v>26165.26120637008</v>
      </c>
      <c r="AK119">
        <v>854.70085470085473</v>
      </c>
      <c r="AL119" t="s">
        <v>93</v>
      </c>
      <c r="AM119">
        <v>64034.792007264448</v>
      </c>
      <c r="AN119">
        <v>748.71411150681593</v>
      </c>
      <c r="AO119">
        <v>28092.682945122469</v>
      </c>
      <c r="AP119">
        <v>91803.46817984221</v>
      </c>
      <c r="AQ119">
        <v>63710.78523471974</v>
      </c>
      <c r="AR119">
        <v>9.9548359341269845E-3</v>
      </c>
      <c r="AS119">
        <v>355.40673174389531</v>
      </c>
      <c r="AT119">
        <v>869.79434165409009</v>
      </c>
      <c r="AU119">
        <v>10.16989791473547</v>
      </c>
      <c r="AV119">
        <v>381.58719504824597</v>
      </c>
      <c r="AW119">
        <v>1246.9805033174689</v>
      </c>
      <c r="AX119">
        <v>865.3933082692231</v>
      </c>
      <c r="AY119">
        <v>2.2446305591073301</v>
      </c>
      <c r="AZ119" t="s">
        <v>99</v>
      </c>
      <c r="BA119" t="str">
        <f>VLOOKUP($AZ119,Sheet1!$A$2:$B$58,2)</f>
        <v>1,3-Propanediol</v>
      </c>
      <c r="BB119" t="s">
        <v>155</v>
      </c>
      <c r="BC119">
        <v>76.092820000000003</v>
      </c>
      <c r="BD119">
        <v>5.333333333333333</v>
      </c>
      <c r="BE119">
        <v>213</v>
      </c>
      <c r="BF119" t="s">
        <v>200</v>
      </c>
      <c r="BG119">
        <v>2.8918628590713329</v>
      </c>
      <c r="BH119">
        <v>0.125</v>
      </c>
      <c r="BI119">
        <v>0.339578811138879</v>
      </c>
      <c r="BJ119">
        <v>80</v>
      </c>
      <c r="BK119">
        <v>4590.173408992111</v>
      </c>
      <c r="BL119">
        <v>3185.5392617359871</v>
      </c>
      <c r="BM119">
        <v>5.3706909483176286</v>
      </c>
      <c r="BN119">
        <v>913.01746121399685</v>
      </c>
      <c r="BO119">
        <v>3677.1559477781138</v>
      </c>
    </row>
    <row r="120" spans="1:67" x14ac:dyDescent="0.25">
      <c r="A120" s="1">
        <v>118</v>
      </c>
      <c r="B120" t="s">
        <v>67</v>
      </c>
      <c r="C120" t="s">
        <v>82</v>
      </c>
      <c r="D120">
        <v>1</v>
      </c>
      <c r="E120">
        <v>0</v>
      </c>
      <c r="F120">
        <v>1</v>
      </c>
      <c r="G120">
        <v>28.009699999999999</v>
      </c>
      <c r="H120">
        <v>2</v>
      </c>
      <c r="I120" t="s">
        <v>89</v>
      </c>
      <c r="J120">
        <v>4</v>
      </c>
      <c r="K120">
        <v>300</v>
      </c>
      <c r="L120">
        <v>70</v>
      </c>
      <c r="N120" t="s">
        <v>73</v>
      </c>
      <c r="O120">
        <v>30</v>
      </c>
      <c r="P120">
        <v>0.5</v>
      </c>
      <c r="Q120">
        <v>3.2500000000000001E-2</v>
      </c>
      <c r="R120">
        <v>77.5</v>
      </c>
      <c r="S120">
        <v>170</v>
      </c>
      <c r="T120">
        <v>20</v>
      </c>
      <c r="U120">
        <v>1812.1301775147931</v>
      </c>
      <c r="V120">
        <v>20</v>
      </c>
      <c r="W120">
        <v>0.95</v>
      </c>
      <c r="X120">
        <v>1</v>
      </c>
      <c r="Y120">
        <v>130701.3744020981</v>
      </c>
      <c r="Z120">
        <v>392104123.20629442</v>
      </c>
      <c r="AA120">
        <v>1568416492.825177</v>
      </c>
      <c r="AB120">
        <v>1568416.492825177</v>
      </c>
      <c r="AC120">
        <v>0</v>
      </c>
      <c r="AD120">
        <v>4063.8728335288188</v>
      </c>
      <c r="AE120">
        <v>7314971.1003518738</v>
      </c>
      <c r="AF120">
        <v>5120479.7702463111</v>
      </c>
      <c r="AG120">
        <v>143.42310222066811</v>
      </c>
      <c r="AH120">
        <v>1609.6593906324299</v>
      </c>
      <c r="AI120">
        <v>321.93187812648603</v>
      </c>
      <c r="AJ120">
        <v>50973.536016818267</v>
      </c>
      <c r="AK120">
        <v>854.70085470085473</v>
      </c>
      <c r="AL120" t="s">
        <v>93</v>
      </c>
      <c r="AM120">
        <v>124748.6027740133</v>
      </c>
      <c r="AN120">
        <v>1458.5983081988641</v>
      </c>
      <c r="AO120">
        <v>54728.419281502618</v>
      </c>
      <c r="AP120">
        <v>178035.43795373119</v>
      </c>
      <c r="AQ120">
        <v>123307.0186722286</v>
      </c>
      <c r="AR120">
        <v>9.9548359341269845E-3</v>
      </c>
      <c r="AS120">
        <v>355.40673174389531</v>
      </c>
      <c r="AT120">
        <v>869.7943416540902</v>
      </c>
      <c r="AU120">
        <v>10.16989791473547</v>
      </c>
      <c r="AV120">
        <v>381.58719504824609</v>
      </c>
      <c r="AW120">
        <v>1241.3302682562901</v>
      </c>
      <c r="AX120">
        <v>859.74307320804382</v>
      </c>
      <c r="AY120">
        <v>2.2446305591073301</v>
      </c>
      <c r="AZ120" t="s">
        <v>100</v>
      </c>
      <c r="BA120" t="str">
        <f>VLOOKUP($AZ120,Sheet1!$A$2:$B$58,2)</f>
        <v>1,4-Butanediol</v>
      </c>
      <c r="BB120" t="s">
        <v>153</v>
      </c>
      <c r="BC120">
        <v>90.119200000000006</v>
      </c>
      <c r="BD120">
        <v>5.5</v>
      </c>
      <c r="BE120">
        <v>230</v>
      </c>
      <c r="BF120" t="s">
        <v>200</v>
      </c>
      <c r="BG120">
        <v>5.2395278261987057</v>
      </c>
      <c r="BH120">
        <v>5.4177215189873E-2</v>
      </c>
      <c r="BI120">
        <v>0.17430943559940201</v>
      </c>
      <c r="BJ120">
        <v>80</v>
      </c>
      <c r="BK120">
        <v>8901.7718976865617</v>
      </c>
      <c r="BL120">
        <v>6165.3509336114312</v>
      </c>
      <c r="BM120">
        <v>10.857066080125589</v>
      </c>
      <c r="BN120">
        <v>1845.70123362135</v>
      </c>
      <c r="BO120">
        <v>7056.0706640652124</v>
      </c>
    </row>
    <row r="121" spans="1:67" x14ac:dyDescent="0.25">
      <c r="A121" s="1">
        <v>119</v>
      </c>
      <c r="B121" t="s">
        <v>67</v>
      </c>
      <c r="C121" t="s">
        <v>82</v>
      </c>
      <c r="D121">
        <v>1</v>
      </c>
      <c r="E121">
        <v>0</v>
      </c>
      <c r="F121">
        <v>1</v>
      </c>
      <c r="G121">
        <v>28.009699999999999</v>
      </c>
      <c r="H121">
        <v>2</v>
      </c>
      <c r="I121" t="s">
        <v>89</v>
      </c>
      <c r="J121">
        <v>4</v>
      </c>
      <c r="K121">
        <v>300</v>
      </c>
      <c r="L121">
        <v>70</v>
      </c>
      <c r="N121" t="s">
        <v>73</v>
      </c>
      <c r="O121">
        <v>30</v>
      </c>
      <c r="P121">
        <v>0.5</v>
      </c>
      <c r="Q121">
        <v>3.2500000000000001E-2</v>
      </c>
      <c r="R121">
        <v>77.5</v>
      </c>
      <c r="S121">
        <v>170</v>
      </c>
      <c r="T121">
        <v>20</v>
      </c>
      <c r="U121">
        <v>1812.1301775147931</v>
      </c>
      <c r="V121">
        <v>20</v>
      </c>
      <c r="W121">
        <v>0.95</v>
      </c>
      <c r="X121">
        <v>1</v>
      </c>
      <c r="Y121">
        <v>131497.18285042711</v>
      </c>
      <c r="Z121">
        <v>394491548.55128139</v>
      </c>
      <c r="AA121">
        <v>1577966194.205126</v>
      </c>
      <c r="AB121">
        <v>1577966.194205126</v>
      </c>
      <c r="AC121">
        <v>0</v>
      </c>
      <c r="AD121">
        <v>4088.6167533892749</v>
      </c>
      <c r="AE121">
        <v>7359510.156100696</v>
      </c>
      <c r="AF121">
        <v>5151657.109270487</v>
      </c>
      <c r="AG121">
        <v>144.2963701335336</v>
      </c>
      <c r="AH121">
        <v>1619.4602098499579</v>
      </c>
      <c r="AI121">
        <v>323.89204196999162</v>
      </c>
      <c r="AJ121">
        <v>51283.901311666581</v>
      </c>
      <c r="AK121">
        <v>854.70085470085473</v>
      </c>
      <c r="AL121" t="s">
        <v>93</v>
      </c>
      <c r="AM121">
        <v>125508.16626337171</v>
      </c>
      <c r="AN121">
        <v>1467.47935372492</v>
      </c>
      <c r="AO121">
        <v>55061.647134898572</v>
      </c>
      <c r="AP121">
        <v>179114.24778346409</v>
      </c>
      <c r="AQ121">
        <v>124052.60064856549</v>
      </c>
      <c r="AR121">
        <v>9.9548359341269828E-3</v>
      </c>
      <c r="AS121">
        <v>355.40673174389531</v>
      </c>
      <c r="AT121">
        <v>869.79434165408998</v>
      </c>
      <c r="AU121">
        <v>10.16989791473546</v>
      </c>
      <c r="AV121">
        <v>381.58719504824592</v>
      </c>
      <c r="AW121">
        <v>1241.2942031577761</v>
      </c>
      <c r="AX121">
        <v>859.70700810952997</v>
      </c>
      <c r="AY121">
        <v>2.2446305591073288</v>
      </c>
      <c r="AZ121" t="s">
        <v>101</v>
      </c>
      <c r="BA121" t="str">
        <f>VLOOKUP($AZ121,Sheet1!$A$2:$B$58,2)</f>
        <v>1-Propanol (PW1)</v>
      </c>
      <c r="BB121" t="s">
        <v>156</v>
      </c>
      <c r="BC121">
        <v>60.093820000000001</v>
      </c>
      <c r="BD121">
        <v>6</v>
      </c>
      <c r="BE121">
        <v>97</v>
      </c>
      <c r="BF121" t="s">
        <v>200</v>
      </c>
      <c r="BG121">
        <v>5.6329722828388409</v>
      </c>
      <c r="BH121">
        <v>8.0754716981131999E-2</v>
      </c>
      <c r="BI121">
        <v>0.17325453146787201</v>
      </c>
      <c r="BJ121">
        <v>80</v>
      </c>
      <c r="BK121">
        <v>8955.7123891732008</v>
      </c>
      <c r="BL121">
        <v>6202.6300324282747</v>
      </c>
      <c r="BM121">
        <v>10.561629815660741</v>
      </c>
      <c r="BN121">
        <v>1795.477068662326</v>
      </c>
      <c r="BO121">
        <v>7160.2353205108748</v>
      </c>
    </row>
    <row r="122" spans="1:67" x14ac:dyDescent="0.25">
      <c r="A122" s="1">
        <v>120</v>
      </c>
      <c r="B122" t="s">
        <v>67</v>
      </c>
      <c r="C122" t="s">
        <v>82</v>
      </c>
      <c r="D122">
        <v>1</v>
      </c>
      <c r="E122">
        <v>0</v>
      </c>
      <c r="F122">
        <v>1</v>
      </c>
      <c r="G122">
        <v>28.009699999999999</v>
      </c>
      <c r="H122">
        <v>2</v>
      </c>
      <c r="I122" t="s">
        <v>89</v>
      </c>
      <c r="J122">
        <v>4</v>
      </c>
      <c r="K122">
        <v>300</v>
      </c>
      <c r="L122">
        <v>70</v>
      </c>
      <c r="N122" t="s">
        <v>73</v>
      </c>
      <c r="O122">
        <v>30</v>
      </c>
      <c r="P122">
        <v>0.5</v>
      </c>
      <c r="Q122">
        <v>3.2500000000000001E-2</v>
      </c>
      <c r="R122">
        <v>77.5</v>
      </c>
      <c r="S122">
        <v>170</v>
      </c>
      <c r="T122">
        <v>20</v>
      </c>
      <c r="U122">
        <v>1812.1301775147931</v>
      </c>
      <c r="V122">
        <v>20</v>
      </c>
      <c r="W122">
        <v>0.95</v>
      </c>
      <c r="X122">
        <v>1</v>
      </c>
      <c r="Y122">
        <v>95571.160064121941</v>
      </c>
      <c r="Z122">
        <v>286713480.19236583</v>
      </c>
      <c r="AA122">
        <v>1146853920.7694631</v>
      </c>
      <c r="AB122">
        <v>1146853.9207694631</v>
      </c>
      <c r="AC122">
        <v>0</v>
      </c>
      <c r="AD122">
        <v>2971.5757988783998</v>
      </c>
      <c r="AE122">
        <v>5348836.4379811194</v>
      </c>
      <c r="AF122">
        <v>3744185.5065867831</v>
      </c>
      <c r="AG122">
        <v>104.87351278384379</v>
      </c>
      <c r="AH122">
        <v>1177.011458177745</v>
      </c>
      <c r="AI122">
        <v>235.40229163554901</v>
      </c>
      <c r="AJ122">
        <v>37272.752425007558</v>
      </c>
      <c r="AK122">
        <v>854.70085470085473</v>
      </c>
      <c r="AL122" t="s">
        <v>93</v>
      </c>
      <c r="AM122">
        <v>91218.388008775233</v>
      </c>
      <c r="AN122">
        <v>1066.552918971397</v>
      </c>
      <c r="AO122">
        <v>40018.389578043338</v>
      </c>
      <c r="AP122">
        <v>130412.3942074551</v>
      </c>
      <c r="AQ122">
        <v>90394.00462941172</v>
      </c>
      <c r="AR122">
        <v>9.9548359341269845E-3</v>
      </c>
      <c r="AS122">
        <v>355.40673174389531</v>
      </c>
      <c r="AT122">
        <v>869.79434165408998</v>
      </c>
      <c r="AU122">
        <v>10.16989791473547</v>
      </c>
      <c r="AV122">
        <v>381.58719504824597</v>
      </c>
      <c r="AW122">
        <v>1243.5207970600709</v>
      </c>
      <c r="AX122">
        <v>861.93360201182531</v>
      </c>
      <c r="AY122">
        <v>2.2446305591073288</v>
      </c>
      <c r="AZ122" t="s">
        <v>102</v>
      </c>
      <c r="BA122" t="str">
        <f>VLOOKUP($AZ122,Sheet1!$A$2:$B$58,2)</f>
        <v>1-Propanol (PW2)</v>
      </c>
      <c r="BB122" t="s">
        <v>156</v>
      </c>
      <c r="BC122">
        <v>60.093820000000001</v>
      </c>
      <c r="BD122">
        <v>6</v>
      </c>
      <c r="BE122">
        <v>97</v>
      </c>
      <c r="BF122" t="s">
        <v>200</v>
      </c>
      <c r="BG122">
        <v>4.3941290468803667</v>
      </c>
      <c r="BH122">
        <v>0.11111111111111099</v>
      </c>
      <c r="BI122">
        <v>0.23838240311</v>
      </c>
      <c r="BJ122">
        <v>80</v>
      </c>
      <c r="BK122">
        <v>6520.6197103727536</v>
      </c>
      <c r="BL122">
        <v>4519.700231470586</v>
      </c>
      <c r="BM122">
        <v>7.3759855348970857</v>
      </c>
      <c r="BN122">
        <v>1253.9175409325051</v>
      </c>
      <c r="BO122">
        <v>5266.7021694402492</v>
      </c>
    </row>
    <row r="123" spans="1:67" x14ac:dyDescent="0.25">
      <c r="A123" s="1">
        <v>121</v>
      </c>
      <c r="B123" t="s">
        <v>67</v>
      </c>
      <c r="C123" t="s">
        <v>82</v>
      </c>
      <c r="D123">
        <v>1</v>
      </c>
      <c r="E123">
        <v>0</v>
      </c>
      <c r="F123">
        <v>1</v>
      </c>
      <c r="G123">
        <v>28.009699999999999</v>
      </c>
      <c r="H123">
        <v>2</v>
      </c>
      <c r="I123" t="s">
        <v>89</v>
      </c>
      <c r="J123">
        <v>4</v>
      </c>
      <c r="K123">
        <v>300</v>
      </c>
      <c r="L123">
        <v>70</v>
      </c>
      <c r="N123" t="s">
        <v>73</v>
      </c>
      <c r="O123">
        <v>30</v>
      </c>
      <c r="P123">
        <v>0.5</v>
      </c>
      <c r="Q123">
        <v>3.2500000000000001E-2</v>
      </c>
      <c r="R123">
        <v>77.5</v>
      </c>
      <c r="S123">
        <v>170</v>
      </c>
      <c r="T123">
        <v>20</v>
      </c>
      <c r="U123">
        <v>1812.1301775147931</v>
      </c>
      <c r="V123">
        <v>20</v>
      </c>
      <c r="W123">
        <v>0.95</v>
      </c>
      <c r="X123">
        <v>1</v>
      </c>
      <c r="Y123">
        <v>77891.401352541827</v>
      </c>
      <c r="Z123">
        <v>233674204.0576255</v>
      </c>
      <c r="AA123">
        <v>934696816.23050189</v>
      </c>
      <c r="AB123">
        <v>934696.81623050186</v>
      </c>
      <c r="AC123">
        <v>0</v>
      </c>
      <c r="AD123">
        <v>2421.8624430700961</v>
      </c>
      <c r="AE123">
        <v>4359352.397526172</v>
      </c>
      <c r="AF123">
        <v>3051546.6782683199</v>
      </c>
      <c r="AG123">
        <v>85.472906994292188</v>
      </c>
      <c r="AH123">
        <v>959.27549507563413</v>
      </c>
      <c r="AI123">
        <v>191.8550990151268</v>
      </c>
      <c r="AJ123">
        <v>30377.64652749131</v>
      </c>
      <c r="AK123">
        <v>854.70085470085473</v>
      </c>
      <c r="AL123" t="s">
        <v>93</v>
      </c>
      <c r="AM123">
        <v>74343.850868361638</v>
      </c>
      <c r="AN123">
        <v>869.25073860763052</v>
      </c>
      <c r="AO123">
        <v>32615.366832571559</v>
      </c>
      <c r="AP123">
        <v>106445.44898916141</v>
      </c>
      <c r="AQ123">
        <v>73830.08215658988</v>
      </c>
      <c r="AR123">
        <v>9.9548359341269845E-3</v>
      </c>
      <c r="AS123">
        <v>355.40673174389531</v>
      </c>
      <c r="AT123">
        <v>869.79434165409009</v>
      </c>
      <c r="AU123">
        <v>10.16989791473547</v>
      </c>
      <c r="AV123">
        <v>381.58719504824597</v>
      </c>
      <c r="AW123">
        <v>1245.3706412052859</v>
      </c>
      <c r="AX123">
        <v>863.78344615704009</v>
      </c>
      <c r="AY123">
        <v>2.2446305591073288</v>
      </c>
      <c r="AZ123" t="s">
        <v>103</v>
      </c>
      <c r="BA123" t="str">
        <f>VLOOKUP($AZ123,Sheet1!$A$2:$B$58,2)</f>
        <v>2,3-Butanediol</v>
      </c>
      <c r="BB123" t="s">
        <v>153</v>
      </c>
      <c r="BC123">
        <v>90.119200000000006</v>
      </c>
      <c r="BD123">
        <v>5.5</v>
      </c>
      <c r="BE123">
        <v>177</v>
      </c>
      <c r="BF123" t="s">
        <v>200</v>
      </c>
      <c r="BG123">
        <v>3.4184724231906172</v>
      </c>
      <c r="BH123">
        <v>9.0909090909090995E-2</v>
      </c>
      <c r="BI123">
        <v>0.29249034435753402</v>
      </c>
      <c r="BJ123">
        <v>80</v>
      </c>
      <c r="BK123">
        <v>5322.2724494580716</v>
      </c>
      <c r="BL123">
        <v>3691.5041078294939</v>
      </c>
      <c r="BM123">
        <v>6.174282527565726</v>
      </c>
      <c r="BN123">
        <v>1049.628029686173</v>
      </c>
      <c r="BO123">
        <v>4272.6444197718984</v>
      </c>
    </row>
    <row r="124" spans="1:67" x14ac:dyDescent="0.25">
      <c r="A124" s="1">
        <v>122</v>
      </c>
      <c r="B124" t="s">
        <v>67</v>
      </c>
      <c r="C124" t="s">
        <v>82</v>
      </c>
      <c r="D124">
        <v>1</v>
      </c>
      <c r="E124">
        <v>0</v>
      </c>
      <c r="F124">
        <v>1</v>
      </c>
      <c r="G124">
        <v>28.009699999999999</v>
      </c>
      <c r="H124">
        <v>2</v>
      </c>
      <c r="I124" t="s">
        <v>89</v>
      </c>
      <c r="J124">
        <v>4</v>
      </c>
      <c r="K124">
        <v>300</v>
      </c>
      <c r="L124">
        <v>70</v>
      </c>
      <c r="N124" t="s">
        <v>73</v>
      </c>
      <c r="O124">
        <v>30</v>
      </c>
      <c r="P124">
        <v>0.5</v>
      </c>
      <c r="Q124">
        <v>3.2500000000000001E-2</v>
      </c>
      <c r="R124">
        <v>77.5</v>
      </c>
      <c r="S124">
        <v>170</v>
      </c>
      <c r="T124">
        <v>20</v>
      </c>
      <c r="U124">
        <v>1812.1301775147931</v>
      </c>
      <c r="V124">
        <v>20</v>
      </c>
      <c r="W124">
        <v>0.95</v>
      </c>
      <c r="X124">
        <v>1</v>
      </c>
      <c r="Y124">
        <v>108592.53019392119</v>
      </c>
      <c r="Z124">
        <v>325777590.58176363</v>
      </c>
      <c r="AA124">
        <v>1303110362.327055</v>
      </c>
      <c r="AB124">
        <v>1303110.3623270551</v>
      </c>
      <c r="AC124">
        <v>0</v>
      </c>
      <c r="AD124">
        <v>3376.4467695769708</v>
      </c>
      <c r="AE124">
        <v>6077604.1852385486</v>
      </c>
      <c r="AF124">
        <v>4254322.9296669839</v>
      </c>
      <c r="AG124">
        <v>119.1623089630933</v>
      </c>
      <c r="AH124">
        <v>1337.376800961742</v>
      </c>
      <c r="AI124">
        <v>267.47536019234849</v>
      </c>
      <c r="AJ124">
        <v>42351.086775629279</v>
      </c>
      <c r="AK124">
        <v>854.70085470085473</v>
      </c>
      <c r="AL124" t="s">
        <v>93</v>
      </c>
      <c r="AM124">
        <v>103646.702074535</v>
      </c>
      <c r="AN124">
        <v>1211.8685174388261</v>
      </c>
      <c r="AO124">
        <v>45470.811232699241</v>
      </c>
      <c r="AP124">
        <v>148064.358222304</v>
      </c>
      <c r="AQ124">
        <v>102593.5469896048</v>
      </c>
      <c r="AR124">
        <v>9.9548359341269845E-3</v>
      </c>
      <c r="AS124">
        <v>355.40673174389531</v>
      </c>
      <c r="AT124">
        <v>869.79434165409009</v>
      </c>
      <c r="AU124">
        <v>10.16989791473546</v>
      </c>
      <c r="AV124">
        <v>381.58719504824597</v>
      </c>
      <c r="AW124">
        <v>1242.5435484651621</v>
      </c>
      <c r="AX124">
        <v>860.95635341691627</v>
      </c>
      <c r="AY124">
        <v>2.2446305591073288</v>
      </c>
      <c r="AZ124" t="s">
        <v>104</v>
      </c>
      <c r="BA124" t="str">
        <f>VLOOKUP($AZ124,Sheet1!$A$2:$B$58,2)</f>
        <v>2-Methyl-1-Butanol</v>
      </c>
      <c r="BB124" t="s">
        <v>157</v>
      </c>
      <c r="BC124">
        <v>88.14658</v>
      </c>
      <c r="BD124">
        <v>6</v>
      </c>
      <c r="BE124">
        <v>129</v>
      </c>
      <c r="BF124" t="s">
        <v>200</v>
      </c>
      <c r="BG124">
        <v>4.9928199142836851</v>
      </c>
      <c r="BH124">
        <v>6.6666666666666999E-2</v>
      </c>
      <c r="BI124">
        <v>0.209797881708913</v>
      </c>
      <c r="BJ124">
        <v>80</v>
      </c>
      <c r="BK124">
        <v>7403.2179111152</v>
      </c>
      <c r="BL124">
        <v>5129.6773494802374</v>
      </c>
      <c r="BM124">
        <v>8.3809480953337392</v>
      </c>
      <c r="BN124">
        <v>1424.7611762067361</v>
      </c>
      <c r="BO124">
        <v>5978.4567349084646</v>
      </c>
    </row>
    <row r="125" spans="1:67" x14ac:dyDescent="0.25">
      <c r="A125" s="1">
        <v>123</v>
      </c>
      <c r="B125" t="s">
        <v>67</v>
      </c>
      <c r="C125" t="s">
        <v>82</v>
      </c>
      <c r="D125">
        <v>1</v>
      </c>
      <c r="E125">
        <v>0</v>
      </c>
      <c r="F125">
        <v>1</v>
      </c>
      <c r="G125">
        <v>28.009699999999999</v>
      </c>
      <c r="H125">
        <v>2</v>
      </c>
      <c r="I125" t="s">
        <v>89</v>
      </c>
      <c r="J125">
        <v>4</v>
      </c>
      <c r="K125">
        <v>300</v>
      </c>
      <c r="L125">
        <v>70</v>
      </c>
      <c r="N125" t="s">
        <v>73</v>
      </c>
      <c r="O125">
        <v>30</v>
      </c>
      <c r="P125">
        <v>0.5</v>
      </c>
      <c r="Q125">
        <v>3.2500000000000001E-2</v>
      </c>
      <c r="R125">
        <v>77.5</v>
      </c>
      <c r="S125">
        <v>170</v>
      </c>
      <c r="T125">
        <v>20</v>
      </c>
      <c r="U125">
        <v>1812.1301775147931</v>
      </c>
      <c r="V125">
        <v>20</v>
      </c>
      <c r="W125">
        <v>0.95</v>
      </c>
      <c r="X125">
        <v>1</v>
      </c>
      <c r="Y125">
        <v>113822.7353880201</v>
      </c>
      <c r="Z125">
        <v>341468206.16406018</v>
      </c>
      <c r="AA125">
        <v>1365872824.6562409</v>
      </c>
      <c r="AB125">
        <v>1365872.8246562411</v>
      </c>
      <c r="AC125">
        <v>0</v>
      </c>
      <c r="AD125">
        <v>3539.0685392355649</v>
      </c>
      <c r="AE125">
        <v>6370323.370624017</v>
      </c>
      <c r="AF125">
        <v>4459226.3594368119</v>
      </c>
      <c r="AG125">
        <v>124.9015925599173</v>
      </c>
      <c r="AH125">
        <v>1401.789657705815</v>
      </c>
      <c r="AI125">
        <v>280.35793154116288</v>
      </c>
      <c r="AJ125">
        <v>44390.866801327822</v>
      </c>
      <c r="AK125">
        <v>854.70085470085473</v>
      </c>
      <c r="AL125" t="s">
        <v>93</v>
      </c>
      <c r="AM125">
        <v>108638.6984722006</v>
      </c>
      <c r="AN125">
        <v>1270.2364457222409</v>
      </c>
      <c r="AO125">
        <v>47660.848361997698</v>
      </c>
      <c r="AP125">
        <v>155154.5025739515</v>
      </c>
      <c r="AQ125">
        <v>107493.65421195381</v>
      </c>
      <c r="AR125">
        <v>9.9548359341269828E-3</v>
      </c>
      <c r="AS125">
        <v>355.40673174389531</v>
      </c>
      <c r="AT125">
        <v>869.79434165408998</v>
      </c>
      <c r="AU125">
        <v>10.16989791473546</v>
      </c>
      <c r="AV125">
        <v>381.58719504824592</v>
      </c>
      <c r="AW125">
        <v>1242.2139653625429</v>
      </c>
      <c r="AX125">
        <v>860.626770314297</v>
      </c>
      <c r="AY125">
        <v>2.2446305591073288</v>
      </c>
      <c r="AZ125" t="s">
        <v>106</v>
      </c>
      <c r="BA125" t="str">
        <f>VLOOKUP($AZ125,Sheet1!$A$2:$B$58,2)</f>
        <v>3-Methyl-1-Pentanol</v>
      </c>
      <c r="BB125" t="s">
        <v>159</v>
      </c>
      <c r="BC125">
        <v>102.17296</v>
      </c>
      <c r="BD125">
        <v>6</v>
      </c>
      <c r="BE125">
        <v>153</v>
      </c>
      <c r="BF125" t="s">
        <v>200</v>
      </c>
      <c r="BG125">
        <v>5.2171895669321859</v>
      </c>
      <c r="BH125">
        <v>5.4871794871794999E-2</v>
      </c>
      <c r="BI125">
        <v>0.20015757595730499</v>
      </c>
      <c r="BJ125">
        <v>80</v>
      </c>
      <c r="BK125">
        <v>7757.7251286975761</v>
      </c>
      <c r="BL125">
        <v>5374.6827105976909</v>
      </c>
      <c r="BM125">
        <v>8.8007070101259579</v>
      </c>
      <c r="BN125">
        <v>1496.120191721413</v>
      </c>
      <c r="BO125">
        <v>6261.6049369761631</v>
      </c>
    </row>
    <row r="126" spans="1:67" x14ac:dyDescent="0.25">
      <c r="A126" s="1">
        <v>124</v>
      </c>
      <c r="B126" t="s">
        <v>67</v>
      </c>
      <c r="C126" t="s">
        <v>82</v>
      </c>
      <c r="D126">
        <v>1</v>
      </c>
      <c r="E126">
        <v>0</v>
      </c>
      <c r="F126">
        <v>1</v>
      </c>
      <c r="G126">
        <v>28.009699999999999</v>
      </c>
      <c r="H126">
        <v>2</v>
      </c>
      <c r="I126" t="s">
        <v>89</v>
      </c>
      <c r="J126">
        <v>4</v>
      </c>
      <c r="K126">
        <v>300</v>
      </c>
      <c r="L126">
        <v>70</v>
      </c>
      <c r="N126" t="s">
        <v>73</v>
      </c>
      <c r="O126">
        <v>30</v>
      </c>
      <c r="P126">
        <v>0.5</v>
      </c>
      <c r="Q126">
        <v>3.2500000000000001E-2</v>
      </c>
      <c r="R126">
        <v>77.5</v>
      </c>
      <c r="S126">
        <v>170</v>
      </c>
      <c r="T126">
        <v>20</v>
      </c>
      <c r="U126">
        <v>1812.1301775147931</v>
      </c>
      <c r="V126">
        <v>20</v>
      </c>
      <c r="W126">
        <v>0.95</v>
      </c>
      <c r="X126">
        <v>1</v>
      </c>
      <c r="Y126">
        <v>261841.66768560169</v>
      </c>
      <c r="Z126">
        <v>785525003.05680513</v>
      </c>
      <c r="AA126">
        <v>3142100012.227221</v>
      </c>
      <c r="AB126">
        <v>3142100.01222722</v>
      </c>
      <c r="AC126">
        <v>0</v>
      </c>
      <c r="AD126">
        <v>8141.3928878801144</v>
      </c>
      <c r="AE126">
        <v>14654507.198184211</v>
      </c>
      <c r="AF126">
        <v>10258155.038728939</v>
      </c>
      <c r="AG126">
        <v>287.32784518828612</v>
      </c>
      <c r="AH126">
        <v>3224.724308960434</v>
      </c>
      <c r="AI126">
        <v>644.94486179208684</v>
      </c>
      <c r="AJ126">
        <v>102118.25039738471</v>
      </c>
      <c r="AK126">
        <v>854.70085470085473</v>
      </c>
      <c r="AL126" t="s">
        <v>93</v>
      </c>
      <c r="AM126">
        <v>249916.13394443359</v>
      </c>
      <c r="AN126">
        <v>2922.0948536257861</v>
      </c>
      <c r="AO126">
        <v>109640.62650465481</v>
      </c>
      <c r="AP126">
        <v>355811.18005014502</v>
      </c>
      <c r="AQ126">
        <v>246170.5535454902</v>
      </c>
      <c r="AR126">
        <v>9.9548359341269828E-3</v>
      </c>
      <c r="AS126">
        <v>355.40673174389531</v>
      </c>
      <c r="AT126">
        <v>869.79434165409009</v>
      </c>
      <c r="AU126">
        <v>10.16989791473547</v>
      </c>
      <c r="AV126">
        <v>381.58719504824597</v>
      </c>
      <c r="AW126">
        <v>1238.345625071534</v>
      </c>
      <c r="AX126">
        <v>856.75843002328747</v>
      </c>
      <c r="AY126">
        <v>2.2446305591073288</v>
      </c>
      <c r="AZ126" t="s">
        <v>107</v>
      </c>
      <c r="BA126" t="str">
        <f>VLOOKUP($AZ126,Sheet1!$A$2:$B$58,2)</f>
        <v>4-Hydroxystyrene</v>
      </c>
      <c r="BB126" t="s">
        <v>160</v>
      </c>
      <c r="BC126">
        <v>120.14731999999999</v>
      </c>
      <c r="BD126">
        <v>4.75</v>
      </c>
      <c r="BE126">
        <v>229</v>
      </c>
      <c r="BF126" t="s">
        <v>200</v>
      </c>
      <c r="BG126">
        <v>9.5785818158860021</v>
      </c>
      <c r="BH126">
        <v>2.0284360189574E-2</v>
      </c>
      <c r="BI126">
        <v>8.7008622445267997E-2</v>
      </c>
      <c r="BJ126">
        <v>80</v>
      </c>
      <c r="BK126">
        <v>17790.559002507249</v>
      </c>
      <c r="BL126">
        <v>12308.527677274509</v>
      </c>
      <c r="BM126">
        <v>22.668661273718339</v>
      </c>
      <c r="BN126">
        <v>3853.6724165321179</v>
      </c>
      <c r="BO126">
        <v>13936.886585975129</v>
      </c>
    </row>
    <row r="127" spans="1:67" x14ac:dyDescent="0.25">
      <c r="A127" s="1">
        <v>125</v>
      </c>
      <c r="B127" t="s">
        <v>67</v>
      </c>
      <c r="C127" t="s">
        <v>82</v>
      </c>
      <c r="D127">
        <v>1</v>
      </c>
      <c r="E127">
        <v>0</v>
      </c>
      <c r="F127">
        <v>1</v>
      </c>
      <c r="G127">
        <v>28.009699999999999</v>
      </c>
      <c r="H127">
        <v>2</v>
      </c>
      <c r="I127" t="s">
        <v>89</v>
      </c>
      <c r="J127">
        <v>4</v>
      </c>
      <c r="K127">
        <v>300</v>
      </c>
      <c r="L127">
        <v>70</v>
      </c>
      <c r="N127" t="s">
        <v>73</v>
      </c>
      <c r="O127">
        <v>30</v>
      </c>
      <c r="P127">
        <v>0.5</v>
      </c>
      <c r="Q127">
        <v>3.2500000000000001E-2</v>
      </c>
      <c r="R127">
        <v>77.5</v>
      </c>
      <c r="S127">
        <v>170</v>
      </c>
      <c r="T127">
        <v>20</v>
      </c>
      <c r="U127">
        <v>1812.1301775147931</v>
      </c>
      <c r="V127">
        <v>20</v>
      </c>
      <c r="W127">
        <v>0.95</v>
      </c>
      <c r="X127">
        <v>1</v>
      </c>
      <c r="Y127">
        <v>87900.520690604069</v>
      </c>
      <c r="Z127">
        <v>263701562.07181221</v>
      </c>
      <c r="AA127">
        <v>1054806248.287249</v>
      </c>
      <c r="AB127">
        <v>1054806.2482872489</v>
      </c>
      <c r="AC127">
        <v>0</v>
      </c>
      <c r="AD127">
        <v>2733.0740760890531</v>
      </c>
      <c r="AE127">
        <v>4919533.3369602952</v>
      </c>
      <c r="AF127">
        <v>3443673.3358722059</v>
      </c>
      <c r="AG127">
        <v>96.456257035779743</v>
      </c>
      <c r="AH127">
        <v>1082.543310798113</v>
      </c>
      <c r="AI127">
        <v>216.50866215962259</v>
      </c>
      <c r="AJ127">
        <v>34281.203069335577</v>
      </c>
      <c r="AK127">
        <v>854.70085470085473</v>
      </c>
      <c r="AL127" t="s">
        <v>93</v>
      </c>
      <c r="AM127">
        <v>83897.106586853741</v>
      </c>
      <c r="AN127">
        <v>980.9502872913647</v>
      </c>
      <c r="AO127">
        <v>36806.472567135839</v>
      </c>
      <c r="AP127">
        <v>120013.96079818151</v>
      </c>
      <c r="AQ127">
        <v>83207.488231045689</v>
      </c>
      <c r="AR127">
        <v>9.9548359341269845E-3</v>
      </c>
      <c r="AS127">
        <v>355.40673174389531</v>
      </c>
      <c r="AT127">
        <v>869.79434165409009</v>
      </c>
      <c r="AU127">
        <v>10.16989791473547</v>
      </c>
      <c r="AV127">
        <v>381.58719504824597</v>
      </c>
      <c r="AW127">
        <v>1244.2319916442871</v>
      </c>
      <c r="AX127">
        <v>862.64479659604126</v>
      </c>
      <c r="AY127">
        <v>2.2446305591073301</v>
      </c>
      <c r="AZ127" t="s">
        <v>109</v>
      </c>
      <c r="BA127" t="str">
        <f>VLOOKUP($AZ127,Sheet1!$A$2:$B$58,2)</f>
        <v>Acetone</v>
      </c>
      <c r="BB127" t="s">
        <v>162</v>
      </c>
      <c r="BC127">
        <v>58.078139999999998</v>
      </c>
      <c r="BD127">
        <v>5.333333333333333</v>
      </c>
      <c r="BE127">
        <v>56</v>
      </c>
      <c r="BF127" t="s">
        <v>200</v>
      </c>
      <c r="BG127">
        <v>3.7888610069124109</v>
      </c>
      <c r="BH127">
        <v>0.125</v>
      </c>
      <c r="BI127">
        <v>0.25918484469832198</v>
      </c>
      <c r="BJ127">
        <v>80</v>
      </c>
      <c r="BK127">
        <v>6000.6980399090762</v>
      </c>
      <c r="BL127">
        <v>4160.3744115522841</v>
      </c>
      <c r="BM127">
        <v>7.0365721010687166</v>
      </c>
      <c r="BN127">
        <v>1196.217257181682</v>
      </c>
      <c r="BO127">
        <v>4804.4807827273944</v>
      </c>
    </row>
    <row r="128" spans="1:67" x14ac:dyDescent="0.25">
      <c r="A128" s="1">
        <v>126</v>
      </c>
      <c r="B128" t="s">
        <v>67</v>
      </c>
      <c r="C128" t="s">
        <v>82</v>
      </c>
      <c r="D128">
        <v>1</v>
      </c>
      <c r="E128">
        <v>0</v>
      </c>
      <c r="F128">
        <v>1</v>
      </c>
      <c r="G128">
        <v>28.009699999999999</v>
      </c>
      <c r="H128">
        <v>2</v>
      </c>
      <c r="I128" t="s">
        <v>89</v>
      </c>
      <c r="J128">
        <v>4</v>
      </c>
      <c r="K128">
        <v>300</v>
      </c>
      <c r="L128">
        <v>70</v>
      </c>
      <c r="N128" t="s">
        <v>73</v>
      </c>
      <c r="O128">
        <v>30</v>
      </c>
      <c r="P128">
        <v>0.5</v>
      </c>
      <c r="Q128">
        <v>3.2500000000000001E-2</v>
      </c>
      <c r="R128">
        <v>77.5</v>
      </c>
      <c r="S128">
        <v>170</v>
      </c>
      <c r="T128">
        <v>20</v>
      </c>
      <c r="U128">
        <v>1812.1301775147931</v>
      </c>
      <c r="V128">
        <v>20</v>
      </c>
      <c r="W128">
        <v>0.95</v>
      </c>
      <c r="X128">
        <v>1</v>
      </c>
      <c r="Y128">
        <v>180460.69814465809</v>
      </c>
      <c r="Z128">
        <v>541382094.4339745</v>
      </c>
      <c r="AA128">
        <v>2165528377.735898</v>
      </c>
      <c r="AB128">
        <v>2165528.3777358979</v>
      </c>
      <c r="AC128">
        <v>0</v>
      </c>
      <c r="AD128">
        <v>5611.0299686178987</v>
      </c>
      <c r="AE128">
        <v>10099853.94351222</v>
      </c>
      <c r="AF128">
        <v>7069897.7604585523</v>
      </c>
      <c r="AG128">
        <v>198.02571530111589</v>
      </c>
      <c r="AH128">
        <v>2222.4728602698628</v>
      </c>
      <c r="AI128">
        <v>444.49457205397272</v>
      </c>
      <c r="AJ128">
        <v>70379.672276416677</v>
      </c>
      <c r="AK128">
        <v>854.70085470085473</v>
      </c>
      <c r="AL128" t="s">
        <v>93</v>
      </c>
      <c r="AM128">
        <v>172241.6466709144</v>
      </c>
      <c r="AN128">
        <v>2013.9013091048171</v>
      </c>
      <c r="AO128">
        <v>75564.07724917536</v>
      </c>
      <c r="AP128">
        <v>245489.9211111367</v>
      </c>
      <c r="AQ128">
        <v>169925.84386196139</v>
      </c>
      <c r="AR128">
        <v>9.9548359341269828E-3</v>
      </c>
      <c r="AS128">
        <v>355.40673174389531</v>
      </c>
      <c r="AT128">
        <v>869.79434165409009</v>
      </c>
      <c r="AU128">
        <v>10.16989791473546</v>
      </c>
      <c r="AV128">
        <v>381.58719504824597</v>
      </c>
      <c r="AW128">
        <v>1239.687081740102</v>
      </c>
      <c r="AX128">
        <v>858.09988669185623</v>
      </c>
      <c r="AY128">
        <v>2.2446305591073301</v>
      </c>
      <c r="AZ128" t="s">
        <v>110</v>
      </c>
      <c r="BA128" t="str">
        <f>VLOOKUP($AZ128,Sheet1!$A$2:$B$58,2)</f>
        <v>Acrylate (PW1)</v>
      </c>
      <c r="BB128" t="s">
        <v>163</v>
      </c>
      <c r="BC128">
        <v>71.053619999999995</v>
      </c>
      <c r="BD128">
        <v>3.666666666666667</v>
      </c>
      <c r="BE128">
        <v>80</v>
      </c>
      <c r="BF128" t="s">
        <v>200</v>
      </c>
      <c r="BG128">
        <v>6.2228573583735063</v>
      </c>
      <c r="BH128">
        <v>4.9767441860465098E-2</v>
      </c>
      <c r="BI128">
        <v>0.12624623000091301</v>
      </c>
      <c r="BJ128">
        <v>80</v>
      </c>
      <c r="BK128">
        <v>12274.49605555683</v>
      </c>
      <c r="BL128">
        <v>8496.2921930980665</v>
      </c>
      <c r="BM128">
        <v>16.00187124432513</v>
      </c>
      <c r="BN128">
        <v>2720.3181115352718</v>
      </c>
      <c r="BO128">
        <v>9554.1779440215614</v>
      </c>
    </row>
    <row r="129" spans="1:67" x14ac:dyDescent="0.25">
      <c r="A129" s="1">
        <v>127</v>
      </c>
      <c r="B129" t="s">
        <v>67</v>
      </c>
      <c r="C129" t="s">
        <v>82</v>
      </c>
      <c r="D129">
        <v>1</v>
      </c>
      <c r="E129">
        <v>0</v>
      </c>
      <c r="F129">
        <v>1</v>
      </c>
      <c r="G129">
        <v>28.009699999999999</v>
      </c>
      <c r="H129">
        <v>2</v>
      </c>
      <c r="I129" t="s">
        <v>89</v>
      </c>
      <c r="J129">
        <v>4</v>
      </c>
      <c r="K129">
        <v>300</v>
      </c>
      <c r="L129">
        <v>70</v>
      </c>
      <c r="N129" t="s">
        <v>73</v>
      </c>
      <c r="O129">
        <v>30</v>
      </c>
      <c r="P129">
        <v>0.5</v>
      </c>
      <c r="Q129">
        <v>3.2500000000000001E-2</v>
      </c>
      <c r="R129">
        <v>77.5</v>
      </c>
      <c r="S129">
        <v>170</v>
      </c>
      <c r="T129">
        <v>20</v>
      </c>
      <c r="U129">
        <v>1812.1301775147931</v>
      </c>
      <c r="V129">
        <v>20</v>
      </c>
      <c r="W129">
        <v>0.95</v>
      </c>
      <c r="X129">
        <v>1</v>
      </c>
      <c r="Y129">
        <v>71344.927173469303</v>
      </c>
      <c r="Z129">
        <v>214034781.52040789</v>
      </c>
      <c r="AA129">
        <v>856139126.08163166</v>
      </c>
      <c r="AB129">
        <v>856139.12608163164</v>
      </c>
      <c r="AC129">
        <v>0</v>
      </c>
      <c r="AD129">
        <v>2218.3141736396278</v>
      </c>
      <c r="AE129">
        <v>3992965.51255133</v>
      </c>
      <c r="AF129">
        <v>2795075.858785931</v>
      </c>
      <c r="AG129">
        <v>78.289236281836295</v>
      </c>
      <c r="AH129">
        <v>878.65206103692037</v>
      </c>
      <c r="AI129">
        <v>175.73041220738409</v>
      </c>
      <c r="AJ129">
        <v>27824.521597653031</v>
      </c>
      <c r="AK129">
        <v>854.70085470085473</v>
      </c>
      <c r="AL129" t="s">
        <v>93</v>
      </c>
      <c r="AM129">
        <v>68095.534730361323</v>
      </c>
      <c r="AN129">
        <v>796.19354080887899</v>
      </c>
      <c r="AO129">
        <v>29874.170075255301</v>
      </c>
      <c r="AP129">
        <v>97570.950723524089</v>
      </c>
      <c r="AQ129">
        <v>67696.780648268788</v>
      </c>
      <c r="AR129">
        <v>9.9548359341269863E-3</v>
      </c>
      <c r="AS129">
        <v>355.40673174389542</v>
      </c>
      <c r="AT129">
        <v>869.7943416540902</v>
      </c>
      <c r="AU129">
        <v>10.16989791473546</v>
      </c>
      <c r="AV129">
        <v>381.5871950482462</v>
      </c>
      <c r="AW129">
        <v>1246.28819180551</v>
      </c>
      <c r="AX129">
        <v>864.70099675726374</v>
      </c>
      <c r="AY129">
        <v>2.2446305591073301</v>
      </c>
      <c r="AZ129" t="s">
        <v>111</v>
      </c>
      <c r="BA129" t="str">
        <f>VLOOKUP($AZ129,Sheet1!$A$2:$B$58,2)</f>
        <v>Acrylate (PW2)</v>
      </c>
      <c r="BB129" t="s">
        <v>163</v>
      </c>
      <c r="BC129">
        <v>71.053619999999995</v>
      </c>
      <c r="BD129">
        <v>3.666666666666667</v>
      </c>
      <c r="BE129">
        <v>80</v>
      </c>
      <c r="BF129" t="s">
        <v>200</v>
      </c>
      <c r="BG129">
        <v>2.4601994207523048</v>
      </c>
      <c r="BH129">
        <v>0.125882352941177</v>
      </c>
      <c r="BI129">
        <v>0.31932869941407499</v>
      </c>
      <c r="BJ129">
        <v>80</v>
      </c>
      <c r="BK129">
        <v>4878.5475361762046</v>
      </c>
      <c r="BL129">
        <v>3384.8390324134389</v>
      </c>
      <c r="BM129">
        <v>6.3263211896169</v>
      </c>
      <c r="BN129">
        <v>1075.4746022348729</v>
      </c>
      <c r="BO129">
        <v>3803.0729339413319</v>
      </c>
    </row>
    <row r="130" spans="1:67" x14ac:dyDescent="0.25">
      <c r="A130" s="1">
        <v>128</v>
      </c>
      <c r="B130" t="s">
        <v>67</v>
      </c>
      <c r="C130" t="s">
        <v>82</v>
      </c>
      <c r="D130">
        <v>1</v>
      </c>
      <c r="E130">
        <v>0</v>
      </c>
      <c r="F130">
        <v>1</v>
      </c>
      <c r="G130">
        <v>28.009699999999999</v>
      </c>
      <c r="H130">
        <v>2</v>
      </c>
      <c r="I130" t="s">
        <v>89</v>
      </c>
      <c r="J130">
        <v>4</v>
      </c>
      <c r="K130">
        <v>300</v>
      </c>
      <c r="L130">
        <v>70</v>
      </c>
      <c r="N130" t="s">
        <v>73</v>
      </c>
      <c r="O130">
        <v>30</v>
      </c>
      <c r="P130">
        <v>0.5</v>
      </c>
      <c r="Q130">
        <v>3.2500000000000001E-2</v>
      </c>
      <c r="R130">
        <v>77.5</v>
      </c>
      <c r="S130">
        <v>170</v>
      </c>
      <c r="T130">
        <v>20</v>
      </c>
      <c r="U130">
        <v>1812.1301775147931</v>
      </c>
      <c r="V130">
        <v>20</v>
      </c>
      <c r="W130">
        <v>0.95</v>
      </c>
      <c r="X130">
        <v>1</v>
      </c>
      <c r="Y130">
        <v>264680.11600214022</v>
      </c>
      <c r="Z130">
        <v>794040348.00642073</v>
      </c>
      <c r="AA130">
        <v>3176161392.0256829</v>
      </c>
      <c r="AB130">
        <v>3176161.3920256831</v>
      </c>
      <c r="AC130">
        <v>0</v>
      </c>
      <c r="AD130">
        <v>8229.6482184435808</v>
      </c>
      <c r="AE130">
        <v>14813366.79319845</v>
      </c>
      <c r="AF130">
        <v>10369356.755238909</v>
      </c>
      <c r="AG130">
        <v>290.44257190721538</v>
      </c>
      <c r="AH130">
        <v>3259.6813628433179</v>
      </c>
      <c r="AI130">
        <v>651.93627256866364</v>
      </c>
      <c r="AJ130">
        <v>103225.2452408347</v>
      </c>
      <c r="AK130">
        <v>854.70085470085473</v>
      </c>
      <c r="AL130" t="s">
        <v>93</v>
      </c>
      <c r="AM130">
        <v>252625.3056203571</v>
      </c>
      <c r="AN130">
        <v>2953.7713063895949</v>
      </c>
      <c r="AO130">
        <v>110829.1663366728</v>
      </c>
      <c r="AP130">
        <v>359659.02302228229</v>
      </c>
      <c r="AQ130">
        <v>248829.8566856095</v>
      </c>
      <c r="AR130">
        <v>9.9548359341269845E-3</v>
      </c>
      <c r="AS130">
        <v>355.40673174389531</v>
      </c>
      <c r="AT130">
        <v>869.7943416540902</v>
      </c>
      <c r="AU130">
        <v>10.16989791473547</v>
      </c>
      <c r="AV130">
        <v>381.58719504824597</v>
      </c>
      <c r="AW130">
        <v>1238.31372467387</v>
      </c>
      <c r="AX130">
        <v>856.72652962562438</v>
      </c>
      <c r="AY130">
        <v>2.2446305591073301</v>
      </c>
      <c r="AZ130" t="s">
        <v>113</v>
      </c>
      <c r="BA130" t="str">
        <f>VLOOKUP($AZ130,Sheet1!$A$2:$B$58,2)</f>
        <v>Benzoate (PW1)</v>
      </c>
      <c r="BB130" t="s">
        <v>165</v>
      </c>
      <c r="BC130">
        <v>121.1121</v>
      </c>
      <c r="BD130">
        <v>4.1428571428571432</v>
      </c>
      <c r="BE130">
        <v>249.2</v>
      </c>
      <c r="BF130" t="s">
        <v>200</v>
      </c>
      <c r="BG130">
        <v>9.3087012374501281</v>
      </c>
      <c r="BH130">
        <v>1.9906976744186001E-2</v>
      </c>
      <c r="BI130">
        <v>8.6075535813621998E-2</v>
      </c>
      <c r="BJ130">
        <v>80</v>
      </c>
      <c r="BK130">
        <v>17982.95115111411</v>
      </c>
      <c r="BL130">
        <v>12441.492834280471</v>
      </c>
      <c r="BM130">
        <v>23.288112390983049</v>
      </c>
      <c r="BN130">
        <v>3958.979106467119</v>
      </c>
      <c r="BO130">
        <v>14023.972044646989</v>
      </c>
    </row>
    <row r="131" spans="1:67" x14ac:dyDescent="0.25">
      <c r="A131" s="1">
        <v>129</v>
      </c>
      <c r="B131" t="s">
        <v>67</v>
      </c>
      <c r="C131" t="s">
        <v>82</v>
      </c>
      <c r="D131">
        <v>1</v>
      </c>
      <c r="E131">
        <v>0</v>
      </c>
      <c r="F131">
        <v>1</v>
      </c>
      <c r="G131">
        <v>28.009699999999999</v>
      </c>
      <c r="H131">
        <v>2</v>
      </c>
      <c r="I131" t="s">
        <v>89</v>
      </c>
      <c r="J131">
        <v>4</v>
      </c>
      <c r="K131">
        <v>300</v>
      </c>
      <c r="L131">
        <v>70</v>
      </c>
      <c r="N131" t="s">
        <v>73</v>
      </c>
      <c r="O131">
        <v>30</v>
      </c>
      <c r="P131">
        <v>0.5</v>
      </c>
      <c r="Q131">
        <v>3.2500000000000001E-2</v>
      </c>
      <c r="R131">
        <v>77.5</v>
      </c>
      <c r="S131">
        <v>170</v>
      </c>
      <c r="T131">
        <v>20</v>
      </c>
      <c r="U131">
        <v>1812.1301775147931</v>
      </c>
      <c r="V131">
        <v>20</v>
      </c>
      <c r="W131">
        <v>0.95</v>
      </c>
      <c r="X131">
        <v>1</v>
      </c>
      <c r="Y131">
        <v>284377.24091392901</v>
      </c>
      <c r="Z131">
        <v>853131722.74178684</v>
      </c>
      <c r="AA131">
        <v>3412526890.9671469</v>
      </c>
      <c r="AB131">
        <v>3412526.890967147</v>
      </c>
      <c r="AC131">
        <v>0</v>
      </c>
      <c r="AD131">
        <v>8842.0871556301263</v>
      </c>
      <c r="AE131">
        <v>15915756.88013423</v>
      </c>
      <c r="AF131">
        <v>11141029.816093961</v>
      </c>
      <c r="AG131">
        <v>312.05690283984688</v>
      </c>
      <c r="AH131">
        <v>3502.2623014735368</v>
      </c>
      <c r="AI131">
        <v>700.45246029470741</v>
      </c>
      <c r="AJ131">
        <v>110907.1239564323</v>
      </c>
      <c r="AK131">
        <v>854.70085470085473</v>
      </c>
      <c r="AL131" t="s">
        <v>93</v>
      </c>
      <c r="AM131">
        <v>271425.32836419909</v>
      </c>
      <c r="AN131">
        <v>3173.5868454697679</v>
      </c>
      <c r="AO131">
        <v>119076.91825010029</v>
      </c>
      <c r="AP131">
        <v>386360.74002080201</v>
      </c>
      <c r="AQ131">
        <v>267283.82177070167</v>
      </c>
      <c r="AR131">
        <v>9.9548359341269845E-3</v>
      </c>
      <c r="AS131">
        <v>355.40673174389531</v>
      </c>
      <c r="AT131">
        <v>869.79434165409009</v>
      </c>
      <c r="AU131">
        <v>10.16989791473547</v>
      </c>
      <c r="AV131">
        <v>381.58719504824609</v>
      </c>
      <c r="AW131">
        <v>1238.109897601237</v>
      </c>
      <c r="AX131">
        <v>856.52270255299072</v>
      </c>
      <c r="AY131">
        <v>2.2446305591073301</v>
      </c>
      <c r="AZ131" t="s">
        <v>114</v>
      </c>
      <c r="BA131" t="str">
        <f>VLOOKUP($AZ131,Sheet1!$A$2:$B$58,2)</f>
        <v>Benzoate (PW2)</v>
      </c>
      <c r="BB131" t="s">
        <v>165</v>
      </c>
      <c r="BC131">
        <v>121.1121</v>
      </c>
      <c r="BD131">
        <v>4.1428571428571432</v>
      </c>
      <c r="BE131">
        <v>249.2</v>
      </c>
      <c r="BF131" t="s">
        <v>200</v>
      </c>
      <c r="BG131">
        <v>9.9879205907847268</v>
      </c>
      <c r="BH131">
        <v>1.8528138528139001E-2</v>
      </c>
      <c r="BI131">
        <v>8.0113593939085001E-2</v>
      </c>
      <c r="BJ131">
        <v>80</v>
      </c>
      <c r="BK131">
        <v>19318.037001040098</v>
      </c>
      <c r="BL131">
        <v>13364.19108853509</v>
      </c>
      <c r="BM131">
        <v>25.034702423950652</v>
      </c>
      <c r="BN131">
        <v>4255.8994120716106</v>
      </c>
      <c r="BO131">
        <v>15062.13758896849</v>
      </c>
    </row>
    <row r="132" spans="1:67" x14ac:dyDescent="0.25">
      <c r="A132" s="1">
        <v>130</v>
      </c>
      <c r="B132" t="s">
        <v>67</v>
      </c>
      <c r="C132" t="s">
        <v>82</v>
      </c>
      <c r="D132">
        <v>1</v>
      </c>
      <c r="E132">
        <v>0</v>
      </c>
      <c r="F132">
        <v>1</v>
      </c>
      <c r="G132">
        <v>28.009699999999999</v>
      </c>
      <c r="H132">
        <v>2</v>
      </c>
      <c r="I132" t="s">
        <v>89</v>
      </c>
      <c r="J132">
        <v>4</v>
      </c>
      <c r="K132">
        <v>300</v>
      </c>
      <c r="L132">
        <v>70</v>
      </c>
      <c r="N132" t="s">
        <v>73</v>
      </c>
      <c r="O132">
        <v>30</v>
      </c>
      <c r="P132">
        <v>0.5</v>
      </c>
      <c r="Q132">
        <v>3.2500000000000001E-2</v>
      </c>
      <c r="R132">
        <v>77.5</v>
      </c>
      <c r="S132">
        <v>170</v>
      </c>
      <c r="T132">
        <v>20</v>
      </c>
      <c r="U132">
        <v>1812.1301775147931</v>
      </c>
      <c r="V132">
        <v>20</v>
      </c>
      <c r="W132">
        <v>0.95</v>
      </c>
      <c r="X132">
        <v>1</v>
      </c>
      <c r="Y132">
        <v>187265.88988625101</v>
      </c>
      <c r="Z132">
        <v>561797669.65875304</v>
      </c>
      <c r="AA132">
        <v>2247190678.6350121</v>
      </c>
      <c r="AB132">
        <v>2247190.6786350119</v>
      </c>
      <c r="AC132">
        <v>66773.504273504266</v>
      </c>
      <c r="AD132">
        <v>5822.6224937319257</v>
      </c>
      <c r="AE132">
        <v>10480720.48871747</v>
      </c>
      <c r="AF132">
        <v>7336504.3421022259</v>
      </c>
      <c r="AG132">
        <v>205.4932856709807</v>
      </c>
      <c r="AH132">
        <v>2306.2825435422778</v>
      </c>
      <c r="AI132">
        <v>461.25650870845573</v>
      </c>
      <c r="AJ132">
        <v>73033.697055637909</v>
      </c>
      <c r="AK132">
        <v>2170.1388888888891</v>
      </c>
      <c r="AL132" t="s">
        <v>95</v>
      </c>
      <c r="AM132">
        <v>178736.89712452659</v>
      </c>
      <c r="AN132">
        <v>2089.845737437447</v>
      </c>
      <c r="AO132">
        <v>78413.606480437476</v>
      </c>
      <c r="AP132">
        <v>256030.57880649081</v>
      </c>
      <c r="AQ132">
        <v>177616.97232605331</v>
      </c>
      <c r="AR132">
        <v>9.954835934126988E-3</v>
      </c>
      <c r="AS132">
        <v>355.40673174389542</v>
      </c>
      <c r="AT132">
        <v>869.79434165409009</v>
      </c>
      <c r="AU132">
        <v>10.16989791473547</v>
      </c>
      <c r="AV132">
        <v>381.58719504824609</v>
      </c>
      <c r="AW132">
        <v>1245.9316029255881</v>
      </c>
      <c r="AX132">
        <v>864.34440787734184</v>
      </c>
      <c r="AY132">
        <v>2.2446305591073301</v>
      </c>
      <c r="AZ132" t="s">
        <v>117</v>
      </c>
      <c r="BA132" t="str">
        <f>VLOOKUP($AZ132,Sheet1!$A$2:$B$58,2)</f>
        <v>Butane</v>
      </c>
      <c r="BB132" t="s">
        <v>168</v>
      </c>
      <c r="BC132">
        <v>58.121200000000002</v>
      </c>
      <c r="BD132">
        <v>6.5</v>
      </c>
      <c r="BE132">
        <v>-1</v>
      </c>
      <c r="BF132" t="s">
        <v>200</v>
      </c>
      <c r="BG132">
        <v>8.3505489431334023</v>
      </c>
      <c r="BH132">
        <v>5.8630136986300999E-2</v>
      </c>
      <c r="BI132">
        <v>0.121658476180229</v>
      </c>
      <c r="BJ132">
        <v>80</v>
      </c>
      <c r="BK132">
        <v>12801.528940324541</v>
      </c>
      <c r="BL132">
        <v>8880.8486163026628</v>
      </c>
      <c r="BM132">
        <v>14.71227649228938</v>
      </c>
      <c r="BN132">
        <v>2501.0870036891938</v>
      </c>
      <c r="BO132">
        <v>10300.44193663534</v>
      </c>
    </row>
    <row r="133" spans="1:67" x14ac:dyDescent="0.25">
      <c r="A133" s="1">
        <v>131</v>
      </c>
      <c r="B133" t="s">
        <v>67</v>
      </c>
      <c r="C133" t="s">
        <v>82</v>
      </c>
      <c r="D133">
        <v>1</v>
      </c>
      <c r="E133">
        <v>0</v>
      </c>
      <c r="F133">
        <v>1</v>
      </c>
      <c r="G133">
        <v>28.009699999999999</v>
      </c>
      <c r="H133">
        <v>2</v>
      </c>
      <c r="I133" t="s">
        <v>89</v>
      </c>
      <c r="J133">
        <v>4</v>
      </c>
      <c r="K133">
        <v>300</v>
      </c>
      <c r="L133">
        <v>70</v>
      </c>
      <c r="N133" t="s">
        <v>73</v>
      </c>
      <c r="O133">
        <v>30</v>
      </c>
      <c r="P133">
        <v>0.5</v>
      </c>
      <c r="Q133">
        <v>3.2500000000000001E-2</v>
      </c>
      <c r="R133">
        <v>77.5</v>
      </c>
      <c r="S133">
        <v>170</v>
      </c>
      <c r="T133">
        <v>20</v>
      </c>
      <c r="U133">
        <v>1812.1301775147931</v>
      </c>
      <c r="V133">
        <v>20</v>
      </c>
      <c r="W133">
        <v>0.95</v>
      </c>
      <c r="X133">
        <v>1</v>
      </c>
      <c r="Y133">
        <v>103313.91604599961</v>
      </c>
      <c r="Z133">
        <v>309941748.13799882</v>
      </c>
      <c r="AA133">
        <v>1239766992.551995</v>
      </c>
      <c r="AB133">
        <v>1239766.992551995</v>
      </c>
      <c r="AC133">
        <v>0</v>
      </c>
      <c r="AD133">
        <v>3212.3198295769039</v>
      </c>
      <c r="AE133">
        <v>5782175.6932384269</v>
      </c>
      <c r="AF133">
        <v>4047522.9852668992</v>
      </c>
      <c r="AG133">
        <v>113.3699045604303</v>
      </c>
      <c r="AH133">
        <v>1272.367761297116</v>
      </c>
      <c r="AI133">
        <v>254.4735522594232</v>
      </c>
      <c r="AJ133">
        <v>40292.427257939853</v>
      </c>
      <c r="AK133">
        <v>854.70085470085473</v>
      </c>
      <c r="AL133" t="s">
        <v>93</v>
      </c>
      <c r="AM133">
        <v>98608.501500526472</v>
      </c>
      <c r="AN133">
        <v>1152.9603559828779</v>
      </c>
      <c r="AO133">
        <v>43260.503884101941</v>
      </c>
      <c r="AP133">
        <v>140908.58996915011</v>
      </c>
      <c r="AQ133">
        <v>97648.086085048111</v>
      </c>
      <c r="AR133">
        <v>9.9548359341269845E-3</v>
      </c>
      <c r="AS133">
        <v>355.40673174389531</v>
      </c>
      <c r="AT133">
        <v>869.79434165409009</v>
      </c>
      <c r="AU133">
        <v>10.16989791473546</v>
      </c>
      <c r="AV133">
        <v>381.58719504824597</v>
      </c>
      <c r="AW133">
        <v>1242.9100166882531</v>
      </c>
      <c r="AX133">
        <v>861.32282164000731</v>
      </c>
      <c r="AY133">
        <v>2.2446305591073301</v>
      </c>
      <c r="AZ133" t="s">
        <v>118</v>
      </c>
      <c r="BA133" t="str">
        <f>VLOOKUP($AZ133,Sheet1!$A$2:$B$58,2)</f>
        <v>Butanol (PW1)</v>
      </c>
      <c r="BB133" t="s">
        <v>169</v>
      </c>
      <c r="BC133">
        <v>74.120199999999997</v>
      </c>
      <c r="BD133">
        <v>6</v>
      </c>
      <c r="BE133">
        <v>117.7</v>
      </c>
      <c r="BF133" t="s">
        <v>200</v>
      </c>
      <c r="BG133">
        <v>4.7501220989689763</v>
      </c>
      <c r="BH133">
        <v>8.3333333333332996E-2</v>
      </c>
      <c r="BI133">
        <v>0.22051707723432101</v>
      </c>
      <c r="BJ133">
        <v>80</v>
      </c>
      <c r="BK133">
        <v>7045.4294984575026</v>
      </c>
      <c r="BL133">
        <v>4882.4043042524054</v>
      </c>
      <c r="BM133">
        <v>7.9735555140021814</v>
      </c>
      <c r="BN133">
        <v>1355.504437380371</v>
      </c>
      <c r="BO133">
        <v>5689.9250610771323</v>
      </c>
    </row>
    <row r="134" spans="1:67" x14ac:dyDescent="0.25">
      <c r="A134" s="1">
        <v>132</v>
      </c>
      <c r="B134" t="s">
        <v>67</v>
      </c>
      <c r="C134" t="s">
        <v>82</v>
      </c>
      <c r="D134">
        <v>1</v>
      </c>
      <c r="E134">
        <v>0</v>
      </c>
      <c r="F134">
        <v>1</v>
      </c>
      <c r="G134">
        <v>28.009699999999999</v>
      </c>
      <c r="H134">
        <v>2</v>
      </c>
      <c r="I134" t="s">
        <v>89</v>
      </c>
      <c r="J134">
        <v>4</v>
      </c>
      <c r="K134">
        <v>300</v>
      </c>
      <c r="L134">
        <v>70</v>
      </c>
      <c r="N134" t="s">
        <v>73</v>
      </c>
      <c r="O134">
        <v>30</v>
      </c>
      <c r="P134">
        <v>0.5</v>
      </c>
      <c r="Q134">
        <v>3.2500000000000001E-2</v>
      </c>
      <c r="R134">
        <v>77.5</v>
      </c>
      <c r="S134">
        <v>170</v>
      </c>
      <c r="T134">
        <v>20</v>
      </c>
      <c r="U134">
        <v>1812.1301775147931</v>
      </c>
      <c r="V134">
        <v>20</v>
      </c>
      <c r="W134">
        <v>0.95</v>
      </c>
      <c r="X134">
        <v>1</v>
      </c>
      <c r="Y134">
        <v>103313.91604599961</v>
      </c>
      <c r="Z134">
        <v>309941748.13799882</v>
      </c>
      <c r="AA134">
        <v>1239766992.551995</v>
      </c>
      <c r="AB134">
        <v>1239766.992551995</v>
      </c>
      <c r="AC134">
        <v>0</v>
      </c>
      <c r="AD134">
        <v>3212.3198295769039</v>
      </c>
      <c r="AE134">
        <v>5782175.6932384269</v>
      </c>
      <c r="AF134">
        <v>4047522.9852668992</v>
      </c>
      <c r="AG134">
        <v>113.3699045604303</v>
      </c>
      <c r="AH134">
        <v>1272.367761297116</v>
      </c>
      <c r="AI134">
        <v>254.4735522594232</v>
      </c>
      <c r="AJ134">
        <v>40292.427257939853</v>
      </c>
      <c r="AK134">
        <v>854.70085470085473</v>
      </c>
      <c r="AL134" t="s">
        <v>93</v>
      </c>
      <c r="AM134">
        <v>98608.501500526472</v>
      </c>
      <c r="AN134">
        <v>1152.9603559828779</v>
      </c>
      <c r="AO134">
        <v>43260.503884101941</v>
      </c>
      <c r="AP134">
        <v>140908.58996915011</v>
      </c>
      <c r="AQ134">
        <v>97648.086085048111</v>
      </c>
      <c r="AR134">
        <v>9.9548359341269845E-3</v>
      </c>
      <c r="AS134">
        <v>355.40673174389531</v>
      </c>
      <c r="AT134">
        <v>869.79434165409009</v>
      </c>
      <c r="AU134">
        <v>10.16989791473546</v>
      </c>
      <c r="AV134">
        <v>381.58719504824597</v>
      </c>
      <c r="AW134">
        <v>1242.9100166882531</v>
      </c>
      <c r="AX134">
        <v>861.32282164000731</v>
      </c>
      <c r="AY134">
        <v>2.2446305591073301</v>
      </c>
      <c r="AZ134" t="s">
        <v>119</v>
      </c>
      <c r="BA134" t="str">
        <f>VLOOKUP($AZ134,Sheet1!$A$2:$B$58,2)</f>
        <v>Butanol (PW2)</v>
      </c>
      <c r="BB134" t="s">
        <v>169</v>
      </c>
      <c r="BC134">
        <v>74.120199999999997</v>
      </c>
      <c r="BD134">
        <v>6</v>
      </c>
      <c r="BE134">
        <v>117.7</v>
      </c>
      <c r="BF134" t="s">
        <v>200</v>
      </c>
      <c r="BG134">
        <v>4.7501220989689763</v>
      </c>
      <c r="BH134">
        <v>8.3333333333333301E-2</v>
      </c>
      <c r="BI134">
        <v>0.22051707723432101</v>
      </c>
      <c r="BJ134">
        <v>80</v>
      </c>
      <c r="BK134">
        <v>7045.4294984575026</v>
      </c>
      <c r="BL134">
        <v>4882.4043042524054</v>
      </c>
      <c r="BM134">
        <v>7.9735555140021814</v>
      </c>
      <c r="BN134">
        <v>1355.504437380371</v>
      </c>
      <c r="BO134">
        <v>5689.9250610771323</v>
      </c>
    </row>
    <row r="135" spans="1:67" x14ac:dyDescent="0.25">
      <c r="A135" s="1">
        <v>133</v>
      </c>
      <c r="B135" t="s">
        <v>67</v>
      </c>
      <c r="C135" t="s">
        <v>82</v>
      </c>
      <c r="D135">
        <v>1</v>
      </c>
      <c r="E135">
        <v>0</v>
      </c>
      <c r="F135">
        <v>1</v>
      </c>
      <c r="G135">
        <v>28.009699999999999</v>
      </c>
      <c r="H135">
        <v>2</v>
      </c>
      <c r="I135" t="s">
        <v>89</v>
      </c>
      <c r="J135">
        <v>4</v>
      </c>
      <c r="K135">
        <v>300</v>
      </c>
      <c r="L135">
        <v>70</v>
      </c>
      <c r="N135" t="s">
        <v>73</v>
      </c>
      <c r="O135">
        <v>30</v>
      </c>
      <c r="P135">
        <v>0.5</v>
      </c>
      <c r="Q135">
        <v>3.2500000000000001E-2</v>
      </c>
      <c r="R135">
        <v>77.5</v>
      </c>
      <c r="S135">
        <v>170</v>
      </c>
      <c r="T135">
        <v>20</v>
      </c>
      <c r="U135">
        <v>1812.1301775147931</v>
      </c>
      <c r="V135">
        <v>20</v>
      </c>
      <c r="W135">
        <v>0.95</v>
      </c>
      <c r="X135">
        <v>1</v>
      </c>
      <c r="Y135">
        <v>73268.541372284453</v>
      </c>
      <c r="Z135">
        <v>219805624.11685339</v>
      </c>
      <c r="AA135">
        <v>879222496.46741343</v>
      </c>
      <c r="AB135">
        <v>879222.49646741338</v>
      </c>
      <c r="AC135">
        <v>0</v>
      </c>
      <c r="AD135">
        <v>2278.1247419715678</v>
      </c>
      <c r="AE135">
        <v>4100624.535548822</v>
      </c>
      <c r="AF135">
        <v>2870437.174884175</v>
      </c>
      <c r="AG135">
        <v>80.400084137353304</v>
      </c>
      <c r="AH135">
        <v>902.34242904751852</v>
      </c>
      <c r="AI135">
        <v>180.4684858095037</v>
      </c>
      <c r="AJ135">
        <v>28574.731135190941</v>
      </c>
      <c r="AK135">
        <v>854.70085470085473</v>
      </c>
      <c r="AL135" t="s">
        <v>93</v>
      </c>
      <c r="AM135">
        <v>69931.53825118269</v>
      </c>
      <c r="AN135">
        <v>817.66064801302514</v>
      </c>
      <c r="AO135">
        <v>30679.642587615632</v>
      </c>
      <c r="AP135">
        <v>100178.63088908749</v>
      </c>
      <c r="AQ135">
        <v>69498.988301471894</v>
      </c>
      <c r="AR135">
        <v>9.9548359341269863E-3</v>
      </c>
      <c r="AS135">
        <v>355.40673174389542</v>
      </c>
      <c r="AT135">
        <v>869.79434165409043</v>
      </c>
      <c r="AU135">
        <v>10.16989791473546</v>
      </c>
      <c r="AV135">
        <v>381.58719504824609</v>
      </c>
      <c r="AW135">
        <v>1246.0015678335001</v>
      </c>
      <c r="AX135">
        <v>864.41437278525405</v>
      </c>
      <c r="AY135">
        <v>2.2446305591073301</v>
      </c>
      <c r="AZ135" t="s">
        <v>120</v>
      </c>
      <c r="BA135" t="str">
        <f>VLOOKUP($AZ135,Sheet1!$A$2:$B$58,2)</f>
        <v>Butyrate</v>
      </c>
      <c r="BB135" t="s">
        <v>170</v>
      </c>
      <c r="BC135">
        <v>87.095680000000002</v>
      </c>
      <c r="BD135">
        <v>4.75</v>
      </c>
      <c r="BE135">
        <v>163.5</v>
      </c>
      <c r="BF135" t="s">
        <v>200</v>
      </c>
      <c r="BG135">
        <v>3.0318380888696201</v>
      </c>
      <c r="BH135">
        <v>0.1</v>
      </c>
      <c r="BI135">
        <v>0.31094494823277402</v>
      </c>
      <c r="BJ135">
        <v>80</v>
      </c>
      <c r="BK135">
        <v>5008.9315444543763</v>
      </c>
      <c r="BL135">
        <v>3474.949415073595</v>
      </c>
      <c r="BM135">
        <v>5.9915862016055659</v>
      </c>
      <c r="BN135">
        <v>1018.569654272946</v>
      </c>
      <c r="BO135">
        <v>3990.3618901814302</v>
      </c>
    </row>
    <row r="136" spans="1:67" x14ac:dyDescent="0.25">
      <c r="A136" s="1">
        <v>134</v>
      </c>
      <c r="B136" t="s">
        <v>67</v>
      </c>
      <c r="C136" t="s">
        <v>82</v>
      </c>
      <c r="D136">
        <v>1</v>
      </c>
      <c r="E136">
        <v>0</v>
      </c>
      <c r="F136">
        <v>1</v>
      </c>
      <c r="G136">
        <v>28.009699999999999</v>
      </c>
      <c r="H136">
        <v>2</v>
      </c>
      <c r="I136" t="s">
        <v>89</v>
      </c>
      <c r="J136">
        <v>4</v>
      </c>
      <c r="K136">
        <v>300</v>
      </c>
      <c r="L136">
        <v>70</v>
      </c>
      <c r="N136" t="s">
        <v>73</v>
      </c>
      <c r="O136">
        <v>30</v>
      </c>
      <c r="P136">
        <v>0.5</v>
      </c>
      <c r="Q136">
        <v>3.2500000000000001E-2</v>
      </c>
      <c r="R136">
        <v>77.5</v>
      </c>
      <c r="S136">
        <v>170</v>
      </c>
      <c r="T136">
        <v>20</v>
      </c>
      <c r="U136">
        <v>1812.1301775147931</v>
      </c>
      <c r="V136">
        <v>20</v>
      </c>
      <c r="W136">
        <v>0.95</v>
      </c>
      <c r="X136">
        <v>1</v>
      </c>
      <c r="Y136">
        <v>185509.94346498279</v>
      </c>
      <c r="Z136">
        <v>556529830.39494848</v>
      </c>
      <c r="AA136">
        <v>2226119321.5797939</v>
      </c>
      <c r="AB136">
        <v>2226119.3215797939</v>
      </c>
      <c r="AC136">
        <v>0</v>
      </c>
      <c r="AD136">
        <v>5768.0251875355088</v>
      </c>
      <c r="AE136">
        <v>10382445.337563921</v>
      </c>
      <c r="AF136">
        <v>7267711.7362947399</v>
      </c>
      <c r="AG136">
        <v>203.56642542009479</v>
      </c>
      <c r="AH136">
        <v>2284.6570965309388</v>
      </c>
      <c r="AI136">
        <v>456.93141930618788</v>
      </c>
      <c r="AJ136">
        <v>72348.877951343311</v>
      </c>
      <c r="AK136">
        <v>854.70085470085473</v>
      </c>
      <c r="AL136" t="s">
        <v>93</v>
      </c>
      <c r="AM136">
        <v>177060.92498114781</v>
      </c>
      <c r="AN136">
        <v>2070.249765389975</v>
      </c>
      <c r="AO136">
        <v>77678.341282051944</v>
      </c>
      <c r="AP136">
        <v>252334.75355258191</v>
      </c>
      <c r="AQ136">
        <v>174656.41227053001</v>
      </c>
      <c r="AR136">
        <v>9.9548359341269863E-3</v>
      </c>
      <c r="AS136">
        <v>355.40673174389542</v>
      </c>
      <c r="AT136">
        <v>869.7943416540902</v>
      </c>
      <c r="AU136">
        <v>10.16989791473547</v>
      </c>
      <c r="AV136">
        <v>381.58719504824597</v>
      </c>
      <c r="AW136">
        <v>1239.5696050163731</v>
      </c>
      <c r="AX136">
        <v>857.98240996812729</v>
      </c>
      <c r="AY136">
        <v>2.2446305591073301</v>
      </c>
      <c r="AZ136" t="s">
        <v>121</v>
      </c>
      <c r="BA136" t="str">
        <f>VLOOKUP($AZ136,Sheet1!$A$2:$B$58,2)</f>
        <v>Catechol</v>
      </c>
      <c r="BB136" t="s">
        <v>171</v>
      </c>
      <c r="BC136">
        <v>110.10924</v>
      </c>
      <c r="BD136">
        <v>4.333333333333333</v>
      </c>
      <c r="BE136">
        <v>245</v>
      </c>
      <c r="BF136" t="s">
        <v>200</v>
      </c>
      <c r="BG136">
        <v>6.596818343361611</v>
      </c>
      <c r="BH136">
        <v>3.1240875912408799E-2</v>
      </c>
      <c r="BI136">
        <v>0.122810035831833</v>
      </c>
      <c r="BJ136">
        <v>80</v>
      </c>
      <c r="BK136">
        <v>12616.737677629089</v>
      </c>
      <c r="BL136">
        <v>8732.8206135264973</v>
      </c>
      <c r="BM136">
        <v>16.249752621947781</v>
      </c>
      <c r="BN136">
        <v>2762.4579457311229</v>
      </c>
      <c r="BO136">
        <v>9854.2797318979701</v>
      </c>
    </row>
    <row r="137" spans="1:67" x14ac:dyDescent="0.25">
      <c r="A137" s="1">
        <v>135</v>
      </c>
      <c r="B137" t="s">
        <v>67</v>
      </c>
      <c r="C137" t="s">
        <v>82</v>
      </c>
      <c r="D137">
        <v>1</v>
      </c>
      <c r="E137">
        <v>0</v>
      </c>
      <c r="F137">
        <v>1</v>
      </c>
      <c r="G137">
        <v>28.009699999999999</v>
      </c>
      <c r="H137">
        <v>2</v>
      </c>
      <c r="I137" t="s">
        <v>89</v>
      </c>
      <c r="J137">
        <v>4</v>
      </c>
      <c r="K137">
        <v>300</v>
      </c>
      <c r="L137">
        <v>70</v>
      </c>
      <c r="N137" t="s">
        <v>73</v>
      </c>
      <c r="O137">
        <v>30</v>
      </c>
      <c r="P137">
        <v>0.5</v>
      </c>
      <c r="Q137">
        <v>3.2500000000000001E-2</v>
      </c>
      <c r="R137">
        <v>77.5</v>
      </c>
      <c r="S137">
        <v>170</v>
      </c>
      <c r="T137">
        <v>20</v>
      </c>
      <c r="U137">
        <v>1812.1301775147931</v>
      </c>
      <c r="V137">
        <v>20</v>
      </c>
      <c r="W137">
        <v>0.95</v>
      </c>
      <c r="X137">
        <v>1</v>
      </c>
      <c r="Y137">
        <v>54404.675069168603</v>
      </c>
      <c r="Z137">
        <v>163214025.20750579</v>
      </c>
      <c r="AA137">
        <v>652856100.83002329</v>
      </c>
      <c r="AB137">
        <v>652856.10083002329</v>
      </c>
      <c r="AC137">
        <v>0</v>
      </c>
      <c r="AD137">
        <v>1691.594155317526</v>
      </c>
      <c r="AE137">
        <v>3044869.4795715469</v>
      </c>
      <c r="AF137">
        <v>2131408.6357000829</v>
      </c>
      <c r="AG137">
        <v>59.700116463368623</v>
      </c>
      <c r="AH137">
        <v>670.023528979719</v>
      </c>
      <c r="AI137">
        <v>134.00470579594381</v>
      </c>
      <c r="AJ137">
        <v>21217.82327697576</v>
      </c>
      <c r="AK137">
        <v>854.70085470085473</v>
      </c>
      <c r="AL137" t="s">
        <v>93</v>
      </c>
      <c r="AM137">
        <v>51926.82349592822</v>
      </c>
      <c r="AN137">
        <v>607.14408993027689</v>
      </c>
      <c r="AO137">
        <v>22780.799985310448</v>
      </c>
      <c r="AP137">
        <v>74606.491717535115</v>
      </c>
      <c r="AQ137">
        <v>51825.691732224674</v>
      </c>
      <c r="AR137">
        <v>9.9548359341269845E-3</v>
      </c>
      <c r="AS137">
        <v>355.40673174389531</v>
      </c>
      <c r="AT137">
        <v>869.7943416540902</v>
      </c>
      <c r="AU137">
        <v>10.16989791473546</v>
      </c>
      <c r="AV137">
        <v>381.58719504824609</v>
      </c>
      <c r="AW137">
        <v>1249.687540614982</v>
      </c>
      <c r="AX137">
        <v>868.10034556673577</v>
      </c>
      <c r="AY137">
        <v>2.2446305591073301</v>
      </c>
      <c r="AZ137" t="s">
        <v>123</v>
      </c>
      <c r="BA137" t="str">
        <f>VLOOKUP($AZ137,Sheet1!$A$2:$B$58,2)</f>
        <v>Citrate</v>
      </c>
      <c r="BB137" t="s">
        <v>173</v>
      </c>
      <c r="BC137">
        <v>189.09639999999999</v>
      </c>
      <c r="BD137">
        <v>2.5</v>
      </c>
      <c r="BF137" t="s">
        <v>200</v>
      </c>
      <c r="BG137">
        <v>1.526938136701157</v>
      </c>
      <c r="BH137">
        <v>6.2028985507246399E-2</v>
      </c>
      <c r="BI137">
        <v>0.41875965209112698</v>
      </c>
      <c r="BJ137">
        <v>80</v>
      </c>
      <c r="BK137">
        <v>3730.324585876755</v>
      </c>
      <c r="BL137">
        <v>2591.284586611233</v>
      </c>
      <c r="BM137">
        <v>5.1732971530960334</v>
      </c>
      <c r="BN137">
        <v>879.46051602632554</v>
      </c>
      <c r="BO137">
        <v>2850.8640698504291</v>
      </c>
    </row>
    <row r="138" spans="1:67" x14ac:dyDescent="0.25">
      <c r="A138" s="1">
        <v>136</v>
      </c>
      <c r="B138" t="s">
        <v>67</v>
      </c>
      <c r="C138" t="s">
        <v>82</v>
      </c>
      <c r="D138">
        <v>1</v>
      </c>
      <c r="E138">
        <v>0</v>
      </c>
      <c r="F138">
        <v>1</v>
      </c>
      <c r="G138">
        <v>28.009699999999999</v>
      </c>
      <c r="H138">
        <v>2</v>
      </c>
      <c r="I138" t="s">
        <v>89</v>
      </c>
      <c r="J138">
        <v>4</v>
      </c>
      <c r="K138">
        <v>300</v>
      </c>
      <c r="L138">
        <v>70</v>
      </c>
      <c r="N138" t="s">
        <v>73</v>
      </c>
      <c r="O138">
        <v>30</v>
      </c>
      <c r="P138">
        <v>0.5</v>
      </c>
      <c r="Q138">
        <v>3.2500000000000001E-2</v>
      </c>
      <c r="R138">
        <v>77.5</v>
      </c>
      <c r="S138">
        <v>170</v>
      </c>
      <c r="T138">
        <v>20</v>
      </c>
      <c r="U138">
        <v>1812.1301775147931</v>
      </c>
      <c r="V138">
        <v>20</v>
      </c>
      <c r="W138">
        <v>0.95</v>
      </c>
      <c r="X138">
        <v>1</v>
      </c>
      <c r="Y138">
        <v>196483.74059252749</v>
      </c>
      <c r="Z138">
        <v>589451221.77758253</v>
      </c>
      <c r="AA138">
        <v>2357804887.1103301</v>
      </c>
      <c r="AB138">
        <v>2357804.8871103302</v>
      </c>
      <c r="AC138">
        <v>0</v>
      </c>
      <c r="AD138">
        <v>6109.2313625378247</v>
      </c>
      <c r="AE138">
        <v>10996616.45256808</v>
      </c>
      <c r="AF138">
        <v>7697631.5167976581</v>
      </c>
      <c r="AG138">
        <v>215.6083494960474</v>
      </c>
      <c r="AH138">
        <v>2419.805450387606</v>
      </c>
      <c r="AI138">
        <v>483.96109007752142</v>
      </c>
      <c r="AJ138">
        <v>76628.658831085733</v>
      </c>
      <c r="AK138">
        <v>854.70085470085473</v>
      </c>
      <c r="AL138" t="s">
        <v>93</v>
      </c>
      <c r="AM138">
        <v>187534.92240503951</v>
      </c>
      <c r="AN138">
        <v>2192.714903939408</v>
      </c>
      <c r="AO138">
        <v>82273.385313178631</v>
      </c>
      <c r="AP138">
        <v>267210.99699476548</v>
      </c>
      <c r="AQ138">
        <v>184937.61168158689</v>
      </c>
      <c r="AR138">
        <v>9.9548359341269845E-3</v>
      </c>
      <c r="AS138">
        <v>355.40673174389531</v>
      </c>
      <c r="AT138">
        <v>869.79434165409009</v>
      </c>
      <c r="AU138">
        <v>10.16989791473546</v>
      </c>
      <c r="AV138">
        <v>381.58719504824597</v>
      </c>
      <c r="AW138">
        <v>1239.335107473026</v>
      </c>
      <c r="AX138">
        <v>857.74791242477954</v>
      </c>
      <c r="AY138">
        <v>2.2446305591073301</v>
      </c>
      <c r="AZ138" t="s">
        <v>124</v>
      </c>
      <c r="BA138" t="str">
        <f>VLOOKUP($AZ138,Sheet1!$A$2:$B$58,2)</f>
        <v>Coumaric Acid</v>
      </c>
      <c r="BB138" t="s">
        <v>174</v>
      </c>
      <c r="BC138">
        <v>163.14818</v>
      </c>
      <c r="BD138">
        <v>4.1111111111111107</v>
      </c>
      <c r="BE138">
        <v>346</v>
      </c>
      <c r="BF138" t="s">
        <v>200</v>
      </c>
      <c r="BG138">
        <v>6.910260078538319</v>
      </c>
      <c r="BH138">
        <v>1.9906976744186101E-2</v>
      </c>
      <c r="BI138">
        <v>0.11595098268890699</v>
      </c>
      <c r="BJ138">
        <v>80</v>
      </c>
      <c r="BK138">
        <v>13360.54984973828</v>
      </c>
      <c r="BL138">
        <v>9246.8805840793448</v>
      </c>
      <c r="BM138">
        <v>17.287794425337751</v>
      </c>
      <c r="BN138">
        <v>2938.925052307417</v>
      </c>
      <c r="BO138">
        <v>10421.624797430861</v>
      </c>
    </row>
    <row r="139" spans="1:67" x14ac:dyDescent="0.25">
      <c r="A139" s="1">
        <v>137</v>
      </c>
      <c r="B139" t="s">
        <v>67</v>
      </c>
      <c r="C139" t="s">
        <v>82</v>
      </c>
      <c r="D139">
        <v>1</v>
      </c>
      <c r="E139">
        <v>0</v>
      </c>
      <c r="F139">
        <v>1</v>
      </c>
      <c r="G139">
        <v>28.009699999999999</v>
      </c>
      <c r="H139">
        <v>2</v>
      </c>
      <c r="I139" t="s">
        <v>89</v>
      </c>
      <c r="J139">
        <v>4</v>
      </c>
      <c r="K139">
        <v>300</v>
      </c>
      <c r="L139">
        <v>70</v>
      </c>
      <c r="N139" t="s">
        <v>73</v>
      </c>
      <c r="O139">
        <v>30</v>
      </c>
      <c r="P139">
        <v>0.5</v>
      </c>
      <c r="Q139">
        <v>3.2500000000000001E-2</v>
      </c>
      <c r="R139">
        <v>77.5</v>
      </c>
      <c r="S139">
        <v>170</v>
      </c>
      <c r="T139">
        <v>20</v>
      </c>
      <c r="U139">
        <v>1812.1301775147931</v>
      </c>
      <c r="V139">
        <v>20</v>
      </c>
      <c r="W139">
        <v>0.95</v>
      </c>
      <c r="X139">
        <v>1</v>
      </c>
      <c r="Y139">
        <v>72430.402706126115</v>
      </c>
      <c r="Z139">
        <v>217291208.11837831</v>
      </c>
      <c r="AA139">
        <v>869164832.47351336</v>
      </c>
      <c r="AB139">
        <v>869164.83247351332</v>
      </c>
      <c r="AC139">
        <v>0</v>
      </c>
      <c r="AD139">
        <v>2252.0646567451331</v>
      </c>
      <c r="AE139">
        <v>4053716.382141239</v>
      </c>
      <c r="AF139">
        <v>2837601.4674988668</v>
      </c>
      <c r="AG139">
        <v>79.48036582420302</v>
      </c>
      <c r="AH139">
        <v>892.02028989017947</v>
      </c>
      <c r="AI139">
        <v>178.40405797803589</v>
      </c>
      <c r="AJ139">
        <v>28247.85705538918</v>
      </c>
      <c r="AK139">
        <v>854.70085470085473</v>
      </c>
      <c r="AL139" t="s">
        <v>93</v>
      </c>
      <c r="AM139">
        <v>69131.572466488913</v>
      </c>
      <c r="AN139">
        <v>808.30720665797423</v>
      </c>
      <c r="AO139">
        <v>30328.689856266101</v>
      </c>
      <c r="AP139">
        <v>99042.437583236941</v>
      </c>
      <c r="AQ139">
        <v>68713.747726970847</v>
      </c>
      <c r="AR139">
        <v>9.9548359341269845E-3</v>
      </c>
      <c r="AS139">
        <v>355.40673174389531</v>
      </c>
      <c r="AT139">
        <v>869.7943416540902</v>
      </c>
      <c r="AU139">
        <v>10.16989791473547</v>
      </c>
      <c r="AV139">
        <v>381.58719504824597</v>
      </c>
      <c r="AW139">
        <v>1246.1245812871809</v>
      </c>
      <c r="AX139">
        <v>864.53738623893469</v>
      </c>
      <c r="AY139">
        <v>2.2446305591073288</v>
      </c>
      <c r="AZ139" t="s">
        <v>125</v>
      </c>
      <c r="BA139" t="str">
        <f>VLOOKUP($AZ139,Sheet1!$A$2:$B$58,2)</f>
        <v>Ethyl Acetate</v>
      </c>
      <c r="BB139" t="s">
        <v>175</v>
      </c>
      <c r="BC139">
        <v>88.103520000000003</v>
      </c>
      <c r="BD139">
        <v>5</v>
      </c>
      <c r="BE139">
        <v>77.099999999999994</v>
      </c>
      <c r="BF139" t="s">
        <v>200</v>
      </c>
      <c r="BG139">
        <v>2.9971560727653102</v>
      </c>
      <c r="BH139">
        <v>0.1</v>
      </c>
      <c r="BI139">
        <v>0.31454309175294598</v>
      </c>
      <c r="BJ139">
        <v>80</v>
      </c>
      <c r="BK139">
        <v>4952.1218791618458</v>
      </c>
      <c r="BL139">
        <v>3435.6873863485412</v>
      </c>
      <c r="BM139">
        <v>5.923046826136483</v>
      </c>
      <c r="BN139">
        <v>1006.917960443202</v>
      </c>
      <c r="BO139">
        <v>3945.2039187186442</v>
      </c>
    </row>
    <row r="140" spans="1:67" x14ac:dyDescent="0.25">
      <c r="A140" s="1">
        <v>138</v>
      </c>
      <c r="B140" t="s">
        <v>67</v>
      </c>
      <c r="C140" t="s">
        <v>82</v>
      </c>
      <c r="D140">
        <v>1</v>
      </c>
      <c r="E140">
        <v>0</v>
      </c>
      <c r="F140">
        <v>1</v>
      </c>
      <c r="G140">
        <v>28.009699999999999</v>
      </c>
      <c r="H140">
        <v>2</v>
      </c>
      <c r="I140" t="s">
        <v>89</v>
      </c>
      <c r="J140">
        <v>4</v>
      </c>
      <c r="K140">
        <v>300</v>
      </c>
      <c r="L140">
        <v>70</v>
      </c>
      <c r="N140" t="s">
        <v>73</v>
      </c>
      <c r="O140">
        <v>30</v>
      </c>
      <c r="P140">
        <v>0.5</v>
      </c>
      <c r="Q140">
        <v>3.2500000000000001E-2</v>
      </c>
      <c r="R140">
        <v>77.5</v>
      </c>
      <c r="S140">
        <v>170</v>
      </c>
      <c r="T140">
        <v>20</v>
      </c>
      <c r="U140">
        <v>1812.1301775147931</v>
      </c>
      <c r="V140">
        <v>20</v>
      </c>
      <c r="W140">
        <v>0.95</v>
      </c>
      <c r="X140">
        <v>1</v>
      </c>
      <c r="Y140">
        <v>211590.70941191071</v>
      </c>
      <c r="Z140">
        <v>634772128.2357322</v>
      </c>
      <c r="AA140">
        <v>2539088512.9429288</v>
      </c>
      <c r="AB140">
        <v>2539088.5129429288</v>
      </c>
      <c r="AC140">
        <v>0</v>
      </c>
      <c r="AD140">
        <v>6578.9494543551727</v>
      </c>
      <c r="AE140">
        <v>11842109.017839311</v>
      </c>
      <c r="AF140">
        <v>8289476.3124875166</v>
      </c>
      <c r="AG140">
        <v>232.18574466988159</v>
      </c>
      <c r="AH140">
        <v>2605.8560893755398</v>
      </c>
      <c r="AI140">
        <v>521.17121787510803</v>
      </c>
      <c r="AJ140">
        <v>82520.376670645186</v>
      </c>
      <c r="AK140">
        <v>1835.336538461539</v>
      </c>
      <c r="AL140" t="s">
        <v>94</v>
      </c>
      <c r="AM140">
        <v>201953.84692660431</v>
      </c>
      <c r="AN140">
        <v>2361.3053205495312</v>
      </c>
      <c r="AO140">
        <v>88599.107038768358</v>
      </c>
      <c r="AP140">
        <v>288670.86545626062</v>
      </c>
      <c r="AQ140">
        <v>200071.7584174923</v>
      </c>
      <c r="AR140">
        <v>9.9548359341269863E-3</v>
      </c>
      <c r="AS140">
        <v>355.40673174389542</v>
      </c>
      <c r="AT140">
        <v>869.79434165409009</v>
      </c>
      <c r="AU140">
        <v>10.16989791473547</v>
      </c>
      <c r="AV140">
        <v>381.58719504824597</v>
      </c>
      <c r="AW140">
        <v>1243.2755760552341</v>
      </c>
      <c r="AX140">
        <v>861.68838100698827</v>
      </c>
      <c r="AY140">
        <v>2.2446305591073301</v>
      </c>
      <c r="AZ140" t="s">
        <v>126</v>
      </c>
      <c r="BA140" t="str">
        <f>VLOOKUP($AZ140,Sheet1!$A$2:$B$58,2)</f>
        <v>Farnesene</v>
      </c>
      <c r="BB140" t="s">
        <v>176</v>
      </c>
      <c r="BC140">
        <v>204.34866</v>
      </c>
      <c r="BD140">
        <v>5.6</v>
      </c>
      <c r="BE140" t="s">
        <v>198</v>
      </c>
      <c r="BF140" t="s">
        <v>200</v>
      </c>
      <c r="BG140">
        <v>8.5885221398280862</v>
      </c>
      <c r="BH140">
        <v>1.4758620689655199E-2</v>
      </c>
      <c r="BI140">
        <v>0.107672415615113</v>
      </c>
      <c r="BJ140">
        <v>80</v>
      </c>
      <c r="BK140">
        <v>14433.543272813031</v>
      </c>
      <c r="BL140">
        <v>10003.58792087461</v>
      </c>
      <c r="BM140">
        <v>17.470038753927319</v>
      </c>
      <c r="BN140">
        <v>2969.9065881676438</v>
      </c>
      <c r="BO140">
        <v>11463.636684645389</v>
      </c>
    </row>
    <row r="141" spans="1:67" x14ac:dyDescent="0.25">
      <c r="A141" s="1">
        <v>139</v>
      </c>
      <c r="B141" t="s">
        <v>67</v>
      </c>
      <c r="C141" t="s">
        <v>82</v>
      </c>
      <c r="D141">
        <v>1</v>
      </c>
      <c r="E141">
        <v>0</v>
      </c>
      <c r="F141">
        <v>1</v>
      </c>
      <c r="G141">
        <v>28.009699999999999</v>
      </c>
      <c r="H141">
        <v>2</v>
      </c>
      <c r="I141" t="s">
        <v>89</v>
      </c>
      <c r="J141">
        <v>4</v>
      </c>
      <c r="K141">
        <v>300</v>
      </c>
      <c r="L141">
        <v>70</v>
      </c>
      <c r="N141" t="s">
        <v>73</v>
      </c>
      <c r="O141">
        <v>30</v>
      </c>
      <c r="P141">
        <v>0.5</v>
      </c>
      <c r="Q141">
        <v>3.2500000000000001E-2</v>
      </c>
      <c r="R141">
        <v>77.5</v>
      </c>
      <c r="S141">
        <v>170</v>
      </c>
      <c r="T141">
        <v>20</v>
      </c>
      <c r="U141">
        <v>1812.1301775147931</v>
      </c>
      <c r="V141">
        <v>20</v>
      </c>
      <c r="W141">
        <v>0.95</v>
      </c>
      <c r="X141">
        <v>1</v>
      </c>
      <c r="Y141">
        <v>147213.4550103521</v>
      </c>
      <c r="Z141">
        <v>441640365.03105628</v>
      </c>
      <c r="AA141">
        <v>1766561460.1242249</v>
      </c>
      <c r="AB141">
        <v>1766561.4601242249</v>
      </c>
      <c r="AC141">
        <v>0</v>
      </c>
      <c r="AD141">
        <v>4577.2797974256291</v>
      </c>
      <c r="AE141">
        <v>8239103.6353661316</v>
      </c>
      <c r="AF141">
        <v>5767372.5447562924</v>
      </c>
      <c r="AG141">
        <v>161.54237476686029</v>
      </c>
      <c r="AH141">
        <v>1813.0147549623171</v>
      </c>
      <c r="AI141">
        <v>362.60295099246338</v>
      </c>
      <c r="AJ141">
        <v>57413.24745403733</v>
      </c>
      <c r="AK141">
        <v>1835.336538461539</v>
      </c>
      <c r="AL141" t="s">
        <v>94</v>
      </c>
      <c r="AM141">
        <v>140508.64350957959</v>
      </c>
      <c r="AN141">
        <v>1642.869460282908</v>
      </c>
      <c r="AO141">
        <v>61642.501668718782</v>
      </c>
      <c r="AP141">
        <v>201400.09696236131</v>
      </c>
      <c r="AQ141">
        <v>139757.59529364249</v>
      </c>
      <c r="AR141">
        <v>9.9548359341269845E-3</v>
      </c>
      <c r="AS141">
        <v>355.40673174389531</v>
      </c>
      <c r="AT141">
        <v>869.79434165408998</v>
      </c>
      <c r="AU141">
        <v>10.16989791473546</v>
      </c>
      <c r="AV141">
        <v>381.58719504824597</v>
      </c>
      <c r="AW141">
        <v>1246.732303230184</v>
      </c>
      <c r="AX141">
        <v>865.14510818193799</v>
      </c>
      <c r="AY141">
        <v>2.2446305591073288</v>
      </c>
      <c r="AZ141" t="s">
        <v>127</v>
      </c>
      <c r="BA141" t="str">
        <f>VLOOKUP($AZ141,Sheet1!$A$2:$B$58,2)</f>
        <v>Gamma Butyrolactone</v>
      </c>
      <c r="BB141" t="s">
        <v>177</v>
      </c>
      <c r="BC141">
        <v>86.08784</v>
      </c>
      <c r="BD141">
        <v>4.5</v>
      </c>
      <c r="BE141">
        <v>204</v>
      </c>
      <c r="BF141" t="s">
        <v>200</v>
      </c>
      <c r="BG141">
        <v>5.3319979559934074</v>
      </c>
      <c r="BH141">
        <v>5.03529411764706E-2</v>
      </c>
      <c r="BI141">
        <v>0.15475815578469901</v>
      </c>
      <c r="BJ141">
        <v>80</v>
      </c>
      <c r="BK141">
        <v>10070.004848118069</v>
      </c>
      <c r="BL141">
        <v>6987.8797646821267</v>
      </c>
      <c r="BM141">
        <v>12.798149593629759</v>
      </c>
      <c r="BN141">
        <v>2175.6854309170599</v>
      </c>
      <c r="BO141">
        <v>7894.3194172010062</v>
      </c>
    </row>
    <row r="142" spans="1:67" x14ac:dyDescent="0.25">
      <c r="A142" s="1">
        <v>140</v>
      </c>
      <c r="B142" t="s">
        <v>67</v>
      </c>
      <c r="C142" t="s">
        <v>82</v>
      </c>
      <c r="D142">
        <v>1</v>
      </c>
      <c r="E142">
        <v>0</v>
      </c>
      <c r="F142">
        <v>1</v>
      </c>
      <c r="G142">
        <v>28.009699999999999</v>
      </c>
      <c r="H142">
        <v>2</v>
      </c>
      <c r="I142" t="s">
        <v>89</v>
      </c>
      <c r="J142">
        <v>4</v>
      </c>
      <c r="K142">
        <v>300</v>
      </c>
      <c r="L142">
        <v>70</v>
      </c>
      <c r="N142" t="s">
        <v>73</v>
      </c>
      <c r="O142">
        <v>30</v>
      </c>
      <c r="P142">
        <v>0.5</v>
      </c>
      <c r="Q142">
        <v>3.2500000000000001E-2</v>
      </c>
      <c r="R142">
        <v>77.5</v>
      </c>
      <c r="S142">
        <v>170</v>
      </c>
      <c r="T142">
        <v>20</v>
      </c>
      <c r="U142">
        <v>1812.1301775147931</v>
      </c>
      <c r="V142">
        <v>20</v>
      </c>
      <c r="W142">
        <v>0.95</v>
      </c>
      <c r="X142">
        <v>1</v>
      </c>
      <c r="Y142">
        <v>62243.466607439412</v>
      </c>
      <c r="Z142">
        <v>186730399.8223182</v>
      </c>
      <c r="AA142">
        <v>746921599.2892729</v>
      </c>
      <c r="AB142">
        <v>746921.59928927291</v>
      </c>
      <c r="AC142">
        <v>0</v>
      </c>
      <c r="AD142">
        <v>1935.324201201136</v>
      </c>
      <c r="AE142">
        <v>3483583.5621620459</v>
      </c>
      <c r="AF142">
        <v>2438508.4935134319</v>
      </c>
      <c r="AG142">
        <v>68.301891350763171</v>
      </c>
      <c r="AH142">
        <v>766.56256285375798</v>
      </c>
      <c r="AI142">
        <v>153.31251257075161</v>
      </c>
      <c r="AJ142">
        <v>24274.951976901371</v>
      </c>
      <c r="AK142">
        <v>854.70085470085473</v>
      </c>
      <c r="AL142" t="s">
        <v>93</v>
      </c>
      <c r="AM142">
        <v>59408.598621166253</v>
      </c>
      <c r="AN142">
        <v>694.62326242061476</v>
      </c>
      <c r="AO142">
        <v>26063.127137027768</v>
      </c>
      <c r="AP142">
        <v>85232.874715189086</v>
      </c>
      <c r="AQ142">
        <v>59169.747578161318</v>
      </c>
      <c r="AR142">
        <v>9.9548359341269845E-3</v>
      </c>
      <c r="AS142">
        <v>355.40673174389531</v>
      </c>
      <c r="AT142">
        <v>869.79434165408998</v>
      </c>
      <c r="AU142">
        <v>10.16989791473547</v>
      </c>
      <c r="AV142">
        <v>381.58719504824597</v>
      </c>
      <c r="AW142">
        <v>1247.8845465270811</v>
      </c>
      <c r="AX142">
        <v>866.29735147883525</v>
      </c>
      <c r="AY142">
        <v>2.2446305591073301</v>
      </c>
      <c r="AZ142" t="s">
        <v>128</v>
      </c>
      <c r="BA142" t="str">
        <f>VLOOKUP($AZ142,Sheet1!$A$2:$B$58,2)</f>
        <v>L-Glutamate</v>
      </c>
      <c r="BB142" t="s">
        <v>178</v>
      </c>
      <c r="BC142">
        <v>146.11892</v>
      </c>
      <c r="BD142">
        <v>3.4</v>
      </c>
      <c r="BE142">
        <v>333.8</v>
      </c>
      <c r="BF142" t="s">
        <v>200</v>
      </c>
      <c r="BG142">
        <v>1.995755673196884</v>
      </c>
      <c r="BH142">
        <v>7.0163934426229493E-2</v>
      </c>
      <c r="BI142">
        <v>0.36602207502004502</v>
      </c>
      <c r="BJ142">
        <v>80</v>
      </c>
      <c r="BK142">
        <v>4261.6437357594532</v>
      </c>
      <c r="BL142">
        <v>2958.4873789080648</v>
      </c>
      <c r="BM142">
        <v>5.6698699553406966</v>
      </c>
      <c r="BN142">
        <v>963.87789240791858</v>
      </c>
      <c r="BO142">
        <v>3297.7658433515339</v>
      </c>
    </row>
    <row r="143" spans="1:67" x14ac:dyDescent="0.25">
      <c r="A143" s="1">
        <v>141</v>
      </c>
      <c r="B143" t="s">
        <v>67</v>
      </c>
      <c r="C143" t="s">
        <v>82</v>
      </c>
      <c r="D143">
        <v>1</v>
      </c>
      <c r="E143">
        <v>0</v>
      </c>
      <c r="F143">
        <v>1</v>
      </c>
      <c r="G143">
        <v>28.009699999999999</v>
      </c>
      <c r="H143">
        <v>2</v>
      </c>
      <c r="I143" t="s">
        <v>89</v>
      </c>
      <c r="J143">
        <v>4</v>
      </c>
      <c r="K143">
        <v>300</v>
      </c>
      <c r="L143">
        <v>70</v>
      </c>
      <c r="N143" t="s">
        <v>73</v>
      </c>
      <c r="O143">
        <v>30</v>
      </c>
      <c r="P143">
        <v>0.5</v>
      </c>
      <c r="Q143">
        <v>3.2500000000000001E-2</v>
      </c>
      <c r="R143">
        <v>77.5</v>
      </c>
      <c r="S143">
        <v>170</v>
      </c>
      <c r="T143">
        <v>20</v>
      </c>
      <c r="U143">
        <v>1812.1301775147931</v>
      </c>
      <c r="V143">
        <v>20</v>
      </c>
      <c r="W143">
        <v>0.95</v>
      </c>
      <c r="X143">
        <v>1</v>
      </c>
      <c r="Y143">
        <v>115237.6643262147</v>
      </c>
      <c r="Z143">
        <v>345712992.97864407</v>
      </c>
      <c r="AA143">
        <v>1382851971.9145761</v>
      </c>
      <c r="AB143">
        <v>1382851.9719145759</v>
      </c>
      <c r="AC143">
        <v>0</v>
      </c>
      <c r="AD143">
        <v>3583.0626540611138</v>
      </c>
      <c r="AE143">
        <v>6449512.7773100045</v>
      </c>
      <c r="AF143">
        <v>4514658.9441170031</v>
      </c>
      <c r="AG143">
        <v>126.45424262703401</v>
      </c>
      <c r="AH143">
        <v>1419.215286647066</v>
      </c>
      <c r="AI143">
        <v>283.84305732941328</v>
      </c>
      <c r="AJ143">
        <v>44942.689087223727</v>
      </c>
      <c r="AK143">
        <v>854.70085470085473</v>
      </c>
      <c r="AL143" t="s">
        <v>93</v>
      </c>
      <c r="AM143">
        <v>109989.1847151476</v>
      </c>
      <c r="AN143">
        <v>1286.0267384021261</v>
      </c>
      <c r="AO143">
        <v>48253.319746000263</v>
      </c>
      <c r="AP143">
        <v>157072.60139547431</v>
      </c>
      <c r="AQ143">
        <v>108819.2816494741</v>
      </c>
      <c r="AR143">
        <v>9.9548359341269845E-3</v>
      </c>
      <c r="AS143">
        <v>355.40673174389531</v>
      </c>
      <c r="AT143">
        <v>869.79434165409009</v>
      </c>
      <c r="AU143">
        <v>10.16989791473547</v>
      </c>
      <c r="AV143">
        <v>381.58719504824597</v>
      </c>
      <c r="AW143">
        <v>1242.1299446531541</v>
      </c>
      <c r="AX143">
        <v>860.54274960490829</v>
      </c>
      <c r="AY143">
        <v>2.2446305591073288</v>
      </c>
      <c r="AZ143" t="s">
        <v>130</v>
      </c>
      <c r="BA143" t="str">
        <f>VLOOKUP($AZ143,Sheet1!$A$2:$B$58,2)</f>
        <v>Glycolate</v>
      </c>
      <c r="BB143" t="s">
        <v>180</v>
      </c>
      <c r="BC143">
        <v>75.041920000000005</v>
      </c>
      <c r="BD143">
        <v>2.5</v>
      </c>
      <c r="BE143">
        <v>112</v>
      </c>
      <c r="BF143" t="s">
        <v>200</v>
      </c>
      <c r="BG143">
        <v>3.387288040215934</v>
      </c>
      <c r="BH143">
        <v>7.3793103448275901E-2</v>
      </c>
      <c r="BI143">
        <v>0.19769997020768501</v>
      </c>
      <c r="BJ143">
        <v>80</v>
      </c>
      <c r="BK143">
        <v>7853.630069773717</v>
      </c>
      <c r="BL143">
        <v>5440.9640824737025</v>
      </c>
      <c r="BM143">
        <v>10.804864826254731</v>
      </c>
      <c r="BN143">
        <v>1836.8270204633041</v>
      </c>
      <c r="BO143">
        <v>6016.8030493104134</v>
      </c>
    </row>
    <row r="144" spans="1:67" x14ac:dyDescent="0.25">
      <c r="A144" s="1">
        <v>142</v>
      </c>
      <c r="B144" t="s">
        <v>67</v>
      </c>
      <c r="C144" t="s">
        <v>82</v>
      </c>
      <c r="D144">
        <v>1</v>
      </c>
      <c r="E144">
        <v>0</v>
      </c>
      <c r="F144">
        <v>1</v>
      </c>
      <c r="G144">
        <v>28.009699999999999</v>
      </c>
      <c r="H144">
        <v>2</v>
      </c>
      <c r="I144" t="s">
        <v>89</v>
      </c>
      <c r="J144">
        <v>4</v>
      </c>
      <c r="K144">
        <v>300</v>
      </c>
      <c r="L144">
        <v>70</v>
      </c>
      <c r="N144" t="s">
        <v>73</v>
      </c>
      <c r="O144">
        <v>30</v>
      </c>
      <c r="P144">
        <v>0.5</v>
      </c>
      <c r="Q144">
        <v>3.2500000000000001E-2</v>
      </c>
      <c r="R144">
        <v>77.5</v>
      </c>
      <c r="S144">
        <v>170</v>
      </c>
      <c r="T144">
        <v>20</v>
      </c>
      <c r="U144">
        <v>1812.1301775147931</v>
      </c>
      <c r="V144">
        <v>20</v>
      </c>
      <c r="W144">
        <v>0.95</v>
      </c>
      <c r="X144">
        <v>1</v>
      </c>
      <c r="Y144">
        <v>140109.5201227857</v>
      </c>
      <c r="Z144">
        <v>420328560.36835712</v>
      </c>
      <c r="AA144">
        <v>1681314241.473428</v>
      </c>
      <c r="AB144">
        <v>1681314.241473428</v>
      </c>
      <c r="AC144">
        <v>0</v>
      </c>
      <c r="AD144">
        <v>4356.3985088178842</v>
      </c>
      <c r="AE144">
        <v>7841517.3158721915</v>
      </c>
      <c r="AF144">
        <v>5489062.1211105334</v>
      </c>
      <c r="AG144">
        <v>153.7469832936697</v>
      </c>
      <c r="AH144">
        <v>1725.5258853576761</v>
      </c>
      <c r="AI144">
        <v>345.10517707153519</v>
      </c>
      <c r="AJ144">
        <v>54642.712847886432</v>
      </c>
      <c r="AK144">
        <v>854.70085470085473</v>
      </c>
      <c r="AL144" t="s">
        <v>93</v>
      </c>
      <c r="AM144">
        <v>133728.25611521991</v>
      </c>
      <c r="AN144">
        <v>1563.5911247951601</v>
      </c>
      <c r="AO144">
        <v>58667.880102160983</v>
      </c>
      <c r="AP144">
        <v>190789.2609426023</v>
      </c>
      <c r="AQ144">
        <v>132121.3808404413</v>
      </c>
      <c r="AR144">
        <v>9.9548359341269845E-3</v>
      </c>
      <c r="AS144">
        <v>355.40673174389531</v>
      </c>
      <c r="AT144">
        <v>869.79434165409032</v>
      </c>
      <c r="AU144">
        <v>10.16989791473547</v>
      </c>
      <c r="AV144">
        <v>381.58719504824609</v>
      </c>
      <c r="AW144">
        <v>1240.930110337051</v>
      </c>
      <c r="AX144">
        <v>859.34291528880499</v>
      </c>
      <c r="AY144">
        <v>2.2446305591073301</v>
      </c>
      <c r="AZ144" t="s">
        <v>131</v>
      </c>
      <c r="BA144" t="str">
        <f>VLOOKUP($AZ144,Sheet1!$A$2:$B$58,2)</f>
        <v>Heptane</v>
      </c>
      <c r="BB144" t="s">
        <v>181</v>
      </c>
      <c r="BC144">
        <v>100.20034</v>
      </c>
      <c r="BD144">
        <v>6.2857142857142856</v>
      </c>
      <c r="BE144">
        <v>98</v>
      </c>
      <c r="BF144" t="s">
        <v>200</v>
      </c>
      <c r="BG144">
        <v>6.5883009977810554</v>
      </c>
      <c r="BH144">
        <v>4.54545454545454E-2</v>
      </c>
      <c r="BI144">
        <v>0.16260481646165301</v>
      </c>
      <c r="BJ144">
        <v>80</v>
      </c>
      <c r="BK144">
        <v>9539.463047130117</v>
      </c>
      <c r="BL144">
        <v>6606.0690420220681</v>
      </c>
      <c r="BM144">
        <v>10.66695785579571</v>
      </c>
      <c r="BN144">
        <v>1813.3828354852701</v>
      </c>
      <c r="BO144">
        <v>7726.0802116448467</v>
      </c>
    </row>
    <row r="145" spans="1:67" x14ac:dyDescent="0.25">
      <c r="A145" s="1">
        <v>143</v>
      </c>
      <c r="B145" t="s">
        <v>67</v>
      </c>
      <c r="C145" t="s">
        <v>82</v>
      </c>
      <c r="D145">
        <v>1</v>
      </c>
      <c r="E145">
        <v>0</v>
      </c>
      <c r="F145">
        <v>1</v>
      </c>
      <c r="G145">
        <v>28.009699999999999</v>
      </c>
      <c r="H145">
        <v>2</v>
      </c>
      <c r="I145" t="s">
        <v>89</v>
      </c>
      <c r="J145">
        <v>4</v>
      </c>
      <c r="K145">
        <v>300</v>
      </c>
      <c r="L145">
        <v>70</v>
      </c>
      <c r="N145" t="s">
        <v>73</v>
      </c>
      <c r="O145">
        <v>30</v>
      </c>
      <c r="P145">
        <v>0.5</v>
      </c>
      <c r="Q145">
        <v>3.2500000000000001E-2</v>
      </c>
      <c r="R145">
        <v>77.5</v>
      </c>
      <c r="S145">
        <v>170</v>
      </c>
      <c r="T145">
        <v>20</v>
      </c>
      <c r="U145">
        <v>1812.1301775147931</v>
      </c>
      <c r="V145">
        <v>20</v>
      </c>
      <c r="W145">
        <v>0.95</v>
      </c>
      <c r="X145">
        <v>1</v>
      </c>
      <c r="Y145">
        <v>140699.22658204139</v>
      </c>
      <c r="Z145">
        <v>422097679.74612439</v>
      </c>
      <c r="AA145">
        <v>1688390718.984498</v>
      </c>
      <c r="AB145">
        <v>1688390.718984497</v>
      </c>
      <c r="AC145">
        <v>0</v>
      </c>
      <c r="AD145">
        <v>4374.7341389555841</v>
      </c>
      <c r="AE145">
        <v>7874521.4501200514</v>
      </c>
      <c r="AF145">
        <v>5512165.0150840357</v>
      </c>
      <c r="AG145">
        <v>154.39408842299929</v>
      </c>
      <c r="AH145">
        <v>1732.788445098917</v>
      </c>
      <c r="AI145">
        <v>346.55768901978348</v>
      </c>
      <c r="AJ145">
        <v>54872.69836699617</v>
      </c>
      <c r="AK145">
        <v>854.70085470085473</v>
      </c>
      <c r="AL145" t="s">
        <v>93</v>
      </c>
      <c r="AM145">
        <v>134291.1044951661</v>
      </c>
      <c r="AN145">
        <v>1570.172117900544</v>
      </c>
      <c r="AO145">
        <v>58914.807133363189</v>
      </c>
      <c r="AP145">
        <v>191588.67583476359</v>
      </c>
      <c r="AQ145">
        <v>132673.86870140041</v>
      </c>
      <c r="AR145">
        <v>9.9548359341269845E-3</v>
      </c>
      <c r="AS145">
        <v>355.40673174389531</v>
      </c>
      <c r="AT145">
        <v>869.79434165409009</v>
      </c>
      <c r="AU145">
        <v>10.16989791473547</v>
      </c>
      <c r="AV145">
        <v>381.58719504824597</v>
      </c>
      <c r="AW145">
        <v>1240.9068105629849</v>
      </c>
      <c r="AX145">
        <v>859.31961551473933</v>
      </c>
      <c r="AY145">
        <v>2.2446305591073301</v>
      </c>
      <c r="AZ145" t="s">
        <v>132</v>
      </c>
      <c r="BA145" t="str">
        <f>VLOOKUP($AZ145,Sheet1!$A$2:$B$58,2)</f>
        <v>Hexane</v>
      </c>
      <c r="BB145" t="s">
        <v>182</v>
      </c>
      <c r="BC145">
        <v>86.173959999999994</v>
      </c>
      <c r="BD145">
        <v>6.333333333333333</v>
      </c>
      <c r="BE145">
        <v>69</v>
      </c>
      <c r="BF145" t="s">
        <v>200</v>
      </c>
      <c r="BG145">
        <v>6.6392446163551124</v>
      </c>
      <c r="BH145">
        <v>5.2631578947368397E-2</v>
      </c>
      <c r="BI145">
        <v>0.161923298070238</v>
      </c>
      <c r="BJ145">
        <v>80</v>
      </c>
      <c r="BK145">
        <v>9579.4337917381799</v>
      </c>
      <c r="BL145">
        <v>6633.6934350700221</v>
      </c>
      <c r="BM145">
        <v>10.68863983463406</v>
      </c>
      <c r="BN145">
        <v>1817.06877188779</v>
      </c>
      <c r="BO145">
        <v>7762.3650198503892</v>
      </c>
    </row>
    <row r="146" spans="1:67" x14ac:dyDescent="0.25">
      <c r="A146" s="1">
        <v>144</v>
      </c>
      <c r="B146" t="s">
        <v>67</v>
      </c>
      <c r="C146" t="s">
        <v>82</v>
      </c>
      <c r="D146">
        <v>1</v>
      </c>
      <c r="E146">
        <v>0</v>
      </c>
      <c r="F146">
        <v>1</v>
      </c>
      <c r="G146">
        <v>28.009699999999999</v>
      </c>
      <c r="H146">
        <v>2</v>
      </c>
      <c r="I146" t="s">
        <v>89</v>
      </c>
      <c r="J146">
        <v>4</v>
      </c>
      <c r="K146">
        <v>300</v>
      </c>
      <c r="L146">
        <v>70</v>
      </c>
      <c r="N146" t="s">
        <v>73</v>
      </c>
      <c r="O146">
        <v>30</v>
      </c>
      <c r="P146">
        <v>0.5</v>
      </c>
      <c r="Q146">
        <v>3.2500000000000001E-2</v>
      </c>
      <c r="R146">
        <v>77.5</v>
      </c>
      <c r="S146">
        <v>170</v>
      </c>
      <c r="T146">
        <v>20</v>
      </c>
      <c r="U146">
        <v>1812.1301775147931</v>
      </c>
      <c r="V146">
        <v>20</v>
      </c>
      <c r="W146">
        <v>0.95</v>
      </c>
      <c r="X146">
        <v>1</v>
      </c>
      <c r="Y146">
        <v>88907.095132092159</v>
      </c>
      <c r="Z146">
        <v>266721285.39627641</v>
      </c>
      <c r="AA146">
        <v>1066885141.585106</v>
      </c>
      <c r="AB146">
        <v>1066885.141585106</v>
      </c>
      <c r="AC146">
        <v>0</v>
      </c>
      <c r="AD146">
        <v>2764.3713026591681</v>
      </c>
      <c r="AE146">
        <v>4975868.3447865006</v>
      </c>
      <c r="AF146">
        <v>3483107.8413505512</v>
      </c>
      <c r="AG146">
        <v>97.560805703876525</v>
      </c>
      <c r="AH146">
        <v>1094.9398292702699</v>
      </c>
      <c r="AI146">
        <v>218.98796585405401</v>
      </c>
      <c r="AJ146">
        <v>34673.767101515943</v>
      </c>
      <c r="AK146">
        <v>854.70085470085473</v>
      </c>
      <c r="AL146" t="s">
        <v>93</v>
      </c>
      <c r="AM146">
        <v>84857.836768445923</v>
      </c>
      <c r="AN146">
        <v>992.18343448776614</v>
      </c>
      <c r="AO146">
        <v>37227.954195189173</v>
      </c>
      <c r="AP146">
        <v>121378.4881591505</v>
      </c>
      <c r="AQ146">
        <v>84150.533963961323</v>
      </c>
      <c r="AR146">
        <v>9.9548359341269863E-3</v>
      </c>
      <c r="AS146">
        <v>355.40673174389542</v>
      </c>
      <c r="AT146">
        <v>869.79434165409043</v>
      </c>
      <c r="AU146">
        <v>10.16989791473547</v>
      </c>
      <c r="AV146">
        <v>381.58719504824609</v>
      </c>
      <c r="AW146">
        <v>1244.131670330471</v>
      </c>
      <c r="AX146">
        <v>862.54447528222522</v>
      </c>
      <c r="AY146">
        <v>2.2446305591073301</v>
      </c>
      <c r="AZ146" t="s">
        <v>133</v>
      </c>
      <c r="BA146" t="str">
        <f>VLOOKUP($AZ146,Sheet1!$A$2:$B$58,2)</f>
        <v>Isobutanol</v>
      </c>
      <c r="BB146" t="s">
        <v>183</v>
      </c>
      <c r="BC146">
        <v>86.130899999999997</v>
      </c>
      <c r="BD146">
        <v>5.6</v>
      </c>
      <c r="BE146">
        <v>108</v>
      </c>
      <c r="BF146" t="s">
        <v>200</v>
      </c>
      <c r="BG146">
        <v>4.0877315806522434</v>
      </c>
      <c r="BH146">
        <v>8.3333333333333301E-2</v>
      </c>
      <c r="BI146">
        <v>0.25625044626918903</v>
      </c>
      <c r="BJ146">
        <v>80</v>
      </c>
      <c r="BK146">
        <v>6068.9244079575228</v>
      </c>
      <c r="BL146">
        <v>4207.5266981980649</v>
      </c>
      <c r="BM146">
        <v>6.8616667120504546</v>
      </c>
      <c r="BN146">
        <v>1166.4833410485769</v>
      </c>
      <c r="BO146">
        <v>4902.4410669089457</v>
      </c>
    </row>
    <row r="147" spans="1:67" x14ac:dyDescent="0.25">
      <c r="A147" s="1">
        <v>145</v>
      </c>
      <c r="B147" t="s">
        <v>67</v>
      </c>
      <c r="C147" t="s">
        <v>82</v>
      </c>
      <c r="D147">
        <v>1</v>
      </c>
      <c r="E147">
        <v>0</v>
      </c>
      <c r="F147">
        <v>1</v>
      </c>
      <c r="G147">
        <v>28.009699999999999</v>
      </c>
      <c r="H147">
        <v>2</v>
      </c>
      <c r="I147" t="s">
        <v>89</v>
      </c>
      <c r="J147">
        <v>4</v>
      </c>
      <c r="K147">
        <v>300</v>
      </c>
      <c r="L147">
        <v>70</v>
      </c>
      <c r="N147" t="s">
        <v>73</v>
      </c>
      <c r="O147">
        <v>30</v>
      </c>
      <c r="P147">
        <v>0.5</v>
      </c>
      <c r="Q147">
        <v>3.2500000000000001E-2</v>
      </c>
      <c r="R147">
        <v>77.5</v>
      </c>
      <c r="S147">
        <v>170</v>
      </c>
      <c r="T147">
        <v>20</v>
      </c>
      <c r="U147">
        <v>1812.1301775147931</v>
      </c>
      <c r="V147">
        <v>20</v>
      </c>
      <c r="W147">
        <v>0.95</v>
      </c>
      <c r="X147">
        <v>1</v>
      </c>
      <c r="Y147">
        <v>73268.541372284453</v>
      </c>
      <c r="Z147">
        <v>219805624.11685339</v>
      </c>
      <c r="AA147">
        <v>879222496.46741343</v>
      </c>
      <c r="AB147">
        <v>879222.49646741338</v>
      </c>
      <c r="AC147">
        <v>0</v>
      </c>
      <c r="AD147">
        <v>2278.1247419715678</v>
      </c>
      <c r="AE147">
        <v>4100624.535548822</v>
      </c>
      <c r="AF147">
        <v>2870437.174884175</v>
      </c>
      <c r="AG147">
        <v>80.400084137353304</v>
      </c>
      <c r="AH147">
        <v>902.34242904751852</v>
      </c>
      <c r="AI147">
        <v>180.4684858095037</v>
      </c>
      <c r="AJ147">
        <v>28574.731135190941</v>
      </c>
      <c r="AK147">
        <v>854.70085470085473</v>
      </c>
      <c r="AL147" t="s">
        <v>93</v>
      </c>
      <c r="AM147">
        <v>69931.53825118269</v>
      </c>
      <c r="AN147">
        <v>817.66064801302514</v>
      </c>
      <c r="AO147">
        <v>30679.642587615632</v>
      </c>
      <c r="AP147">
        <v>100178.63088908749</v>
      </c>
      <c r="AQ147">
        <v>69498.988301471894</v>
      </c>
      <c r="AR147">
        <v>9.9548359341269863E-3</v>
      </c>
      <c r="AS147">
        <v>355.40673174389542</v>
      </c>
      <c r="AT147">
        <v>869.79434165409043</v>
      </c>
      <c r="AU147">
        <v>10.16989791473546</v>
      </c>
      <c r="AV147">
        <v>381.58719504824609</v>
      </c>
      <c r="AW147">
        <v>1246.0015678335001</v>
      </c>
      <c r="AX147">
        <v>864.41437278525405</v>
      </c>
      <c r="AY147">
        <v>2.2446305591073301</v>
      </c>
      <c r="AZ147" t="s">
        <v>134</v>
      </c>
      <c r="BA147" t="str">
        <f>VLOOKUP($AZ147,Sheet1!$A$2:$B$58,2)</f>
        <v>Isobutyrate</v>
      </c>
      <c r="BB147" t="s">
        <v>170</v>
      </c>
      <c r="BC147">
        <v>87.095680000000002</v>
      </c>
      <c r="BD147">
        <v>4.75</v>
      </c>
      <c r="BE147">
        <v>155</v>
      </c>
      <c r="BF147" t="s">
        <v>200</v>
      </c>
      <c r="BG147">
        <v>3.0318380888696228</v>
      </c>
      <c r="BH147">
        <v>0.1</v>
      </c>
      <c r="BI147">
        <v>0.31094494823277402</v>
      </c>
      <c r="BJ147">
        <v>80</v>
      </c>
      <c r="BK147">
        <v>5008.9315444543763</v>
      </c>
      <c r="BL147">
        <v>3474.949415073595</v>
      </c>
      <c r="BM147">
        <v>5.9915862016055623</v>
      </c>
      <c r="BN147">
        <v>1018.569654272946</v>
      </c>
      <c r="BO147">
        <v>3990.3618901814311</v>
      </c>
    </row>
    <row r="148" spans="1:67" x14ac:dyDescent="0.25">
      <c r="A148" s="1">
        <v>146</v>
      </c>
      <c r="B148" t="s">
        <v>67</v>
      </c>
      <c r="C148" t="s">
        <v>82</v>
      </c>
      <c r="D148">
        <v>1</v>
      </c>
      <c r="E148">
        <v>0</v>
      </c>
      <c r="F148">
        <v>1</v>
      </c>
      <c r="G148">
        <v>28.009699999999999</v>
      </c>
      <c r="H148">
        <v>2</v>
      </c>
      <c r="I148" t="s">
        <v>89</v>
      </c>
      <c r="J148">
        <v>4</v>
      </c>
      <c r="K148">
        <v>300</v>
      </c>
      <c r="L148">
        <v>70</v>
      </c>
      <c r="N148" t="s">
        <v>73</v>
      </c>
      <c r="O148">
        <v>30</v>
      </c>
      <c r="P148">
        <v>0.5</v>
      </c>
      <c r="Q148">
        <v>3.2500000000000001E-2</v>
      </c>
      <c r="R148">
        <v>77.5</v>
      </c>
      <c r="S148">
        <v>170</v>
      </c>
      <c r="T148">
        <v>20</v>
      </c>
      <c r="U148">
        <v>1812.1301775147931</v>
      </c>
      <c r="V148">
        <v>20</v>
      </c>
      <c r="W148">
        <v>0.95</v>
      </c>
      <c r="X148">
        <v>1</v>
      </c>
      <c r="Y148">
        <v>214509.20195552451</v>
      </c>
      <c r="Z148">
        <v>643527605.86657333</v>
      </c>
      <c r="AA148">
        <v>2574110423.4662929</v>
      </c>
      <c r="AB148">
        <v>2574110.4234662931</v>
      </c>
      <c r="AC148">
        <v>66773.504273504266</v>
      </c>
      <c r="AD148">
        <v>6669.693584760108</v>
      </c>
      <c r="AE148">
        <v>12005448.45256819</v>
      </c>
      <c r="AF148">
        <v>8403813.9167977348</v>
      </c>
      <c r="AG148">
        <v>235.38830666532951</v>
      </c>
      <c r="AH148">
        <v>2641.798931987631</v>
      </c>
      <c r="AI148">
        <v>528.35978639752625</v>
      </c>
      <c r="AJ148">
        <v>83658.58876265453</v>
      </c>
      <c r="AK148">
        <v>2170.1388888888891</v>
      </c>
      <c r="AL148" t="s">
        <v>95</v>
      </c>
      <c r="AM148">
        <v>204739.4172290414</v>
      </c>
      <c r="AN148">
        <v>2393.8750491088481</v>
      </c>
      <c r="AO148">
        <v>89821.163687579465</v>
      </c>
      <c r="AP148">
        <v>292962.01992969372</v>
      </c>
      <c r="AQ148">
        <v>203140.85624211421</v>
      </c>
      <c r="AR148">
        <v>9.9548359341269845E-3</v>
      </c>
      <c r="AS148">
        <v>355.40673174389531</v>
      </c>
      <c r="AT148">
        <v>869.7943416540902</v>
      </c>
      <c r="AU148">
        <v>10.16989791473547</v>
      </c>
      <c r="AV148">
        <v>381.58719504824609</v>
      </c>
      <c r="AW148">
        <v>1244.5903710341111</v>
      </c>
      <c r="AX148">
        <v>863.00317598586525</v>
      </c>
      <c r="AY148">
        <v>2.2446305591073301</v>
      </c>
      <c r="AZ148" t="s">
        <v>135</v>
      </c>
      <c r="BA148" t="str">
        <f>VLOOKUP($AZ148,Sheet1!$A$2:$B$58,2)</f>
        <v>Isoprene</v>
      </c>
      <c r="BB148" t="s">
        <v>184</v>
      </c>
      <c r="BC148">
        <v>68.116219999999998</v>
      </c>
      <c r="BD148">
        <v>5.6</v>
      </c>
      <c r="BE148">
        <v>34.07</v>
      </c>
      <c r="BF148" t="s">
        <v>200</v>
      </c>
      <c r="BG148">
        <v>8.6891610212416008</v>
      </c>
      <c r="BH148">
        <v>4.3673469387755098E-2</v>
      </c>
      <c r="BI148">
        <v>0.106207484790417</v>
      </c>
      <c r="BJ148">
        <v>80</v>
      </c>
      <c r="BK148">
        <v>14648.10099648468</v>
      </c>
      <c r="BL148">
        <v>10157.04281210571</v>
      </c>
      <c r="BM148">
        <v>17.72882829863471</v>
      </c>
      <c r="BN148">
        <v>3013.900810767901</v>
      </c>
      <c r="BO148">
        <v>11634.20018571678</v>
      </c>
    </row>
    <row r="149" spans="1:67" x14ac:dyDescent="0.25">
      <c r="A149" s="1">
        <v>147</v>
      </c>
      <c r="B149" t="s">
        <v>67</v>
      </c>
      <c r="C149" t="s">
        <v>82</v>
      </c>
      <c r="D149">
        <v>1</v>
      </c>
      <c r="E149">
        <v>0</v>
      </c>
      <c r="F149">
        <v>1</v>
      </c>
      <c r="G149">
        <v>28.009699999999999</v>
      </c>
      <c r="H149">
        <v>2</v>
      </c>
      <c r="I149" t="s">
        <v>89</v>
      </c>
      <c r="J149">
        <v>4</v>
      </c>
      <c r="K149">
        <v>300</v>
      </c>
      <c r="L149">
        <v>70</v>
      </c>
      <c r="N149" t="s">
        <v>73</v>
      </c>
      <c r="O149">
        <v>30</v>
      </c>
      <c r="P149">
        <v>0.5</v>
      </c>
      <c r="Q149">
        <v>3.2500000000000001E-2</v>
      </c>
      <c r="R149">
        <v>77.5</v>
      </c>
      <c r="S149">
        <v>170</v>
      </c>
      <c r="T149">
        <v>20</v>
      </c>
      <c r="U149">
        <v>1812.1301775147931</v>
      </c>
      <c r="V149">
        <v>20</v>
      </c>
      <c r="W149">
        <v>0.95</v>
      </c>
      <c r="X149">
        <v>1</v>
      </c>
      <c r="Y149">
        <v>95571.160064121548</v>
      </c>
      <c r="Z149">
        <v>286713480.19236457</v>
      </c>
      <c r="AA149">
        <v>1146853920.769459</v>
      </c>
      <c r="AB149">
        <v>1146853.9207694591</v>
      </c>
      <c r="AC149">
        <v>0</v>
      </c>
      <c r="AD149">
        <v>2971.5757988783871</v>
      </c>
      <c r="AE149">
        <v>5348836.437981097</v>
      </c>
      <c r="AF149">
        <v>3744185.5065867682</v>
      </c>
      <c r="AG149">
        <v>104.8735127838434</v>
      </c>
      <c r="AH149">
        <v>1177.01145817774</v>
      </c>
      <c r="AI149">
        <v>235.4022916355481</v>
      </c>
      <c r="AJ149">
        <v>37272.752425007413</v>
      </c>
      <c r="AK149">
        <v>854.70085470085473</v>
      </c>
      <c r="AL149" t="s">
        <v>93</v>
      </c>
      <c r="AM149">
        <v>91218.388008774869</v>
      </c>
      <c r="AN149">
        <v>1066.552918971392</v>
      </c>
      <c r="AO149">
        <v>40018.38957804317</v>
      </c>
      <c r="AP149">
        <v>130412.3942074545</v>
      </c>
      <c r="AQ149">
        <v>90394.004629411356</v>
      </c>
      <c r="AR149">
        <v>9.9548359341269845E-3</v>
      </c>
      <c r="AS149">
        <v>355.40673174389531</v>
      </c>
      <c r="AT149">
        <v>869.79434165409009</v>
      </c>
      <c r="AU149">
        <v>10.16989791473546</v>
      </c>
      <c r="AV149">
        <v>381.58719504824597</v>
      </c>
      <c r="AW149">
        <v>1243.5207970600709</v>
      </c>
      <c r="AX149">
        <v>861.93360201182531</v>
      </c>
      <c r="AY149">
        <v>2.2446305591073301</v>
      </c>
      <c r="AZ149" t="s">
        <v>136</v>
      </c>
      <c r="BA149" t="str">
        <f>VLOOKUP($AZ149,Sheet1!$A$2:$B$58,2)</f>
        <v>Isopropanol</v>
      </c>
      <c r="BB149" t="s">
        <v>156</v>
      </c>
      <c r="BC149">
        <v>60.093820000000001</v>
      </c>
      <c r="BD149">
        <v>6</v>
      </c>
      <c r="BE149">
        <v>82.5</v>
      </c>
      <c r="BF149" t="s">
        <v>200</v>
      </c>
      <c r="BG149">
        <v>4.3941290468803667</v>
      </c>
      <c r="BH149">
        <v>0.11111111111111099</v>
      </c>
      <c r="BI149">
        <v>0.238382403110001</v>
      </c>
      <c r="BJ149">
        <v>80</v>
      </c>
      <c r="BK149">
        <v>6520.6197103727263</v>
      </c>
      <c r="BL149">
        <v>4519.7002314705669</v>
      </c>
      <c r="BM149">
        <v>7.3759855348970396</v>
      </c>
      <c r="BN149">
        <v>1253.9175409324971</v>
      </c>
      <c r="BO149">
        <v>5266.7021694402301</v>
      </c>
    </row>
    <row r="150" spans="1:67" x14ac:dyDescent="0.25">
      <c r="A150" s="1">
        <v>148</v>
      </c>
      <c r="B150" t="s">
        <v>67</v>
      </c>
      <c r="C150" t="s">
        <v>82</v>
      </c>
      <c r="D150">
        <v>1</v>
      </c>
      <c r="E150">
        <v>0</v>
      </c>
      <c r="F150">
        <v>1</v>
      </c>
      <c r="G150">
        <v>28.009699999999999</v>
      </c>
      <c r="H150">
        <v>2</v>
      </c>
      <c r="I150" t="s">
        <v>89</v>
      </c>
      <c r="J150">
        <v>4</v>
      </c>
      <c r="K150">
        <v>300</v>
      </c>
      <c r="L150">
        <v>70</v>
      </c>
      <c r="N150" t="s">
        <v>73</v>
      </c>
      <c r="O150">
        <v>30</v>
      </c>
      <c r="P150">
        <v>0.5</v>
      </c>
      <c r="Q150">
        <v>3.2500000000000001E-2</v>
      </c>
      <c r="R150">
        <v>77.5</v>
      </c>
      <c r="S150">
        <v>170</v>
      </c>
      <c r="T150">
        <v>20</v>
      </c>
      <c r="U150">
        <v>1812.1301775147931</v>
      </c>
      <c r="V150">
        <v>20</v>
      </c>
      <c r="W150">
        <v>0.95</v>
      </c>
      <c r="X150">
        <v>1</v>
      </c>
      <c r="Y150">
        <v>66353.068500850844</v>
      </c>
      <c r="Z150">
        <v>199059205.50255251</v>
      </c>
      <c r="AA150">
        <v>796236822.01021004</v>
      </c>
      <c r="AB150">
        <v>796236.82201021002</v>
      </c>
      <c r="AC150">
        <v>0</v>
      </c>
      <c r="AD150">
        <v>2063.1032667821419</v>
      </c>
      <c r="AE150">
        <v>3713585.8802078562</v>
      </c>
      <c r="AF150">
        <v>2599510.1161454991</v>
      </c>
      <c r="AG150">
        <v>72.811498500200585</v>
      </c>
      <c r="AH150">
        <v>817.17457293973871</v>
      </c>
      <c r="AI150">
        <v>163.43491458794779</v>
      </c>
      <c r="AJ150">
        <v>25877.696715331829</v>
      </c>
      <c r="AK150">
        <v>854.70085470085473</v>
      </c>
      <c r="AL150" t="s">
        <v>93</v>
      </c>
      <c r="AM150">
        <v>63331.02940282975</v>
      </c>
      <c r="AN150">
        <v>740.48550676595471</v>
      </c>
      <c r="AO150">
        <v>27783.93547995112</v>
      </c>
      <c r="AP150">
        <v>90803.912479628387</v>
      </c>
      <c r="AQ150">
        <v>63019.976999677267</v>
      </c>
      <c r="AR150">
        <v>9.9548359341269845E-3</v>
      </c>
      <c r="AS150">
        <v>355.40673174389531</v>
      </c>
      <c r="AT150">
        <v>869.7943416540902</v>
      </c>
      <c r="AU150">
        <v>10.16989791473547</v>
      </c>
      <c r="AV150">
        <v>381.58719504824609</v>
      </c>
      <c r="AW150">
        <v>1247.1095136076369</v>
      </c>
      <c r="AX150">
        <v>865.52231855939135</v>
      </c>
      <c r="AY150">
        <v>2.2446305591073301</v>
      </c>
      <c r="AZ150" t="s">
        <v>137</v>
      </c>
      <c r="BA150" t="str">
        <f>VLOOKUP($AZ150,Sheet1!$A$2:$B$58,2)</f>
        <v>Itaconate</v>
      </c>
      <c r="BB150" t="s">
        <v>185</v>
      </c>
      <c r="BC150">
        <v>128.08086</v>
      </c>
      <c r="BD150">
        <v>3.2</v>
      </c>
      <c r="BE150">
        <v>381</v>
      </c>
      <c r="BF150" t="s">
        <v>200</v>
      </c>
      <c r="BG150">
        <v>2.1162587680208751</v>
      </c>
      <c r="BH150">
        <v>7.5087719298245606E-2</v>
      </c>
      <c r="BI150">
        <v>0.34335236212630799</v>
      </c>
      <c r="BJ150">
        <v>80</v>
      </c>
      <c r="BK150">
        <v>4540.1956239814181</v>
      </c>
      <c r="BL150">
        <v>3150.9988499838619</v>
      </c>
      <c r="BM150">
        <v>6.0554869613765119</v>
      </c>
      <c r="BN150">
        <v>1029.432783434007</v>
      </c>
      <c r="BO150">
        <v>3510.7628405474111</v>
      </c>
    </row>
    <row r="151" spans="1:67" x14ac:dyDescent="0.25">
      <c r="A151" s="1">
        <v>149</v>
      </c>
      <c r="B151" t="s">
        <v>67</v>
      </c>
      <c r="C151" t="s">
        <v>82</v>
      </c>
      <c r="D151">
        <v>1</v>
      </c>
      <c r="E151">
        <v>0</v>
      </c>
      <c r="F151">
        <v>1</v>
      </c>
      <c r="G151">
        <v>28.009699999999999</v>
      </c>
      <c r="H151">
        <v>2</v>
      </c>
      <c r="I151" t="s">
        <v>89</v>
      </c>
      <c r="J151">
        <v>4</v>
      </c>
      <c r="K151">
        <v>300</v>
      </c>
      <c r="L151">
        <v>70</v>
      </c>
      <c r="N151" t="s">
        <v>73</v>
      </c>
      <c r="O151">
        <v>30</v>
      </c>
      <c r="P151">
        <v>0.5</v>
      </c>
      <c r="Q151">
        <v>3.2500000000000001E-2</v>
      </c>
      <c r="R151">
        <v>77.5</v>
      </c>
      <c r="S151">
        <v>170</v>
      </c>
      <c r="T151">
        <v>20</v>
      </c>
      <c r="U151">
        <v>1812.1301775147931</v>
      </c>
      <c r="V151">
        <v>20</v>
      </c>
      <c r="W151">
        <v>0.95</v>
      </c>
      <c r="X151">
        <v>1</v>
      </c>
      <c r="Y151">
        <v>210131.46314010501</v>
      </c>
      <c r="Z151">
        <v>630394389.42031503</v>
      </c>
      <c r="AA151">
        <v>2521577557.6812601</v>
      </c>
      <c r="AB151">
        <v>2521577.5576812602</v>
      </c>
      <c r="AC151">
        <v>0</v>
      </c>
      <c r="AD151">
        <v>6533.5773891527406</v>
      </c>
      <c r="AE151">
        <v>11760439.300474931</v>
      </c>
      <c r="AF151">
        <v>8232307.5103324521</v>
      </c>
      <c r="AG151">
        <v>230.5844636721589</v>
      </c>
      <c r="AH151">
        <v>2587.8846680695092</v>
      </c>
      <c r="AI151">
        <v>517.57693361390182</v>
      </c>
      <c r="AJ151">
        <v>81951.270624640965</v>
      </c>
      <c r="AK151">
        <v>854.70085470085473</v>
      </c>
      <c r="AL151" t="s">
        <v>93</v>
      </c>
      <c r="AM151">
        <v>200561.06177538689</v>
      </c>
      <c r="AN151">
        <v>2345.020456269885</v>
      </c>
      <c r="AO151">
        <v>87988.078714363306</v>
      </c>
      <c r="AP151">
        <v>285712.05371099868</v>
      </c>
      <c r="AQ151">
        <v>197723.9749966354</v>
      </c>
      <c r="AR151">
        <v>9.9548359341269863E-3</v>
      </c>
      <c r="AS151">
        <v>355.40673174389542</v>
      </c>
      <c r="AT151">
        <v>869.79434165409009</v>
      </c>
      <c r="AU151">
        <v>10.16989791473547</v>
      </c>
      <c r="AV151">
        <v>381.58719504824597</v>
      </c>
      <c r="AW151">
        <v>1239.07764279045</v>
      </c>
      <c r="AX151">
        <v>857.49044774220351</v>
      </c>
      <c r="AY151">
        <v>2.2446305591073301</v>
      </c>
      <c r="AZ151" t="s">
        <v>138</v>
      </c>
      <c r="BA151" t="str">
        <f>VLOOKUP($AZ151,Sheet1!$A$2:$B$58,2)</f>
        <v>Limonene</v>
      </c>
      <c r="BB151" t="s">
        <v>186</v>
      </c>
      <c r="BC151">
        <v>136.23244</v>
      </c>
      <c r="BD151">
        <v>5.6</v>
      </c>
      <c r="BE151">
        <v>176</v>
      </c>
      <c r="BF151" t="s">
        <v>200</v>
      </c>
      <c r="BG151">
        <v>8.5382026991213458</v>
      </c>
      <c r="BH151">
        <v>2.2291666666666699E-2</v>
      </c>
      <c r="BI151">
        <v>0.108420140723551</v>
      </c>
      <c r="BJ151">
        <v>80</v>
      </c>
      <c r="BK151">
        <v>14285.602685549929</v>
      </c>
      <c r="BL151">
        <v>9886.1987498317685</v>
      </c>
      <c r="BM151">
        <v>17.340643981573741</v>
      </c>
      <c r="BN151">
        <v>2947.9094768675359</v>
      </c>
      <c r="BO151">
        <v>11337.6932086824</v>
      </c>
    </row>
    <row r="152" spans="1:67" x14ac:dyDescent="0.25">
      <c r="A152" s="1">
        <v>150</v>
      </c>
      <c r="B152" t="s">
        <v>67</v>
      </c>
      <c r="C152" t="s">
        <v>82</v>
      </c>
      <c r="D152">
        <v>1</v>
      </c>
      <c r="E152">
        <v>0</v>
      </c>
      <c r="F152">
        <v>1</v>
      </c>
      <c r="G152">
        <v>28.009699999999999</v>
      </c>
      <c r="H152">
        <v>2</v>
      </c>
      <c r="I152" t="s">
        <v>89</v>
      </c>
      <c r="J152">
        <v>4</v>
      </c>
      <c r="K152">
        <v>300</v>
      </c>
      <c r="L152">
        <v>70</v>
      </c>
      <c r="N152" t="s">
        <v>73</v>
      </c>
      <c r="O152">
        <v>30</v>
      </c>
      <c r="P152">
        <v>0.5</v>
      </c>
      <c r="Q152">
        <v>3.2500000000000001E-2</v>
      </c>
      <c r="R152">
        <v>77.5</v>
      </c>
      <c r="S152">
        <v>170</v>
      </c>
      <c r="T152">
        <v>20</v>
      </c>
      <c r="U152">
        <v>1812.1301775147931</v>
      </c>
      <c r="V152">
        <v>20</v>
      </c>
      <c r="W152">
        <v>0.95</v>
      </c>
      <c r="X152">
        <v>1</v>
      </c>
      <c r="Y152">
        <v>79009.123994116511</v>
      </c>
      <c r="Z152">
        <v>237027371.98234949</v>
      </c>
      <c r="AA152">
        <v>948109487.92939806</v>
      </c>
      <c r="AB152">
        <v>948109.48792939808</v>
      </c>
      <c r="AC152">
        <v>0</v>
      </c>
      <c r="AD152">
        <v>2456.6155793649082</v>
      </c>
      <c r="AE152">
        <v>4421908.0428568348</v>
      </c>
      <c r="AF152">
        <v>3095335.6299997838</v>
      </c>
      <c r="AG152">
        <v>86.699422395604969</v>
      </c>
      <c r="AH152">
        <v>973.04086483064646</v>
      </c>
      <c r="AI152">
        <v>194.6081729661293</v>
      </c>
      <c r="AJ152">
        <v>30813.558357705439</v>
      </c>
      <c r="AK152">
        <v>854.70085470085473</v>
      </c>
      <c r="AL152" t="s">
        <v>93</v>
      </c>
      <c r="AM152">
        <v>75410.6670243751</v>
      </c>
      <c r="AN152">
        <v>881.72427502983226</v>
      </c>
      <c r="AO152">
        <v>33083.389404241978</v>
      </c>
      <c r="AP152">
        <v>107960.6505118112</v>
      </c>
      <c r="AQ152">
        <v>74877.26110756924</v>
      </c>
      <c r="AR152">
        <v>9.9548359341269845E-3</v>
      </c>
      <c r="AS152">
        <v>355.40673174389531</v>
      </c>
      <c r="AT152">
        <v>869.79434165409009</v>
      </c>
      <c r="AU152">
        <v>10.16989791473547</v>
      </c>
      <c r="AV152">
        <v>381.58719504824597</v>
      </c>
      <c r="AW152">
        <v>1245.22917833515</v>
      </c>
      <c r="AX152">
        <v>863.6419832869035</v>
      </c>
      <c r="AY152">
        <v>2.2446305591073288</v>
      </c>
      <c r="AZ152" t="s">
        <v>139</v>
      </c>
      <c r="BA152" t="str">
        <f>VLOOKUP($AZ152,Sheet1!$A$2:$B$58,2)</f>
        <v>L-Lysine</v>
      </c>
      <c r="BB152" t="s">
        <v>187</v>
      </c>
      <c r="BC152">
        <v>147.19319999999999</v>
      </c>
      <c r="BD152">
        <v>4.833333333333333</v>
      </c>
      <c r="BF152" t="s">
        <v>200</v>
      </c>
      <c r="BG152">
        <v>3.023480031241792</v>
      </c>
      <c r="BH152">
        <v>5.4871794871794902E-2</v>
      </c>
      <c r="BI152">
        <v>0.28835255540603599</v>
      </c>
      <c r="BJ152">
        <v>80</v>
      </c>
      <c r="BK152">
        <v>5398.0325255905618</v>
      </c>
      <c r="BL152">
        <v>3743.8630553784628</v>
      </c>
      <c r="BM152">
        <v>6.7069286170646709</v>
      </c>
      <c r="BN152">
        <v>1140.1778649009941</v>
      </c>
      <c r="BO152">
        <v>4257.8546606895679</v>
      </c>
    </row>
    <row r="153" spans="1:67" x14ac:dyDescent="0.25">
      <c r="A153" s="1">
        <v>151</v>
      </c>
      <c r="B153" t="s">
        <v>67</v>
      </c>
      <c r="C153" t="s">
        <v>82</v>
      </c>
      <c r="D153">
        <v>1</v>
      </c>
      <c r="E153">
        <v>0</v>
      </c>
      <c r="F153">
        <v>1</v>
      </c>
      <c r="G153">
        <v>28.009699999999999</v>
      </c>
      <c r="H153">
        <v>2</v>
      </c>
      <c r="I153" t="s">
        <v>89</v>
      </c>
      <c r="J153">
        <v>4</v>
      </c>
      <c r="K153">
        <v>300</v>
      </c>
      <c r="L153">
        <v>70</v>
      </c>
      <c r="N153" t="s">
        <v>73</v>
      </c>
      <c r="O153">
        <v>30</v>
      </c>
      <c r="P153">
        <v>0.5</v>
      </c>
      <c r="Q153">
        <v>3.2500000000000001E-2</v>
      </c>
      <c r="R153">
        <v>77.5</v>
      </c>
      <c r="S153">
        <v>170</v>
      </c>
      <c r="T153">
        <v>20</v>
      </c>
      <c r="U153">
        <v>1812.1301775147931</v>
      </c>
      <c r="V153">
        <v>20</v>
      </c>
      <c r="W153">
        <v>0.95</v>
      </c>
      <c r="X153">
        <v>1</v>
      </c>
      <c r="Y153">
        <v>51931.014521732614</v>
      </c>
      <c r="Z153">
        <v>155793043.5651978</v>
      </c>
      <c r="AA153">
        <v>623172174.2607913</v>
      </c>
      <c r="AB153">
        <v>623172.17426079127</v>
      </c>
      <c r="AC153">
        <v>0</v>
      </c>
      <c r="AD153">
        <v>1614.681101081612</v>
      </c>
      <c r="AE153">
        <v>2906425.981946901</v>
      </c>
      <c r="AF153">
        <v>2034498.1873628311</v>
      </c>
      <c r="AG153">
        <v>56.98568387857668</v>
      </c>
      <c r="AH153">
        <v>639.55903732741535</v>
      </c>
      <c r="AI153">
        <v>127.91180746548309</v>
      </c>
      <c r="AJ153">
        <v>20253.09566347572</v>
      </c>
      <c r="AK153">
        <v>854.70085470085473</v>
      </c>
      <c r="AL153" t="s">
        <v>93</v>
      </c>
      <c r="AM153">
        <v>49565.825392874693</v>
      </c>
      <c r="AN153">
        <v>579.53858764651136</v>
      </c>
      <c r="AO153">
        <v>21745.007269132118</v>
      </c>
      <c r="AP153">
        <v>71253.160498697776</v>
      </c>
      <c r="AQ153">
        <v>49508.153229565651</v>
      </c>
      <c r="AR153">
        <v>9.9548359341269828E-3</v>
      </c>
      <c r="AS153">
        <v>355.40673174389531</v>
      </c>
      <c r="AT153">
        <v>869.79434165408998</v>
      </c>
      <c r="AU153">
        <v>10.16989791473546</v>
      </c>
      <c r="AV153">
        <v>381.58719504824592</v>
      </c>
      <c r="AW153">
        <v>1250.36949017795</v>
      </c>
      <c r="AX153">
        <v>868.78229512970449</v>
      </c>
      <c r="AY153">
        <v>2.2446305591073288</v>
      </c>
      <c r="AZ153" t="s">
        <v>140</v>
      </c>
      <c r="BA153" t="str">
        <f>VLOOKUP($AZ153,Sheet1!$A$2:$B$58,2)</f>
        <v>L-Malate</v>
      </c>
      <c r="BB153" t="s">
        <v>188</v>
      </c>
      <c r="BC153">
        <v>132.06916000000001</v>
      </c>
      <c r="BD153">
        <v>2.5</v>
      </c>
      <c r="BF153" t="s">
        <v>200</v>
      </c>
      <c r="BG153">
        <v>1.457511628366515</v>
      </c>
      <c r="BH153">
        <v>9.3043478260869603E-2</v>
      </c>
      <c r="BI153">
        <v>0.43870667680797198</v>
      </c>
      <c r="BJ153">
        <v>80</v>
      </c>
      <c r="BK153">
        <v>3562.658024934889</v>
      </c>
      <c r="BL153">
        <v>2475.407661478283</v>
      </c>
      <c r="BM153">
        <v>4.9380787449076404</v>
      </c>
      <c r="BN153">
        <v>839.47338663429878</v>
      </c>
      <c r="BO153">
        <v>2723.18463830059</v>
      </c>
    </row>
    <row r="154" spans="1:67" x14ac:dyDescent="0.25">
      <c r="A154" s="1">
        <v>152</v>
      </c>
      <c r="B154" t="s">
        <v>67</v>
      </c>
      <c r="C154" t="s">
        <v>82</v>
      </c>
      <c r="D154">
        <v>1</v>
      </c>
      <c r="E154">
        <v>0</v>
      </c>
      <c r="F154">
        <v>1</v>
      </c>
      <c r="G154">
        <v>28.009699999999999</v>
      </c>
      <c r="H154">
        <v>2</v>
      </c>
      <c r="I154" t="s">
        <v>89</v>
      </c>
      <c r="J154">
        <v>4</v>
      </c>
      <c r="K154">
        <v>300</v>
      </c>
      <c r="L154">
        <v>70</v>
      </c>
      <c r="N154" t="s">
        <v>73</v>
      </c>
      <c r="O154">
        <v>30</v>
      </c>
      <c r="P154">
        <v>0.5</v>
      </c>
      <c r="Q154">
        <v>3.2500000000000001E-2</v>
      </c>
      <c r="R154">
        <v>77.5</v>
      </c>
      <c r="S154">
        <v>170</v>
      </c>
      <c r="T154">
        <v>20</v>
      </c>
      <c r="U154">
        <v>1812.1301775147931</v>
      </c>
      <c r="V154">
        <v>20</v>
      </c>
      <c r="W154">
        <v>0.95</v>
      </c>
      <c r="X154">
        <v>1</v>
      </c>
      <c r="Y154">
        <v>58444.526506879673</v>
      </c>
      <c r="Z154">
        <v>175333579.520639</v>
      </c>
      <c r="AA154">
        <v>701334318.08255613</v>
      </c>
      <c r="AB154">
        <v>701334.31808255613</v>
      </c>
      <c r="AC154">
        <v>0</v>
      </c>
      <c r="AD154">
        <v>1817.2044833214129</v>
      </c>
      <c r="AE154">
        <v>3270968.069978544</v>
      </c>
      <c r="AF154">
        <v>2289677.6489849798</v>
      </c>
      <c r="AG154">
        <v>64.133184044774609</v>
      </c>
      <c r="AH154">
        <v>719.7765237987785</v>
      </c>
      <c r="AI154">
        <v>143.95530475975571</v>
      </c>
      <c r="AJ154">
        <v>22793.36533768307</v>
      </c>
      <c r="AK154">
        <v>854.70085470085473</v>
      </c>
      <c r="AL154" t="s">
        <v>93</v>
      </c>
      <c r="AM154">
        <v>55782.680594405327</v>
      </c>
      <c r="AN154">
        <v>652.22793468229906</v>
      </c>
      <c r="AO154">
        <v>24472.401809158469</v>
      </c>
      <c r="AP154">
        <v>80082.974721471575</v>
      </c>
      <c r="AQ154">
        <v>55610.572912313102</v>
      </c>
      <c r="AR154">
        <v>9.9548359341269845E-3</v>
      </c>
      <c r="AS154">
        <v>355.40673174389531</v>
      </c>
      <c r="AT154">
        <v>869.7943416540902</v>
      </c>
      <c r="AU154">
        <v>10.16989791473546</v>
      </c>
      <c r="AV154">
        <v>381.58719504824597</v>
      </c>
      <c r="AW154">
        <v>1248.6979387388849</v>
      </c>
      <c r="AX154">
        <v>867.11074369063863</v>
      </c>
      <c r="AY154">
        <v>2.2446305591073301</v>
      </c>
      <c r="AZ154" t="s">
        <v>141</v>
      </c>
      <c r="BA154" t="str">
        <f>VLOOKUP($AZ154,Sheet1!$A$2:$B$58,2)</f>
        <v>Malonate</v>
      </c>
      <c r="BB154" t="s">
        <v>189</v>
      </c>
      <c r="BC154">
        <v>102.04378</v>
      </c>
      <c r="BD154">
        <v>2</v>
      </c>
      <c r="BE154">
        <v>199</v>
      </c>
      <c r="BF154" t="s">
        <v>200</v>
      </c>
      <c r="BG154">
        <v>1.5840672073053019</v>
      </c>
      <c r="BH154">
        <v>0.107</v>
      </c>
      <c r="BI154">
        <v>0.38981379721527998</v>
      </c>
      <c r="BJ154">
        <v>80</v>
      </c>
      <c r="BK154">
        <v>4004.1487360735791</v>
      </c>
      <c r="BL154">
        <v>2780.528645615655</v>
      </c>
      <c r="BM154">
        <v>5.6136980306824844</v>
      </c>
      <c r="BN154">
        <v>954.32866521602216</v>
      </c>
      <c r="BO154">
        <v>3049.8200708575559</v>
      </c>
    </row>
    <row r="155" spans="1:67" x14ac:dyDescent="0.25">
      <c r="A155" s="1">
        <v>153</v>
      </c>
      <c r="B155" t="s">
        <v>67</v>
      </c>
      <c r="C155" t="s">
        <v>82</v>
      </c>
      <c r="D155">
        <v>1</v>
      </c>
      <c r="E155">
        <v>0</v>
      </c>
      <c r="F155">
        <v>1</v>
      </c>
      <c r="G155">
        <v>28.009699999999999</v>
      </c>
      <c r="H155">
        <v>2</v>
      </c>
      <c r="I155" t="s">
        <v>89</v>
      </c>
      <c r="J155">
        <v>4</v>
      </c>
      <c r="K155">
        <v>300</v>
      </c>
      <c r="L155">
        <v>70</v>
      </c>
      <c r="N155" t="s">
        <v>73</v>
      </c>
      <c r="O155">
        <v>30</v>
      </c>
      <c r="P155">
        <v>0.5</v>
      </c>
      <c r="Q155">
        <v>3.2500000000000001E-2</v>
      </c>
      <c r="R155">
        <v>77.5</v>
      </c>
      <c r="S155">
        <v>170</v>
      </c>
      <c r="T155">
        <v>20</v>
      </c>
      <c r="U155">
        <v>1812.1301775147931</v>
      </c>
      <c r="V155">
        <v>20</v>
      </c>
      <c r="W155">
        <v>0.95</v>
      </c>
      <c r="X155">
        <v>1</v>
      </c>
      <c r="Y155">
        <v>139317.0661262479</v>
      </c>
      <c r="Z155">
        <v>417951198.37874383</v>
      </c>
      <c r="AA155">
        <v>1671804793.5149751</v>
      </c>
      <c r="AB155">
        <v>1671804.7935149751</v>
      </c>
      <c r="AC155">
        <v>0</v>
      </c>
      <c r="AD155">
        <v>4331.7588882853288</v>
      </c>
      <c r="AE155">
        <v>7797165.9989135917</v>
      </c>
      <c r="AF155">
        <v>5458016.1992395138</v>
      </c>
      <c r="AG155">
        <v>152.87739633583899</v>
      </c>
      <c r="AH155">
        <v>1715.7663780609359</v>
      </c>
      <c r="AI155">
        <v>343.15327561218709</v>
      </c>
      <c r="AJ155">
        <v>54333.655789236698</v>
      </c>
      <c r="AK155">
        <v>854.70085470085473</v>
      </c>
      <c r="AL155" t="s">
        <v>93</v>
      </c>
      <c r="AM155">
        <v>132971.89429972251</v>
      </c>
      <c r="AN155">
        <v>1554.7475142060359</v>
      </c>
      <c r="AO155">
        <v>58336.056854071823</v>
      </c>
      <c r="AP155">
        <v>189714.99845786611</v>
      </c>
      <c r="AQ155">
        <v>131378.94160379429</v>
      </c>
      <c r="AR155">
        <v>9.9548359341269845E-3</v>
      </c>
      <c r="AS155">
        <v>355.40673174389531</v>
      </c>
      <c r="AT155">
        <v>869.79434165409009</v>
      </c>
      <c r="AU155">
        <v>10.16989791473546</v>
      </c>
      <c r="AV155">
        <v>381.58719504824597</v>
      </c>
      <c r="AW155">
        <v>1240.9617314589971</v>
      </c>
      <c r="AX155">
        <v>859.37453641075081</v>
      </c>
      <c r="AY155">
        <v>2.2446305591073288</v>
      </c>
      <c r="AZ155" t="s">
        <v>142</v>
      </c>
      <c r="BA155" t="str">
        <f>VLOOKUP($AZ155,Sheet1!$A$2:$B$58,2)</f>
        <v>Nonane</v>
      </c>
      <c r="BB155" t="s">
        <v>190</v>
      </c>
      <c r="BC155">
        <v>128.25309999999999</v>
      </c>
      <c r="BD155">
        <v>6.2222222222222223</v>
      </c>
      <c r="BE155">
        <v>151</v>
      </c>
      <c r="BF155" t="s">
        <v>200</v>
      </c>
      <c r="BG155">
        <v>6.5198424053687569</v>
      </c>
      <c r="BH155">
        <v>3.5714285714285698E-2</v>
      </c>
      <c r="BI155">
        <v>0.16352973427857401</v>
      </c>
      <c r="BJ155">
        <v>80</v>
      </c>
      <c r="BK155">
        <v>9485.7499228933048</v>
      </c>
      <c r="BL155">
        <v>6568.9470801897141</v>
      </c>
      <c r="BM155">
        <v>10.6378213752406</v>
      </c>
      <c r="BN155">
        <v>1808.429633790902</v>
      </c>
      <c r="BO155">
        <v>7677.320289102403</v>
      </c>
    </row>
    <row r="156" spans="1:67" x14ac:dyDescent="0.25">
      <c r="A156" s="1">
        <v>154</v>
      </c>
      <c r="B156" t="s">
        <v>67</v>
      </c>
      <c r="C156" t="s">
        <v>82</v>
      </c>
      <c r="D156">
        <v>1</v>
      </c>
      <c r="E156">
        <v>0</v>
      </c>
      <c r="F156">
        <v>1</v>
      </c>
      <c r="G156">
        <v>28.009699999999999</v>
      </c>
      <c r="H156">
        <v>2</v>
      </c>
      <c r="I156" t="s">
        <v>89</v>
      </c>
      <c r="J156">
        <v>4</v>
      </c>
      <c r="K156">
        <v>300</v>
      </c>
      <c r="L156">
        <v>70</v>
      </c>
      <c r="N156" t="s">
        <v>73</v>
      </c>
      <c r="O156">
        <v>30</v>
      </c>
      <c r="P156">
        <v>0.5</v>
      </c>
      <c r="Q156">
        <v>3.2500000000000001E-2</v>
      </c>
      <c r="R156">
        <v>77.5</v>
      </c>
      <c r="S156">
        <v>170</v>
      </c>
      <c r="T156">
        <v>20</v>
      </c>
      <c r="U156">
        <v>1812.1301775147931</v>
      </c>
      <c r="V156">
        <v>20</v>
      </c>
      <c r="W156">
        <v>0.95</v>
      </c>
      <c r="X156">
        <v>1</v>
      </c>
      <c r="Y156">
        <v>139664.63874274</v>
      </c>
      <c r="Z156">
        <v>418993916.22821993</v>
      </c>
      <c r="AA156">
        <v>1675975664.9128799</v>
      </c>
      <c r="AB156">
        <v>1675975.6649128799</v>
      </c>
      <c r="AC156">
        <v>0</v>
      </c>
      <c r="AD156">
        <v>4342.5658971657022</v>
      </c>
      <c r="AE156">
        <v>7816618.6148982625</v>
      </c>
      <c r="AF156">
        <v>5471633.030428784</v>
      </c>
      <c r="AG156">
        <v>153.25879969240111</v>
      </c>
      <c r="AH156">
        <v>1720.0469262083629</v>
      </c>
      <c r="AI156">
        <v>344.00938524167259</v>
      </c>
      <c r="AJ156">
        <v>54469.209109668591</v>
      </c>
      <c r="AK156">
        <v>854.70085470085473</v>
      </c>
      <c r="AL156" t="s">
        <v>93</v>
      </c>
      <c r="AM156">
        <v>133303.63678114809</v>
      </c>
      <c r="AN156">
        <v>1558.6263474066111</v>
      </c>
      <c r="AO156">
        <v>58481.595491084343</v>
      </c>
      <c r="AP156">
        <v>190186.1730929242</v>
      </c>
      <c r="AQ156">
        <v>131704.57760183979</v>
      </c>
      <c r="AR156">
        <v>9.9548359341269845E-3</v>
      </c>
      <c r="AS156">
        <v>355.40673174389531</v>
      </c>
      <c r="AT156">
        <v>869.7943416540902</v>
      </c>
      <c r="AU156">
        <v>10.16989791473547</v>
      </c>
      <c r="AV156">
        <v>381.58719504824609</v>
      </c>
      <c r="AW156">
        <v>1240.947818165341</v>
      </c>
      <c r="AX156">
        <v>859.36062311709475</v>
      </c>
      <c r="AY156">
        <v>2.2446305591073301</v>
      </c>
      <c r="AZ156" t="s">
        <v>143</v>
      </c>
      <c r="BA156" t="str">
        <f>VLOOKUP($AZ156,Sheet1!$A$2:$B$58,2)</f>
        <v>Octane</v>
      </c>
      <c r="BB156" t="s">
        <v>191</v>
      </c>
      <c r="BC156">
        <v>114.22672</v>
      </c>
      <c r="BD156">
        <v>6.25</v>
      </c>
      <c r="BE156">
        <v>126</v>
      </c>
      <c r="BF156" t="s">
        <v>200</v>
      </c>
      <c r="BG156">
        <v>6.5498685421414526</v>
      </c>
      <c r="BH156">
        <v>0.04</v>
      </c>
      <c r="BI156">
        <v>0.16312277043912901</v>
      </c>
      <c r="BJ156">
        <v>80</v>
      </c>
      <c r="BK156">
        <v>9509.3086546462073</v>
      </c>
      <c r="BL156">
        <v>6585.2288800919914</v>
      </c>
      <c r="BM156">
        <v>10.650600719942179</v>
      </c>
      <c r="BN156">
        <v>1810.6021223901701</v>
      </c>
      <c r="BO156">
        <v>7698.7065322560366</v>
      </c>
    </row>
    <row r="157" spans="1:67" x14ac:dyDescent="0.25">
      <c r="A157" s="1">
        <v>155</v>
      </c>
      <c r="B157" t="s">
        <v>67</v>
      </c>
      <c r="C157" t="s">
        <v>82</v>
      </c>
      <c r="D157">
        <v>1</v>
      </c>
      <c r="E157">
        <v>0</v>
      </c>
      <c r="F157">
        <v>1</v>
      </c>
      <c r="G157">
        <v>28.009699999999999</v>
      </c>
      <c r="H157">
        <v>2</v>
      </c>
      <c r="I157" t="s">
        <v>89</v>
      </c>
      <c r="J157">
        <v>4</v>
      </c>
      <c r="K157">
        <v>300</v>
      </c>
      <c r="L157">
        <v>70</v>
      </c>
      <c r="N157" t="s">
        <v>73</v>
      </c>
      <c r="O157">
        <v>30</v>
      </c>
      <c r="P157">
        <v>0.5</v>
      </c>
      <c r="Q157">
        <v>3.2500000000000001E-2</v>
      </c>
      <c r="R157">
        <v>77.5</v>
      </c>
      <c r="S157">
        <v>170</v>
      </c>
      <c r="T157">
        <v>20</v>
      </c>
      <c r="U157">
        <v>1812.1301775147931</v>
      </c>
      <c r="V157">
        <v>20</v>
      </c>
      <c r="W157">
        <v>0.95</v>
      </c>
      <c r="X157">
        <v>1</v>
      </c>
      <c r="Y157">
        <v>141518.2254690124</v>
      </c>
      <c r="Z157">
        <v>424554676.40703708</v>
      </c>
      <c r="AA157">
        <v>1698218705.6281481</v>
      </c>
      <c r="AB157">
        <v>1698218.705628148</v>
      </c>
      <c r="AC157">
        <v>66773.504273504266</v>
      </c>
      <c r="AD157">
        <v>4400.1991146888304</v>
      </c>
      <c r="AE157">
        <v>7920358.4064398939</v>
      </c>
      <c r="AF157">
        <v>5544250.8845079252</v>
      </c>
      <c r="AG157">
        <v>155.29280399980161</v>
      </c>
      <c r="AH157">
        <v>1742.874867337099</v>
      </c>
      <c r="AI157">
        <v>348.57497346741968</v>
      </c>
      <c r="AJ157">
        <v>55192.10793291482</v>
      </c>
      <c r="AK157">
        <v>2170.1388888888891</v>
      </c>
      <c r="AL157" t="s">
        <v>95</v>
      </c>
      <c r="AM157">
        <v>135072.80221862509</v>
      </c>
      <c r="AN157">
        <v>1579.311963571007</v>
      </c>
      <c r="AO157">
        <v>59257.745489461347</v>
      </c>
      <c r="AP157">
        <v>194014.3610039998</v>
      </c>
      <c r="AQ157">
        <v>134756.61551453851</v>
      </c>
      <c r="AR157">
        <v>9.9548359341269863E-3</v>
      </c>
      <c r="AS157">
        <v>355.40673174389542</v>
      </c>
      <c r="AT157">
        <v>869.7943416540902</v>
      </c>
      <c r="AU157">
        <v>10.16989791473547</v>
      </c>
      <c r="AV157">
        <v>381.58719504824597</v>
      </c>
      <c r="AW157">
        <v>1249.345468733037</v>
      </c>
      <c r="AX157">
        <v>867.75827368479099</v>
      </c>
      <c r="AY157">
        <v>2.2446305591073301</v>
      </c>
      <c r="AZ157" t="s">
        <v>144</v>
      </c>
      <c r="BA157" t="str">
        <f>VLOOKUP($AZ157,Sheet1!$A$2:$B$58,2)</f>
        <v>Pentane</v>
      </c>
      <c r="BB157" t="s">
        <v>192</v>
      </c>
      <c r="BC157">
        <v>72.147580000000005</v>
      </c>
      <c r="BD157">
        <v>6.4</v>
      </c>
      <c r="BE157">
        <v>36.1</v>
      </c>
      <c r="BF157" t="s">
        <v>200</v>
      </c>
      <c r="BG157">
        <v>6.7099963713266604</v>
      </c>
      <c r="BH157">
        <v>6.25E-2</v>
      </c>
      <c r="BI157">
        <v>0.16098621028204199</v>
      </c>
      <c r="BJ157">
        <v>80</v>
      </c>
      <c r="BK157">
        <v>9700.7180501999901</v>
      </c>
      <c r="BL157">
        <v>6737.8307757269231</v>
      </c>
      <c r="BM157">
        <v>10.718752302044329</v>
      </c>
      <c r="BN157">
        <v>1822.187891347535</v>
      </c>
      <c r="BO157">
        <v>7878.5301588524544</v>
      </c>
    </row>
    <row r="158" spans="1:67" x14ac:dyDescent="0.25">
      <c r="A158" s="1">
        <v>156</v>
      </c>
      <c r="B158" t="s">
        <v>67</v>
      </c>
      <c r="C158" t="s">
        <v>82</v>
      </c>
      <c r="D158">
        <v>1</v>
      </c>
      <c r="E158">
        <v>0</v>
      </c>
      <c r="F158">
        <v>1</v>
      </c>
      <c r="G158">
        <v>28.009699999999999</v>
      </c>
      <c r="H158">
        <v>2</v>
      </c>
      <c r="I158" t="s">
        <v>89</v>
      </c>
      <c r="J158">
        <v>4</v>
      </c>
      <c r="K158">
        <v>300</v>
      </c>
      <c r="L158">
        <v>70</v>
      </c>
      <c r="N158" t="s">
        <v>73</v>
      </c>
      <c r="O158">
        <v>30</v>
      </c>
      <c r="P158">
        <v>0.5</v>
      </c>
      <c r="Q158">
        <v>3.2500000000000001E-2</v>
      </c>
      <c r="R158">
        <v>77.5</v>
      </c>
      <c r="S158">
        <v>170</v>
      </c>
      <c r="T158">
        <v>20</v>
      </c>
      <c r="U158">
        <v>1812.1301775147931</v>
      </c>
      <c r="V158">
        <v>20</v>
      </c>
      <c r="W158">
        <v>0.95</v>
      </c>
      <c r="X158">
        <v>1</v>
      </c>
      <c r="Y158">
        <v>120094.54273782529</v>
      </c>
      <c r="Z158">
        <v>360283628.21347588</v>
      </c>
      <c r="AA158">
        <v>1441134512.853904</v>
      </c>
      <c r="AB158">
        <v>1441134.512853903</v>
      </c>
      <c r="AC158">
        <v>0</v>
      </c>
      <c r="AD158">
        <v>3734.0766454823101</v>
      </c>
      <c r="AE158">
        <v>6721337.9618681576</v>
      </c>
      <c r="AF158">
        <v>4704936.5733077098</v>
      </c>
      <c r="AG158">
        <v>131.783861937377</v>
      </c>
      <c r="AH158">
        <v>1479.0304185090879</v>
      </c>
      <c r="AI158">
        <v>295.80608370181761</v>
      </c>
      <c r="AJ158">
        <v>46836.871667751861</v>
      </c>
      <c r="AK158">
        <v>854.70085470085473</v>
      </c>
      <c r="AL158" t="s">
        <v>93</v>
      </c>
      <c r="AM158">
        <v>114624.8574344543</v>
      </c>
      <c r="AN158">
        <v>1340.2284227127161</v>
      </c>
      <c r="AO158">
        <v>50287.034229308993</v>
      </c>
      <c r="AP158">
        <v>163656.65837961971</v>
      </c>
      <c r="AQ158">
        <v>113369.6241503107</v>
      </c>
      <c r="AR158">
        <v>9.9548359341269828E-3</v>
      </c>
      <c r="AS158">
        <v>355.40673174389531</v>
      </c>
      <c r="AT158">
        <v>869.79434165409009</v>
      </c>
      <c r="AU158">
        <v>10.16989791473546</v>
      </c>
      <c r="AV158">
        <v>381.58719504824597</v>
      </c>
      <c r="AW158">
        <v>1241.8565974139419</v>
      </c>
      <c r="AX158">
        <v>860.26940236569612</v>
      </c>
      <c r="AY158">
        <v>2.2446305591073288</v>
      </c>
      <c r="AZ158" t="s">
        <v>145</v>
      </c>
      <c r="BA158" t="str">
        <f>VLOOKUP($AZ158,Sheet1!$A$2:$B$58,2)</f>
        <v>Pentanol (PW1)</v>
      </c>
      <c r="BB158" t="s">
        <v>157</v>
      </c>
      <c r="BC158">
        <v>88.14658</v>
      </c>
      <c r="BD158">
        <v>6</v>
      </c>
      <c r="BE158">
        <v>138</v>
      </c>
      <c r="BF158" t="s">
        <v>200</v>
      </c>
      <c r="BG158">
        <v>5.389445795324912</v>
      </c>
      <c r="BH158">
        <v>6.0281690140845098E-2</v>
      </c>
      <c r="BI158">
        <v>0.189704563460736</v>
      </c>
      <c r="BJ158">
        <v>80</v>
      </c>
      <c r="BK158">
        <v>8182.8329189809847</v>
      </c>
      <c r="BL158">
        <v>5668.4812075155342</v>
      </c>
      <c r="BM158">
        <v>9.4008583897659665</v>
      </c>
      <c r="BN158">
        <v>1598.1459262602141</v>
      </c>
      <c r="BO158">
        <v>6584.6869927207699</v>
      </c>
    </row>
    <row r="159" spans="1:67" x14ac:dyDescent="0.25">
      <c r="A159" s="1">
        <v>157</v>
      </c>
      <c r="B159" t="s">
        <v>67</v>
      </c>
      <c r="C159" t="s">
        <v>82</v>
      </c>
      <c r="D159">
        <v>1</v>
      </c>
      <c r="E159">
        <v>0</v>
      </c>
      <c r="F159">
        <v>1</v>
      </c>
      <c r="G159">
        <v>28.009699999999999</v>
      </c>
      <c r="H159">
        <v>2</v>
      </c>
      <c r="I159" t="s">
        <v>89</v>
      </c>
      <c r="J159">
        <v>4</v>
      </c>
      <c r="K159">
        <v>300</v>
      </c>
      <c r="L159">
        <v>70</v>
      </c>
      <c r="N159" t="s">
        <v>73</v>
      </c>
      <c r="O159">
        <v>30</v>
      </c>
      <c r="P159">
        <v>0.5</v>
      </c>
      <c r="Q159">
        <v>3.2500000000000001E-2</v>
      </c>
      <c r="R159">
        <v>77.5</v>
      </c>
      <c r="S159">
        <v>170</v>
      </c>
      <c r="T159">
        <v>20</v>
      </c>
      <c r="U159">
        <v>1812.1301775147931</v>
      </c>
      <c r="V159">
        <v>20</v>
      </c>
      <c r="W159">
        <v>0.95</v>
      </c>
      <c r="X159">
        <v>1</v>
      </c>
      <c r="Y159">
        <v>120094.54273782529</v>
      </c>
      <c r="Z159">
        <v>360283628.21347588</v>
      </c>
      <c r="AA159">
        <v>1441134512.853904</v>
      </c>
      <c r="AB159">
        <v>1441134.512853903</v>
      </c>
      <c r="AC159">
        <v>0</v>
      </c>
      <c r="AD159">
        <v>3734.0766454823101</v>
      </c>
      <c r="AE159">
        <v>6721337.9618681576</v>
      </c>
      <c r="AF159">
        <v>4704936.5733077098</v>
      </c>
      <c r="AG159">
        <v>131.783861937377</v>
      </c>
      <c r="AH159">
        <v>1479.0304185090879</v>
      </c>
      <c r="AI159">
        <v>295.80608370181761</v>
      </c>
      <c r="AJ159">
        <v>46836.871667751861</v>
      </c>
      <c r="AK159">
        <v>854.70085470085473</v>
      </c>
      <c r="AL159" t="s">
        <v>93</v>
      </c>
      <c r="AM159">
        <v>114624.8574344543</v>
      </c>
      <c r="AN159">
        <v>1340.2284227127161</v>
      </c>
      <c r="AO159">
        <v>50287.034229308993</v>
      </c>
      <c r="AP159">
        <v>163656.65837961971</v>
      </c>
      <c r="AQ159">
        <v>113369.6241503107</v>
      </c>
      <c r="AR159">
        <v>9.9548359341269828E-3</v>
      </c>
      <c r="AS159">
        <v>355.40673174389531</v>
      </c>
      <c r="AT159">
        <v>869.79434165409009</v>
      </c>
      <c r="AU159">
        <v>10.16989791473546</v>
      </c>
      <c r="AV159">
        <v>381.58719504824597</v>
      </c>
      <c r="AW159">
        <v>1241.8565974139419</v>
      </c>
      <c r="AX159">
        <v>860.26940236569612</v>
      </c>
      <c r="AY159">
        <v>2.2446305591073288</v>
      </c>
      <c r="AZ159" t="s">
        <v>146</v>
      </c>
      <c r="BA159" t="str">
        <f>VLOOKUP($AZ159,Sheet1!$A$2:$B$58,2)</f>
        <v>Pentanol (PW2)</v>
      </c>
      <c r="BB159" t="s">
        <v>157</v>
      </c>
      <c r="BC159">
        <v>88.14658</v>
      </c>
      <c r="BD159">
        <v>6</v>
      </c>
      <c r="BE159">
        <v>138</v>
      </c>
      <c r="BF159" t="s">
        <v>200</v>
      </c>
      <c r="BG159">
        <v>5.389445795324912</v>
      </c>
      <c r="BH159">
        <v>6.0281690140845098E-2</v>
      </c>
      <c r="BI159">
        <v>0.189704563460736</v>
      </c>
      <c r="BJ159">
        <v>80</v>
      </c>
      <c r="BK159">
        <v>8182.8329189809847</v>
      </c>
      <c r="BL159">
        <v>5668.4812075155342</v>
      </c>
      <c r="BM159">
        <v>9.4008583897659665</v>
      </c>
      <c r="BN159">
        <v>1598.1459262602141</v>
      </c>
      <c r="BO159">
        <v>6584.6869927207699</v>
      </c>
    </row>
    <row r="160" spans="1:67" x14ac:dyDescent="0.25">
      <c r="A160" s="1">
        <v>158</v>
      </c>
      <c r="B160" t="s">
        <v>67</v>
      </c>
      <c r="C160" t="s">
        <v>82</v>
      </c>
      <c r="D160">
        <v>1</v>
      </c>
      <c r="E160">
        <v>0</v>
      </c>
      <c r="F160">
        <v>1</v>
      </c>
      <c r="G160">
        <v>28.009699999999999</v>
      </c>
      <c r="H160">
        <v>2</v>
      </c>
      <c r="I160" t="s">
        <v>89</v>
      </c>
      <c r="J160">
        <v>4</v>
      </c>
      <c r="K160">
        <v>300</v>
      </c>
      <c r="L160">
        <v>70</v>
      </c>
      <c r="N160" t="s">
        <v>73</v>
      </c>
      <c r="O160">
        <v>30</v>
      </c>
      <c r="P160">
        <v>0.5</v>
      </c>
      <c r="Q160">
        <v>3.2500000000000001E-2</v>
      </c>
      <c r="R160">
        <v>77.5</v>
      </c>
      <c r="S160">
        <v>170</v>
      </c>
      <c r="T160">
        <v>20</v>
      </c>
      <c r="U160">
        <v>1812.1301775147931</v>
      </c>
      <c r="V160">
        <v>20</v>
      </c>
      <c r="W160">
        <v>0.95</v>
      </c>
      <c r="X160">
        <v>1</v>
      </c>
      <c r="Y160">
        <v>301014.28839298378</v>
      </c>
      <c r="Z160">
        <v>903042865.1789515</v>
      </c>
      <c r="AA160">
        <v>3612171460.715806</v>
      </c>
      <c r="AB160">
        <v>3612171.4607158061</v>
      </c>
      <c r="AC160">
        <v>0</v>
      </c>
      <c r="AD160">
        <v>9359.3796905368981</v>
      </c>
      <c r="AE160">
        <v>16846883.44296642</v>
      </c>
      <c r="AF160">
        <v>11792818.41007649</v>
      </c>
      <c r="AG160">
        <v>330.31330582071962</v>
      </c>
      <c r="AH160">
        <v>3707.15670162476</v>
      </c>
      <c r="AI160">
        <v>741.43134032495198</v>
      </c>
      <c r="AJ160">
        <v>117395.5724732637</v>
      </c>
      <c r="AK160">
        <v>854.70085470085473</v>
      </c>
      <c r="AL160" t="s">
        <v>93</v>
      </c>
      <c r="AM160">
        <v>287304.64437591878</v>
      </c>
      <c r="AN160">
        <v>3359.2526000755129</v>
      </c>
      <c r="AO160">
        <v>126043.32785524181</v>
      </c>
      <c r="AP160">
        <v>408914.17030395888</v>
      </c>
      <c r="AQ160">
        <v>282870.8424487171</v>
      </c>
      <c r="AR160">
        <v>9.9548359341269845E-3</v>
      </c>
      <c r="AS160">
        <v>355.40673174389531</v>
      </c>
      <c r="AT160">
        <v>869.79434165408998</v>
      </c>
      <c r="AU160">
        <v>10.16989791473546</v>
      </c>
      <c r="AV160">
        <v>381.58719504824597</v>
      </c>
      <c r="AW160">
        <v>1237.958517256646</v>
      </c>
      <c r="AX160">
        <v>856.37132220839953</v>
      </c>
      <c r="AY160">
        <v>2.2446305591073288</v>
      </c>
      <c r="AZ160" t="s">
        <v>147</v>
      </c>
      <c r="BA160" t="str">
        <f>VLOOKUP($AZ160,Sheet1!$A$2:$B$58,2)</f>
        <v>Phenol</v>
      </c>
      <c r="BB160" t="s">
        <v>193</v>
      </c>
      <c r="BC160">
        <v>94.11023999999999</v>
      </c>
      <c r="BD160">
        <v>4.666666666666667</v>
      </c>
      <c r="BE160">
        <v>181.7</v>
      </c>
      <c r="BF160" t="s">
        <v>200</v>
      </c>
      <c r="BG160">
        <v>10.847570643061941</v>
      </c>
      <c r="BH160">
        <v>2.25263157894737E-2</v>
      </c>
      <c r="BI160">
        <v>7.5685718859805698E-2</v>
      </c>
      <c r="BJ160">
        <v>80</v>
      </c>
      <c r="BK160">
        <v>20445.708515197941</v>
      </c>
      <c r="BL160">
        <v>14143.542122435851</v>
      </c>
      <c r="BM160">
        <v>26.22399637318566</v>
      </c>
      <c r="BN160">
        <v>4458.0793834415617</v>
      </c>
      <c r="BO160">
        <v>15987.629131756379</v>
      </c>
    </row>
    <row r="161" spans="1:67" x14ac:dyDescent="0.25">
      <c r="A161" s="1">
        <v>159</v>
      </c>
      <c r="B161" t="s">
        <v>67</v>
      </c>
      <c r="C161" t="s">
        <v>82</v>
      </c>
      <c r="D161">
        <v>1</v>
      </c>
      <c r="E161">
        <v>0</v>
      </c>
      <c r="F161">
        <v>1</v>
      </c>
      <c r="G161">
        <v>28.009699999999999</v>
      </c>
      <c r="H161">
        <v>2</v>
      </c>
      <c r="I161" t="s">
        <v>89</v>
      </c>
      <c r="J161">
        <v>4</v>
      </c>
      <c r="K161">
        <v>300</v>
      </c>
      <c r="L161">
        <v>70</v>
      </c>
      <c r="N161" t="s">
        <v>73</v>
      </c>
      <c r="O161">
        <v>30</v>
      </c>
      <c r="P161">
        <v>0.5</v>
      </c>
      <c r="Q161">
        <v>3.2500000000000001E-2</v>
      </c>
      <c r="R161">
        <v>77.5</v>
      </c>
      <c r="S161">
        <v>170</v>
      </c>
      <c r="T161">
        <v>20</v>
      </c>
      <c r="U161">
        <v>1812.1301775147931</v>
      </c>
      <c r="V161">
        <v>20</v>
      </c>
      <c r="W161">
        <v>0.95</v>
      </c>
      <c r="X161">
        <v>1</v>
      </c>
      <c r="Y161">
        <v>144719.3442093023</v>
      </c>
      <c r="Z161">
        <v>434158032.62790698</v>
      </c>
      <c r="AA161">
        <v>1736632130.5116279</v>
      </c>
      <c r="AB161">
        <v>1736632.130511628</v>
      </c>
      <c r="AC161">
        <v>66773.504273504266</v>
      </c>
      <c r="AD161">
        <v>4499.7308873658558</v>
      </c>
      <c r="AE161">
        <v>8099515.5972585408</v>
      </c>
      <c r="AF161">
        <v>5669660.9180809781</v>
      </c>
      <c r="AG161">
        <v>158.80550141717279</v>
      </c>
      <c r="AH161">
        <v>1782.2984071767421</v>
      </c>
      <c r="AI161">
        <v>356.45968143534839</v>
      </c>
      <c r="AJ161">
        <v>56440.544241627911</v>
      </c>
      <c r="AK161">
        <v>2170.1388888888891</v>
      </c>
      <c r="AL161" t="s">
        <v>95</v>
      </c>
      <c r="AM161">
        <v>138128.1265561975</v>
      </c>
      <c r="AN161">
        <v>1615.0357377110261</v>
      </c>
      <c r="AO161">
        <v>60598.145844009217</v>
      </c>
      <c r="AP161">
        <v>198353.84542442529</v>
      </c>
      <c r="AQ161">
        <v>137755.69958041611</v>
      </c>
      <c r="AR161">
        <v>9.9548359341269845E-3</v>
      </c>
      <c r="AS161">
        <v>355.40673174389531</v>
      </c>
      <c r="AT161">
        <v>869.7943416540902</v>
      </c>
      <c r="AU161">
        <v>10.16989791473547</v>
      </c>
      <c r="AV161">
        <v>381.58719504824597</v>
      </c>
      <c r="AW161">
        <v>1249.0363599140139</v>
      </c>
      <c r="AX161">
        <v>867.44916486576813</v>
      </c>
      <c r="AY161">
        <v>2.2446305591073301</v>
      </c>
      <c r="AZ161" t="s">
        <v>148</v>
      </c>
      <c r="BA161" t="str">
        <f>VLOOKUP($AZ161,Sheet1!$A$2:$B$58,2)</f>
        <v>Propane (PW1)</v>
      </c>
      <c r="BB161" t="s">
        <v>194</v>
      </c>
      <c r="BC161">
        <v>44.094819999999999</v>
      </c>
      <c r="BD161">
        <v>6.666666666666667</v>
      </c>
      <c r="BE161">
        <v>-42</v>
      </c>
      <c r="BF161" t="s">
        <v>200</v>
      </c>
      <c r="BG161">
        <v>6.986534926324679</v>
      </c>
      <c r="BH161">
        <v>0.1</v>
      </c>
      <c r="BI161">
        <v>0.15742527668689801</v>
      </c>
      <c r="BJ161">
        <v>80</v>
      </c>
      <c r="BK161">
        <v>9917.6922712212636</v>
      </c>
      <c r="BL161">
        <v>6887.7849790208038</v>
      </c>
      <c r="BM161">
        <v>10.836449145442741</v>
      </c>
      <c r="BN161">
        <v>1842.196354725266</v>
      </c>
      <c r="BO161">
        <v>8075.4959164959982</v>
      </c>
    </row>
    <row r="162" spans="1:67" x14ac:dyDescent="0.25">
      <c r="A162" s="1">
        <v>160</v>
      </c>
      <c r="B162" t="s">
        <v>67</v>
      </c>
      <c r="C162" t="s">
        <v>82</v>
      </c>
      <c r="D162">
        <v>1</v>
      </c>
      <c r="E162">
        <v>0</v>
      </c>
      <c r="F162">
        <v>1</v>
      </c>
      <c r="G162">
        <v>28.009699999999999</v>
      </c>
      <c r="H162">
        <v>2</v>
      </c>
      <c r="I162" t="s">
        <v>89</v>
      </c>
      <c r="J162">
        <v>4</v>
      </c>
      <c r="K162">
        <v>300</v>
      </c>
      <c r="L162">
        <v>70</v>
      </c>
      <c r="N162" t="s">
        <v>73</v>
      </c>
      <c r="O162">
        <v>30</v>
      </c>
      <c r="P162">
        <v>0.5</v>
      </c>
      <c r="Q162">
        <v>3.2500000000000001E-2</v>
      </c>
      <c r="R162">
        <v>77.5</v>
      </c>
      <c r="S162">
        <v>170</v>
      </c>
      <c r="T162">
        <v>20</v>
      </c>
      <c r="U162">
        <v>1812.1301775147931</v>
      </c>
      <c r="V162">
        <v>20</v>
      </c>
      <c r="W162">
        <v>0.95</v>
      </c>
      <c r="X162">
        <v>1</v>
      </c>
      <c r="Y162">
        <v>144719.3442093023</v>
      </c>
      <c r="Z162">
        <v>434158032.62790698</v>
      </c>
      <c r="AA162">
        <v>1736632130.5116279</v>
      </c>
      <c r="AB162">
        <v>1736632.130511628</v>
      </c>
      <c r="AC162">
        <v>66773.504273504266</v>
      </c>
      <c r="AD162">
        <v>4499.7308873658558</v>
      </c>
      <c r="AE162">
        <v>8099515.5972585408</v>
      </c>
      <c r="AF162">
        <v>5669660.9180809781</v>
      </c>
      <c r="AG162">
        <v>158.80550141717279</v>
      </c>
      <c r="AH162">
        <v>1782.2984071767421</v>
      </c>
      <c r="AI162">
        <v>356.45968143534839</v>
      </c>
      <c r="AJ162">
        <v>56440.544241627911</v>
      </c>
      <c r="AK162">
        <v>2170.1388888888891</v>
      </c>
      <c r="AL162" t="s">
        <v>95</v>
      </c>
      <c r="AM162">
        <v>138128.1265561975</v>
      </c>
      <c r="AN162">
        <v>1615.0357377110261</v>
      </c>
      <c r="AO162">
        <v>60598.145844009217</v>
      </c>
      <c r="AP162">
        <v>198353.84542442529</v>
      </c>
      <c r="AQ162">
        <v>137755.69958041611</v>
      </c>
      <c r="AR162">
        <v>9.9548359341269845E-3</v>
      </c>
      <c r="AS162">
        <v>355.40673174389531</v>
      </c>
      <c r="AT162">
        <v>869.7943416540902</v>
      </c>
      <c r="AU162">
        <v>10.16989791473547</v>
      </c>
      <c r="AV162">
        <v>381.58719504824597</v>
      </c>
      <c r="AW162">
        <v>1249.0363599140139</v>
      </c>
      <c r="AX162">
        <v>867.44916486576813</v>
      </c>
      <c r="AY162">
        <v>2.2446305591073301</v>
      </c>
      <c r="AZ162" t="s">
        <v>149</v>
      </c>
      <c r="BA162" t="str">
        <f>VLOOKUP($AZ162,Sheet1!$A$2:$B$58,2)</f>
        <v>Propane (PW2)</v>
      </c>
      <c r="BB162" t="s">
        <v>194</v>
      </c>
      <c r="BC162">
        <v>44.094819999999999</v>
      </c>
      <c r="BD162">
        <v>6.666666666666667</v>
      </c>
      <c r="BE162">
        <v>-42</v>
      </c>
      <c r="BF162" t="s">
        <v>200</v>
      </c>
      <c r="BG162">
        <v>6.986534926324679</v>
      </c>
      <c r="BH162">
        <v>0.1</v>
      </c>
      <c r="BI162">
        <v>0.15742527668689801</v>
      </c>
      <c r="BJ162">
        <v>80</v>
      </c>
      <c r="BK162">
        <v>9917.6922712212636</v>
      </c>
      <c r="BL162">
        <v>6887.7849790208038</v>
      </c>
      <c r="BM162">
        <v>10.836449145442741</v>
      </c>
      <c r="BN162">
        <v>1842.196354725266</v>
      </c>
      <c r="BO162">
        <v>8075.4959164959982</v>
      </c>
    </row>
    <row r="163" spans="1:67" x14ac:dyDescent="0.25">
      <c r="A163" s="1">
        <v>161</v>
      </c>
      <c r="B163" t="s">
        <v>67</v>
      </c>
      <c r="C163" t="s">
        <v>82</v>
      </c>
      <c r="D163">
        <v>1</v>
      </c>
      <c r="E163">
        <v>0</v>
      </c>
      <c r="F163">
        <v>1</v>
      </c>
      <c r="G163">
        <v>28.009699999999999</v>
      </c>
      <c r="H163">
        <v>2</v>
      </c>
      <c r="I163" t="s">
        <v>89</v>
      </c>
      <c r="J163">
        <v>4</v>
      </c>
      <c r="K163">
        <v>300</v>
      </c>
      <c r="L163">
        <v>70</v>
      </c>
      <c r="N163" t="s">
        <v>73</v>
      </c>
      <c r="O163">
        <v>30</v>
      </c>
      <c r="P163">
        <v>0.5</v>
      </c>
      <c r="Q163">
        <v>3.2500000000000001E-2</v>
      </c>
      <c r="R163">
        <v>77.5</v>
      </c>
      <c r="S163">
        <v>170</v>
      </c>
      <c r="T163">
        <v>20</v>
      </c>
      <c r="U163">
        <v>1812.1301775147931</v>
      </c>
      <c r="V163">
        <v>20</v>
      </c>
      <c r="W163">
        <v>0.95</v>
      </c>
      <c r="X163">
        <v>1</v>
      </c>
      <c r="Y163">
        <v>122281.3341145466</v>
      </c>
      <c r="Z163">
        <v>366844002.34363967</v>
      </c>
      <c r="AA163">
        <v>1467376009.3745589</v>
      </c>
      <c r="AB163">
        <v>1467376.0093745589</v>
      </c>
      <c r="AC163">
        <v>0</v>
      </c>
      <c r="AD163">
        <v>3802.0701314659582</v>
      </c>
      <c r="AE163">
        <v>6843726.2366387248</v>
      </c>
      <c r="AF163">
        <v>4790608.3656471074</v>
      </c>
      <c r="AG163">
        <v>134.18350313926581</v>
      </c>
      <c r="AH163">
        <v>1505.9619583723511</v>
      </c>
      <c r="AI163">
        <v>301.19239167447017</v>
      </c>
      <c r="AJ163">
        <v>47689.720304673167</v>
      </c>
      <c r="AK163">
        <v>854.70085470085473</v>
      </c>
      <c r="AL163" t="s">
        <v>93</v>
      </c>
      <c r="AM163">
        <v>116712.05177385719</v>
      </c>
      <c r="AN163">
        <v>1364.632528767919</v>
      </c>
      <c r="AO163">
        <v>51202.706584659943</v>
      </c>
      <c r="AP163">
        <v>166621.1054619991</v>
      </c>
      <c r="AQ163">
        <v>115418.3988773392</v>
      </c>
      <c r="AR163">
        <v>9.9548359341269845E-3</v>
      </c>
      <c r="AS163">
        <v>355.40673174389531</v>
      </c>
      <c r="AT163">
        <v>869.79434165408998</v>
      </c>
      <c r="AU163">
        <v>10.16989791473547</v>
      </c>
      <c r="AV163">
        <v>381.58719504824592</v>
      </c>
      <c r="AW163">
        <v>1241.740613144279</v>
      </c>
      <c r="AX163">
        <v>860.15341809603262</v>
      </c>
      <c r="AY163">
        <v>2.2446305591073288</v>
      </c>
      <c r="AZ163" t="s">
        <v>150</v>
      </c>
      <c r="BA163" t="str">
        <f>VLOOKUP($AZ163,Sheet1!$A$2:$B$58,2)</f>
        <v>Shikimate</v>
      </c>
      <c r="BB163" t="s">
        <v>195</v>
      </c>
      <c r="BC163">
        <v>173.14045999999999</v>
      </c>
      <c r="BD163">
        <v>3.8571428571428572</v>
      </c>
      <c r="BE163">
        <v>400.5</v>
      </c>
      <c r="BF163" t="s">
        <v>200</v>
      </c>
      <c r="BG163">
        <v>4.2166483207133831</v>
      </c>
      <c r="BH163">
        <v>3.0140845070422501E-2</v>
      </c>
      <c r="BI163">
        <v>0.18631202357307</v>
      </c>
      <c r="BJ163">
        <v>80</v>
      </c>
      <c r="BK163">
        <v>8331.0552730999552</v>
      </c>
      <c r="BL163">
        <v>5770.9199438669593</v>
      </c>
      <c r="BM163">
        <v>10.84297126301013</v>
      </c>
      <c r="BN163">
        <v>1843.3051147117219</v>
      </c>
      <c r="BO163">
        <v>6487.7501583882331</v>
      </c>
    </row>
    <row r="164" spans="1:67" x14ac:dyDescent="0.25">
      <c r="A164" s="1">
        <v>162</v>
      </c>
      <c r="B164" t="s">
        <v>67</v>
      </c>
      <c r="C164" t="s">
        <v>82</v>
      </c>
      <c r="D164">
        <v>1</v>
      </c>
      <c r="E164">
        <v>0</v>
      </c>
      <c r="F164">
        <v>1</v>
      </c>
      <c r="G164">
        <v>28.009699999999999</v>
      </c>
      <c r="H164">
        <v>2</v>
      </c>
      <c r="I164" t="s">
        <v>89</v>
      </c>
      <c r="J164">
        <v>4</v>
      </c>
      <c r="K164">
        <v>300</v>
      </c>
      <c r="L164">
        <v>70</v>
      </c>
      <c r="N164" t="s">
        <v>73</v>
      </c>
      <c r="O164">
        <v>30</v>
      </c>
      <c r="P164">
        <v>0.5</v>
      </c>
      <c r="Q164">
        <v>3.2500000000000001E-2</v>
      </c>
      <c r="R164">
        <v>77.5</v>
      </c>
      <c r="S164">
        <v>170</v>
      </c>
      <c r="T164">
        <v>20</v>
      </c>
      <c r="U164">
        <v>1812.1301775147931</v>
      </c>
      <c r="V164">
        <v>20</v>
      </c>
      <c r="W164">
        <v>0.95</v>
      </c>
      <c r="X164">
        <v>1</v>
      </c>
      <c r="Y164">
        <v>297770.35391809873</v>
      </c>
      <c r="Z164">
        <v>893311061.75429618</v>
      </c>
      <c r="AA164">
        <v>3573244247.0171852</v>
      </c>
      <c r="AB164">
        <v>3573244.2470171852</v>
      </c>
      <c r="AC164">
        <v>0</v>
      </c>
      <c r="AD164">
        <v>9258.5166564139636</v>
      </c>
      <c r="AE164">
        <v>16665329.98154513</v>
      </c>
      <c r="AF164">
        <v>11665730.987081589</v>
      </c>
      <c r="AG164">
        <v>326.75362522885928</v>
      </c>
      <c r="AH164">
        <v>3667.205862439007</v>
      </c>
      <c r="AI164">
        <v>733.4411724878014</v>
      </c>
      <c r="AJ164">
        <v>116130.4380280585</v>
      </c>
      <c r="AK164">
        <v>854.70085470085473</v>
      </c>
      <c r="AL164" t="s">
        <v>93</v>
      </c>
      <c r="AM164">
        <v>284208.45433902298</v>
      </c>
      <c r="AN164">
        <v>3323.0510118472298</v>
      </c>
      <c r="AO164">
        <v>124684.9993229262</v>
      </c>
      <c r="AP164">
        <v>404516.64423362957</v>
      </c>
      <c r="AQ164">
        <v>279831.64491070341</v>
      </c>
      <c r="AR164">
        <v>9.9548359341269845E-3</v>
      </c>
      <c r="AS164">
        <v>355.40673174389531</v>
      </c>
      <c r="AT164">
        <v>869.7943416540902</v>
      </c>
      <c r="AU164">
        <v>10.16989791473546</v>
      </c>
      <c r="AV164">
        <v>381.58719504824597</v>
      </c>
      <c r="AW164">
        <v>1237.9867061927921</v>
      </c>
      <c r="AX164">
        <v>856.3995111445463</v>
      </c>
      <c r="AY164">
        <v>2.2446305591073301</v>
      </c>
      <c r="AZ164" t="s">
        <v>151</v>
      </c>
      <c r="BA164" t="str">
        <f>VLOOKUP($AZ164,Sheet1!$A$2:$B$58,2)</f>
        <v>Styrene</v>
      </c>
      <c r="BB164" t="s">
        <v>196</v>
      </c>
      <c r="BC164">
        <v>104.14832</v>
      </c>
      <c r="BD164">
        <v>5</v>
      </c>
      <c r="BE164">
        <v>145</v>
      </c>
      <c r="BF164" t="s">
        <v>200</v>
      </c>
      <c r="BG164">
        <v>11.11320729089895</v>
      </c>
      <c r="BH164">
        <v>2.05769230769231E-2</v>
      </c>
      <c r="BI164">
        <v>7.6510245242083899E-2</v>
      </c>
      <c r="BJ164">
        <v>80</v>
      </c>
      <c r="BK164">
        <v>20225.832211681482</v>
      </c>
      <c r="BL164">
        <v>13991.58224553517</v>
      </c>
      <c r="BM164">
        <v>25.55885133349113</v>
      </c>
      <c r="BN164">
        <v>4345.0047266934916</v>
      </c>
      <c r="BO164">
        <v>15880.827484987991</v>
      </c>
    </row>
    <row r="165" spans="1:67" x14ac:dyDescent="0.25">
      <c r="A165" s="1">
        <v>163</v>
      </c>
      <c r="B165" t="s">
        <v>67</v>
      </c>
      <c r="C165" t="s">
        <v>82</v>
      </c>
      <c r="D165">
        <v>1</v>
      </c>
      <c r="E165">
        <v>0</v>
      </c>
      <c r="F165">
        <v>1</v>
      </c>
      <c r="G165">
        <v>28.009699999999999</v>
      </c>
      <c r="H165">
        <v>2</v>
      </c>
      <c r="I165" t="s">
        <v>89</v>
      </c>
      <c r="J165">
        <v>4</v>
      </c>
      <c r="K165">
        <v>300</v>
      </c>
      <c r="L165">
        <v>70</v>
      </c>
      <c r="N165" t="s">
        <v>73</v>
      </c>
      <c r="O165">
        <v>30</v>
      </c>
      <c r="P165">
        <v>0.5</v>
      </c>
      <c r="Q165">
        <v>3.2500000000000001E-2</v>
      </c>
      <c r="R165">
        <v>77.5</v>
      </c>
      <c r="S165">
        <v>170</v>
      </c>
      <c r="T165">
        <v>20</v>
      </c>
      <c r="U165">
        <v>1812.1301775147931</v>
      </c>
      <c r="V165">
        <v>20</v>
      </c>
      <c r="W165">
        <v>0.95</v>
      </c>
      <c r="X165">
        <v>1</v>
      </c>
      <c r="Y165">
        <v>52666.403795764621</v>
      </c>
      <c r="Z165">
        <v>157999211.38729379</v>
      </c>
      <c r="AA165">
        <v>631996845.54917538</v>
      </c>
      <c r="AB165">
        <v>631996.8455491754</v>
      </c>
      <c r="AC165">
        <v>0</v>
      </c>
      <c r="AD165">
        <v>1637.546419112721</v>
      </c>
      <c r="AE165">
        <v>2947583.554402899</v>
      </c>
      <c r="AF165">
        <v>2063308.4880820289</v>
      </c>
      <c r="AG165">
        <v>57.792651758631209</v>
      </c>
      <c r="AH165">
        <v>648.61576114635773</v>
      </c>
      <c r="AI165">
        <v>129.72315222927159</v>
      </c>
      <c r="AJ165">
        <v>20539.897480348201</v>
      </c>
      <c r="AK165">
        <v>854.70085470085473</v>
      </c>
      <c r="AL165" t="s">
        <v>93</v>
      </c>
      <c r="AM165">
        <v>50267.721488842733</v>
      </c>
      <c r="AN165">
        <v>587.74536860713647</v>
      </c>
      <c r="AO165">
        <v>22052.935878976161</v>
      </c>
      <c r="AP165">
        <v>72250.065192498922</v>
      </c>
      <c r="AQ165">
        <v>50197.129313522761</v>
      </c>
      <c r="AR165">
        <v>9.9548359341269845E-3</v>
      </c>
      <c r="AS165">
        <v>355.40673174389531</v>
      </c>
      <c r="AT165">
        <v>869.79434165409009</v>
      </c>
      <c r="AU165">
        <v>10.16989791473547</v>
      </c>
      <c r="AV165">
        <v>381.58719504824597</v>
      </c>
      <c r="AW165">
        <v>1250.1600635016459</v>
      </c>
      <c r="AX165">
        <v>868.57286845340036</v>
      </c>
      <c r="AY165">
        <v>2.2446305591073301</v>
      </c>
      <c r="AZ165" t="s">
        <v>152</v>
      </c>
      <c r="BA165" t="str">
        <f>VLOOKUP($AZ165,Sheet1!$A$2:$B$58,2)</f>
        <v>Succinate</v>
      </c>
      <c r="BB165" t="s">
        <v>197</v>
      </c>
      <c r="BC165">
        <v>116.07016</v>
      </c>
      <c r="BD165">
        <v>3</v>
      </c>
      <c r="BE165">
        <v>235</v>
      </c>
      <c r="BF165" t="s">
        <v>200</v>
      </c>
      <c r="BG165">
        <v>1.6265210692193739</v>
      </c>
      <c r="BH165">
        <v>0.10439024390243901</v>
      </c>
      <c r="BI165">
        <v>0.43258094652606599</v>
      </c>
      <c r="BJ165">
        <v>80</v>
      </c>
      <c r="BK165">
        <v>3612.5032596249462</v>
      </c>
      <c r="BL165">
        <v>2509.8564656761382</v>
      </c>
      <c r="BM165">
        <v>4.8596365422442052</v>
      </c>
      <c r="BN165">
        <v>826.13821218151486</v>
      </c>
      <c r="BO165">
        <v>2786.3650474434312</v>
      </c>
    </row>
    <row r="166" spans="1:67" x14ac:dyDescent="0.25">
      <c r="A166" s="1">
        <v>164</v>
      </c>
      <c r="B166" t="s">
        <v>68</v>
      </c>
      <c r="C166" t="s">
        <v>82</v>
      </c>
      <c r="D166">
        <v>1</v>
      </c>
      <c r="E166">
        <v>0</v>
      </c>
      <c r="F166">
        <v>1</v>
      </c>
      <c r="G166">
        <v>28.009699999999999</v>
      </c>
      <c r="H166">
        <v>2</v>
      </c>
      <c r="I166" t="s">
        <v>89</v>
      </c>
      <c r="J166">
        <v>4</v>
      </c>
      <c r="K166">
        <v>300</v>
      </c>
      <c r="L166">
        <v>66.666666666666657</v>
      </c>
      <c r="N166" t="s">
        <v>91</v>
      </c>
      <c r="O166">
        <v>33.333333333333343</v>
      </c>
      <c r="P166">
        <v>0.33333333333333331</v>
      </c>
      <c r="Q166">
        <v>3.2500000000000001E-2</v>
      </c>
      <c r="R166">
        <v>77.5</v>
      </c>
      <c r="S166">
        <v>170</v>
      </c>
      <c r="T166">
        <v>20</v>
      </c>
      <c r="U166">
        <v>1812.1301775147931</v>
      </c>
      <c r="V166">
        <v>20</v>
      </c>
      <c r="W166">
        <v>0.95</v>
      </c>
      <c r="X166">
        <v>1</v>
      </c>
      <c r="Y166">
        <v>56490.036668173292</v>
      </c>
      <c r="Z166">
        <v>169470110.00451991</v>
      </c>
      <c r="AA166">
        <v>677880440.01807952</v>
      </c>
      <c r="AB166">
        <v>677880.44001807948</v>
      </c>
      <c r="AC166">
        <v>0</v>
      </c>
      <c r="AD166">
        <v>1756.433904624274</v>
      </c>
      <c r="AE166">
        <v>3161581.0283236932</v>
      </c>
      <c r="AF166">
        <v>2107720.6855491279</v>
      </c>
      <c r="AG166">
        <v>59.036624086025412</v>
      </c>
      <c r="AH166">
        <v>463.80393685508562</v>
      </c>
      <c r="AI166">
        <v>92.760787371017116</v>
      </c>
      <c r="AJ166">
        <v>22031.114300587578</v>
      </c>
      <c r="AK166">
        <v>854.70085470085473</v>
      </c>
      <c r="AL166" t="s">
        <v>93</v>
      </c>
      <c r="AM166">
        <v>35944.80510626913</v>
      </c>
      <c r="AN166">
        <v>630.41626219476598</v>
      </c>
      <c r="AO166">
        <v>15769.333853072911</v>
      </c>
      <c r="AP166">
        <v>59461.036523752337</v>
      </c>
      <c r="AQ166">
        <v>43691.702670679428</v>
      </c>
      <c r="AR166">
        <v>1.0452577730833331E-2</v>
      </c>
      <c r="AS166">
        <v>360.1890347189439</v>
      </c>
      <c r="AT166">
        <v>587.66544795432071</v>
      </c>
      <c r="AU166">
        <v>10.30674263012658</v>
      </c>
      <c r="AV166">
        <v>257.81451910254071</v>
      </c>
      <c r="AW166">
        <v>972.13482062988567</v>
      </c>
      <c r="AX166">
        <v>714.32030152734501</v>
      </c>
      <c r="AY166">
        <v>1.5712413913751311</v>
      </c>
      <c r="AZ166" t="s">
        <v>96</v>
      </c>
      <c r="BA166" t="str">
        <f>VLOOKUP($AZ166,Sheet1!$A$2:$B$58,2)</f>
        <v>1,3-Butanediol (PW1)</v>
      </c>
      <c r="BB166" t="s">
        <v>153</v>
      </c>
      <c r="BC166">
        <v>90.119200000000006</v>
      </c>
      <c r="BD166">
        <v>5.5</v>
      </c>
      <c r="BE166">
        <v>207</v>
      </c>
      <c r="BF166" t="s">
        <v>201</v>
      </c>
      <c r="BG166">
        <v>1.6278440110431609</v>
      </c>
      <c r="BH166">
        <v>0.13636363636363599</v>
      </c>
      <c r="BI166">
        <v>0.42346594824885597</v>
      </c>
      <c r="BJ166">
        <v>80</v>
      </c>
      <c r="BK166">
        <v>2869.5778983231148</v>
      </c>
      <c r="BL166">
        <v>2108.5529559143092</v>
      </c>
      <c r="BM166">
        <v>3.010195357507695</v>
      </c>
      <c r="BN166">
        <v>511.73321077630811</v>
      </c>
      <c r="BO166">
        <v>2357.8446875468071</v>
      </c>
    </row>
    <row r="167" spans="1:67" x14ac:dyDescent="0.25">
      <c r="A167" s="1">
        <v>165</v>
      </c>
      <c r="B167" t="s">
        <v>68</v>
      </c>
      <c r="C167" t="s">
        <v>82</v>
      </c>
      <c r="D167">
        <v>1</v>
      </c>
      <c r="E167">
        <v>0</v>
      </c>
      <c r="F167">
        <v>1</v>
      </c>
      <c r="G167">
        <v>28.009699999999999</v>
      </c>
      <c r="H167">
        <v>2</v>
      </c>
      <c r="I167" t="s">
        <v>89</v>
      </c>
      <c r="J167">
        <v>4</v>
      </c>
      <c r="K167">
        <v>300</v>
      </c>
      <c r="L167">
        <v>66.666666666666657</v>
      </c>
      <c r="N167" t="s">
        <v>91</v>
      </c>
      <c r="O167">
        <v>33.333333333333343</v>
      </c>
      <c r="P167">
        <v>0.33333333333333331</v>
      </c>
      <c r="Q167">
        <v>3.2500000000000001E-2</v>
      </c>
      <c r="R167">
        <v>77.5</v>
      </c>
      <c r="S167">
        <v>170</v>
      </c>
      <c r="T167">
        <v>20</v>
      </c>
      <c r="U167">
        <v>1812.1301775147931</v>
      </c>
      <c r="V167">
        <v>20</v>
      </c>
      <c r="W167">
        <v>0.95</v>
      </c>
      <c r="X167">
        <v>1</v>
      </c>
      <c r="Y167">
        <v>56490.036668173292</v>
      </c>
      <c r="Z167">
        <v>169470110.00451991</v>
      </c>
      <c r="AA167">
        <v>677880440.01807952</v>
      </c>
      <c r="AB167">
        <v>677880.44001807948</v>
      </c>
      <c r="AC167">
        <v>0</v>
      </c>
      <c r="AD167">
        <v>1756.433904624274</v>
      </c>
      <c r="AE167">
        <v>3161581.0283236932</v>
      </c>
      <c r="AF167">
        <v>2107720.6855491279</v>
      </c>
      <c r="AG167">
        <v>59.036624086025412</v>
      </c>
      <c r="AH167">
        <v>463.80393685508562</v>
      </c>
      <c r="AI167">
        <v>92.760787371017116</v>
      </c>
      <c r="AJ167">
        <v>22031.114300587578</v>
      </c>
      <c r="AK167">
        <v>854.70085470085473</v>
      </c>
      <c r="AL167" t="s">
        <v>93</v>
      </c>
      <c r="AM167">
        <v>35944.80510626913</v>
      </c>
      <c r="AN167">
        <v>630.41626219476598</v>
      </c>
      <c r="AO167">
        <v>15769.333853072911</v>
      </c>
      <c r="AP167">
        <v>59461.036523752337</v>
      </c>
      <c r="AQ167">
        <v>43691.702670679428</v>
      </c>
      <c r="AR167">
        <v>1.0452577730833331E-2</v>
      </c>
      <c r="AS167">
        <v>360.1890347189439</v>
      </c>
      <c r="AT167">
        <v>587.66544795432071</v>
      </c>
      <c r="AU167">
        <v>10.30674263012658</v>
      </c>
      <c r="AV167">
        <v>257.81451910254071</v>
      </c>
      <c r="AW167">
        <v>972.13482062988567</v>
      </c>
      <c r="AX167">
        <v>714.32030152734501</v>
      </c>
      <c r="AY167">
        <v>1.5712413913751311</v>
      </c>
      <c r="AZ167" t="s">
        <v>97</v>
      </c>
      <c r="BA167" t="str">
        <f>VLOOKUP($AZ167,Sheet1!$A$2:$B$58,2)</f>
        <v>1,3-Butanediol (PW2)</v>
      </c>
      <c r="BB167" t="s">
        <v>153</v>
      </c>
      <c r="BC167">
        <v>90.119200000000006</v>
      </c>
      <c r="BD167">
        <v>5.5</v>
      </c>
      <c r="BE167">
        <v>207</v>
      </c>
      <c r="BF167" t="s">
        <v>201</v>
      </c>
      <c r="BG167">
        <v>1.627844011043158</v>
      </c>
      <c r="BH167">
        <v>0.13636363636363599</v>
      </c>
      <c r="BI167">
        <v>0.42346594824885597</v>
      </c>
      <c r="BJ167">
        <v>80</v>
      </c>
      <c r="BK167">
        <v>2869.5778983231148</v>
      </c>
      <c r="BL167">
        <v>2108.5529559143092</v>
      </c>
      <c r="BM167">
        <v>3.0101953575076981</v>
      </c>
      <c r="BN167">
        <v>511.73321077630862</v>
      </c>
      <c r="BO167">
        <v>2357.8446875468062</v>
      </c>
    </row>
    <row r="168" spans="1:67" x14ac:dyDescent="0.25">
      <c r="A168" s="1">
        <v>166</v>
      </c>
      <c r="B168" t="s">
        <v>68</v>
      </c>
      <c r="C168" t="s">
        <v>82</v>
      </c>
      <c r="D168">
        <v>1</v>
      </c>
      <c r="E168">
        <v>0</v>
      </c>
      <c r="F168">
        <v>1</v>
      </c>
      <c r="G168">
        <v>28.009699999999999</v>
      </c>
      <c r="H168">
        <v>2</v>
      </c>
      <c r="I168" t="s">
        <v>89</v>
      </c>
      <c r="J168">
        <v>4</v>
      </c>
      <c r="K168">
        <v>300</v>
      </c>
      <c r="L168">
        <v>66.666666666666657</v>
      </c>
      <c r="N168" t="s">
        <v>91</v>
      </c>
      <c r="O168">
        <v>33.333333333333343</v>
      </c>
      <c r="P168">
        <v>0.33333333333333331</v>
      </c>
      <c r="Q168">
        <v>3.2500000000000001E-2</v>
      </c>
      <c r="R168">
        <v>77.5</v>
      </c>
      <c r="S168">
        <v>170</v>
      </c>
      <c r="T168">
        <v>20</v>
      </c>
      <c r="U168">
        <v>1812.1301775147931</v>
      </c>
      <c r="V168">
        <v>20</v>
      </c>
      <c r="W168">
        <v>0.95</v>
      </c>
      <c r="X168">
        <v>1</v>
      </c>
      <c r="Y168">
        <v>82026.236658658294</v>
      </c>
      <c r="Z168">
        <v>246078709.97597489</v>
      </c>
      <c r="AA168">
        <v>984314839.90389943</v>
      </c>
      <c r="AB168">
        <v>984314.83990389947</v>
      </c>
      <c r="AC168">
        <v>0</v>
      </c>
      <c r="AD168">
        <v>2550.4260863256541</v>
      </c>
      <c r="AE168">
        <v>4590766.9553861776</v>
      </c>
      <c r="AF168">
        <v>3060511.3035907838</v>
      </c>
      <c r="AG168">
        <v>85.724003460186793</v>
      </c>
      <c r="AH168">
        <v>673.46551235515199</v>
      </c>
      <c r="AI168">
        <v>134.69310247103039</v>
      </c>
      <c r="AJ168">
        <v>31990.232296876729</v>
      </c>
      <c r="AK168">
        <v>854.70085470085473</v>
      </c>
      <c r="AL168" t="s">
        <v>93</v>
      </c>
      <c r="AM168">
        <v>52193.577207524278</v>
      </c>
      <c r="AN168">
        <v>915.39458223415613</v>
      </c>
      <c r="AO168">
        <v>22897.827420075169</v>
      </c>
      <c r="AP168">
        <v>85953.904941336034</v>
      </c>
      <c r="AQ168">
        <v>63056.077521260857</v>
      </c>
      <c r="AR168">
        <v>1.0452577730833339E-2</v>
      </c>
      <c r="AS168">
        <v>360.1890347189439</v>
      </c>
      <c r="AT168">
        <v>587.66544795432071</v>
      </c>
      <c r="AU168">
        <v>10.30674263012658</v>
      </c>
      <c r="AV168">
        <v>257.81451910254071</v>
      </c>
      <c r="AW168">
        <v>967.78459636775881</v>
      </c>
      <c r="AX168">
        <v>709.97007726521804</v>
      </c>
      <c r="AY168">
        <v>1.5712413913751311</v>
      </c>
      <c r="AZ168" t="s">
        <v>98</v>
      </c>
      <c r="BA168" t="str">
        <f>VLOOKUP($AZ168,Sheet1!$A$2:$B$58,2)</f>
        <v>1,3-Diaminopropane</v>
      </c>
      <c r="BB168" t="s">
        <v>154</v>
      </c>
      <c r="BC168">
        <v>76.139580000000009</v>
      </c>
      <c r="BD168">
        <v>6</v>
      </c>
      <c r="BE168">
        <v>139.30000000000001</v>
      </c>
      <c r="BF168" t="s">
        <v>201</v>
      </c>
      <c r="BG168">
        <v>1.8780564466699721</v>
      </c>
      <c r="BH168">
        <v>0.11115384615384601</v>
      </c>
      <c r="BI168">
        <v>0.29163360308540498</v>
      </c>
      <c r="BJ168">
        <v>80</v>
      </c>
      <c r="BK168">
        <v>4148.118504387262</v>
      </c>
      <c r="BL168">
        <v>3043.073868005632</v>
      </c>
      <c r="BM168">
        <v>4.856598676881549</v>
      </c>
      <c r="BN168">
        <v>825.62177506986336</v>
      </c>
      <c r="BO168">
        <v>3322.4967293173991</v>
      </c>
    </row>
    <row r="169" spans="1:67" x14ac:dyDescent="0.25">
      <c r="A169" s="1">
        <v>167</v>
      </c>
      <c r="B169" t="s">
        <v>68</v>
      </c>
      <c r="C169" t="s">
        <v>82</v>
      </c>
      <c r="D169">
        <v>1</v>
      </c>
      <c r="E169">
        <v>0</v>
      </c>
      <c r="F169">
        <v>1</v>
      </c>
      <c r="G169">
        <v>28.009699999999999</v>
      </c>
      <c r="H169">
        <v>2</v>
      </c>
      <c r="I169" t="s">
        <v>89</v>
      </c>
      <c r="J169">
        <v>4</v>
      </c>
      <c r="K169">
        <v>300</v>
      </c>
      <c r="L169">
        <v>66.666666666666657</v>
      </c>
      <c r="N169" t="s">
        <v>91</v>
      </c>
      <c r="O169">
        <v>33.333333333333343</v>
      </c>
      <c r="P169">
        <v>0.33333333333333331</v>
      </c>
      <c r="Q169">
        <v>3.2500000000000001E-2</v>
      </c>
      <c r="R169">
        <v>77.5</v>
      </c>
      <c r="S169">
        <v>170</v>
      </c>
      <c r="T169">
        <v>20</v>
      </c>
      <c r="U169">
        <v>1812.1301775147931</v>
      </c>
      <c r="V169">
        <v>20</v>
      </c>
      <c r="W169">
        <v>0.95</v>
      </c>
      <c r="X169">
        <v>1</v>
      </c>
      <c r="Y169">
        <v>48656.717486081157</v>
      </c>
      <c r="Z169">
        <v>145970152.45824349</v>
      </c>
      <c r="AA169">
        <v>583880609.83297396</v>
      </c>
      <c r="AB169">
        <v>583880.60983297392</v>
      </c>
      <c r="AC169">
        <v>0</v>
      </c>
      <c r="AD169">
        <v>1512.8740096645661</v>
      </c>
      <c r="AE169">
        <v>2723173.2173962188</v>
      </c>
      <c r="AF169">
        <v>1815448.811597479</v>
      </c>
      <c r="AG169">
        <v>50.850176578201911</v>
      </c>
      <c r="AH169">
        <v>399.4895109920252</v>
      </c>
      <c r="AI169">
        <v>79.897902198405049</v>
      </c>
      <c r="AJ169">
        <v>18976.11981957165</v>
      </c>
      <c r="AK169">
        <v>854.70085470085473</v>
      </c>
      <c r="AL169" t="s">
        <v>93</v>
      </c>
      <c r="AM169">
        <v>30960.437101881951</v>
      </c>
      <c r="AN169">
        <v>542.99815998391512</v>
      </c>
      <c r="AO169">
        <v>13582.643373728861</v>
      </c>
      <c r="AP169">
        <v>51334.255936138383</v>
      </c>
      <c r="AQ169">
        <v>37751.612562409508</v>
      </c>
      <c r="AR169">
        <v>1.0452577730833339E-2</v>
      </c>
      <c r="AS169">
        <v>360.1890347189439</v>
      </c>
      <c r="AT169">
        <v>587.66544795432071</v>
      </c>
      <c r="AU169">
        <v>10.30674263012658</v>
      </c>
      <c r="AV169">
        <v>257.81451910254071</v>
      </c>
      <c r="AW169">
        <v>974.38445106056838</v>
      </c>
      <c r="AX169">
        <v>716.56993195802761</v>
      </c>
      <c r="AY169">
        <v>1.5712413913751311</v>
      </c>
      <c r="AZ169" t="s">
        <v>99</v>
      </c>
      <c r="BA169" t="str">
        <f>VLOOKUP($AZ169,Sheet1!$A$2:$B$58,2)</f>
        <v>1,3-Propanediol</v>
      </c>
      <c r="BB169" t="s">
        <v>155</v>
      </c>
      <c r="BC169">
        <v>76.092820000000003</v>
      </c>
      <c r="BD169">
        <v>5.333333333333333</v>
      </c>
      <c r="BE169">
        <v>213</v>
      </c>
      <c r="BF169" t="s">
        <v>201</v>
      </c>
      <c r="BG169">
        <v>1.349536000899954</v>
      </c>
      <c r="BH169">
        <v>0.1875</v>
      </c>
      <c r="BI169">
        <v>0.49164037732598198</v>
      </c>
      <c r="BJ169">
        <v>80</v>
      </c>
      <c r="BK169">
        <v>2477.3810695742118</v>
      </c>
      <c r="BL169">
        <v>1821.8853785347919</v>
      </c>
      <c r="BM169">
        <v>2.645359109020299</v>
      </c>
      <c r="BN169">
        <v>449.71104853345082</v>
      </c>
      <c r="BO169">
        <v>2027.670021040761</v>
      </c>
    </row>
    <row r="170" spans="1:67" x14ac:dyDescent="0.25">
      <c r="A170" s="1">
        <v>168</v>
      </c>
      <c r="B170" t="s">
        <v>68</v>
      </c>
      <c r="C170" t="s">
        <v>82</v>
      </c>
      <c r="D170">
        <v>1</v>
      </c>
      <c r="E170">
        <v>0</v>
      </c>
      <c r="F170">
        <v>1</v>
      </c>
      <c r="G170">
        <v>28.009699999999999</v>
      </c>
      <c r="H170">
        <v>2</v>
      </c>
      <c r="I170" t="s">
        <v>89</v>
      </c>
      <c r="J170">
        <v>4</v>
      </c>
      <c r="K170">
        <v>300</v>
      </c>
      <c r="L170">
        <v>66.666666666666657</v>
      </c>
      <c r="N170" t="s">
        <v>91</v>
      </c>
      <c r="O170">
        <v>33.333333333333343</v>
      </c>
      <c r="P170">
        <v>0.33333333333333331</v>
      </c>
      <c r="Q170">
        <v>3.2500000000000001E-2</v>
      </c>
      <c r="R170">
        <v>77.5</v>
      </c>
      <c r="S170">
        <v>170</v>
      </c>
      <c r="T170">
        <v>20</v>
      </c>
      <c r="U170">
        <v>1812.1301775147931</v>
      </c>
      <c r="V170">
        <v>20</v>
      </c>
      <c r="W170">
        <v>0.95</v>
      </c>
      <c r="X170">
        <v>1</v>
      </c>
      <c r="Y170">
        <v>105285.771393182</v>
      </c>
      <c r="Z170">
        <v>315857314.17954612</v>
      </c>
      <c r="AA170">
        <v>1263429256.718184</v>
      </c>
      <c r="AB170">
        <v>1263429.2567181841</v>
      </c>
      <c r="AC170">
        <v>0</v>
      </c>
      <c r="AD170">
        <v>3273.6303507073881</v>
      </c>
      <c r="AE170">
        <v>5892534.6312732995</v>
      </c>
      <c r="AF170">
        <v>3928356.4208488651</v>
      </c>
      <c r="AG170">
        <v>110.03208484105051</v>
      </c>
      <c r="AH170">
        <v>864.43483040779233</v>
      </c>
      <c r="AI170">
        <v>172.88696608155851</v>
      </c>
      <c r="AJ170">
        <v>41061.450843340986</v>
      </c>
      <c r="AK170">
        <v>854.70085470085473</v>
      </c>
      <c r="AL170" t="s">
        <v>93</v>
      </c>
      <c r="AM170">
        <v>66993.699356603902</v>
      </c>
      <c r="AN170">
        <v>1174.965823687945</v>
      </c>
      <c r="AO170">
        <v>29390.784233864939</v>
      </c>
      <c r="AP170">
        <v>110084.8168783337</v>
      </c>
      <c r="AQ170">
        <v>80694.032644468767</v>
      </c>
      <c r="AR170">
        <v>1.0452577730833339E-2</v>
      </c>
      <c r="AS170">
        <v>360.1890347189439</v>
      </c>
      <c r="AT170">
        <v>587.66544795432037</v>
      </c>
      <c r="AU170">
        <v>10.30674263012658</v>
      </c>
      <c r="AV170">
        <v>257.8145191025406</v>
      </c>
      <c r="AW170">
        <v>965.65861931907466</v>
      </c>
      <c r="AX170">
        <v>707.844100216534</v>
      </c>
      <c r="AY170">
        <v>1.57124139137513</v>
      </c>
      <c r="AZ170" t="s">
        <v>100</v>
      </c>
      <c r="BA170" t="str">
        <f>VLOOKUP($AZ170,Sheet1!$A$2:$B$58,2)</f>
        <v>1,4-Butanediol</v>
      </c>
      <c r="BB170" t="s">
        <v>153</v>
      </c>
      <c r="BC170">
        <v>90.119200000000006</v>
      </c>
      <c r="BD170">
        <v>5.5</v>
      </c>
      <c r="BE170">
        <v>230</v>
      </c>
      <c r="BF170" t="s">
        <v>201</v>
      </c>
      <c r="BG170">
        <v>2.4012107332446222</v>
      </c>
      <c r="BH170">
        <v>7.3164556962025007E-2</v>
      </c>
      <c r="BI170">
        <v>0.22720645560896499</v>
      </c>
      <c r="BJ170">
        <v>80</v>
      </c>
      <c r="BK170">
        <v>5312.6715564204023</v>
      </c>
      <c r="BL170">
        <v>3894.2781044631338</v>
      </c>
      <c r="BM170">
        <v>6.2431375708333032</v>
      </c>
      <c r="BN170">
        <v>1061.333387041662</v>
      </c>
      <c r="BO170">
        <v>4251.3381693787414</v>
      </c>
    </row>
    <row r="171" spans="1:67" x14ac:dyDescent="0.25">
      <c r="A171" s="1">
        <v>169</v>
      </c>
      <c r="B171" t="s">
        <v>68</v>
      </c>
      <c r="C171" t="s">
        <v>82</v>
      </c>
      <c r="D171">
        <v>1</v>
      </c>
      <c r="E171">
        <v>0</v>
      </c>
      <c r="F171">
        <v>1</v>
      </c>
      <c r="G171">
        <v>28.009699999999999</v>
      </c>
      <c r="H171">
        <v>2</v>
      </c>
      <c r="I171" t="s">
        <v>89</v>
      </c>
      <c r="J171">
        <v>4</v>
      </c>
      <c r="K171">
        <v>300</v>
      </c>
      <c r="L171">
        <v>66.666666666666657</v>
      </c>
      <c r="N171" t="s">
        <v>91</v>
      </c>
      <c r="O171">
        <v>33.333333333333343</v>
      </c>
      <c r="P171">
        <v>0.33333333333333331</v>
      </c>
      <c r="Q171">
        <v>3.2500000000000001E-2</v>
      </c>
      <c r="R171">
        <v>77.5</v>
      </c>
      <c r="S171">
        <v>170</v>
      </c>
      <c r="T171">
        <v>20</v>
      </c>
      <c r="U171">
        <v>1812.1301775147931</v>
      </c>
      <c r="V171">
        <v>20</v>
      </c>
      <c r="W171">
        <v>0.95</v>
      </c>
      <c r="X171">
        <v>1</v>
      </c>
      <c r="Y171">
        <v>105926.83050022549</v>
      </c>
      <c r="Z171">
        <v>317780491.50067657</v>
      </c>
      <c r="AA171">
        <v>1271121966.002707</v>
      </c>
      <c r="AB171">
        <v>1271121.966002706</v>
      </c>
      <c r="AC171">
        <v>0</v>
      </c>
      <c r="AD171">
        <v>3293.5626788999411</v>
      </c>
      <c r="AE171">
        <v>5928412.8220198937</v>
      </c>
      <c r="AF171">
        <v>3952275.214679928</v>
      </c>
      <c r="AG171">
        <v>110.7020430806204</v>
      </c>
      <c r="AH171">
        <v>869.698160990318</v>
      </c>
      <c r="AI171">
        <v>173.93963219806361</v>
      </c>
      <c r="AJ171">
        <v>41311.46389508796</v>
      </c>
      <c r="AK171">
        <v>854.70085470085473</v>
      </c>
      <c r="AL171" t="s">
        <v>93</v>
      </c>
      <c r="AM171">
        <v>67401.607476749647</v>
      </c>
      <c r="AN171">
        <v>1182.1199009366851</v>
      </c>
      <c r="AO171">
        <v>29569.737473670812</v>
      </c>
      <c r="AP171">
        <v>110749.8921274751</v>
      </c>
      <c r="AQ171">
        <v>81180.154653804333</v>
      </c>
      <c r="AR171">
        <v>1.0452577730833339E-2</v>
      </c>
      <c r="AS171">
        <v>360.1890347189439</v>
      </c>
      <c r="AT171">
        <v>587.66544795432071</v>
      </c>
      <c r="AU171">
        <v>10.30674263012658</v>
      </c>
      <c r="AV171">
        <v>257.81451910254071</v>
      </c>
      <c r="AW171">
        <v>965.61324580331723</v>
      </c>
      <c r="AX171">
        <v>707.79872670077668</v>
      </c>
      <c r="AY171">
        <v>1.57124139137513</v>
      </c>
      <c r="AZ171" t="s">
        <v>101</v>
      </c>
      <c r="BA171" t="str">
        <f>VLOOKUP($AZ171,Sheet1!$A$2:$B$58,2)</f>
        <v>1-Propanol (PW1)</v>
      </c>
      <c r="BB171" t="s">
        <v>156</v>
      </c>
      <c r="BC171">
        <v>60.093820000000001</v>
      </c>
      <c r="BD171">
        <v>6</v>
      </c>
      <c r="BE171">
        <v>97</v>
      </c>
      <c r="BF171" t="s">
        <v>201</v>
      </c>
      <c r="BG171">
        <v>2.7773733768055759</v>
      </c>
      <c r="BH171">
        <v>0.109056603773585</v>
      </c>
      <c r="BI171">
        <v>0.22583142374159601</v>
      </c>
      <c r="BJ171">
        <v>80</v>
      </c>
      <c r="BK171">
        <v>5344.7679568068252</v>
      </c>
      <c r="BL171">
        <v>3917.7382567818818</v>
      </c>
      <c r="BM171">
        <v>5.9196082330976019</v>
      </c>
      <c r="BN171">
        <v>1006.333399626592</v>
      </c>
      <c r="BO171">
        <v>4338.4345571802332</v>
      </c>
    </row>
    <row r="172" spans="1:67" x14ac:dyDescent="0.25">
      <c r="A172" s="1">
        <v>170</v>
      </c>
      <c r="B172" t="s">
        <v>68</v>
      </c>
      <c r="C172" t="s">
        <v>82</v>
      </c>
      <c r="D172">
        <v>1</v>
      </c>
      <c r="E172">
        <v>0</v>
      </c>
      <c r="F172">
        <v>1</v>
      </c>
      <c r="G172">
        <v>28.009699999999999</v>
      </c>
      <c r="H172">
        <v>2</v>
      </c>
      <c r="I172" t="s">
        <v>89</v>
      </c>
      <c r="J172">
        <v>4</v>
      </c>
      <c r="K172">
        <v>300</v>
      </c>
      <c r="L172">
        <v>66.666666666666657</v>
      </c>
      <c r="N172" t="s">
        <v>91</v>
      </c>
      <c r="O172">
        <v>33.333333333333343</v>
      </c>
      <c r="P172">
        <v>0.33333333333333331</v>
      </c>
      <c r="Q172">
        <v>3.2500000000000001E-2</v>
      </c>
      <c r="R172">
        <v>77.5</v>
      </c>
      <c r="S172">
        <v>170</v>
      </c>
      <c r="T172">
        <v>20</v>
      </c>
      <c r="U172">
        <v>1812.1301775147931</v>
      </c>
      <c r="V172">
        <v>20</v>
      </c>
      <c r="W172">
        <v>0.95</v>
      </c>
      <c r="X172">
        <v>1</v>
      </c>
      <c r="Y172">
        <v>69312.122297128648</v>
      </c>
      <c r="Z172">
        <v>207936366.89138591</v>
      </c>
      <c r="AA172">
        <v>831745467.56554377</v>
      </c>
      <c r="AB172">
        <v>831745.46756554372</v>
      </c>
      <c r="AC172">
        <v>0</v>
      </c>
      <c r="AD172">
        <v>2155.1085604575451</v>
      </c>
      <c r="AE172">
        <v>3879195.40882358</v>
      </c>
      <c r="AF172">
        <v>2586130.2725490532</v>
      </c>
      <c r="AG172">
        <v>72.436733095017203</v>
      </c>
      <c r="AH172">
        <v>569.07796647441899</v>
      </c>
      <c r="AI172">
        <v>113.8155932948838</v>
      </c>
      <c r="AJ172">
        <v>27031.72769588017</v>
      </c>
      <c r="AK172">
        <v>854.70085470085473</v>
      </c>
      <c r="AL172" t="s">
        <v>93</v>
      </c>
      <c r="AM172">
        <v>44103.542401767467</v>
      </c>
      <c r="AN172">
        <v>773.50788989592832</v>
      </c>
      <c r="AO172">
        <v>19348.650860130241</v>
      </c>
      <c r="AP172">
        <v>72763.47884224444</v>
      </c>
      <c r="AQ172">
        <v>53414.827982114191</v>
      </c>
      <c r="AR172">
        <v>1.0452577730833331E-2</v>
      </c>
      <c r="AS172">
        <v>360.1890347189439</v>
      </c>
      <c r="AT172">
        <v>587.66544795432071</v>
      </c>
      <c r="AU172">
        <v>10.30674263012658</v>
      </c>
      <c r="AV172">
        <v>257.81451910254071</v>
      </c>
      <c r="AW172">
        <v>969.54983794745385</v>
      </c>
      <c r="AX172">
        <v>711.73531884491297</v>
      </c>
      <c r="AY172">
        <v>1.5712413913751311</v>
      </c>
      <c r="AZ172" t="s">
        <v>102</v>
      </c>
      <c r="BA172" t="str">
        <f>VLOOKUP($AZ172,Sheet1!$A$2:$B$58,2)</f>
        <v>1-Propanol (PW2)</v>
      </c>
      <c r="BB172" t="s">
        <v>156</v>
      </c>
      <c r="BC172">
        <v>60.093820000000001</v>
      </c>
      <c r="BD172">
        <v>6</v>
      </c>
      <c r="BE172">
        <v>97</v>
      </c>
      <c r="BF172" t="s">
        <v>201</v>
      </c>
      <c r="BG172">
        <v>2.1970645234401762</v>
      </c>
      <c r="BH172">
        <v>0.16666666666666699</v>
      </c>
      <c r="BI172">
        <v>0.345128761773489</v>
      </c>
      <c r="BJ172">
        <v>80</v>
      </c>
      <c r="BK172">
        <v>3511.551141685844</v>
      </c>
      <c r="BL172">
        <v>2577.7890662732971</v>
      </c>
      <c r="BM172">
        <v>3.4937151413040128</v>
      </c>
      <c r="BN172">
        <v>593.93157402168231</v>
      </c>
      <c r="BO172">
        <v>2917.6195676641619</v>
      </c>
    </row>
    <row r="173" spans="1:67" x14ac:dyDescent="0.25">
      <c r="A173" s="1">
        <v>171</v>
      </c>
      <c r="B173" t="s">
        <v>68</v>
      </c>
      <c r="C173" t="s">
        <v>82</v>
      </c>
      <c r="D173">
        <v>1</v>
      </c>
      <c r="E173">
        <v>0</v>
      </c>
      <c r="F173">
        <v>1</v>
      </c>
      <c r="G173">
        <v>28.009699999999999</v>
      </c>
      <c r="H173">
        <v>2</v>
      </c>
      <c r="I173" t="s">
        <v>89</v>
      </c>
      <c r="J173">
        <v>4</v>
      </c>
      <c r="K173">
        <v>300</v>
      </c>
      <c r="L173">
        <v>66.666666666666657</v>
      </c>
      <c r="N173" t="s">
        <v>91</v>
      </c>
      <c r="O173">
        <v>33.333333333333343</v>
      </c>
      <c r="P173">
        <v>0.33333333333333331</v>
      </c>
      <c r="Q173">
        <v>3.2500000000000001E-2</v>
      </c>
      <c r="R173">
        <v>77.5</v>
      </c>
      <c r="S173">
        <v>170</v>
      </c>
      <c r="T173">
        <v>20</v>
      </c>
      <c r="U173">
        <v>1812.1301775147931</v>
      </c>
      <c r="V173">
        <v>20</v>
      </c>
      <c r="W173">
        <v>0.95</v>
      </c>
      <c r="X173">
        <v>1</v>
      </c>
      <c r="Y173">
        <v>56490.036668173161</v>
      </c>
      <c r="Z173">
        <v>169470110.00451949</v>
      </c>
      <c r="AA173">
        <v>677880440.01807785</v>
      </c>
      <c r="AB173">
        <v>677880.44001807785</v>
      </c>
      <c r="AC173">
        <v>0</v>
      </c>
      <c r="AD173">
        <v>1756.433904624269</v>
      </c>
      <c r="AE173">
        <v>3161581.0283236839</v>
      </c>
      <c r="AF173">
        <v>2107720.6855491218</v>
      </c>
      <c r="AG173">
        <v>59.036624086025263</v>
      </c>
      <c r="AH173">
        <v>463.80393685508432</v>
      </c>
      <c r="AI173">
        <v>92.76078737101686</v>
      </c>
      <c r="AJ173">
        <v>22031.114300587531</v>
      </c>
      <c r="AK173">
        <v>854.70085470085473</v>
      </c>
      <c r="AL173" t="s">
        <v>93</v>
      </c>
      <c r="AM173">
        <v>35944.805106269028</v>
      </c>
      <c r="AN173">
        <v>630.4162621947645</v>
      </c>
      <c r="AO173">
        <v>15769.333853072871</v>
      </c>
      <c r="AP173">
        <v>59461.036523752169</v>
      </c>
      <c r="AQ173">
        <v>43691.702670679297</v>
      </c>
      <c r="AR173">
        <v>1.0452577730833339E-2</v>
      </c>
      <c r="AS173">
        <v>360.18903471894401</v>
      </c>
      <c r="AT173">
        <v>587.66544795432071</v>
      </c>
      <c r="AU173">
        <v>10.30674263012658</v>
      </c>
      <c r="AV173">
        <v>257.81451910254071</v>
      </c>
      <c r="AW173">
        <v>972.13482062988544</v>
      </c>
      <c r="AX173">
        <v>714.3203015273449</v>
      </c>
      <c r="AY173">
        <v>1.57124139137513</v>
      </c>
      <c r="AZ173" t="s">
        <v>103</v>
      </c>
      <c r="BA173" t="str">
        <f>VLOOKUP($AZ173,Sheet1!$A$2:$B$58,2)</f>
        <v>2,3-Butanediol</v>
      </c>
      <c r="BB173" t="s">
        <v>153</v>
      </c>
      <c r="BC173">
        <v>90.119200000000006</v>
      </c>
      <c r="BD173">
        <v>5.5</v>
      </c>
      <c r="BE173">
        <v>177</v>
      </c>
      <c r="BF173" t="s">
        <v>201</v>
      </c>
      <c r="BG173">
        <v>1.627844011043154</v>
      </c>
      <c r="BH173">
        <v>0.13636363636363599</v>
      </c>
      <c r="BI173">
        <v>0.42346594824885703</v>
      </c>
      <c r="BJ173">
        <v>80</v>
      </c>
      <c r="BK173">
        <v>2869.5778983231071</v>
      </c>
      <c r="BL173">
        <v>2108.5529559143042</v>
      </c>
      <c r="BM173">
        <v>3.0101953575076901</v>
      </c>
      <c r="BN173">
        <v>511.73321077630732</v>
      </c>
      <c r="BO173">
        <v>2357.8446875467998</v>
      </c>
    </row>
    <row r="174" spans="1:67" x14ac:dyDescent="0.25">
      <c r="A174" s="1">
        <v>172</v>
      </c>
      <c r="B174" t="s">
        <v>68</v>
      </c>
      <c r="C174" t="s">
        <v>82</v>
      </c>
      <c r="D174">
        <v>1</v>
      </c>
      <c r="E174">
        <v>0</v>
      </c>
      <c r="F174">
        <v>1</v>
      </c>
      <c r="G174">
        <v>28.009699999999999</v>
      </c>
      <c r="H174">
        <v>2</v>
      </c>
      <c r="I174" t="s">
        <v>89</v>
      </c>
      <c r="J174">
        <v>4</v>
      </c>
      <c r="K174">
        <v>300</v>
      </c>
      <c r="L174">
        <v>66.666666666666657</v>
      </c>
      <c r="N174" t="s">
        <v>91</v>
      </c>
      <c r="O174">
        <v>33.333333333333343</v>
      </c>
      <c r="P174">
        <v>0.33333333333333331</v>
      </c>
      <c r="Q174">
        <v>3.2500000000000001E-2</v>
      </c>
      <c r="R174">
        <v>77.5</v>
      </c>
      <c r="S174">
        <v>170</v>
      </c>
      <c r="T174">
        <v>20</v>
      </c>
      <c r="U174">
        <v>1812.1301775147931</v>
      </c>
      <c r="V174">
        <v>20</v>
      </c>
      <c r="W174">
        <v>0.95</v>
      </c>
      <c r="X174">
        <v>1</v>
      </c>
      <c r="Y174">
        <v>78755.753600832191</v>
      </c>
      <c r="Z174">
        <v>236267260.80249661</v>
      </c>
      <c r="AA174">
        <v>945069043.20998633</v>
      </c>
      <c r="AB174">
        <v>945069.0432099863</v>
      </c>
      <c r="AC174">
        <v>0</v>
      </c>
      <c r="AD174">
        <v>2448.7375821915889</v>
      </c>
      <c r="AE174">
        <v>4407727.6479448611</v>
      </c>
      <c r="AF174">
        <v>2938485.0986299068</v>
      </c>
      <c r="AG174">
        <v>82.3060860670941</v>
      </c>
      <c r="AH174">
        <v>646.61364595351085</v>
      </c>
      <c r="AI174">
        <v>129.3227291907022</v>
      </c>
      <c r="AJ174">
        <v>30714.74390432455</v>
      </c>
      <c r="AK174">
        <v>854.70085470085473</v>
      </c>
      <c r="AL174" t="s">
        <v>93</v>
      </c>
      <c r="AM174">
        <v>50112.557561397087</v>
      </c>
      <c r="AN174">
        <v>878.89671771696692</v>
      </c>
      <c r="AO174">
        <v>21984.863962419371</v>
      </c>
      <c r="AP174">
        <v>82560.899038139483</v>
      </c>
      <c r="AQ174">
        <v>60576.035075720109</v>
      </c>
      <c r="AR174">
        <v>1.0452577730833331E-2</v>
      </c>
      <c r="AS174">
        <v>360.18903471894379</v>
      </c>
      <c r="AT174">
        <v>587.66544795432071</v>
      </c>
      <c r="AU174">
        <v>10.30674263012658</v>
      </c>
      <c r="AV174">
        <v>257.81451910254071</v>
      </c>
      <c r="AW174">
        <v>968.18422522769845</v>
      </c>
      <c r="AX174">
        <v>710.36970612515768</v>
      </c>
      <c r="AY174">
        <v>1.57124139137513</v>
      </c>
      <c r="AZ174" t="s">
        <v>104</v>
      </c>
      <c r="BA174" t="str">
        <f>VLOOKUP($AZ174,Sheet1!$A$2:$B$58,2)</f>
        <v>2-Methyl-1-Butanol</v>
      </c>
      <c r="BB174" t="s">
        <v>157</v>
      </c>
      <c r="BC174">
        <v>88.14658</v>
      </c>
      <c r="BD174">
        <v>6</v>
      </c>
      <c r="BE174">
        <v>129</v>
      </c>
      <c r="BF174" t="s">
        <v>201</v>
      </c>
      <c r="BG174">
        <v>2.496409957141843</v>
      </c>
      <c r="BH174">
        <v>0.1</v>
      </c>
      <c r="BI174">
        <v>0.30374424534803601</v>
      </c>
      <c r="BJ174">
        <v>80</v>
      </c>
      <c r="BK174">
        <v>3984.3727085196879</v>
      </c>
      <c r="BL174">
        <v>2923.387508589678</v>
      </c>
      <c r="BM174">
        <v>3.9697265023932662</v>
      </c>
      <c r="BN174">
        <v>674.85350540685522</v>
      </c>
      <c r="BO174">
        <v>3309.5192031128331</v>
      </c>
    </row>
    <row r="175" spans="1:67" x14ac:dyDescent="0.25">
      <c r="A175" s="1">
        <v>173</v>
      </c>
      <c r="B175" t="s">
        <v>68</v>
      </c>
      <c r="C175" t="s">
        <v>82</v>
      </c>
      <c r="D175">
        <v>1</v>
      </c>
      <c r="E175">
        <v>0</v>
      </c>
      <c r="F175">
        <v>1</v>
      </c>
      <c r="G175">
        <v>28.009699999999999</v>
      </c>
      <c r="H175">
        <v>2</v>
      </c>
      <c r="I175" t="s">
        <v>89</v>
      </c>
      <c r="J175">
        <v>4</v>
      </c>
      <c r="K175">
        <v>300</v>
      </c>
      <c r="L175">
        <v>66.666666666666657</v>
      </c>
      <c r="N175" t="s">
        <v>91</v>
      </c>
      <c r="O175">
        <v>33.333333333333343</v>
      </c>
      <c r="P175">
        <v>0.33333333333333331</v>
      </c>
      <c r="Q175">
        <v>3.2500000000000001E-2</v>
      </c>
      <c r="R175">
        <v>77.5</v>
      </c>
      <c r="S175">
        <v>170</v>
      </c>
      <c r="T175">
        <v>20</v>
      </c>
      <c r="U175">
        <v>1812.1301775147931</v>
      </c>
      <c r="V175">
        <v>20</v>
      </c>
      <c r="W175">
        <v>0.95</v>
      </c>
      <c r="X175">
        <v>1</v>
      </c>
      <c r="Y175">
        <v>91689.276813124103</v>
      </c>
      <c r="Z175">
        <v>275067830.4393723</v>
      </c>
      <c r="AA175">
        <v>1100271321.757489</v>
      </c>
      <c r="AB175">
        <v>1100271.3217574889</v>
      </c>
      <c r="AC175">
        <v>0</v>
      </c>
      <c r="AD175">
        <v>2850.877145487595</v>
      </c>
      <c r="AE175">
        <v>5131578.8618776714</v>
      </c>
      <c r="AF175">
        <v>3421052.5745851141</v>
      </c>
      <c r="AG175">
        <v>95.822656298356662</v>
      </c>
      <c r="AH175">
        <v>752.80261903745395</v>
      </c>
      <c r="AI175">
        <v>150.5605238074908</v>
      </c>
      <c r="AJ175">
        <v>35758.817957118401</v>
      </c>
      <c r="AK175">
        <v>854.70085470085473</v>
      </c>
      <c r="AL175" t="s">
        <v>93</v>
      </c>
      <c r="AM175">
        <v>58342.202975402681</v>
      </c>
      <c r="AN175">
        <v>1023.231964096724</v>
      </c>
      <c r="AO175">
        <v>25595.28904727344</v>
      </c>
      <c r="AP175">
        <v>95978.953751318666</v>
      </c>
      <c r="AQ175">
        <v>70383.664704045223</v>
      </c>
      <c r="AR175">
        <v>1.0452577730833331E-2</v>
      </c>
      <c r="AS175">
        <v>360.1890347189439</v>
      </c>
      <c r="AT175">
        <v>587.6654479543206</v>
      </c>
      <c r="AU175">
        <v>10.30674263012658</v>
      </c>
      <c r="AV175">
        <v>257.8145191025406</v>
      </c>
      <c r="AW175">
        <v>966.77039902376782</v>
      </c>
      <c r="AX175">
        <v>708.95587992122717</v>
      </c>
      <c r="AY175">
        <v>1.57124139137513</v>
      </c>
      <c r="AZ175" t="s">
        <v>106</v>
      </c>
      <c r="BA175" t="str">
        <f>VLOOKUP($AZ175,Sheet1!$A$2:$B$58,2)</f>
        <v>3-Methyl-1-Pentanol</v>
      </c>
      <c r="BB175" t="s">
        <v>159</v>
      </c>
      <c r="BC175">
        <v>102.17296</v>
      </c>
      <c r="BD175">
        <v>6</v>
      </c>
      <c r="BE175">
        <v>153</v>
      </c>
      <c r="BF175" t="s">
        <v>201</v>
      </c>
      <c r="BG175">
        <v>2.7454097796385302</v>
      </c>
      <c r="BH175">
        <v>7.4102564102563995E-2</v>
      </c>
      <c r="BI175">
        <v>0.26089863259644103</v>
      </c>
      <c r="BJ175">
        <v>80</v>
      </c>
      <c r="BK175">
        <v>4631.9253832539807</v>
      </c>
      <c r="BL175">
        <v>3396.7017806195381</v>
      </c>
      <c r="BM175">
        <v>4.7826164107360096</v>
      </c>
      <c r="BN175">
        <v>813.0447898251216</v>
      </c>
      <c r="BO175">
        <v>3818.8805934288589</v>
      </c>
    </row>
    <row r="176" spans="1:67" x14ac:dyDescent="0.25">
      <c r="A176" s="1">
        <v>174</v>
      </c>
      <c r="B176" t="s">
        <v>68</v>
      </c>
      <c r="C176" t="s">
        <v>82</v>
      </c>
      <c r="D176">
        <v>1</v>
      </c>
      <c r="E176">
        <v>0</v>
      </c>
      <c r="F176">
        <v>1</v>
      </c>
      <c r="G176">
        <v>28.009699999999999</v>
      </c>
      <c r="H176">
        <v>2</v>
      </c>
      <c r="I176" t="s">
        <v>89</v>
      </c>
      <c r="J176">
        <v>4</v>
      </c>
      <c r="K176">
        <v>300</v>
      </c>
      <c r="L176">
        <v>66.666666666666657</v>
      </c>
      <c r="N176" t="s">
        <v>91</v>
      </c>
      <c r="O176">
        <v>33.333333333333343</v>
      </c>
      <c r="P176">
        <v>0.33333333333333331</v>
      </c>
      <c r="Q176">
        <v>3.2500000000000001E-2</v>
      </c>
      <c r="R176">
        <v>77.5</v>
      </c>
      <c r="S176">
        <v>170</v>
      </c>
      <c r="T176">
        <v>20</v>
      </c>
      <c r="U176">
        <v>1812.1301775147931</v>
      </c>
      <c r="V176">
        <v>20</v>
      </c>
      <c r="W176">
        <v>0.95</v>
      </c>
      <c r="X176">
        <v>1</v>
      </c>
      <c r="Y176">
        <v>210925.1114708505</v>
      </c>
      <c r="Z176">
        <v>632775334.4125514</v>
      </c>
      <c r="AA176">
        <v>2531101337.6502061</v>
      </c>
      <c r="AB176">
        <v>2531101.337650205</v>
      </c>
      <c r="AC176">
        <v>0</v>
      </c>
      <c r="AD176">
        <v>6558.2541448903621</v>
      </c>
      <c r="AE176">
        <v>11804857.46080265</v>
      </c>
      <c r="AF176">
        <v>7869904.9738684334</v>
      </c>
      <c r="AG176">
        <v>220.43367734656269</v>
      </c>
      <c r="AH176">
        <v>1731.7725894997479</v>
      </c>
      <c r="AI176">
        <v>346.35451789994971</v>
      </c>
      <c r="AJ176">
        <v>82260.793473631682</v>
      </c>
      <c r="AK176">
        <v>854.70085470085473</v>
      </c>
      <c r="AL176" t="s">
        <v>93</v>
      </c>
      <c r="AM176">
        <v>134212.37568623049</v>
      </c>
      <c r="AN176">
        <v>2353.8773953634918</v>
      </c>
      <c r="AO176">
        <v>58880.26804299144</v>
      </c>
      <c r="AP176">
        <v>219681.74740992649</v>
      </c>
      <c r="AQ176">
        <v>160801.47936693509</v>
      </c>
      <c r="AR176">
        <v>1.0452577730833331E-2</v>
      </c>
      <c r="AS176">
        <v>360.1890347189439</v>
      </c>
      <c r="AT176">
        <v>587.66544795432071</v>
      </c>
      <c r="AU176">
        <v>10.30674263012658</v>
      </c>
      <c r="AV176">
        <v>257.8145191025406</v>
      </c>
      <c r="AW176">
        <v>961.90363846072148</v>
      </c>
      <c r="AX176">
        <v>704.08911935818071</v>
      </c>
      <c r="AY176">
        <v>1.57124139137513</v>
      </c>
      <c r="AZ176" t="s">
        <v>107</v>
      </c>
      <c r="BA176" t="str">
        <f>VLOOKUP($AZ176,Sheet1!$A$2:$B$58,2)</f>
        <v>4-Hydroxystyrene</v>
      </c>
      <c r="BB176" t="s">
        <v>160</v>
      </c>
      <c r="BC176">
        <v>120.14731999999999</v>
      </c>
      <c r="BD176">
        <v>4.75</v>
      </c>
      <c r="BE176">
        <v>229</v>
      </c>
      <c r="BF176" t="s">
        <v>201</v>
      </c>
      <c r="BG176">
        <v>3.8924160472442089</v>
      </c>
      <c r="BH176">
        <v>2.7393364928910001E-2</v>
      </c>
      <c r="BI176">
        <v>0.113412797449708</v>
      </c>
      <c r="BJ176">
        <v>80</v>
      </c>
      <c r="BK176">
        <v>10601.79781394677</v>
      </c>
      <c r="BL176">
        <v>7760.2476879913329</v>
      </c>
      <c r="BM176">
        <v>13.425309847753271</v>
      </c>
      <c r="BN176">
        <v>2282.302674118057</v>
      </c>
      <c r="BO176">
        <v>8319.4951398287121</v>
      </c>
    </row>
    <row r="177" spans="1:67" x14ac:dyDescent="0.25">
      <c r="A177" s="1">
        <v>175</v>
      </c>
      <c r="B177" t="s">
        <v>68</v>
      </c>
      <c r="C177" t="s">
        <v>82</v>
      </c>
      <c r="D177">
        <v>1</v>
      </c>
      <c r="E177">
        <v>0</v>
      </c>
      <c r="F177">
        <v>1</v>
      </c>
      <c r="G177">
        <v>28.009699999999999</v>
      </c>
      <c r="H177">
        <v>2</v>
      </c>
      <c r="I177" t="s">
        <v>89</v>
      </c>
      <c r="J177">
        <v>4</v>
      </c>
      <c r="K177">
        <v>300</v>
      </c>
      <c r="L177">
        <v>66.666666666666657</v>
      </c>
      <c r="N177" t="s">
        <v>91</v>
      </c>
      <c r="O177">
        <v>33.333333333333343</v>
      </c>
      <c r="P177">
        <v>0.33333333333333331</v>
      </c>
      <c r="Q177">
        <v>3.2500000000000001E-2</v>
      </c>
      <c r="R177">
        <v>77.5</v>
      </c>
      <c r="S177">
        <v>170</v>
      </c>
      <c r="T177">
        <v>20</v>
      </c>
      <c r="U177">
        <v>1812.1301775147931</v>
      </c>
      <c r="V177">
        <v>20</v>
      </c>
      <c r="W177">
        <v>0.95</v>
      </c>
      <c r="X177">
        <v>1</v>
      </c>
      <c r="Y177">
        <v>63749.060239519218</v>
      </c>
      <c r="Z177">
        <v>191247180.71855769</v>
      </c>
      <c r="AA177">
        <v>764988722.87423062</v>
      </c>
      <c r="AB177">
        <v>764988.72287423059</v>
      </c>
      <c r="AC177">
        <v>0</v>
      </c>
      <c r="AD177">
        <v>1982.1373360111779</v>
      </c>
      <c r="AE177">
        <v>3567847.2048201198</v>
      </c>
      <c r="AF177">
        <v>2378564.8032134129</v>
      </c>
      <c r="AG177">
        <v>66.622886568566742</v>
      </c>
      <c r="AH177">
        <v>523.40318494711164</v>
      </c>
      <c r="AI177">
        <v>104.6806369894223</v>
      </c>
      <c r="AJ177">
        <v>24862.13349341249</v>
      </c>
      <c r="AK177">
        <v>854.70085470085473</v>
      </c>
      <c r="AL177" t="s">
        <v>93</v>
      </c>
      <c r="AM177">
        <v>40563.74683340115</v>
      </c>
      <c r="AN177">
        <v>711.42535294669062</v>
      </c>
      <c r="AO177">
        <v>17795.7082882018</v>
      </c>
      <c r="AP177">
        <v>66992.006534461194</v>
      </c>
      <c r="AQ177">
        <v>49196.298246259394</v>
      </c>
      <c r="AR177">
        <v>1.0452577730833339E-2</v>
      </c>
      <c r="AS177">
        <v>360.1890347189439</v>
      </c>
      <c r="AT177">
        <v>587.66544795432071</v>
      </c>
      <c r="AU177">
        <v>10.30674263012658</v>
      </c>
      <c r="AV177">
        <v>257.81451910254083</v>
      </c>
      <c r="AW177">
        <v>970.54366528625656</v>
      </c>
      <c r="AX177">
        <v>712.72914618371556</v>
      </c>
      <c r="AY177">
        <v>1.5712413913751311</v>
      </c>
      <c r="AZ177" t="s">
        <v>109</v>
      </c>
      <c r="BA177" t="str">
        <f>VLOOKUP($AZ177,Sheet1!$A$2:$B$58,2)</f>
        <v>Acetone</v>
      </c>
      <c r="BB177" t="s">
        <v>162</v>
      </c>
      <c r="BC177">
        <v>58.078139999999998</v>
      </c>
      <c r="BD177">
        <v>5.333333333333333</v>
      </c>
      <c r="BE177">
        <v>56</v>
      </c>
      <c r="BF177" t="s">
        <v>201</v>
      </c>
      <c r="BG177">
        <v>1.7681351365591249</v>
      </c>
      <c r="BH177">
        <v>0.1875</v>
      </c>
      <c r="BI177">
        <v>0.37524642487939303</v>
      </c>
      <c r="BJ177">
        <v>80</v>
      </c>
      <c r="BK177">
        <v>3233.021026110363</v>
      </c>
      <c r="BL177">
        <v>2374.2036530154551</v>
      </c>
      <c r="BM177">
        <v>3.4658967129119902</v>
      </c>
      <c r="BN177">
        <v>589.20244119503832</v>
      </c>
      <c r="BO177">
        <v>2643.8185849153251</v>
      </c>
    </row>
    <row r="178" spans="1:67" x14ac:dyDescent="0.25">
      <c r="A178" s="1">
        <v>176</v>
      </c>
      <c r="B178" t="s">
        <v>68</v>
      </c>
      <c r="C178" t="s">
        <v>82</v>
      </c>
      <c r="D178">
        <v>1</v>
      </c>
      <c r="E178">
        <v>0</v>
      </c>
      <c r="F178">
        <v>1</v>
      </c>
      <c r="G178">
        <v>28.009699999999999</v>
      </c>
      <c r="H178">
        <v>2</v>
      </c>
      <c r="I178" t="s">
        <v>89</v>
      </c>
      <c r="J178">
        <v>4</v>
      </c>
      <c r="K178">
        <v>300</v>
      </c>
      <c r="L178">
        <v>66.666666666666657</v>
      </c>
      <c r="N178" t="s">
        <v>91</v>
      </c>
      <c r="O178">
        <v>33.333333333333343</v>
      </c>
      <c r="P178">
        <v>0.33333333333333331</v>
      </c>
      <c r="Q178">
        <v>3.2500000000000001E-2</v>
      </c>
      <c r="R178">
        <v>77.5</v>
      </c>
      <c r="S178">
        <v>170</v>
      </c>
      <c r="T178">
        <v>20</v>
      </c>
      <c r="U178">
        <v>1812.1301775147931</v>
      </c>
      <c r="V178">
        <v>20</v>
      </c>
      <c r="W178">
        <v>0.95</v>
      </c>
      <c r="X178">
        <v>1</v>
      </c>
      <c r="Y178">
        <v>145369.1202348019</v>
      </c>
      <c r="Z178">
        <v>436107360.70440549</v>
      </c>
      <c r="AA178">
        <v>1744429442.8176219</v>
      </c>
      <c r="AB178">
        <v>1744429.4428176221</v>
      </c>
      <c r="AC178">
        <v>0</v>
      </c>
      <c r="AD178">
        <v>4519.9342490365761</v>
      </c>
      <c r="AE178">
        <v>8135881.6482658368</v>
      </c>
      <c r="AF178">
        <v>5423921.0988438902</v>
      </c>
      <c r="AG178">
        <v>151.92240280228771</v>
      </c>
      <c r="AH178">
        <v>1193.5338378005979</v>
      </c>
      <c r="AI178">
        <v>238.7067675601196</v>
      </c>
      <c r="AJ178">
        <v>56693.956891572721</v>
      </c>
      <c r="AK178">
        <v>854.70085470085473</v>
      </c>
      <c r="AL178" t="s">
        <v>93</v>
      </c>
      <c r="AM178">
        <v>92498.872429546333</v>
      </c>
      <c r="AN178">
        <v>1622.287093833618</v>
      </c>
      <c r="AO178">
        <v>40580.150485220329</v>
      </c>
      <c r="AP178">
        <v>151669.81726965349</v>
      </c>
      <c r="AQ178">
        <v>111089.6667844332</v>
      </c>
      <c r="AR178">
        <v>1.0452577730833339E-2</v>
      </c>
      <c r="AS178">
        <v>360.1890347189439</v>
      </c>
      <c r="AT178">
        <v>587.66544795432071</v>
      </c>
      <c r="AU178">
        <v>10.306742630126591</v>
      </c>
      <c r="AV178">
        <v>257.81451910254071</v>
      </c>
      <c r="AW178">
        <v>963.59132566517974</v>
      </c>
      <c r="AX178">
        <v>705.77680656263897</v>
      </c>
      <c r="AY178">
        <v>1.57124139137513</v>
      </c>
      <c r="AZ178" t="s">
        <v>110</v>
      </c>
      <c r="BA178" t="str">
        <f>VLOOKUP($AZ178,Sheet1!$A$2:$B$58,2)</f>
        <v>Acrylate (PW1)</v>
      </c>
      <c r="BB178" t="s">
        <v>163</v>
      </c>
      <c r="BC178">
        <v>71.053619999999995</v>
      </c>
      <c r="BD178">
        <v>3.666666666666667</v>
      </c>
      <c r="BE178">
        <v>80</v>
      </c>
      <c r="BF178" t="s">
        <v>201</v>
      </c>
      <c r="BG178">
        <v>2.303964489086384</v>
      </c>
      <c r="BH178">
        <v>6.7209302325581394E-2</v>
      </c>
      <c r="BI178">
        <v>0.164557692209062</v>
      </c>
      <c r="BJ178">
        <v>80</v>
      </c>
      <c r="BK178">
        <v>7319.5554757247919</v>
      </c>
      <c r="BL178">
        <v>5361.1654147560766</v>
      </c>
      <c r="BM178">
        <v>9.6313738889195939</v>
      </c>
      <c r="BN178">
        <v>1637.3335611163311</v>
      </c>
      <c r="BO178">
        <v>5682.2219146084608</v>
      </c>
    </row>
    <row r="179" spans="1:67" x14ac:dyDescent="0.25">
      <c r="A179" s="1">
        <v>177</v>
      </c>
      <c r="B179" t="s">
        <v>68</v>
      </c>
      <c r="C179" t="s">
        <v>82</v>
      </c>
      <c r="D179">
        <v>1</v>
      </c>
      <c r="E179">
        <v>0</v>
      </c>
      <c r="F179">
        <v>1</v>
      </c>
      <c r="G179">
        <v>28.009699999999999</v>
      </c>
      <c r="H179">
        <v>2</v>
      </c>
      <c r="I179" t="s">
        <v>89</v>
      </c>
      <c r="J179">
        <v>4</v>
      </c>
      <c r="K179">
        <v>300</v>
      </c>
      <c r="L179">
        <v>66.666666666666657</v>
      </c>
      <c r="N179" t="s">
        <v>91</v>
      </c>
      <c r="O179">
        <v>33.333333333333343</v>
      </c>
      <c r="P179">
        <v>0.33333333333333331</v>
      </c>
      <c r="Q179">
        <v>3.2500000000000001E-2</v>
      </c>
      <c r="R179">
        <v>77.5</v>
      </c>
      <c r="S179">
        <v>170</v>
      </c>
      <c r="T179">
        <v>20</v>
      </c>
      <c r="U179">
        <v>1812.1301775147931</v>
      </c>
      <c r="V179">
        <v>20</v>
      </c>
      <c r="W179">
        <v>0.95</v>
      </c>
      <c r="X179">
        <v>1</v>
      </c>
      <c r="Y179">
        <v>57471.512650968158</v>
      </c>
      <c r="Z179">
        <v>172414537.95290449</v>
      </c>
      <c r="AA179">
        <v>689658151.81161785</v>
      </c>
      <c r="AB179">
        <v>689658.15181161789</v>
      </c>
      <c r="AC179">
        <v>0</v>
      </c>
      <c r="AD179">
        <v>1786.9507496191111</v>
      </c>
      <c r="AE179">
        <v>3216511.3493144</v>
      </c>
      <c r="AF179">
        <v>2144340.8995429329</v>
      </c>
      <c r="AG179">
        <v>60.062345293927692</v>
      </c>
      <c r="AH179">
        <v>471.86221494442219</v>
      </c>
      <c r="AI179">
        <v>94.372442988884444</v>
      </c>
      <c r="AJ179">
        <v>22413.889933877581</v>
      </c>
      <c r="AK179">
        <v>854.70085470085473</v>
      </c>
      <c r="AL179" t="s">
        <v>93</v>
      </c>
      <c r="AM179">
        <v>36569.321658192719</v>
      </c>
      <c r="AN179">
        <v>641.36931616677862</v>
      </c>
      <c r="AO179">
        <v>16043.315308110359</v>
      </c>
      <c r="AP179">
        <v>60479.281762937928</v>
      </c>
      <c r="AQ179">
        <v>44435.966454827583</v>
      </c>
      <c r="AR179">
        <v>1.0452577730833331E-2</v>
      </c>
      <c r="AS179">
        <v>360.1890347189439</v>
      </c>
      <c r="AT179">
        <v>587.6654479543206</v>
      </c>
      <c r="AU179">
        <v>10.30674263012658</v>
      </c>
      <c r="AV179">
        <v>257.8145191025406</v>
      </c>
      <c r="AW179">
        <v>971.89618504203247</v>
      </c>
      <c r="AX179">
        <v>714.08166593949193</v>
      </c>
      <c r="AY179">
        <v>1.57124139137513</v>
      </c>
      <c r="AZ179" t="s">
        <v>111</v>
      </c>
      <c r="BA179" t="str">
        <f>VLOOKUP($AZ179,Sheet1!$A$2:$B$58,2)</f>
        <v>Acrylate (PW2)</v>
      </c>
      <c r="BB179" t="s">
        <v>163</v>
      </c>
      <c r="BC179">
        <v>71.053619999999995</v>
      </c>
      <c r="BD179">
        <v>3.666666666666667</v>
      </c>
      <c r="BE179">
        <v>80</v>
      </c>
      <c r="BF179" t="s">
        <v>201</v>
      </c>
      <c r="BG179">
        <v>0.91086968173182625</v>
      </c>
      <c r="BH179">
        <v>0.17</v>
      </c>
      <c r="BI179">
        <v>0.41623416264645102</v>
      </c>
      <c r="BJ179">
        <v>80</v>
      </c>
      <c r="BK179">
        <v>2918.7182127922788</v>
      </c>
      <c r="BL179">
        <v>2144.4709793860438</v>
      </c>
      <c r="BM179">
        <v>3.8077524677123962</v>
      </c>
      <c r="BN179">
        <v>647.31791951110722</v>
      </c>
      <c r="BO179">
        <v>2271.4002932811718</v>
      </c>
    </row>
    <row r="180" spans="1:67" x14ac:dyDescent="0.25">
      <c r="A180" s="1">
        <v>178</v>
      </c>
      <c r="B180" t="s">
        <v>68</v>
      </c>
      <c r="C180" t="s">
        <v>82</v>
      </c>
      <c r="D180">
        <v>1</v>
      </c>
      <c r="E180">
        <v>0</v>
      </c>
      <c r="F180">
        <v>1</v>
      </c>
      <c r="G180">
        <v>28.009699999999999</v>
      </c>
      <c r="H180">
        <v>2</v>
      </c>
      <c r="I180" t="s">
        <v>89</v>
      </c>
      <c r="J180">
        <v>4</v>
      </c>
      <c r="K180">
        <v>300</v>
      </c>
      <c r="L180">
        <v>66.666666666666657</v>
      </c>
      <c r="N180" t="s">
        <v>91</v>
      </c>
      <c r="O180">
        <v>33.333333333333343</v>
      </c>
      <c r="P180">
        <v>0.33333333333333331</v>
      </c>
      <c r="Q180">
        <v>3.2500000000000001E-2</v>
      </c>
      <c r="R180">
        <v>77.5</v>
      </c>
      <c r="S180">
        <v>170</v>
      </c>
      <c r="T180">
        <v>20</v>
      </c>
      <c r="U180">
        <v>1812.1301775147931</v>
      </c>
      <c r="V180">
        <v>20</v>
      </c>
      <c r="W180">
        <v>0.95</v>
      </c>
      <c r="X180">
        <v>1</v>
      </c>
      <c r="Y180">
        <v>213211.60785953459</v>
      </c>
      <c r="Z180">
        <v>639634823.57860386</v>
      </c>
      <c r="AA180">
        <v>2558539294.314415</v>
      </c>
      <c r="AB180">
        <v>2558539.2943144161</v>
      </c>
      <c r="AC180">
        <v>0</v>
      </c>
      <c r="AD180">
        <v>6629.347739739248</v>
      </c>
      <c r="AE180">
        <v>11932825.931530651</v>
      </c>
      <c r="AF180">
        <v>7955217.2876870958</v>
      </c>
      <c r="AG180">
        <v>222.8232496629293</v>
      </c>
      <c r="AH180">
        <v>1750.545564155545</v>
      </c>
      <c r="AI180">
        <v>350.10911283110897</v>
      </c>
      <c r="AJ180">
        <v>83152.527065218514</v>
      </c>
      <c r="AK180">
        <v>854.70085470085473</v>
      </c>
      <c r="AL180" t="s">
        <v>93</v>
      </c>
      <c r="AM180">
        <v>135667.28122205471</v>
      </c>
      <c r="AN180">
        <v>2379.3941872066848</v>
      </c>
      <c r="AO180">
        <v>59518.549181288538</v>
      </c>
      <c r="AP180">
        <v>222053.90332918079</v>
      </c>
      <c r="AQ180">
        <v>162535.35414789221</v>
      </c>
      <c r="AR180">
        <v>1.0452577730833339E-2</v>
      </c>
      <c r="AS180">
        <v>360.1890347189439</v>
      </c>
      <c r="AT180">
        <v>587.66544795432071</v>
      </c>
      <c r="AU180">
        <v>10.30674263012658</v>
      </c>
      <c r="AV180">
        <v>257.81451910254071</v>
      </c>
      <c r="AW180">
        <v>961.86350455687295</v>
      </c>
      <c r="AX180">
        <v>704.04898545433241</v>
      </c>
      <c r="AY180">
        <v>1.57124139137513</v>
      </c>
      <c r="AZ180" t="s">
        <v>113</v>
      </c>
      <c r="BA180" t="str">
        <f>VLOOKUP($AZ180,Sheet1!$A$2:$B$58,2)</f>
        <v>Benzoate (PW1)</v>
      </c>
      <c r="BB180" t="s">
        <v>165</v>
      </c>
      <c r="BC180">
        <v>121.1121</v>
      </c>
      <c r="BD180">
        <v>4.1428571428571432</v>
      </c>
      <c r="BE180">
        <v>249.2</v>
      </c>
      <c r="BF180" t="s">
        <v>201</v>
      </c>
      <c r="BG180">
        <v>3.5608955938555731</v>
      </c>
      <c r="BH180">
        <v>2.6883720930233002E-2</v>
      </c>
      <c r="BI180">
        <v>0.112196550574584</v>
      </c>
      <c r="BJ180">
        <v>80</v>
      </c>
      <c r="BK180">
        <v>10716.277590876811</v>
      </c>
      <c r="BL180">
        <v>7843.9241430411384</v>
      </c>
      <c r="BM180">
        <v>13.944560047699881</v>
      </c>
      <c r="BN180">
        <v>2370.575208108979</v>
      </c>
      <c r="BO180">
        <v>8345.7023827678295</v>
      </c>
    </row>
    <row r="181" spans="1:67" x14ac:dyDescent="0.25">
      <c r="A181" s="1">
        <v>179</v>
      </c>
      <c r="B181" t="s">
        <v>68</v>
      </c>
      <c r="C181" t="s">
        <v>82</v>
      </c>
      <c r="D181">
        <v>1</v>
      </c>
      <c r="E181">
        <v>0</v>
      </c>
      <c r="F181">
        <v>1</v>
      </c>
      <c r="G181">
        <v>28.009699999999999</v>
      </c>
      <c r="H181">
        <v>2</v>
      </c>
      <c r="I181" t="s">
        <v>89</v>
      </c>
      <c r="J181">
        <v>4</v>
      </c>
      <c r="K181">
        <v>300</v>
      </c>
      <c r="L181">
        <v>66.666666666666657</v>
      </c>
      <c r="N181" t="s">
        <v>91</v>
      </c>
      <c r="O181">
        <v>33.333333333333343</v>
      </c>
      <c r="P181">
        <v>0.33333333333333331</v>
      </c>
      <c r="Q181">
        <v>3.2500000000000001E-2</v>
      </c>
      <c r="R181">
        <v>77.5</v>
      </c>
      <c r="S181">
        <v>170</v>
      </c>
      <c r="T181">
        <v>20</v>
      </c>
      <c r="U181">
        <v>1812.1301775147931</v>
      </c>
      <c r="V181">
        <v>20</v>
      </c>
      <c r="W181">
        <v>0.95</v>
      </c>
      <c r="X181">
        <v>1</v>
      </c>
      <c r="Y181">
        <v>229078.5182118729</v>
      </c>
      <c r="Z181">
        <v>687235554.63561869</v>
      </c>
      <c r="AA181">
        <v>2748942218.5424752</v>
      </c>
      <c r="AB181">
        <v>2748942.2185424748</v>
      </c>
      <c r="AC181">
        <v>0</v>
      </c>
      <c r="AD181">
        <v>7122.6945482780066</v>
      </c>
      <c r="AE181">
        <v>12820850.186900411</v>
      </c>
      <c r="AF181">
        <v>8547233.4579336066</v>
      </c>
      <c r="AG181">
        <v>239.40544498668291</v>
      </c>
      <c r="AH181">
        <v>1880.81872241829</v>
      </c>
      <c r="AI181">
        <v>376.16374448365798</v>
      </c>
      <c r="AJ181">
        <v>89340.622102630427</v>
      </c>
      <c r="AK181">
        <v>854.70085470085473</v>
      </c>
      <c r="AL181" t="s">
        <v>93</v>
      </c>
      <c r="AM181">
        <v>145763.45098741751</v>
      </c>
      <c r="AN181">
        <v>2556.4653825337032</v>
      </c>
      <c r="AO181">
        <v>63947.836562221863</v>
      </c>
      <c r="AP181">
        <v>238515.2393272825</v>
      </c>
      <c r="AQ181">
        <v>174567.4027650606</v>
      </c>
      <c r="AR181">
        <v>1.0452577730833339E-2</v>
      </c>
      <c r="AS181">
        <v>360.1890347189439</v>
      </c>
      <c r="AT181">
        <v>587.66544795432071</v>
      </c>
      <c r="AU181">
        <v>10.30674263012658</v>
      </c>
      <c r="AV181">
        <v>257.81451910254071</v>
      </c>
      <c r="AW181">
        <v>961.60706963022506</v>
      </c>
      <c r="AX181">
        <v>703.7925505276844</v>
      </c>
      <c r="AY181">
        <v>1.5712413913751311</v>
      </c>
      <c r="AZ181" t="s">
        <v>114</v>
      </c>
      <c r="BA181" t="str">
        <f>VLOOKUP($AZ181,Sheet1!$A$2:$B$58,2)</f>
        <v>Benzoate (PW2)</v>
      </c>
      <c r="BB181" t="s">
        <v>165</v>
      </c>
      <c r="BC181">
        <v>121.1121</v>
      </c>
      <c r="BD181">
        <v>4.1428571428571432</v>
      </c>
      <c r="BE181">
        <v>249.2</v>
      </c>
      <c r="BF181" t="s">
        <v>201</v>
      </c>
      <c r="BG181">
        <v>3.812371271387724</v>
      </c>
      <c r="BH181">
        <v>2.5021645021645E-2</v>
      </c>
      <c r="BI181">
        <v>0.104425360924396</v>
      </c>
      <c r="BJ181">
        <v>80</v>
      </c>
      <c r="BK181">
        <v>11510.698420358211</v>
      </c>
      <c r="BL181">
        <v>8424.5884368696406</v>
      </c>
      <c r="BM181">
        <v>14.99581595279518</v>
      </c>
      <c r="BN181">
        <v>2549.2887119751808</v>
      </c>
      <c r="BO181">
        <v>8961.4097083830311</v>
      </c>
    </row>
    <row r="182" spans="1:67" x14ac:dyDescent="0.25">
      <c r="A182" s="1">
        <v>180</v>
      </c>
      <c r="B182" t="s">
        <v>68</v>
      </c>
      <c r="C182" t="s">
        <v>82</v>
      </c>
      <c r="D182">
        <v>1</v>
      </c>
      <c r="E182">
        <v>0</v>
      </c>
      <c r="F182">
        <v>1</v>
      </c>
      <c r="G182">
        <v>28.009699999999999</v>
      </c>
      <c r="H182">
        <v>2</v>
      </c>
      <c r="I182" t="s">
        <v>89</v>
      </c>
      <c r="J182">
        <v>4</v>
      </c>
      <c r="K182">
        <v>300</v>
      </c>
      <c r="L182">
        <v>66.666666666666657</v>
      </c>
      <c r="N182" t="s">
        <v>91</v>
      </c>
      <c r="O182">
        <v>33.333333333333343</v>
      </c>
      <c r="P182">
        <v>0.33333333333333331</v>
      </c>
      <c r="Q182">
        <v>3.2500000000000001E-2</v>
      </c>
      <c r="R182">
        <v>77.5</v>
      </c>
      <c r="S182">
        <v>170</v>
      </c>
      <c r="T182">
        <v>20</v>
      </c>
      <c r="U182">
        <v>1812.1301775147931</v>
      </c>
      <c r="V182">
        <v>20</v>
      </c>
      <c r="W182">
        <v>0.95</v>
      </c>
      <c r="X182">
        <v>1</v>
      </c>
      <c r="Y182">
        <v>150851.00491481979</v>
      </c>
      <c r="Z182">
        <v>452553014.74445951</v>
      </c>
      <c r="AA182">
        <v>1810212058.977838</v>
      </c>
      <c r="AB182">
        <v>1810212.0589778379</v>
      </c>
      <c r="AC182">
        <v>66773.504273504266</v>
      </c>
      <c r="AD182">
        <v>4690.381440809223</v>
      </c>
      <c r="AE182">
        <v>8442686.5934566017</v>
      </c>
      <c r="AF182">
        <v>5628457.7289710669</v>
      </c>
      <c r="AG182">
        <v>157.65141245116089</v>
      </c>
      <c r="AH182">
        <v>1238.5421232600829</v>
      </c>
      <c r="AI182">
        <v>247.70842465201659</v>
      </c>
      <c r="AJ182">
        <v>58831.891916779743</v>
      </c>
      <c r="AK182">
        <v>2170.1388888888891</v>
      </c>
      <c r="AL182" t="s">
        <v>95</v>
      </c>
      <c r="AM182">
        <v>95987.014552656445</v>
      </c>
      <c r="AN182">
        <v>1683.46370927927</v>
      </c>
      <c r="AO182">
        <v>42110.432190842832</v>
      </c>
      <c r="AP182">
        <v>158672.50906760429</v>
      </c>
      <c r="AQ182">
        <v>116562.07687676149</v>
      </c>
      <c r="AR182">
        <v>1.0452577730833339E-2</v>
      </c>
      <c r="AS182">
        <v>360.1890347189439</v>
      </c>
      <c r="AT182">
        <v>587.66544795432071</v>
      </c>
      <c r="AU182">
        <v>10.30674263012658</v>
      </c>
      <c r="AV182">
        <v>257.81451910254071</v>
      </c>
      <c r="AW182">
        <v>971.44756042075608</v>
      </c>
      <c r="AX182">
        <v>713.63304131821531</v>
      </c>
      <c r="AY182">
        <v>1.5712413913751311</v>
      </c>
      <c r="AZ182" t="s">
        <v>117</v>
      </c>
      <c r="BA182" t="str">
        <f>VLOOKUP($AZ182,Sheet1!$A$2:$B$58,2)</f>
        <v>Butane</v>
      </c>
      <c r="BB182" t="s">
        <v>168</v>
      </c>
      <c r="BC182">
        <v>58.121200000000002</v>
      </c>
      <c r="BD182">
        <v>6.5</v>
      </c>
      <c r="BE182">
        <v>-1</v>
      </c>
      <c r="BF182" t="s">
        <v>201</v>
      </c>
      <c r="BG182">
        <v>4.283874215167657</v>
      </c>
      <c r="BH182">
        <v>7.9178082191781005E-2</v>
      </c>
      <c r="BI182">
        <v>0.15857771022346401</v>
      </c>
      <c r="BJ182">
        <v>80</v>
      </c>
      <c r="BK182">
        <v>7657.5040011283336</v>
      </c>
      <c r="BL182">
        <v>5625.2628467817158</v>
      </c>
      <c r="BM182">
        <v>8.101547017433175</v>
      </c>
      <c r="BN182">
        <v>1377.26299296364</v>
      </c>
      <c r="BO182">
        <v>6280.241008164694</v>
      </c>
    </row>
    <row r="183" spans="1:67" x14ac:dyDescent="0.25">
      <c r="A183" s="1">
        <v>181</v>
      </c>
      <c r="B183" t="s">
        <v>68</v>
      </c>
      <c r="C183" t="s">
        <v>82</v>
      </c>
      <c r="D183">
        <v>1</v>
      </c>
      <c r="E183">
        <v>0</v>
      </c>
      <c r="F183">
        <v>1</v>
      </c>
      <c r="G183">
        <v>28.009699999999999</v>
      </c>
      <c r="H183">
        <v>2</v>
      </c>
      <c r="I183" t="s">
        <v>89</v>
      </c>
      <c r="J183">
        <v>4</v>
      </c>
      <c r="K183">
        <v>300</v>
      </c>
      <c r="L183">
        <v>66.666666666666657</v>
      </c>
      <c r="N183" t="s">
        <v>91</v>
      </c>
      <c r="O183">
        <v>33.333333333333343</v>
      </c>
      <c r="P183">
        <v>0.33333333333333331</v>
      </c>
      <c r="Q183">
        <v>3.2500000000000001E-2</v>
      </c>
      <c r="R183">
        <v>77.5</v>
      </c>
      <c r="S183">
        <v>170</v>
      </c>
      <c r="T183">
        <v>20</v>
      </c>
      <c r="U183">
        <v>1812.1301775147931</v>
      </c>
      <c r="V183">
        <v>20</v>
      </c>
      <c r="W183">
        <v>0.95</v>
      </c>
      <c r="X183">
        <v>1</v>
      </c>
      <c r="Y183">
        <v>74927.486274846189</v>
      </c>
      <c r="Z183">
        <v>224782458.82453859</v>
      </c>
      <c r="AA183">
        <v>899129835.29815447</v>
      </c>
      <c r="AB183">
        <v>899129.8352981545</v>
      </c>
      <c r="AC183">
        <v>0</v>
      </c>
      <c r="AD183">
        <v>2329.705998501443</v>
      </c>
      <c r="AE183">
        <v>4193470.7973025972</v>
      </c>
      <c r="AF183">
        <v>2795647.1982017308</v>
      </c>
      <c r="AG183">
        <v>78.305239327471028</v>
      </c>
      <c r="AH183">
        <v>615.18216596429079</v>
      </c>
      <c r="AI183">
        <v>123.0364331928582</v>
      </c>
      <c r="AJ183">
        <v>29221.719647190021</v>
      </c>
      <c r="AK183">
        <v>854.70085470085473</v>
      </c>
      <c r="AL183" t="s">
        <v>93</v>
      </c>
      <c r="AM183">
        <v>47676.617862232539</v>
      </c>
      <c r="AN183">
        <v>836.1741046567746</v>
      </c>
      <c r="AO183">
        <v>20916.193642785889</v>
      </c>
      <c r="AP183">
        <v>78589.212468780199</v>
      </c>
      <c r="AQ183">
        <v>57673.01882599431</v>
      </c>
      <c r="AR183">
        <v>1.0452577730833339E-2</v>
      </c>
      <c r="AS183">
        <v>360.1890347189439</v>
      </c>
      <c r="AT183">
        <v>587.66544795432071</v>
      </c>
      <c r="AU183">
        <v>10.30674263012658</v>
      </c>
      <c r="AV183">
        <v>257.81451910254071</v>
      </c>
      <c r="AW183">
        <v>968.69632999760677</v>
      </c>
      <c r="AX183">
        <v>710.881810895066</v>
      </c>
      <c r="AY183">
        <v>1.5712413913751311</v>
      </c>
      <c r="AZ183" t="s">
        <v>118</v>
      </c>
      <c r="BA183" t="str">
        <f>VLOOKUP($AZ183,Sheet1!$A$2:$B$58,2)</f>
        <v>Butanol (PW1)</v>
      </c>
      <c r="BB183" t="s">
        <v>169</v>
      </c>
      <c r="BC183">
        <v>74.120199999999997</v>
      </c>
      <c r="BD183">
        <v>6</v>
      </c>
      <c r="BE183">
        <v>117.7</v>
      </c>
      <c r="BF183" t="s">
        <v>201</v>
      </c>
      <c r="BG183">
        <v>2.3750610494844859</v>
      </c>
      <c r="BH183">
        <v>0.125</v>
      </c>
      <c r="BI183">
        <v>0.31926343900757997</v>
      </c>
      <c r="BJ183">
        <v>80</v>
      </c>
      <c r="BK183">
        <v>3792.699897805272</v>
      </c>
      <c r="BL183">
        <v>2783.2885167842069</v>
      </c>
      <c r="BM183">
        <v>3.7767606101584228</v>
      </c>
      <c r="BN183">
        <v>642.04930372693195</v>
      </c>
      <c r="BO183">
        <v>3150.65059407834</v>
      </c>
    </row>
    <row r="184" spans="1:67" x14ac:dyDescent="0.25">
      <c r="A184" s="1">
        <v>182</v>
      </c>
      <c r="B184" t="s">
        <v>68</v>
      </c>
      <c r="C184" t="s">
        <v>82</v>
      </c>
      <c r="D184">
        <v>1</v>
      </c>
      <c r="E184">
        <v>0</v>
      </c>
      <c r="F184">
        <v>1</v>
      </c>
      <c r="G184">
        <v>28.009699999999999</v>
      </c>
      <c r="H184">
        <v>2</v>
      </c>
      <c r="I184" t="s">
        <v>89</v>
      </c>
      <c r="J184">
        <v>4</v>
      </c>
      <c r="K184">
        <v>300</v>
      </c>
      <c r="L184">
        <v>66.666666666666657</v>
      </c>
      <c r="N184" t="s">
        <v>91</v>
      </c>
      <c r="O184">
        <v>33.333333333333343</v>
      </c>
      <c r="P184">
        <v>0.33333333333333331</v>
      </c>
      <c r="Q184">
        <v>3.2500000000000001E-2</v>
      </c>
      <c r="R184">
        <v>77.5</v>
      </c>
      <c r="S184">
        <v>170</v>
      </c>
      <c r="T184">
        <v>20</v>
      </c>
      <c r="U184">
        <v>1812.1301775147931</v>
      </c>
      <c r="V184">
        <v>20</v>
      </c>
      <c r="W184">
        <v>0.95</v>
      </c>
      <c r="X184">
        <v>1</v>
      </c>
      <c r="Y184">
        <v>74927.486274845956</v>
      </c>
      <c r="Z184">
        <v>224782458.8245379</v>
      </c>
      <c r="AA184">
        <v>899129835.29815149</v>
      </c>
      <c r="AB184">
        <v>899129.83529815148</v>
      </c>
      <c r="AC184">
        <v>0</v>
      </c>
      <c r="AD184">
        <v>2329.7059985014348</v>
      </c>
      <c r="AE184">
        <v>4193470.7973025842</v>
      </c>
      <c r="AF184">
        <v>2795647.198201722</v>
      </c>
      <c r="AG184">
        <v>78.305239327470773</v>
      </c>
      <c r="AH184">
        <v>615.18216596428874</v>
      </c>
      <c r="AI184">
        <v>123.0364331928578</v>
      </c>
      <c r="AJ184">
        <v>29221.719647189919</v>
      </c>
      <c r="AK184">
        <v>854.70085470085473</v>
      </c>
      <c r="AL184" t="s">
        <v>93</v>
      </c>
      <c r="AM184">
        <v>47676.617862232379</v>
      </c>
      <c r="AN184">
        <v>836.17410465677187</v>
      </c>
      <c r="AO184">
        <v>20916.19364278582</v>
      </c>
      <c r="AP184">
        <v>78589.212468779937</v>
      </c>
      <c r="AQ184">
        <v>57673.018825994121</v>
      </c>
      <c r="AR184">
        <v>1.0452577730833331E-2</v>
      </c>
      <c r="AS184">
        <v>360.1890347189439</v>
      </c>
      <c r="AT184">
        <v>587.66544795432071</v>
      </c>
      <c r="AU184">
        <v>10.30674263012658</v>
      </c>
      <c r="AV184">
        <v>257.81451910254071</v>
      </c>
      <c r="AW184">
        <v>968.69632999760654</v>
      </c>
      <c r="AX184">
        <v>710.88181089506588</v>
      </c>
      <c r="AY184">
        <v>1.57124139137513</v>
      </c>
      <c r="AZ184" t="s">
        <v>119</v>
      </c>
      <c r="BA184" t="str">
        <f>VLOOKUP($AZ184,Sheet1!$A$2:$B$58,2)</f>
        <v>Butanol (PW2)</v>
      </c>
      <c r="BB184" t="s">
        <v>169</v>
      </c>
      <c r="BC184">
        <v>74.120199999999997</v>
      </c>
      <c r="BD184">
        <v>6</v>
      </c>
      <c r="BE184">
        <v>117.7</v>
      </c>
      <c r="BF184" t="s">
        <v>201</v>
      </c>
      <c r="BG184">
        <v>2.3750610494844859</v>
      </c>
      <c r="BH184">
        <v>0.125</v>
      </c>
      <c r="BI184">
        <v>0.31926343900758097</v>
      </c>
      <c r="BJ184">
        <v>80</v>
      </c>
      <c r="BK184">
        <v>3792.6998978052602</v>
      </c>
      <c r="BL184">
        <v>2783.2885167841978</v>
      </c>
      <c r="BM184">
        <v>3.7767606101584028</v>
      </c>
      <c r="BN184">
        <v>642.04930372692843</v>
      </c>
      <c r="BO184">
        <v>3150.6505940783309</v>
      </c>
    </row>
    <row r="185" spans="1:67" x14ac:dyDescent="0.25">
      <c r="A185" s="1">
        <v>183</v>
      </c>
      <c r="B185" t="s">
        <v>68</v>
      </c>
      <c r="C185" t="s">
        <v>82</v>
      </c>
      <c r="D185">
        <v>1</v>
      </c>
      <c r="E185">
        <v>0</v>
      </c>
      <c r="F185">
        <v>1</v>
      </c>
      <c r="G185">
        <v>28.009699999999999</v>
      </c>
      <c r="H185">
        <v>2</v>
      </c>
      <c r="I185" t="s">
        <v>89</v>
      </c>
      <c r="J185">
        <v>4</v>
      </c>
      <c r="K185">
        <v>300</v>
      </c>
      <c r="L185">
        <v>66.666666666666657</v>
      </c>
      <c r="N185" t="s">
        <v>91</v>
      </c>
      <c r="O185">
        <v>33.333333333333343</v>
      </c>
      <c r="P185">
        <v>0.33333333333333331</v>
      </c>
      <c r="Q185">
        <v>3.2500000000000001E-2</v>
      </c>
      <c r="R185">
        <v>77.5</v>
      </c>
      <c r="S185">
        <v>170</v>
      </c>
      <c r="T185">
        <v>20</v>
      </c>
      <c r="U185">
        <v>1812.1301775147931</v>
      </c>
      <c r="V185">
        <v>20</v>
      </c>
      <c r="W185">
        <v>0.95</v>
      </c>
      <c r="X185">
        <v>1</v>
      </c>
      <c r="Y185">
        <v>53137.349140899147</v>
      </c>
      <c r="Z185">
        <v>159412047.42269751</v>
      </c>
      <c r="AA185">
        <v>637648189.69078982</v>
      </c>
      <c r="AB185">
        <v>637648.18969078979</v>
      </c>
      <c r="AC185">
        <v>0</v>
      </c>
      <c r="AD185">
        <v>1652.189432645855</v>
      </c>
      <c r="AE185">
        <v>2973940.97876254</v>
      </c>
      <c r="AF185">
        <v>1982627.3191750259</v>
      </c>
      <c r="AG185">
        <v>55.532796421896727</v>
      </c>
      <c r="AH185">
        <v>436.27714158446429</v>
      </c>
      <c r="AI185">
        <v>87.255428316892875</v>
      </c>
      <c r="AJ185">
        <v>20723.566164950669</v>
      </c>
      <c r="AK185">
        <v>854.70085470085473</v>
      </c>
      <c r="AL185" t="s">
        <v>93</v>
      </c>
      <c r="AM185">
        <v>33811.478472795978</v>
      </c>
      <c r="AN185">
        <v>593.00101405700059</v>
      </c>
      <c r="AO185">
        <v>14833.42281387179</v>
      </c>
      <c r="AP185">
        <v>55982.746506504511</v>
      </c>
      <c r="AQ185">
        <v>41149.323692632723</v>
      </c>
      <c r="AR185">
        <v>1.0452577730833331E-2</v>
      </c>
      <c r="AS185">
        <v>360.1890347189439</v>
      </c>
      <c r="AT185">
        <v>587.66544795432071</v>
      </c>
      <c r="AU185">
        <v>10.30674263012658</v>
      </c>
      <c r="AV185">
        <v>257.81451910254071</v>
      </c>
      <c r="AW185">
        <v>973.01648107248855</v>
      </c>
      <c r="AX185">
        <v>715.20196196994777</v>
      </c>
      <c r="AY185">
        <v>1.57124139137513</v>
      </c>
      <c r="AZ185" t="s">
        <v>120</v>
      </c>
      <c r="BA185" t="str">
        <f>VLOOKUP($AZ185,Sheet1!$A$2:$B$58,2)</f>
        <v>Butyrate</v>
      </c>
      <c r="BB185" t="s">
        <v>170</v>
      </c>
      <c r="BC185">
        <v>87.095680000000002</v>
      </c>
      <c r="BD185">
        <v>4.75</v>
      </c>
      <c r="BE185">
        <v>163.5</v>
      </c>
      <c r="BF185" t="s">
        <v>201</v>
      </c>
      <c r="BG185">
        <v>1.347483595053165</v>
      </c>
      <c r="BH185">
        <v>0.15</v>
      </c>
      <c r="BI185">
        <v>0.45018442453480401</v>
      </c>
      <c r="BJ185">
        <v>80</v>
      </c>
      <c r="BK185">
        <v>2701.716307927441</v>
      </c>
      <c r="BL185">
        <v>1985.858247730911</v>
      </c>
      <c r="BM185">
        <v>3.0152878207914791</v>
      </c>
      <c r="BN185">
        <v>512.59892953455142</v>
      </c>
      <c r="BO185">
        <v>2189.1173783928898</v>
      </c>
    </row>
    <row r="186" spans="1:67" x14ac:dyDescent="0.25">
      <c r="A186" s="1">
        <v>184</v>
      </c>
      <c r="B186" t="s">
        <v>68</v>
      </c>
      <c r="C186" t="s">
        <v>82</v>
      </c>
      <c r="D186">
        <v>1</v>
      </c>
      <c r="E186">
        <v>0</v>
      </c>
      <c r="F186">
        <v>1</v>
      </c>
      <c r="G186">
        <v>28.009699999999999</v>
      </c>
      <c r="H186">
        <v>2</v>
      </c>
      <c r="I186" t="s">
        <v>89</v>
      </c>
      <c r="J186">
        <v>4</v>
      </c>
      <c r="K186">
        <v>300</v>
      </c>
      <c r="L186">
        <v>66.666666666666657</v>
      </c>
      <c r="N186" t="s">
        <v>91</v>
      </c>
      <c r="O186">
        <v>33.333333333333343</v>
      </c>
      <c r="P186">
        <v>0.33333333333333331</v>
      </c>
      <c r="Q186">
        <v>3.2500000000000001E-2</v>
      </c>
      <c r="R186">
        <v>77.5</v>
      </c>
      <c r="S186">
        <v>170</v>
      </c>
      <c r="T186">
        <v>20</v>
      </c>
      <c r="U186">
        <v>1812.1301775147931</v>
      </c>
      <c r="V186">
        <v>20</v>
      </c>
      <c r="W186">
        <v>0.95</v>
      </c>
      <c r="X186">
        <v>1</v>
      </c>
      <c r="Y186">
        <v>149436.5119583839</v>
      </c>
      <c r="Z186">
        <v>448309535.87515157</v>
      </c>
      <c r="AA186">
        <v>1793238143.500607</v>
      </c>
      <c r="AB186">
        <v>1793238.143500607</v>
      </c>
      <c r="AC186">
        <v>0</v>
      </c>
      <c r="AD186">
        <v>4646.4008818811017</v>
      </c>
      <c r="AE186">
        <v>8363521.5873859832</v>
      </c>
      <c r="AF186">
        <v>5575681.0582573209</v>
      </c>
      <c r="AG186">
        <v>156.1731537374701</v>
      </c>
      <c r="AH186">
        <v>1226.928616869523</v>
      </c>
      <c r="AI186">
        <v>245.38572337390471</v>
      </c>
      <c r="AJ186">
        <v>58280.239663769717</v>
      </c>
      <c r="AK186">
        <v>854.70085470085473</v>
      </c>
      <c r="AL186" t="s">
        <v>93</v>
      </c>
      <c r="AM186">
        <v>95086.96780738805</v>
      </c>
      <c r="AN186">
        <v>1667.678282058976</v>
      </c>
      <c r="AO186">
        <v>41715.572973563787</v>
      </c>
      <c r="AP186">
        <v>155889.58660791759</v>
      </c>
      <c r="AQ186">
        <v>114174.0136343538</v>
      </c>
      <c r="AR186">
        <v>1.0452577730833339E-2</v>
      </c>
      <c r="AS186">
        <v>360.1890347189439</v>
      </c>
      <c r="AT186">
        <v>587.66544795432071</v>
      </c>
      <c r="AU186">
        <v>10.30674263012658</v>
      </c>
      <c r="AV186">
        <v>257.81451910254071</v>
      </c>
      <c r="AW186">
        <v>963.44352814916226</v>
      </c>
      <c r="AX186">
        <v>705.6290090466216</v>
      </c>
      <c r="AY186">
        <v>1.57124139137513</v>
      </c>
      <c r="AZ186" t="s">
        <v>121</v>
      </c>
      <c r="BA186" t="str">
        <f>VLOOKUP($AZ186,Sheet1!$A$2:$B$58,2)</f>
        <v>Catechol</v>
      </c>
      <c r="BB186" t="s">
        <v>171</v>
      </c>
      <c r="BC186">
        <v>110.10924</v>
      </c>
      <c r="BD186">
        <v>4.333333333333333</v>
      </c>
      <c r="BE186">
        <v>245</v>
      </c>
      <c r="BF186" t="s">
        <v>201</v>
      </c>
      <c r="BG186">
        <v>2.5682758291127921</v>
      </c>
      <c r="BH186">
        <v>4.2189781021897799E-2</v>
      </c>
      <c r="BI186">
        <v>0.160078729293163</v>
      </c>
      <c r="BJ186">
        <v>80</v>
      </c>
      <c r="BK186">
        <v>7523.2007119504851</v>
      </c>
      <c r="BL186">
        <v>5510.0153855728349</v>
      </c>
      <c r="BM186">
        <v>9.7010103395824387</v>
      </c>
      <c r="BN186">
        <v>1649.1717577290151</v>
      </c>
      <c r="BO186">
        <v>5874.0289542214696</v>
      </c>
    </row>
    <row r="187" spans="1:67" x14ac:dyDescent="0.25">
      <c r="A187" s="1">
        <v>185</v>
      </c>
      <c r="B187" t="s">
        <v>68</v>
      </c>
      <c r="C187" t="s">
        <v>82</v>
      </c>
      <c r="D187">
        <v>1</v>
      </c>
      <c r="E187">
        <v>0</v>
      </c>
      <c r="F187">
        <v>1</v>
      </c>
      <c r="G187">
        <v>28.009699999999999</v>
      </c>
      <c r="H187">
        <v>2</v>
      </c>
      <c r="I187" t="s">
        <v>89</v>
      </c>
      <c r="J187">
        <v>4</v>
      </c>
      <c r="K187">
        <v>300</v>
      </c>
      <c r="L187">
        <v>66.666666666666657</v>
      </c>
      <c r="N187" t="s">
        <v>91</v>
      </c>
      <c r="O187">
        <v>33.333333333333343</v>
      </c>
      <c r="P187">
        <v>0.33333333333333331</v>
      </c>
      <c r="Q187">
        <v>3.2500000000000001E-2</v>
      </c>
      <c r="R187">
        <v>77.5</v>
      </c>
      <c r="S187">
        <v>170</v>
      </c>
      <c r="T187">
        <v>20</v>
      </c>
      <c r="U187">
        <v>1812.1301775147931</v>
      </c>
      <c r="V187">
        <v>20</v>
      </c>
      <c r="W187">
        <v>0.95</v>
      </c>
      <c r="X187">
        <v>1</v>
      </c>
      <c r="Y187">
        <v>43825.385985848421</v>
      </c>
      <c r="Z187">
        <v>131476157.9575453</v>
      </c>
      <c r="AA187">
        <v>525904631.830181</v>
      </c>
      <c r="AB187">
        <v>525904.631830181</v>
      </c>
      <c r="AC187">
        <v>0</v>
      </c>
      <c r="AD187">
        <v>1362.6543434721909</v>
      </c>
      <c r="AE187">
        <v>2452777.8182499432</v>
      </c>
      <c r="AF187">
        <v>1635185.2121666281</v>
      </c>
      <c r="AG187">
        <v>45.801047237223607</v>
      </c>
      <c r="AH187">
        <v>359.8225059372665</v>
      </c>
      <c r="AI187">
        <v>71.964501187453308</v>
      </c>
      <c r="AJ187">
        <v>17091.900534480879</v>
      </c>
      <c r="AK187">
        <v>854.70085470085473</v>
      </c>
      <c r="AL187" t="s">
        <v>93</v>
      </c>
      <c r="AM187">
        <v>27886.244210138149</v>
      </c>
      <c r="AN187">
        <v>489.08157353006823</v>
      </c>
      <c r="AO187">
        <v>12233.96520186706</v>
      </c>
      <c r="AP187">
        <v>46321.927172849959</v>
      </c>
      <c r="AQ187">
        <v>34087.961970982898</v>
      </c>
      <c r="AR187">
        <v>1.0452577730833339E-2</v>
      </c>
      <c r="AS187">
        <v>360.1890347189439</v>
      </c>
      <c r="AT187">
        <v>587.66544795432071</v>
      </c>
      <c r="AU187">
        <v>10.306742630126591</v>
      </c>
      <c r="AV187">
        <v>257.81451910254071</v>
      </c>
      <c r="AW187">
        <v>976.17290722297048</v>
      </c>
      <c r="AX187">
        <v>718.35838812042982</v>
      </c>
      <c r="AY187">
        <v>1.57124139137513</v>
      </c>
      <c r="AZ187" t="s">
        <v>123</v>
      </c>
      <c r="BA187" t="str">
        <f>VLOOKUP($AZ187,Sheet1!$A$2:$B$58,2)</f>
        <v>Citrate</v>
      </c>
      <c r="BB187" t="s">
        <v>173</v>
      </c>
      <c r="BC187">
        <v>189.09639999999999</v>
      </c>
      <c r="BD187">
        <v>2.5</v>
      </c>
      <c r="BF187" t="s">
        <v>201</v>
      </c>
      <c r="BG187">
        <v>0.34548369605868351</v>
      </c>
      <c r="BH187">
        <v>8.3768115942029001E-2</v>
      </c>
      <c r="BI187">
        <v>0.54583904753343504</v>
      </c>
      <c r="BJ187">
        <v>80</v>
      </c>
      <c r="BK187">
        <v>2235.4870717708582</v>
      </c>
      <c r="BL187">
        <v>1645.078323377981</v>
      </c>
      <c r="BM187">
        <v>3.252741363313981</v>
      </c>
      <c r="BN187">
        <v>552.9660317633768</v>
      </c>
      <c r="BO187">
        <v>1682.5210400074809</v>
      </c>
    </row>
    <row r="188" spans="1:67" x14ac:dyDescent="0.25">
      <c r="A188" s="1">
        <v>186</v>
      </c>
      <c r="B188" t="s">
        <v>68</v>
      </c>
      <c r="C188" t="s">
        <v>82</v>
      </c>
      <c r="D188">
        <v>1</v>
      </c>
      <c r="E188">
        <v>0</v>
      </c>
      <c r="F188">
        <v>1</v>
      </c>
      <c r="G188">
        <v>28.009699999999999</v>
      </c>
      <c r="H188">
        <v>2</v>
      </c>
      <c r="I188" t="s">
        <v>89</v>
      </c>
      <c r="J188">
        <v>4</v>
      </c>
      <c r="K188">
        <v>300</v>
      </c>
      <c r="L188">
        <v>66.666666666666657</v>
      </c>
      <c r="N188" t="s">
        <v>91</v>
      </c>
      <c r="O188">
        <v>33.333333333333343</v>
      </c>
      <c r="P188">
        <v>0.33333333333333331</v>
      </c>
      <c r="Q188">
        <v>3.2500000000000001E-2</v>
      </c>
      <c r="R188">
        <v>77.5</v>
      </c>
      <c r="S188">
        <v>170</v>
      </c>
      <c r="T188">
        <v>20</v>
      </c>
      <c r="U188">
        <v>1812.1301775147931</v>
      </c>
      <c r="V188">
        <v>20</v>
      </c>
      <c r="W188">
        <v>0.95</v>
      </c>
      <c r="X188">
        <v>1</v>
      </c>
      <c r="Y188">
        <v>158276.3937191625</v>
      </c>
      <c r="Z188">
        <v>474829181.15748757</v>
      </c>
      <c r="AA188">
        <v>1899316724.629951</v>
      </c>
      <c r="AB188">
        <v>1899316.72462995</v>
      </c>
      <c r="AC188">
        <v>0</v>
      </c>
      <c r="AD188">
        <v>4921.2576345631041</v>
      </c>
      <c r="AE188">
        <v>8858263.7422135882</v>
      </c>
      <c r="AF188">
        <v>5905509.1614757236</v>
      </c>
      <c r="AG188">
        <v>165.41153996018659</v>
      </c>
      <c r="AH188">
        <v>1299.5072909827329</v>
      </c>
      <c r="AI188">
        <v>259.90145819654663</v>
      </c>
      <c r="AJ188">
        <v>61727.79355047339</v>
      </c>
      <c r="AK188">
        <v>854.70085470085473</v>
      </c>
      <c r="AL188" t="s">
        <v>93</v>
      </c>
      <c r="AM188">
        <v>100711.8150511618</v>
      </c>
      <c r="AN188">
        <v>1766.329399079998</v>
      </c>
      <c r="AO188">
        <v>44183.247893412918</v>
      </c>
      <c r="AP188">
        <v>165060.63885541601</v>
      </c>
      <c r="AQ188">
        <v>120877.3909620031</v>
      </c>
      <c r="AR188">
        <v>1.0452577730833339E-2</v>
      </c>
      <c r="AS188">
        <v>360.1890347189439</v>
      </c>
      <c r="AT188">
        <v>587.66544795432071</v>
      </c>
      <c r="AU188">
        <v>10.30674263012658</v>
      </c>
      <c r="AV188">
        <v>257.81451910254083</v>
      </c>
      <c r="AW188">
        <v>963.14850669028249</v>
      </c>
      <c r="AX188">
        <v>705.33398758774172</v>
      </c>
      <c r="AY188">
        <v>1.5712413913751311</v>
      </c>
      <c r="AZ188" t="s">
        <v>124</v>
      </c>
      <c r="BA188" t="str">
        <f>VLOOKUP($AZ188,Sheet1!$A$2:$B$58,2)</f>
        <v>Coumaric Acid</v>
      </c>
      <c r="BB188" t="s">
        <v>174</v>
      </c>
      <c r="BC188">
        <v>163.14818</v>
      </c>
      <c r="BD188">
        <v>4.1111111111111107</v>
      </c>
      <c r="BE188">
        <v>346</v>
      </c>
      <c r="BF188" t="s">
        <v>201</v>
      </c>
      <c r="BG188">
        <v>2.643410078203726</v>
      </c>
      <c r="BH188">
        <v>2.6883720930232499E-2</v>
      </c>
      <c r="BI188">
        <v>0.15113818543746901</v>
      </c>
      <c r="BJ188">
        <v>80</v>
      </c>
      <c r="BK188">
        <v>7965.7938850996852</v>
      </c>
      <c r="BL188">
        <v>5833.5190536573746</v>
      </c>
      <c r="BM188">
        <v>10.35166283162361</v>
      </c>
      <c r="BN188">
        <v>1759.782681376013</v>
      </c>
      <c r="BO188">
        <v>6206.0112037236722</v>
      </c>
    </row>
    <row r="189" spans="1:67" x14ac:dyDescent="0.25">
      <c r="A189" s="1">
        <v>187</v>
      </c>
      <c r="B189" t="s">
        <v>68</v>
      </c>
      <c r="C189" t="s">
        <v>82</v>
      </c>
      <c r="D189">
        <v>1</v>
      </c>
      <c r="E189">
        <v>0</v>
      </c>
      <c r="F189">
        <v>1</v>
      </c>
      <c r="G189">
        <v>28.009699999999999</v>
      </c>
      <c r="H189">
        <v>2</v>
      </c>
      <c r="I189" t="s">
        <v>89</v>
      </c>
      <c r="J189">
        <v>4</v>
      </c>
      <c r="K189">
        <v>300</v>
      </c>
      <c r="L189">
        <v>66.666666666666657</v>
      </c>
      <c r="N189" t="s">
        <v>91</v>
      </c>
      <c r="O189">
        <v>33.333333333333343</v>
      </c>
      <c r="P189">
        <v>0.33333333333333331</v>
      </c>
      <c r="Q189">
        <v>3.2500000000000001E-2</v>
      </c>
      <c r="R189">
        <v>77.5</v>
      </c>
      <c r="S189">
        <v>170</v>
      </c>
      <c r="T189">
        <v>20</v>
      </c>
      <c r="U189">
        <v>1812.1301775147931</v>
      </c>
      <c r="V189">
        <v>20</v>
      </c>
      <c r="W189">
        <v>0.95</v>
      </c>
      <c r="X189">
        <v>1</v>
      </c>
      <c r="Y189">
        <v>52529.496628784247</v>
      </c>
      <c r="Z189">
        <v>157588489.88635269</v>
      </c>
      <c r="AA189">
        <v>630353959.54541099</v>
      </c>
      <c r="AB189">
        <v>630353.95954541094</v>
      </c>
      <c r="AC189">
        <v>0</v>
      </c>
      <c r="AD189">
        <v>1633.2895907576101</v>
      </c>
      <c r="AE189">
        <v>2939921.263363698</v>
      </c>
      <c r="AF189">
        <v>1959947.5089091321</v>
      </c>
      <c r="AG189">
        <v>54.897541740292112</v>
      </c>
      <c r="AH189">
        <v>431.28644933545428</v>
      </c>
      <c r="AI189">
        <v>86.257289867090861</v>
      </c>
      <c r="AJ189">
        <v>20486.50368522586</v>
      </c>
      <c r="AK189">
        <v>854.70085470085473</v>
      </c>
      <c r="AL189" t="s">
        <v>93</v>
      </c>
      <c r="AM189">
        <v>33424.699823497707</v>
      </c>
      <c r="AN189">
        <v>586.21751503213488</v>
      </c>
      <c r="AO189">
        <v>14663.73927740545</v>
      </c>
      <c r="AP189">
        <v>55352.12187845655</v>
      </c>
      <c r="AQ189">
        <v>40688.382601051097</v>
      </c>
      <c r="AR189">
        <v>1.0452577730833331E-2</v>
      </c>
      <c r="AS189">
        <v>360.1890347189439</v>
      </c>
      <c r="AT189">
        <v>587.66544795432071</v>
      </c>
      <c r="AU189">
        <v>10.30674263012658</v>
      </c>
      <c r="AV189">
        <v>257.81451910254071</v>
      </c>
      <c r="AW189">
        <v>973.18838076917041</v>
      </c>
      <c r="AX189">
        <v>715.37386166662986</v>
      </c>
      <c r="AY189">
        <v>1.57124139137513</v>
      </c>
      <c r="AZ189" t="s">
        <v>125</v>
      </c>
      <c r="BA189" t="str">
        <f>VLOOKUP($AZ189,Sheet1!$A$2:$B$58,2)</f>
        <v>Ethyl Acetate</v>
      </c>
      <c r="BB189" t="s">
        <v>175</v>
      </c>
      <c r="BC189">
        <v>88.103520000000003</v>
      </c>
      <c r="BD189">
        <v>5</v>
      </c>
      <c r="BE189">
        <v>77.099999999999994</v>
      </c>
      <c r="BF189" t="s">
        <v>201</v>
      </c>
      <c r="BG189">
        <v>1.332069365673471</v>
      </c>
      <c r="BH189">
        <v>0.15</v>
      </c>
      <c r="BI189">
        <v>0.45539379738111702</v>
      </c>
      <c r="BJ189">
        <v>80</v>
      </c>
      <c r="BK189">
        <v>2671.282487722141</v>
      </c>
      <c r="BL189">
        <v>1963.6133215378879</v>
      </c>
      <c r="BM189">
        <v>2.980795127681072</v>
      </c>
      <c r="BN189">
        <v>506.73517170578219</v>
      </c>
      <c r="BO189">
        <v>2164.5473160163592</v>
      </c>
    </row>
    <row r="190" spans="1:67" x14ac:dyDescent="0.25">
      <c r="A190" s="1">
        <v>188</v>
      </c>
      <c r="B190" t="s">
        <v>68</v>
      </c>
      <c r="C190" t="s">
        <v>82</v>
      </c>
      <c r="D190">
        <v>1</v>
      </c>
      <c r="E190">
        <v>0</v>
      </c>
      <c r="F190">
        <v>1</v>
      </c>
      <c r="G190">
        <v>28.009699999999999</v>
      </c>
      <c r="H190">
        <v>2</v>
      </c>
      <c r="I190" t="s">
        <v>89</v>
      </c>
      <c r="J190">
        <v>4</v>
      </c>
      <c r="K190">
        <v>300</v>
      </c>
      <c r="L190">
        <v>66.666666666666657</v>
      </c>
      <c r="N190" t="s">
        <v>91</v>
      </c>
      <c r="O190">
        <v>33.333333333333343</v>
      </c>
      <c r="P190">
        <v>0.33333333333333331</v>
      </c>
      <c r="Q190">
        <v>3.2500000000000001E-2</v>
      </c>
      <c r="R190">
        <v>77.5</v>
      </c>
      <c r="S190">
        <v>170</v>
      </c>
      <c r="T190">
        <v>20</v>
      </c>
      <c r="U190">
        <v>1812.1301775147931</v>
      </c>
      <c r="V190">
        <v>20</v>
      </c>
      <c r="W190">
        <v>0.95</v>
      </c>
      <c r="X190">
        <v>1</v>
      </c>
      <c r="Y190">
        <v>170445.72914380991</v>
      </c>
      <c r="Z190">
        <v>511337187.43142962</v>
      </c>
      <c r="AA190">
        <v>2045348749.725718</v>
      </c>
      <c r="AB190">
        <v>2045348.749725719</v>
      </c>
      <c r="AC190">
        <v>0</v>
      </c>
      <c r="AD190">
        <v>5299.636453152867</v>
      </c>
      <c r="AE190">
        <v>9539345.6156751607</v>
      </c>
      <c r="AF190">
        <v>6359563.7437834386</v>
      </c>
      <c r="AG190">
        <v>178.12947259425101</v>
      </c>
      <c r="AH190">
        <v>1399.422001819546</v>
      </c>
      <c r="AI190">
        <v>279.88440036390921</v>
      </c>
      <c r="AJ190">
        <v>66473.834366085852</v>
      </c>
      <c r="AK190">
        <v>1835.336538461539</v>
      </c>
      <c r="AL190" t="s">
        <v>94</v>
      </c>
      <c r="AM190">
        <v>108455.2051410148</v>
      </c>
      <c r="AN190">
        <v>1902.136479483662</v>
      </c>
      <c r="AO190">
        <v>47580.348061864563</v>
      </c>
      <c r="AP190">
        <v>178666.51252504581</v>
      </c>
      <c r="AQ190">
        <v>131086.16446318131</v>
      </c>
      <c r="AR190">
        <v>1.0452577730833339E-2</v>
      </c>
      <c r="AS190">
        <v>360.1890347189439</v>
      </c>
      <c r="AT190">
        <v>587.66544795432071</v>
      </c>
      <c r="AU190">
        <v>10.30674263012658</v>
      </c>
      <c r="AV190">
        <v>257.81451910254083</v>
      </c>
      <c r="AW190">
        <v>968.10601188712008</v>
      </c>
      <c r="AX190">
        <v>710.2914927845793</v>
      </c>
      <c r="AY190">
        <v>1.5712413913751311</v>
      </c>
      <c r="AZ190" t="s">
        <v>126</v>
      </c>
      <c r="BA190" t="str">
        <f>VLOOKUP($AZ190,Sheet1!$A$2:$B$58,2)</f>
        <v>Farnesene</v>
      </c>
      <c r="BB190" t="s">
        <v>176</v>
      </c>
      <c r="BC190">
        <v>204.34866</v>
      </c>
      <c r="BD190">
        <v>5.6</v>
      </c>
      <c r="BE190" t="s">
        <v>198</v>
      </c>
      <c r="BF190" t="s">
        <v>201</v>
      </c>
      <c r="BG190">
        <v>3.9936085057411388</v>
      </c>
      <c r="BH190">
        <v>1.9931034482758601E-2</v>
      </c>
      <c r="BI190">
        <v>0.14034735316903901</v>
      </c>
      <c r="BJ190">
        <v>80</v>
      </c>
      <c r="BK190">
        <v>8622.4106656388176</v>
      </c>
      <c r="BL190">
        <v>6326.1924498950166</v>
      </c>
      <c r="BM190">
        <v>10.00061151245432</v>
      </c>
      <c r="BN190">
        <v>1700.1039571172339</v>
      </c>
      <c r="BO190">
        <v>6922.3067085215826</v>
      </c>
    </row>
    <row r="191" spans="1:67" x14ac:dyDescent="0.25">
      <c r="A191" s="1">
        <v>189</v>
      </c>
      <c r="B191" t="s">
        <v>68</v>
      </c>
      <c r="C191" t="s">
        <v>82</v>
      </c>
      <c r="D191">
        <v>1</v>
      </c>
      <c r="E191">
        <v>0</v>
      </c>
      <c r="F191">
        <v>1</v>
      </c>
      <c r="G191">
        <v>28.009699999999999</v>
      </c>
      <c r="H191">
        <v>2</v>
      </c>
      <c r="I191" t="s">
        <v>89</v>
      </c>
      <c r="J191">
        <v>4</v>
      </c>
      <c r="K191">
        <v>300</v>
      </c>
      <c r="L191">
        <v>66.666666666666657</v>
      </c>
      <c r="N191" t="s">
        <v>91</v>
      </c>
      <c r="O191">
        <v>33.333333333333343</v>
      </c>
      <c r="P191">
        <v>0.33333333333333331</v>
      </c>
      <c r="Q191">
        <v>3.2500000000000001E-2</v>
      </c>
      <c r="R191">
        <v>77.5</v>
      </c>
      <c r="S191">
        <v>170</v>
      </c>
      <c r="T191">
        <v>20</v>
      </c>
      <c r="U191">
        <v>1812.1301775147931</v>
      </c>
      <c r="V191">
        <v>20</v>
      </c>
      <c r="W191">
        <v>0.95</v>
      </c>
      <c r="X191">
        <v>1</v>
      </c>
      <c r="Y191">
        <v>118586.98687082531</v>
      </c>
      <c r="Z191">
        <v>355760960.61247581</v>
      </c>
      <c r="AA191">
        <v>1423043842.449903</v>
      </c>
      <c r="AB191">
        <v>1423043.842449903</v>
      </c>
      <c r="AC191">
        <v>0</v>
      </c>
      <c r="AD191">
        <v>3687.2024992772331</v>
      </c>
      <c r="AE191">
        <v>6636964.4986990197</v>
      </c>
      <c r="AF191">
        <v>4424642.9991326788</v>
      </c>
      <c r="AG191">
        <v>123.9329230128066</v>
      </c>
      <c r="AH191">
        <v>973.64269195914551</v>
      </c>
      <c r="AI191">
        <v>194.72853839182909</v>
      </c>
      <c r="AJ191">
        <v>46248.92487962186</v>
      </c>
      <c r="AK191">
        <v>1835.336538461539</v>
      </c>
      <c r="AL191" t="s">
        <v>94</v>
      </c>
      <c r="AM191">
        <v>75457.308626833779</v>
      </c>
      <c r="AN191">
        <v>1323.4044340807641</v>
      </c>
      <c r="AO191">
        <v>33103.851526610953</v>
      </c>
      <c r="AP191">
        <v>124864.9744789979</v>
      </c>
      <c r="AQ191">
        <v>91761.12295238697</v>
      </c>
      <c r="AR191">
        <v>1.0452577730833339E-2</v>
      </c>
      <c r="AS191">
        <v>360.1890347189439</v>
      </c>
      <c r="AT191">
        <v>587.6654479543206</v>
      </c>
      <c r="AU191">
        <v>10.30674263012658</v>
      </c>
      <c r="AV191">
        <v>257.8145191025406</v>
      </c>
      <c r="AW191">
        <v>972.45492181403449</v>
      </c>
      <c r="AX191">
        <v>714.64040271149383</v>
      </c>
      <c r="AY191">
        <v>1.57124139137513</v>
      </c>
      <c r="AZ191" t="s">
        <v>127</v>
      </c>
      <c r="BA191" t="str">
        <f>VLOOKUP($AZ191,Sheet1!$A$2:$B$58,2)</f>
        <v>Gamma Butyrolactone</v>
      </c>
      <c r="BB191" t="s">
        <v>177</v>
      </c>
      <c r="BC191">
        <v>86.08784</v>
      </c>
      <c r="BD191">
        <v>4.5</v>
      </c>
      <c r="BE191">
        <v>204</v>
      </c>
      <c r="BF191" t="s">
        <v>201</v>
      </c>
      <c r="BG191">
        <v>2.135103756677307</v>
      </c>
      <c r="BH191">
        <v>6.8000000000000102E-2</v>
      </c>
      <c r="BI191">
        <v>0.20172202343211601</v>
      </c>
      <c r="BJ191">
        <v>80</v>
      </c>
      <c r="BK191">
        <v>6025.9590479301787</v>
      </c>
      <c r="BL191">
        <v>4428.3737005542334</v>
      </c>
      <c r="BM191">
        <v>7.601323162914146</v>
      </c>
      <c r="BN191">
        <v>1292.2249376954051</v>
      </c>
      <c r="BO191">
        <v>4733.7341102347737</v>
      </c>
    </row>
    <row r="192" spans="1:67" x14ac:dyDescent="0.25">
      <c r="A192" s="1">
        <v>190</v>
      </c>
      <c r="B192" t="s">
        <v>68</v>
      </c>
      <c r="C192" t="s">
        <v>82</v>
      </c>
      <c r="D192">
        <v>1</v>
      </c>
      <c r="E192">
        <v>0</v>
      </c>
      <c r="F192">
        <v>1</v>
      </c>
      <c r="G192">
        <v>28.009699999999999</v>
      </c>
      <c r="H192">
        <v>2</v>
      </c>
      <c r="I192" t="s">
        <v>89</v>
      </c>
      <c r="J192">
        <v>4</v>
      </c>
      <c r="K192">
        <v>300</v>
      </c>
      <c r="L192">
        <v>66.666666666666657</v>
      </c>
      <c r="N192" t="s">
        <v>91</v>
      </c>
      <c r="O192">
        <v>33.333333333333343</v>
      </c>
      <c r="P192">
        <v>0.33333333333333331</v>
      </c>
      <c r="Q192">
        <v>3.2500000000000001E-2</v>
      </c>
      <c r="R192">
        <v>77.5</v>
      </c>
      <c r="S192">
        <v>170</v>
      </c>
      <c r="T192">
        <v>20</v>
      </c>
      <c r="U192">
        <v>1812.1301775147931</v>
      </c>
      <c r="V192">
        <v>20</v>
      </c>
      <c r="W192">
        <v>0.95</v>
      </c>
      <c r="X192">
        <v>1</v>
      </c>
      <c r="Y192">
        <v>50139.88128226457</v>
      </c>
      <c r="Z192">
        <v>150419643.84679371</v>
      </c>
      <c r="AA192">
        <v>601678575.38717484</v>
      </c>
      <c r="AB192">
        <v>601678.57538717485</v>
      </c>
      <c r="AC192">
        <v>0</v>
      </c>
      <c r="AD192">
        <v>1558.989737877494</v>
      </c>
      <c r="AE192">
        <v>2806181.5281794891</v>
      </c>
      <c r="AF192">
        <v>1870787.6854529921</v>
      </c>
      <c r="AG192">
        <v>52.400201833232678</v>
      </c>
      <c r="AH192">
        <v>411.66683018393093</v>
      </c>
      <c r="AI192">
        <v>82.333366036786188</v>
      </c>
      <c r="AJ192">
        <v>19554.553700083179</v>
      </c>
      <c r="AK192">
        <v>854.70085470085473</v>
      </c>
      <c r="AL192" t="s">
        <v>93</v>
      </c>
      <c r="AM192">
        <v>31904.17933925465</v>
      </c>
      <c r="AN192">
        <v>559.54993852328607</v>
      </c>
      <c r="AO192">
        <v>13996.67222625365</v>
      </c>
      <c r="AP192">
        <v>52872.983832561957</v>
      </c>
      <c r="AQ192">
        <v>38876.311606308307</v>
      </c>
      <c r="AR192">
        <v>1.0452577730833331E-2</v>
      </c>
      <c r="AS192">
        <v>360.1890347189439</v>
      </c>
      <c r="AT192">
        <v>587.66544795432071</v>
      </c>
      <c r="AU192">
        <v>10.30674263012658</v>
      </c>
      <c r="AV192">
        <v>257.81451910254071</v>
      </c>
      <c r="AW192">
        <v>973.90455959523172</v>
      </c>
      <c r="AX192">
        <v>716.09004049269106</v>
      </c>
      <c r="AY192">
        <v>1.5712413913751311</v>
      </c>
      <c r="AZ192" t="s">
        <v>128</v>
      </c>
      <c r="BA192" t="str">
        <f>VLOOKUP($AZ192,Sheet1!$A$2:$B$58,2)</f>
        <v>L-Glutamate</v>
      </c>
      <c r="BB192" t="s">
        <v>178</v>
      </c>
      <c r="BC192">
        <v>146.11892</v>
      </c>
      <c r="BD192">
        <v>3.4</v>
      </c>
      <c r="BE192">
        <v>333.8</v>
      </c>
      <c r="BF192" t="s">
        <v>201</v>
      </c>
      <c r="BG192">
        <v>0.64407367287527739</v>
      </c>
      <c r="BH192">
        <v>9.4754098360655695E-2</v>
      </c>
      <c r="BI192">
        <v>0.47709739896735998</v>
      </c>
      <c r="BJ192">
        <v>80</v>
      </c>
      <c r="BK192">
        <v>2551.6397744547862</v>
      </c>
      <c r="BL192">
        <v>1876.163132629239</v>
      </c>
      <c r="BM192">
        <v>3.472594628964031</v>
      </c>
      <c r="BN192">
        <v>590.34108692388531</v>
      </c>
      <c r="BO192">
        <v>1961.2986875309009</v>
      </c>
    </row>
    <row r="193" spans="1:67" x14ac:dyDescent="0.25">
      <c r="A193" s="1">
        <v>191</v>
      </c>
      <c r="B193" t="s">
        <v>68</v>
      </c>
      <c r="C193" t="s">
        <v>82</v>
      </c>
      <c r="D193">
        <v>1</v>
      </c>
      <c r="E193">
        <v>0</v>
      </c>
      <c r="F193">
        <v>1</v>
      </c>
      <c r="G193">
        <v>28.009699999999999</v>
      </c>
      <c r="H193">
        <v>2</v>
      </c>
      <c r="I193" t="s">
        <v>89</v>
      </c>
      <c r="J193">
        <v>4</v>
      </c>
      <c r="K193">
        <v>300</v>
      </c>
      <c r="L193">
        <v>66.666666666666657</v>
      </c>
      <c r="N193" t="s">
        <v>91</v>
      </c>
      <c r="O193">
        <v>33.333333333333343</v>
      </c>
      <c r="P193">
        <v>0.33333333333333331</v>
      </c>
      <c r="Q193">
        <v>3.2500000000000001E-2</v>
      </c>
      <c r="R193">
        <v>77.5</v>
      </c>
      <c r="S193">
        <v>170</v>
      </c>
      <c r="T193">
        <v>20</v>
      </c>
      <c r="U193">
        <v>1812.1301775147931</v>
      </c>
      <c r="V193">
        <v>20</v>
      </c>
      <c r="W193">
        <v>0.95</v>
      </c>
      <c r="X193">
        <v>1</v>
      </c>
      <c r="Y193">
        <v>92829.065016621331</v>
      </c>
      <c r="Z193">
        <v>278487195.04986399</v>
      </c>
      <c r="AA193">
        <v>1113948780.199456</v>
      </c>
      <c r="AB193">
        <v>1113948.780199456</v>
      </c>
      <c r="AC193">
        <v>0</v>
      </c>
      <c r="AD193">
        <v>2886.3163620785308</v>
      </c>
      <c r="AE193">
        <v>5195369.4517413564</v>
      </c>
      <c r="AF193">
        <v>3463579.6344942371</v>
      </c>
      <c r="AG193">
        <v>97.013826488293233</v>
      </c>
      <c r="AH193">
        <v>762.16069857045682</v>
      </c>
      <c r="AI193">
        <v>152.43213971409139</v>
      </c>
      <c r="AJ193">
        <v>36203.335356482319</v>
      </c>
      <c r="AK193">
        <v>854.70085470085473</v>
      </c>
      <c r="AL193" t="s">
        <v>93</v>
      </c>
      <c r="AM193">
        <v>59067.4541392104</v>
      </c>
      <c r="AN193">
        <v>1035.951747288992</v>
      </c>
      <c r="AO193">
        <v>25913.463751395531</v>
      </c>
      <c r="AP193">
        <v>97161.442097682564</v>
      </c>
      <c r="AQ193">
        <v>71247.97834628704</v>
      </c>
      <c r="AR193">
        <v>1.0452577730833331E-2</v>
      </c>
      <c r="AS193">
        <v>360.1890347189439</v>
      </c>
      <c r="AT193">
        <v>587.66544795432071</v>
      </c>
      <c r="AU193">
        <v>10.30674263012658</v>
      </c>
      <c r="AV193">
        <v>257.81451910254071</v>
      </c>
      <c r="AW193">
        <v>966.66469253360117</v>
      </c>
      <c r="AX193">
        <v>708.85017343106051</v>
      </c>
      <c r="AY193">
        <v>1.5712413913751311</v>
      </c>
      <c r="AZ193" t="s">
        <v>130</v>
      </c>
      <c r="BA193" t="str">
        <f>VLOOKUP($AZ193,Sheet1!$A$2:$B$58,2)</f>
        <v>Glycolate</v>
      </c>
      <c r="BB193" t="s">
        <v>180</v>
      </c>
      <c r="BC193">
        <v>75.041920000000005</v>
      </c>
      <c r="BD193">
        <v>2.5</v>
      </c>
      <c r="BE193">
        <v>112</v>
      </c>
      <c r="BF193" t="s">
        <v>201</v>
      </c>
      <c r="BG193">
        <v>0.88478159064374406</v>
      </c>
      <c r="BH193">
        <v>9.9655172413793097E-2</v>
      </c>
      <c r="BI193">
        <v>0.25769522659758998</v>
      </c>
      <c r="BJ193">
        <v>80</v>
      </c>
      <c r="BK193">
        <v>4688.9920376907048</v>
      </c>
      <c r="BL193">
        <v>3438.4133865718732</v>
      </c>
      <c r="BM193">
        <v>6.7368253950608228</v>
      </c>
      <c r="BN193">
        <v>1145.26031716034</v>
      </c>
      <c r="BO193">
        <v>3543.7317205303648</v>
      </c>
    </row>
    <row r="194" spans="1:67" x14ac:dyDescent="0.25">
      <c r="A194" s="1">
        <v>192</v>
      </c>
      <c r="B194" t="s">
        <v>68</v>
      </c>
      <c r="C194" t="s">
        <v>82</v>
      </c>
      <c r="D194">
        <v>1</v>
      </c>
      <c r="E194">
        <v>0</v>
      </c>
      <c r="F194">
        <v>1</v>
      </c>
      <c r="G194">
        <v>28.009699999999999</v>
      </c>
      <c r="H194">
        <v>2</v>
      </c>
      <c r="I194" t="s">
        <v>89</v>
      </c>
      <c r="J194">
        <v>4</v>
      </c>
      <c r="K194">
        <v>300</v>
      </c>
      <c r="L194">
        <v>66.666666666666657</v>
      </c>
      <c r="N194" t="s">
        <v>91</v>
      </c>
      <c r="O194">
        <v>33.333333333333343</v>
      </c>
      <c r="P194">
        <v>0.33333333333333331</v>
      </c>
      <c r="Q194">
        <v>3.2500000000000001E-2</v>
      </c>
      <c r="R194">
        <v>77.5</v>
      </c>
      <c r="S194">
        <v>170</v>
      </c>
      <c r="T194">
        <v>20</v>
      </c>
      <c r="U194">
        <v>1812.1301775147931</v>
      </c>
      <c r="V194">
        <v>20</v>
      </c>
      <c r="W194">
        <v>0.95</v>
      </c>
      <c r="X194">
        <v>1</v>
      </c>
      <c r="Y194">
        <v>101613.16643249791</v>
      </c>
      <c r="Z194">
        <v>304839499.29749382</v>
      </c>
      <c r="AA194">
        <v>1219357997.189975</v>
      </c>
      <c r="AB194">
        <v>1219357.9971899751</v>
      </c>
      <c r="AC194">
        <v>0</v>
      </c>
      <c r="AD194">
        <v>3159.4387471662421</v>
      </c>
      <c r="AE194">
        <v>5686989.7448992357</v>
      </c>
      <c r="AF194">
        <v>3791326.4965994889</v>
      </c>
      <c r="AG194">
        <v>106.1939177718027</v>
      </c>
      <c r="AH194">
        <v>834.28139557671761</v>
      </c>
      <c r="AI194">
        <v>166.85627911534351</v>
      </c>
      <c r="AJ194">
        <v>39629.13490867419</v>
      </c>
      <c r="AK194">
        <v>854.70085470085473</v>
      </c>
      <c r="AL194" t="s">
        <v>93</v>
      </c>
      <c r="AM194">
        <v>64656.808157195614</v>
      </c>
      <c r="AN194">
        <v>1133.980368050298</v>
      </c>
      <c r="AO194">
        <v>28365.567449608399</v>
      </c>
      <c r="AP194">
        <v>106274.62428862099</v>
      </c>
      <c r="AQ194">
        <v>77909.056839012541</v>
      </c>
      <c r="AR194">
        <v>1.0452577730833339E-2</v>
      </c>
      <c r="AS194">
        <v>360.1890347189439</v>
      </c>
      <c r="AT194">
        <v>587.66544795432071</v>
      </c>
      <c r="AU194">
        <v>10.30674263012658</v>
      </c>
      <c r="AV194">
        <v>257.81451910254083</v>
      </c>
      <c r="AW194">
        <v>965.92959765210901</v>
      </c>
      <c r="AX194">
        <v>708.11507854956824</v>
      </c>
      <c r="AY194">
        <v>1.5712413913751311</v>
      </c>
      <c r="AZ194" t="s">
        <v>131</v>
      </c>
      <c r="BA194" t="str">
        <f>VLOOKUP($AZ194,Sheet1!$A$2:$B$58,2)</f>
        <v>Heptane</v>
      </c>
      <c r="BB194" t="s">
        <v>181</v>
      </c>
      <c r="BC194">
        <v>100.20034</v>
      </c>
      <c r="BD194">
        <v>6.2857142857142856</v>
      </c>
      <c r="BE194">
        <v>98</v>
      </c>
      <c r="BF194" t="s">
        <v>201</v>
      </c>
      <c r="BG194">
        <v>3.3673538433103132</v>
      </c>
      <c r="BH194">
        <v>6.8181818181818205E-2</v>
      </c>
      <c r="BI194">
        <v>0.235418379174237</v>
      </c>
      <c r="BJ194">
        <v>80</v>
      </c>
      <c r="BK194">
        <v>5128.7924133209272</v>
      </c>
      <c r="BL194">
        <v>3759.875721223324</v>
      </c>
      <c r="BM194">
        <v>4.975460112456866</v>
      </c>
      <c r="BN194">
        <v>845.82821911766723</v>
      </c>
      <c r="BO194">
        <v>4282.9641942032586</v>
      </c>
    </row>
    <row r="195" spans="1:67" x14ac:dyDescent="0.25">
      <c r="A195" s="1">
        <v>193</v>
      </c>
      <c r="B195" t="s">
        <v>68</v>
      </c>
      <c r="C195" t="s">
        <v>82</v>
      </c>
      <c r="D195">
        <v>1</v>
      </c>
      <c r="E195">
        <v>0</v>
      </c>
      <c r="F195">
        <v>1</v>
      </c>
      <c r="G195">
        <v>28.009699999999999</v>
      </c>
      <c r="H195">
        <v>2</v>
      </c>
      <c r="I195" t="s">
        <v>89</v>
      </c>
      <c r="J195">
        <v>4</v>
      </c>
      <c r="K195">
        <v>300</v>
      </c>
      <c r="L195">
        <v>66.666666666666657</v>
      </c>
      <c r="N195" t="s">
        <v>91</v>
      </c>
      <c r="O195">
        <v>33.333333333333343</v>
      </c>
      <c r="P195">
        <v>0.33333333333333331</v>
      </c>
      <c r="Q195">
        <v>3.2500000000000001E-2</v>
      </c>
      <c r="R195">
        <v>77.5</v>
      </c>
      <c r="S195">
        <v>170</v>
      </c>
      <c r="T195">
        <v>20</v>
      </c>
      <c r="U195">
        <v>1812.1301775147931</v>
      </c>
      <c r="V195">
        <v>20</v>
      </c>
      <c r="W195">
        <v>0.95</v>
      </c>
      <c r="X195">
        <v>1</v>
      </c>
      <c r="Y195">
        <v>102040.8457260834</v>
      </c>
      <c r="Z195">
        <v>306122537.17825019</v>
      </c>
      <c r="AA195">
        <v>1224490148.713001</v>
      </c>
      <c r="AB195">
        <v>1224490.1487130011</v>
      </c>
      <c r="AC195">
        <v>0</v>
      </c>
      <c r="AD195">
        <v>3172.7364976345561</v>
      </c>
      <c r="AE195">
        <v>5710925.6957422011</v>
      </c>
      <c r="AF195">
        <v>3807283.797161466</v>
      </c>
      <c r="AG195">
        <v>106.6408769733535</v>
      </c>
      <c r="AH195">
        <v>837.79279956538062</v>
      </c>
      <c r="AI195">
        <v>167.5585599130761</v>
      </c>
      <c r="AJ195">
        <v>39795.929833172529</v>
      </c>
      <c r="AK195">
        <v>854.70085470085473</v>
      </c>
      <c r="AL195" t="s">
        <v>93</v>
      </c>
      <c r="AM195">
        <v>64928.941966316997</v>
      </c>
      <c r="AN195">
        <v>1138.753173974713</v>
      </c>
      <c r="AO195">
        <v>28484.955185222942</v>
      </c>
      <c r="AP195">
        <v>106718.32582816511</v>
      </c>
      <c r="AQ195">
        <v>78233.370642942144</v>
      </c>
      <c r="AR195">
        <v>1.0452577730833339E-2</v>
      </c>
      <c r="AS195">
        <v>360.1890347189439</v>
      </c>
      <c r="AT195">
        <v>587.66544795432071</v>
      </c>
      <c r="AU195">
        <v>10.30674263012658</v>
      </c>
      <c r="AV195">
        <v>257.81451910254071</v>
      </c>
      <c r="AW195">
        <v>965.89703841590551</v>
      </c>
      <c r="AX195">
        <v>708.08251931336486</v>
      </c>
      <c r="AY195">
        <v>1.5712413913751311</v>
      </c>
      <c r="AZ195" t="s">
        <v>132</v>
      </c>
      <c r="BA195" t="str">
        <f>VLOOKUP($AZ195,Sheet1!$A$2:$B$58,2)</f>
        <v>Hexane</v>
      </c>
      <c r="BB195" t="s">
        <v>182</v>
      </c>
      <c r="BC195">
        <v>86.173959999999994</v>
      </c>
      <c r="BD195">
        <v>6.333333333333333</v>
      </c>
      <c r="BE195">
        <v>69</v>
      </c>
      <c r="BF195" t="s">
        <v>201</v>
      </c>
      <c r="BG195">
        <v>3.404740828900052</v>
      </c>
      <c r="BH195">
        <v>7.8947368421052599E-2</v>
      </c>
      <c r="BI195">
        <v>0.234431680510718</v>
      </c>
      <c r="BJ195">
        <v>80</v>
      </c>
      <c r="BK195">
        <v>5150.2053621318564</v>
      </c>
      <c r="BL195">
        <v>3775.5270414539391</v>
      </c>
      <c r="BM195">
        <v>4.9731871667537533</v>
      </c>
      <c r="BN195">
        <v>845.4418183481381</v>
      </c>
      <c r="BO195">
        <v>4304.7635437837171</v>
      </c>
    </row>
    <row r="196" spans="1:67" x14ac:dyDescent="0.25">
      <c r="A196" s="1">
        <v>194</v>
      </c>
      <c r="B196" t="s">
        <v>68</v>
      </c>
      <c r="C196" t="s">
        <v>82</v>
      </c>
      <c r="D196">
        <v>1</v>
      </c>
      <c r="E196">
        <v>0</v>
      </c>
      <c r="F196">
        <v>1</v>
      </c>
      <c r="G196">
        <v>28.009699999999999</v>
      </c>
      <c r="H196">
        <v>2</v>
      </c>
      <c r="I196" t="s">
        <v>89</v>
      </c>
      <c r="J196">
        <v>4</v>
      </c>
      <c r="K196">
        <v>300</v>
      </c>
      <c r="L196">
        <v>66.666666666666657</v>
      </c>
      <c r="N196" t="s">
        <v>91</v>
      </c>
      <c r="O196">
        <v>33.333333333333343</v>
      </c>
      <c r="P196">
        <v>0.33333333333333331</v>
      </c>
      <c r="Q196">
        <v>3.2500000000000001E-2</v>
      </c>
      <c r="R196">
        <v>77.5</v>
      </c>
      <c r="S196">
        <v>170</v>
      </c>
      <c r="T196">
        <v>20</v>
      </c>
      <c r="U196">
        <v>1812.1301775147931</v>
      </c>
      <c r="V196">
        <v>20</v>
      </c>
      <c r="W196">
        <v>0.95</v>
      </c>
      <c r="X196">
        <v>1</v>
      </c>
      <c r="Y196">
        <v>64479.069279304327</v>
      </c>
      <c r="Z196">
        <v>193437207.83791301</v>
      </c>
      <c r="AA196">
        <v>773748831.35165191</v>
      </c>
      <c r="AB196">
        <v>773748.83135165193</v>
      </c>
      <c r="AC196">
        <v>0</v>
      </c>
      <c r="AD196">
        <v>2004.8353674479879</v>
      </c>
      <c r="AE196">
        <v>3608703.6614063792</v>
      </c>
      <c r="AF196">
        <v>2405802.4409375861</v>
      </c>
      <c r="AG196">
        <v>67.385804629929495</v>
      </c>
      <c r="AH196">
        <v>529.39682712831564</v>
      </c>
      <c r="AI196">
        <v>105.8793654256631</v>
      </c>
      <c r="AJ196">
        <v>25146.837018928691</v>
      </c>
      <c r="AK196">
        <v>854.70085470085473</v>
      </c>
      <c r="AL196" t="s">
        <v>93</v>
      </c>
      <c r="AM196">
        <v>41028.254102444473</v>
      </c>
      <c r="AN196">
        <v>719.57209168812608</v>
      </c>
      <c r="AO196">
        <v>17999.492122362739</v>
      </c>
      <c r="AP196">
        <v>67749.36406776213</v>
      </c>
      <c r="AQ196">
        <v>49749.871945399398</v>
      </c>
      <c r="AR196">
        <v>1.0452577730833331E-2</v>
      </c>
      <c r="AS196">
        <v>360.1890347189439</v>
      </c>
      <c r="AT196">
        <v>587.66544795432071</v>
      </c>
      <c r="AU196">
        <v>10.30674263012658</v>
      </c>
      <c r="AV196">
        <v>257.81451910254071</v>
      </c>
      <c r="AW196">
        <v>970.40347571430459</v>
      </c>
      <c r="AX196">
        <v>712.58895661176393</v>
      </c>
      <c r="AY196">
        <v>1.5712413913751311</v>
      </c>
      <c r="AZ196" t="s">
        <v>133</v>
      </c>
      <c r="BA196" t="str">
        <f>VLOOKUP($AZ196,Sheet1!$A$2:$B$58,2)</f>
        <v>Isobutanol</v>
      </c>
      <c r="BB196" t="s">
        <v>183</v>
      </c>
      <c r="BC196">
        <v>86.130899999999997</v>
      </c>
      <c r="BD196">
        <v>5.6</v>
      </c>
      <c r="BE196">
        <v>108</v>
      </c>
      <c r="BF196" t="s">
        <v>201</v>
      </c>
      <c r="BG196">
        <v>2.0438657903261199</v>
      </c>
      <c r="BH196">
        <v>0.125</v>
      </c>
      <c r="BI196">
        <v>0.37099801860785703</v>
      </c>
      <c r="BJ196">
        <v>80</v>
      </c>
      <c r="BK196">
        <v>3269.5709513344332</v>
      </c>
      <c r="BL196">
        <v>2400.9190105842808</v>
      </c>
      <c r="BM196">
        <v>3.2501024809570369</v>
      </c>
      <c r="BN196">
        <v>552.51742176269636</v>
      </c>
      <c r="BO196">
        <v>2717.0535295717368</v>
      </c>
    </row>
    <row r="197" spans="1:67" x14ac:dyDescent="0.25">
      <c r="A197" s="1">
        <v>195</v>
      </c>
      <c r="B197" t="s">
        <v>68</v>
      </c>
      <c r="C197" t="s">
        <v>82</v>
      </c>
      <c r="D197">
        <v>1</v>
      </c>
      <c r="E197">
        <v>0</v>
      </c>
      <c r="F197">
        <v>1</v>
      </c>
      <c r="G197">
        <v>28.009699999999999</v>
      </c>
      <c r="H197">
        <v>2</v>
      </c>
      <c r="I197" t="s">
        <v>89</v>
      </c>
      <c r="J197">
        <v>4</v>
      </c>
      <c r="K197">
        <v>300</v>
      </c>
      <c r="L197">
        <v>66.666666666666657</v>
      </c>
      <c r="N197" t="s">
        <v>91</v>
      </c>
      <c r="O197">
        <v>33.333333333333343</v>
      </c>
      <c r="P197">
        <v>0.33333333333333331</v>
      </c>
      <c r="Q197">
        <v>3.2500000000000001E-2</v>
      </c>
      <c r="R197">
        <v>77.5</v>
      </c>
      <c r="S197">
        <v>170</v>
      </c>
      <c r="T197">
        <v>20</v>
      </c>
      <c r="U197">
        <v>1812.1301775147931</v>
      </c>
      <c r="V197">
        <v>20</v>
      </c>
      <c r="W197">
        <v>0.95</v>
      </c>
      <c r="X197">
        <v>1</v>
      </c>
      <c r="Y197">
        <v>53137.349140899147</v>
      </c>
      <c r="Z197">
        <v>159412047.42269751</v>
      </c>
      <c r="AA197">
        <v>637648189.69078982</v>
      </c>
      <c r="AB197">
        <v>637648.18969078979</v>
      </c>
      <c r="AC197">
        <v>0</v>
      </c>
      <c r="AD197">
        <v>1652.189432645855</v>
      </c>
      <c r="AE197">
        <v>2973940.97876254</v>
      </c>
      <c r="AF197">
        <v>1982627.3191750259</v>
      </c>
      <c r="AG197">
        <v>55.532796421896727</v>
      </c>
      <c r="AH197">
        <v>436.27714158446429</v>
      </c>
      <c r="AI197">
        <v>87.255428316892875</v>
      </c>
      <c r="AJ197">
        <v>20723.566164950669</v>
      </c>
      <c r="AK197">
        <v>854.70085470085473</v>
      </c>
      <c r="AL197" t="s">
        <v>93</v>
      </c>
      <c r="AM197">
        <v>33811.478472795978</v>
      </c>
      <c r="AN197">
        <v>593.00101405700059</v>
      </c>
      <c r="AO197">
        <v>14833.42281387179</v>
      </c>
      <c r="AP197">
        <v>55982.746506504511</v>
      </c>
      <c r="AQ197">
        <v>41149.323692632723</v>
      </c>
      <c r="AR197">
        <v>1.0452577730833331E-2</v>
      </c>
      <c r="AS197">
        <v>360.1890347189439</v>
      </c>
      <c r="AT197">
        <v>587.66544795432071</v>
      </c>
      <c r="AU197">
        <v>10.30674263012658</v>
      </c>
      <c r="AV197">
        <v>257.81451910254071</v>
      </c>
      <c r="AW197">
        <v>973.01648107248855</v>
      </c>
      <c r="AX197">
        <v>715.20196196994777</v>
      </c>
      <c r="AY197">
        <v>1.57124139137513</v>
      </c>
      <c r="AZ197" t="s">
        <v>134</v>
      </c>
      <c r="BA197" t="str">
        <f>VLOOKUP($AZ197,Sheet1!$A$2:$B$58,2)</f>
        <v>Isobutyrate</v>
      </c>
      <c r="BB197" t="s">
        <v>170</v>
      </c>
      <c r="BC197">
        <v>87.095680000000002</v>
      </c>
      <c r="BD197">
        <v>4.75</v>
      </c>
      <c r="BE197">
        <v>155</v>
      </c>
      <c r="BF197" t="s">
        <v>201</v>
      </c>
      <c r="BG197">
        <v>1.347483595053165</v>
      </c>
      <c r="BH197">
        <v>0.15</v>
      </c>
      <c r="BI197">
        <v>0.45018442453480401</v>
      </c>
      <c r="BJ197">
        <v>80</v>
      </c>
      <c r="BK197">
        <v>2701.716307927441</v>
      </c>
      <c r="BL197">
        <v>1985.858247730911</v>
      </c>
      <c r="BM197">
        <v>3.0152878207914791</v>
      </c>
      <c r="BN197">
        <v>512.59892953455142</v>
      </c>
      <c r="BO197">
        <v>2189.1173783928898</v>
      </c>
    </row>
    <row r="198" spans="1:67" x14ac:dyDescent="0.25">
      <c r="A198" s="1">
        <v>196</v>
      </c>
      <c r="B198" t="s">
        <v>68</v>
      </c>
      <c r="C198" t="s">
        <v>82</v>
      </c>
      <c r="D198">
        <v>1</v>
      </c>
      <c r="E198">
        <v>0</v>
      </c>
      <c r="F198">
        <v>1</v>
      </c>
      <c r="G198">
        <v>28.009699999999999</v>
      </c>
      <c r="H198">
        <v>2</v>
      </c>
      <c r="I198" t="s">
        <v>89</v>
      </c>
      <c r="J198">
        <v>4</v>
      </c>
      <c r="K198">
        <v>300</v>
      </c>
      <c r="L198">
        <v>66.666666666666657</v>
      </c>
      <c r="N198" t="s">
        <v>91</v>
      </c>
      <c r="O198">
        <v>33.333333333333343</v>
      </c>
      <c r="P198">
        <v>0.33333333333333331</v>
      </c>
      <c r="Q198">
        <v>3.2500000000000001E-2</v>
      </c>
      <c r="R198">
        <v>77.5</v>
      </c>
      <c r="S198">
        <v>170</v>
      </c>
      <c r="T198">
        <v>20</v>
      </c>
      <c r="U198">
        <v>1812.1301775147931</v>
      </c>
      <c r="V198">
        <v>20</v>
      </c>
      <c r="W198">
        <v>0.95</v>
      </c>
      <c r="X198">
        <v>1</v>
      </c>
      <c r="Y198">
        <v>172796.70471820701</v>
      </c>
      <c r="Z198">
        <v>518390114.15462089</v>
      </c>
      <c r="AA198">
        <v>2073560456.618484</v>
      </c>
      <c r="AB198">
        <v>2073560.4566184841</v>
      </c>
      <c r="AC198">
        <v>66773.504273504266</v>
      </c>
      <c r="AD198">
        <v>5372.7348869894486</v>
      </c>
      <c r="AE198">
        <v>9670922.7965810094</v>
      </c>
      <c r="AF198">
        <v>6447281.864387338</v>
      </c>
      <c r="AG198">
        <v>180.58643083692999</v>
      </c>
      <c r="AH198">
        <v>1418.724374258433</v>
      </c>
      <c r="AI198">
        <v>283.74487485168669</v>
      </c>
      <c r="AJ198">
        <v>67390.714840100714</v>
      </c>
      <c r="AK198">
        <v>2170.1388888888891</v>
      </c>
      <c r="AL198" t="s">
        <v>95</v>
      </c>
      <c r="AM198">
        <v>109951.1390050286</v>
      </c>
      <c r="AN198">
        <v>1928.372844717916</v>
      </c>
      <c r="AO198">
        <v>48236.628724786737</v>
      </c>
      <c r="AP198">
        <v>181440.36557873609</v>
      </c>
      <c r="AQ198">
        <v>133203.73685394929</v>
      </c>
      <c r="AR198">
        <v>1.0452577730833331E-2</v>
      </c>
      <c r="AS198">
        <v>360.1890347189439</v>
      </c>
      <c r="AT198">
        <v>587.66544795432071</v>
      </c>
      <c r="AU198">
        <v>10.30674263012658</v>
      </c>
      <c r="AV198">
        <v>257.81451910254071</v>
      </c>
      <c r="AW198">
        <v>969.76015600845312</v>
      </c>
      <c r="AX198">
        <v>711.94563690591247</v>
      </c>
      <c r="AY198">
        <v>1.57124139137513</v>
      </c>
      <c r="AZ198" t="s">
        <v>135</v>
      </c>
      <c r="BA198" t="str">
        <f>VLOOKUP($AZ198,Sheet1!$A$2:$B$58,2)</f>
        <v>Isoprene</v>
      </c>
      <c r="BB198" t="s">
        <v>184</v>
      </c>
      <c r="BC198">
        <v>68.116219999999998</v>
      </c>
      <c r="BD198">
        <v>5.6</v>
      </c>
      <c r="BE198">
        <v>34.07</v>
      </c>
      <c r="BF198" t="s">
        <v>201</v>
      </c>
      <c r="BG198">
        <v>4.030869268063773</v>
      </c>
      <c r="BH198">
        <v>5.8979591836734797E-2</v>
      </c>
      <c r="BI198">
        <v>0.13843786537082101</v>
      </c>
      <c r="BJ198">
        <v>80</v>
      </c>
      <c r="BK198">
        <v>8756.2762670715492</v>
      </c>
      <c r="BL198">
        <v>6428.3860759381832</v>
      </c>
      <c r="BM198">
        <v>10.156374474520559</v>
      </c>
      <c r="BN198">
        <v>1726.583660668495</v>
      </c>
      <c r="BO198">
        <v>7029.692606403054</v>
      </c>
    </row>
    <row r="199" spans="1:67" x14ac:dyDescent="0.25">
      <c r="A199" s="1">
        <v>197</v>
      </c>
      <c r="B199" t="s">
        <v>68</v>
      </c>
      <c r="C199" t="s">
        <v>82</v>
      </c>
      <c r="D199">
        <v>1</v>
      </c>
      <c r="E199">
        <v>0</v>
      </c>
      <c r="F199">
        <v>1</v>
      </c>
      <c r="G199">
        <v>28.009699999999999</v>
      </c>
      <c r="H199">
        <v>2</v>
      </c>
      <c r="I199" t="s">
        <v>89</v>
      </c>
      <c r="J199">
        <v>4</v>
      </c>
      <c r="K199">
        <v>300</v>
      </c>
      <c r="L199">
        <v>66.666666666666657</v>
      </c>
      <c r="N199" t="s">
        <v>91</v>
      </c>
      <c r="O199">
        <v>33.333333333333343</v>
      </c>
      <c r="P199">
        <v>0.33333333333333331</v>
      </c>
      <c r="Q199">
        <v>3.2500000000000001E-2</v>
      </c>
      <c r="R199">
        <v>77.5</v>
      </c>
      <c r="S199">
        <v>170</v>
      </c>
      <c r="T199">
        <v>20</v>
      </c>
      <c r="U199">
        <v>1812.1301775147931</v>
      </c>
      <c r="V199">
        <v>20</v>
      </c>
      <c r="W199">
        <v>0.95</v>
      </c>
      <c r="X199">
        <v>1</v>
      </c>
      <c r="Y199">
        <v>69312.122297128648</v>
      </c>
      <c r="Z199">
        <v>207936366.89138591</v>
      </c>
      <c r="AA199">
        <v>831745467.56554377</v>
      </c>
      <c r="AB199">
        <v>831745.46756554372</v>
      </c>
      <c r="AC199">
        <v>0</v>
      </c>
      <c r="AD199">
        <v>2155.1085604575451</v>
      </c>
      <c r="AE199">
        <v>3879195.40882358</v>
      </c>
      <c r="AF199">
        <v>2586130.2725490532</v>
      </c>
      <c r="AG199">
        <v>72.436733095017203</v>
      </c>
      <c r="AH199">
        <v>569.07796647441899</v>
      </c>
      <c r="AI199">
        <v>113.8155932948838</v>
      </c>
      <c r="AJ199">
        <v>27031.72769588017</v>
      </c>
      <c r="AK199">
        <v>854.70085470085473</v>
      </c>
      <c r="AL199" t="s">
        <v>93</v>
      </c>
      <c r="AM199">
        <v>44103.542401767467</v>
      </c>
      <c r="AN199">
        <v>773.50788989592832</v>
      </c>
      <c r="AO199">
        <v>19348.650860130241</v>
      </c>
      <c r="AP199">
        <v>72763.47884224444</v>
      </c>
      <c r="AQ199">
        <v>53414.827982114191</v>
      </c>
      <c r="AR199">
        <v>1.0452577730833331E-2</v>
      </c>
      <c r="AS199">
        <v>360.1890347189439</v>
      </c>
      <c r="AT199">
        <v>587.66544795432071</v>
      </c>
      <c r="AU199">
        <v>10.30674263012658</v>
      </c>
      <c r="AV199">
        <v>257.81451910254071</v>
      </c>
      <c r="AW199">
        <v>969.54983794745385</v>
      </c>
      <c r="AX199">
        <v>711.73531884491297</v>
      </c>
      <c r="AY199">
        <v>1.5712413913751311</v>
      </c>
      <c r="AZ199" t="s">
        <v>136</v>
      </c>
      <c r="BA199" t="str">
        <f>VLOOKUP($AZ199,Sheet1!$A$2:$B$58,2)</f>
        <v>Isopropanol</v>
      </c>
      <c r="BB199" t="s">
        <v>156</v>
      </c>
      <c r="BC199">
        <v>60.093820000000001</v>
      </c>
      <c r="BD199">
        <v>6</v>
      </c>
      <c r="BE199">
        <v>82.5</v>
      </c>
      <c r="BF199" t="s">
        <v>201</v>
      </c>
      <c r="BG199">
        <v>2.1970645234401762</v>
      </c>
      <c r="BH199">
        <v>0.16666666666666699</v>
      </c>
      <c r="BI199">
        <v>0.345128761773489</v>
      </c>
      <c r="BJ199">
        <v>80</v>
      </c>
      <c r="BK199">
        <v>3511.551141685844</v>
      </c>
      <c r="BL199">
        <v>2577.7890662732971</v>
      </c>
      <c r="BM199">
        <v>3.4937151413040128</v>
      </c>
      <c r="BN199">
        <v>593.93157402168231</v>
      </c>
      <c r="BO199">
        <v>2917.6195676641619</v>
      </c>
    </row>
    <row r="200" spans="1:67" x14ac:dyDescent="0.25">
      <c r="A200" s="1">
        <v>198</v>
      </c>
      <c r="B200" t="s">
        <v>68</v>
      </c>
      <c r="C200" t="s">
        <v>82</v>
      </c>
      <c r="D200">
        <v>1</v>
      </c>
      <c r="E200">
        <v>0</v>
      </c>
      <c r="F200">
        <v>1</v>
      </c>
      <c r="G200">
        <v>28.009699999999999</v>
      </c>
      <c r="H200">
        <v>2</v>
      </c>
      <c r="I200" t="s">
        <v>89</v>
      </c>
      <c r="J200">
        <v>4</v>
      </c>
      <c r="K200">
        <v>300</v>
      </c>
      <c r="L200">
        <v>66.666666666666657</v>
      </c>
      <c r="N200" t="s">
        <v>91</v>
      </c>
      <c r="O200">
        <v>33.333333333333343</v>
      </c>
      <c r="P200">
        <v>0.33333333333333331</v>
      </c>
      <c r="Q200">
        <v>3.2500000000000001E-2</v>
      </c>
      <c r="R200">
        <v>77.5</v>
      </c>
      <c r="S200">
        <v>170</v>
      </c>
      <c r="T200">
        <v>20</v>
      </c>
      <c r="U200">
        <v>1812.1301775147931</v>
      </c>
      <c r="V200">
        <v>20</v>
      </c>
      <c r="W200">
        <v>0.95</v>
      </c>
      <c r="X200">
        <v>1</v>
      </c>
      <c r="Y200">
        <v>53450.348424986238</v>
      </c>
      <c r="Z200">
        <v>160351045.2749587</v>
      </c>
      <c r="AA200">
        <v>641404181.09983492</v>
      </c>
      <c r="AB200">
        <v>641404.18109983497</v>
      </c>
      <c r="AC200">
        <v>0</v>
      </c>
      <c r="AD200">
        <v>1661.9214595150011</v>
      </c>
      <c r="AE200">
        <v>2991458.627127002</v>
      </c>
      <c r="AF200">
        <v>1994305.751418001</v>
      </c>
      <c r="AG200">
        <v>55.859905805492787</v>
      </c>
      <c r="AH200">
        <v>438.84698059953109</v>
      </c>
      <c r="AI200">
        <v>87.769396119906219</v>
      </c>
      <c r="AJ200">
        <v>20845.635885744639</v>
      </c>
      <c r="AK200">
        <v>854.70085470085473</v>
      </c>
      <c r="AL200" t="s">
        <v>93</v>
      </c>
      <c r="AM200">
        <v>34010.640996463662</v>
      </c>
      <c r="AN200">
        <v>596.49401654703047</v>
      </c>
      <c r="AO200">
        <v>14920.797340384061</v>
      </c>
      <c r="AP200">
        <v>56307.471753456193</v>
      </c>
      <c r="AQ200">
        <v>41386.674413072127</v>
      </c>
      <c r="AR200">
        <v>1.0452577730833331E-2</v>
      </c>
      <c r="AS200">
        <v>360.1890347189439</v>
      </c>
      <c r="AT200">
        <v>587.66544795432071</v>
      </c>
      <c r="AU200">
        <v>10.30674263012658</v>
      </c>
      <c r="AV200">
        <v>257.81451910254071</v>
      </c>
      <c r="AW200">
        <v>972.92949035011429</v>
      </c>
      <c r="AX200">
        <v>715.11497124757364</v>
      </c>
      <c r="AY200">
        <v>1.5712413913751311</v>
      </c>
      <c r="AZ200" t="s">
        <v>137</v>
      </c>
      <c r="BA200" t="str">
        <f>VLOOKUP($AZ200,Sheet1!$A$2:$B$58,2)</f>
        <v>Itaconate</v>
      </c>
      <c r="BB200" t="s">
        <v>185</v>
      </c>
      <c r="BC200">
        <v>128.08086</v>
      </c>
      <c r="BD200">
        <v>3.2</v>
      </c>
      <c r="BE200">
        <v>381</v>
      </c>
      <c r="BF200" t="s">
        <v>201</v>
      </c>
      <c r="BG200">
        <v>0.67533246286570514</v>
      </c>
      <c r="BH200">
        <v>0.10140350877193</v>
      </c>
      <c r="BI200">
        <v>0.44754819471145102</v>
      </c>
      <c r="BJ200">
        <v>80</v>
      </c>
      <c r="BK200">
        <v>2717.3874843171739</v>
      </c>
      <c r="BL200">
        <v>1997.3127466993569</v>
      </c>
      <c r="BM200">
        <v>3.7131373431296071</v>
      </c>
      <c r="BN200">
        <v>631.23334833203319</v>
      </c>
      <c r="BO200">
        <v>2086.1541359851408</v>
      </c>
    </row>
    <row r="201" spans="1:67" x14ac:dyDescent="0.25">
      <c r="A201" s="1">
        <v>199</v>
      </c>
      <c r="B201" t="s">
        <v>68</v>
      </c>
      <c r="C201" t="s">
        <v>82</v>
      </c>
      <c r="D201">
        <v>1</v>
      </c>
      <c r="E201">
        <v>0</v>
      </c>
      <c r="F201">
        <v>1</v>
      </c>
      <c r="G201">
        <v>28.009699999999999</v>
      </c>
      <c r="H201">
        <v>2</v>
      </c>
      <c r="I201" t="s">
        <v>89</v>
      </c>
      <c r="J201">
        <v>4</v>
      </c>
      <c r="K201">
        <v>300</v>
      </c>
      <c r="L201">
        <v>66.666666666666657</v>
      </c>
      <c r="N201" t="s">
        <v>91</v>
      </c>
      <c r="O201">
        <v>33.333333333333343</v>
      </c>
      <c r="P201">
        <v>0.33333333333333331</v>
      </c>
      <c r="Q201">
        <v>3.2500000000000001E-2</v>
      </c>
      <c r="R201">
        <v>77.5</v>
      </c>
      <c r="S201">
        <v>170</v>
      </c>
      <c r="T201">
        <v>20</v>
      </c>
      <c r="U201">
        <v>1812.1301775147931</v>
      </c>
      <c r="V201">
        <v>20</v>
      </c>
      <c r="W201">
        <v>0.95</v>
      </c>
      <c r="X201">
        <v>1</v>
      </c>
      <c r="Y201">
        <v>169270.24135661029</v>
      </c>
      <c r="Z201">
        <v>507810724.06983078</v>
      </c>
      <c r="AA201">
        <v>2031242896.2793231</v>
      </c>
      <c r="AB201">
        <v>2031242.8962793229</v>
      </c>
      <c r="AC201">
        <v>0</v>
      </c>
      <c r="AD201">
        <v>5263.0872362345426</v>
      </c>
      <c r="AE201">
        <v>9473557.0252221767</v>
      </c>
      <c r="AF201">
        <v>6315704.6834814493</v>
      </c>
      <c r="AG201">
        <v>176.90099347291039</v>
      </c>
      <c r="AH201">
        <v>1389.7708156000931</v>
      </c>
      <c r="AI201">
        <v>277.95416312001862</v>
      </c>
      <c r="AJ201">
        <v>66015.394129078006</v>
      </c>
      <c r="AK201">
        <v>854.70085470085473</v>
      </c>
      <c r="AL201" t="s">
        <v>93</v>
      </c>
      <c r="AM201">
        <v>107707.23820900721</v>
      </c>
      <c r="AN201">
        <v>1889.0182968665231</v>
      </c>
      <c r="AO201">
        <v>47252.207730403163</v>
      </c>
      <c r="AP201">
        <v>176466.35148965259</v>
      </c>
      <c r="AQ201">
        <v>129214.1437592494</v>
      </c>
      <c r="AR201">
        <v>1.0452577730833339E-2</v>
      </c>
      <c r="AS201">
        <v>360.18903471894401</v>
      </c>
      <c r="AT201">
        <v>587.66544795432071</v>
      </c>
      <c r="AU201">
        <v>10.30674263012658</v>
      </c>
      <c r="AV201">
        <v>257.81451910254071</v>
      </c>
      <c r="AW201">
        <v>962.82459026378547</v>
      </c>
      <c r="AX201">
        <v>705.01007116124492</v>
      </c>
      <c r="AY201">
        <v>1.57124139137513</v>
      </c>
      <c r="AZ201" t="s">
        <v>138</v>
      </c>
      <c r="BA201" t="str">
        <f>VLOOKUP($AZ201,Sheet1!$A$2:$B$58,2)</f>
        <v>Limonene</v>
      </c>
      <c r="BB201" t="s">
        <v>186</v>
      </c>
      <c r="BC201">
        <v>136.23244</v>
      </c>
      <c r="BD201">
        <v>5.6</v>
      </c>
      <c r="BE201">
        <v>176</v>
      </c>
      <c r="BF201" t="s">
        <v>201</v>
      </c>
      <c r="BG201">
        <v>3.9749781245797848</v>
      </c>
      <c r="BH201">
        <v>3.01041666666668E-2</v>
      </c>
      <c r="BI201">
        <v>0.141321987566047</v>
      </c>
      <c r="BJ201">
        <v>80</v>
      </c>
      <c r="BK201">
        <v>8516.2313278905749</v>
      </c>
      <c r="BL201">
        <v>6235.8490998415728</v>
      </c>
      <c r="BM201">
        <v>9.9227300314211426</v>
      </c>
      <c r="BN201">
        <v>1686.864105341594</v>
      </c>
      <c r="BO201">
        <v>6829.3672225489809</v>
      </c>
    </row>
    <row r="202" spans="1:67" x14ac:dyDescent="0.25">
      <c r="A202" s="1">
        <v>200</v>
      </c>
      <c r="B202" t="s">
        <v>68</v>
      </c>
      <c r="C202" t="s">
        <v>82</v>
      </c>
      <c r="D202">
        <v>1</v>
      </c>
      <c r="E202">
        <v>0</v>
      </c>
      <c r="F202">
        <v>1</v>
      </c>
      <c r="G202">
        <v>28.009699999999999</v>
      </c>
      <c r="H202">
        <v>2</v>
      </c>
      <c r="I202" t="s">
        <v>89</v>
      </c>
      <c r="J202">
        <v>4</v>
      </c>
      <c r="K202">
        <v>300</v>
      </c>
      <c r="L202">
        <v>66.666666666666657</v>
      </c>
      <c r="N202" t="s">
        <v>91</v>
      </c>
      <c r="O202">
        <v>33.333333333333343</v>
      </c>
      <c r="P202">
        <v>0.33333333333333331</v>
      </c>
      <c r="Q202">
        <v>3.2500000000000001E-2</v>
      </c>
      <c r="R202">
        <v>77.5</v>
      </c>
      <c r="S202">
        <v>170</v>
      </c>
      <c r="T202">
        <v>20</v>
      </c>
      <c r="U202">
        <v>1812.1301775147931</v>
      </c>
      <c r="V202">
        <v>20</v>
      </c>
      <c r="W202">
        <v>0.95</v>
      </c>
      <c r="X202">
        <v>1</v>
      </c>
      <c r="Y202">
        <v>63645.364135410193</v>
      </c>
      <c r="Z202">
        <v>190936092.4062306</v>
      </c>
      <c r="AA202">
        <v>763744369.62492228</v>
      </c>
      <c r="AB202">
        <v>763744.36962492228</v>
      </c>
      <c r="AC202">
        <v>0</v>
      </c>
      <c r="AD202">
        <v>1978.913132881263</v>
      </c>
      <c r="AE202">
        <v>3562043.6391862729</v>
      </c>
      <c r="AF202">
        <v>2374695.7594575151</v>
      </c>
      <c r="AG202">
        <v>66.514515813677164</v>
      </c>
      <c r="AH202">
        <v>522.55180186862617</v>
      </c>
      <c r="AI202">
        <v>104.51036037372521</v>
      </c>
      <c r="AJ202">
        <v>24821.69201280997</v>
      </c>
      <c r="AK202">
        <v>854.70085470085473</v>
      </c>
      <c r="AL202" t="s">
        <v>93</v>
      </c>
      <c r="AM202">
        <v>40497.764644818533</v>
      </c>
      <c r="AN202">
        <v>710.26812745681241</v>
      </c>
      <c r="AO202">
        <v>17766.761263533292</v>
      </c>
      <c r="AP202">
        <v>66884.425639786175</v>
      </c>
      <c r="AQ202">
        <v>49117.664376252877</v>
      </c>
      <c r="AR202">
        <v>1.0452577730833331E-2</v>
      </c>
      <c r="AS202">
        <v>360.1890347189439</v>
      </c>
      <c r="AT202">
        <v>587.66544795432071</v>
      </c>
      <c r="AU202">
        <v>10.30674263012658</v>
      </c>
      <c r="AV202">
        <v>257.81451910254083</v>
      </c>
      <c r="AW202">
        <v>970.56383974519815</v>
      </c>
      <c r="AX202">
        <v>712.74932064265727</v>
      </c>
      <c r="AY202">
        <v>1.5712413913751311</v>
      </c>
      <c r="AZ202" t="s">
        <v>139</v>
      </c>
      <c r="BA202" t="str">
        <f>VLOOKUP($AZ202,Sheet1!$A$2:$B$58,2)</f>
        <v>L-Lysine</v>
      </c>
      <c r="BB202" t="s">
        <v>187</v>
      </c>
      <c r="BC202">
        <v>147.19319999999999</v>
      </c>
      <c r="BD202">
        <v>4.833333333333333</v>
      </c>
      <c r="BF202" t="s">
        <v>201</v>
      </c>
      <c r="BG202">
        <v>1.307714239507098</v>
      </c>
      <c r="BH202">
        <v>7.4102564102563995E-2</v>
      </c>
      <c r="BI202">
        <v>0.37585780628744098</v>
      </c>
      <c r="BJ202">
        <v>80</v>
      </c>
      <c r="BK202">
        <v>3227.8291933457599</v>
      </c>
      <c r="BL202">
        <v>2370.4087979536839</v>
      </c>
      <c r="BM202">
        <v>3.917803779179164</v>
      </c>
      <c r="BN202">
        <v>666.02664246045788</v>
      </c>
      <c r="BO202">
        <v>2561.802550885302</v>
      </c>
    </row>
    <row r="203" spans="1:67" x14ac:dyDescent="0.25">
      <c r="A203" s="1">
        <v>201</v>
      </c>
      <c r="B203" t="s">
        <v>68</v>
      </c>
      <c r="C203" t="s">
        <v>82</v>
      </c>
      <c r="D203">
        <v>1</v>
      </c>
      <c r="E203">
        <v>0</v>
      </c>
      <c r="F203">
        <v>1</v>
      </c>
      <c r="G203">
        <v>28.009699999999999</v>
      </c>
      <c r="H203">
        <v>2</v>
      </c>
      <c r="I203" t="s">
        <v>89</v>
      </c>
      <c r="J203">
        <v>4</v>
      </c>
      <c r="K203">
        <v>300</v>
      </c>
      <c r="L203">
        <v>66.666666666666657</v>
      </c>
      <c r="N203" t="s">
        <v>91</v>
      </c>
      <c r="O203">
        <v>33.333333333333343</v>
      </c>
      <c r="P203">
        <v>0.33333333333333331</v>
      </c>
      <c r="Q203">
        <v>3.2500000000000001E-2</v>
      </c>
      <c r="R203">
        <v>77.5</v>
      </c>
      <c r="S203">
        <v>170</v>
      </c>
      <c r="T203">
        <v>20</v>
      </c>
      <c r="U203">
        <v>1812.1301775147931</v>
      </c>
      <c r="V203">
        <v>20</v>
      </c>
      <c r="W203">
        <v>0.95</v>
      </c>
      <c r="X203">
        <v>1</v>
      </c>
      <c r="Y203">
        <v>41832.742372932371</v>
      </c>
      <c r="Z203">
        <v>125498227.11879709</v>
      </c>
      <c r="AA203">
        <v>501992908.47518849</v>
      </c>
      <c r="AB203">
        <v>501992.90847518848</v>
      </c>
      <c r="AC203">
        <v>0</v>
      </c>
      <c r="AD203">
        <v>1300.697456771662</v>
      </c>
      <c r="AE203">
        <v>2341255.4221889912</v>
      </c>
      <c r="AF203">
        <v>1560836.9481259941</v>
      </c>
      <c r="AG203">
        <v>43.718574665924649</v>
      </c>
      <c r="AH203">
        <v>343.46217043512479</v>
      </c>
      <c r="AI203">
        <v>68.692434087024978</v>
      </c>
      <c r="AJ203">
        <v>16314.769525443629</v>
      </c>
      <c r="AK203">
        <v>854.70085470085473</v>
      </c>
      <c r="AL203" t="s">
        <v>93</v>
      </c>
      <c r="AM203">
        <v>26618.318208722179</v>
      </c>
      <c r="AN203">
        <v>466.84411339670351</v>
      </c>
      <c r="AO203">
        <v>11677.71379479425</v>
      </c>
      <c r="AP203">
        <v>44254.632702263363</v>
      </c>
      <c r="AQ203">
        <v>32576.91890746912</v>
      </c>
      <c r="AR203">
        <v>1.0452577730833331E-2</v>
      </c>
      <c r="AS203">
        <v>360.1890347189439</v>
      </c>
      <c r="AT203">
        <v>587.66544795432071</v>
      </c>
      <c r="AU203">
        <v>10.30674263012658</v>
      </c>
      <c r="AV203">
        <v>257.81451910254071</v>
      </c>
      <c r="AW203">
        <v>977.03086825777336</v>
      </c>
      <c r="AX203">
        <v>719.21634915523271</v>
      </c>
      <c r="AY203">
        <v>1.5712413913751311</v>
      </c>
      <c r="AZ203" t="s">
        <v>140</v>
      </c>
      <c r="BA203" t="str">
        <f>VLOOKUP($AZ203,Sheet1!$A$2:$B$58,2)</f>
        <v>L-Malate</v>
      </c>
      <c r="BB203" t="s">
        <v>188</v>
      </c>
      <c r="BC203">
        <v>132.06916000000001</v>
      </c>
      <c r="BD203">
        <v>2.5</v>
      </c>
      <c r="BF203" t="s">
        <v>201</v>
      </c>
      <c r="BG203">
        <v>0.3297753146073415</v>
      </c>
      <c r="BH203">
        <v>0.12565217391304401</v>
      </c>
      <c r="BI203">
        <v>0.57183931980942704</v>
      </c>
      <c r="BJ203">
        <v>80</v>
      </c>
      <c r="BK203">
        <v>2135.7198482420331</v>
      </c>
      <c r="BL203">
        <v>1572.1556830748391</v>
      </c>
      <c r="BM203">
        <v>3.1048463897439071</v>
      </c>
      <c r="BN203">
        <v>527.82388625646422</v>
      </c>
      <c r="BO203">
        <v>1607.895961985568</v>
      </c>
    </row>
    <row r="204" spans="1:67" x14ac:dyDescent="0.25">
      <c r="A204" s="1">
        <v>202</v>
      </c>
      <c r="B204" t="s">
        <v>68</v>
      </c>
      <c r="C204" t="s">
        <v>82</v>
      </c>
      <c r="D204">
        <v>1</v>
      </c>
      <c r="E204">
        <v>0</v>
      </c>
      <c r="F204">
        <v>1</v>
      </c>
      <c r="G204">
        <v>28.009699999999999</v>
      </c>
      <c r="H204">
        <v>2</v>
      </c>
      <c r="I204" t="s">
        <v>89</v>
      </c>
      <c r="J204">
        <v>4</v>
      </c>
      <c r="K204">
        <v>300</v>
      </c>
      <c r="L204">
        <v>66.666666666666657</v>
      </c>
      <c r="N204" t="s">
        <v>91</v>
      </c>
      <c r="O204">
        <v>33.333333333333343</v>
      </c>
      <c r="P204">
        <v>0.33333333333333331</v>
      </c>
      <c r="Q204">
        <v>3.2500000000000001E-2</v>
      </c>
      <c r="R204">
        <v>77.5</v>
      </c>
      <c r="S204">
        <v>170</v>
      </c>
      <c r="T204">
        <v>20</v>
      </c>
      <c r="U204">
        <v>1812.1301775147931</v>
      </c>
      <c r="V204">
        <v>20</v>
      </c>
      <c r="W204">
        <v>0.95</v>
      </c>
      <c r="X204">
        <v>1</v>
      </c>
      <c r="Y204">
        <v>47079.666033621463</v>
      </c>
      <c r="Z204">
        <v>141238998.10086441</v>
      </c>
      <c r="AA204">
        <v>564955992.40345752</v>
      </c>
      <c r="AB204">
        <v>564955.99240345752</v>
      </c>
      <c r="AC204">
        <v>0</v>
      </c>
      <c r="AD204">
        <v>1463.8390505140119</v>
      </c>
      <c r="AE204">
        <v>2634910.290925222</v>
      </c>
      <c r="AF204">
        <v>1756606.8606168141</v>
      </c>
      <c r="AG204">
        <v>49.202031183818782</v>
      </c>
      <c r="AH204">
        <v>386.54133967873003</v>
      </c>
      <c r="AI204">
        <v>77.308267935746002</v>
      </c>
      <c r="AJ204">
        <v>18361.06975311237</v>
      </c>
      <c r="AK204">
        <v>854.70085470085473</v>
      </c>
      <c r="AL204" t="s">
        <v>93</v>
      </c>
      <c r="AM204">
        <v>29956.953825101569</v>
      </c>
      <c r="AN204">
        <v>525.3986160539215</v>
      </c>
      <c r="AO204">
        <v>13142.405549076821</v>
      </c>
      <c r="AP204">
        <v>49698.123048968722</v>
      </c>
      <c r="AQ204">
        <v>36555.717499891893</v>
      </c>
      <c r="AR204">
        <v>1.0452577730833339E-2</v>
      </c>
      <c r="AS204">
        <v>360.1890347189439</v>
      </c>
      <c r="AT204">
        <v>587.66544795432071</v>
      </c>
      <c r="AU204">
        <v>10.30674263012658</v>
      </c>
      <c r="AV204">
        <v>257.81451910254083</v>
      </c>
      <c r="AW204">
        <v>974.92788868235766</v>
      </c>
      <c r="AX204">
        <v>717.11336957981689</v>
      </c>
      <c r="AY204">
        <v>1.5712413913751311</v>
      </c>
      <c r="AZ204" t="s">
        <v>141</v>
      </c>
      <c r="BA204" t="str">
        <f>VLOOKUP($AZ204,Sheet1!$A$2:$B$58,2)</f>
        <v>Malonate</v>
      </c>
      <c r="BB204" t="s">
        <v>189</v>
      </c>
      <c r="BC204">
        <v>102.04378</v>
      </c>
      <c r="BD204">
        <v>2</v>
      </c>
      <c r="BE204">
        <v>199</v>
      </c>
      <c r="BF204" t="s">
        <v>201</v>
      </c>
      <c r="BG204">
        <v>0.31488316595201321</v>
      </c>
      <c r="BH204">
        <v>0.14449999999999999</v>
      </c>
      <c r="BI204">
        <v>0.50810910441075097</v>
      </c>
      <c r="BJ204">
        <v>80</v>
      </c>
      <c r="BK204">
        <v>2398.421619046198</v>
      </c>
      <c r="BL204">
        <v>1764.171718619976</v>
      </c>
      <c r="BM204">
        <v>3.5505302308352871</v>
      </c>
      <c r="BN204">
        <v>603.59013924199871</v>
      </c>
      <c r="BO204">
        <v>1794.831479804199</v>
      </c>
    </row>
    <row r="205" spans="1:67" x14ac:dyDescent="0.25">
      <c r="A205" s="1">
        <v>203</v>
      </c>
      <c r="B205" t="s">
        <v>68</v>
      </c>
      <c r="C205" t="s">
        <v>82</v>
      </c>
      <c r="D205">
        <v>1</v>
      </c>
      <c r="E205">
        <v>0</v>
      </c>
      <c r="F205">
        <v>1</v>
      </c>
      <c r="G205">
        <v>28.009699999999999</v>
      </c>
      <c r="H205">
        <v>2</v>
      </c>
      <c r="I205" t="s">
        <v>89</v>
      </c>
      <c r="J205">
        <v>4</v>
      </c>
      <c r="K205">
        <v>300</v>
      </c>
      <c r="L205">
        <v>66.666666666666657</v>
      </c>
      <c r="N205" t="s">
        <v>91</v>
      </c>
      <c r="O205">
        <v>33.333333333333343</v>
      </c>
      <c r="P205">
        <v>0.33333333333333331</v>
      </c>
      <c r="Q205">
        <v>3.2500000000000001E-2</v>
      </c>
      <c r="R205">
        <v>77.5</v>
      </c>
      <c r="S205">
        <v>170</v>
      </c>
      <c r="T205">
        <v>20</v>
      </c>
      <c r="U205">
        <v>1812.1301775147931</v>
      </c>
      <c r="V205">
        <v>20</v>
      </c>
      <c r="W205">
        <v>0.95</v>
      </c>
      <c r="X205">
        <v>1</v>
      </c>
      <c r="Y205">
        <v>101038.4463151946</v>
      </c>
      <c r="Z205">
        <v>303115338.94558382</v>
      </c>
      <c r="AA205">
        <v>1212461355.782335</v>
      </c>
      <c r="AB205">
        <v>1212461.3557823349</v>
      </c>
      <c r="AC205">
        <v>0</v>
      </c>
      <c r="AD205">
        <v>3141.5690844922592</v>
      </c>
      <c r="AE205">
        <v>5654824.3520860663</v>
      </c>
      <c r="AF205">
        <v>3769882.9013907099</v>
      </c>
      <c r="AG205">
        <v>105.59328910308341</v>
      </c>
      <c r="AH205">
        <v>829.56273245102557</v>
      </c>
      <c r="AI205">
        <v>165.9125464902051</v>
      </c>
      <c r="AJ205">
        <v>39404.9940629259</v>
      </c>
      <c r="AK205">
        <v>854.70085470085473</v>
      </c>
      <c r="AL205" t="s">
        <v>93</v>
      </c>
      <c r="AM205">
        <v>64291.111764954483</v>
      </c>
      <c r="AN205">
        <v>1127.566619192482</v>
      </c>
      <c r="AO205">
        <v>28205.13290333487</v>
      </c>
      <c r="AP205">
        <v>105678.3733017737</v>
      </c>
      <c r="AQ205">
        <v>77473.240398438851</v>
      </c>
      <c r="AR205">
        <v>1.0452577730833339E-2</v>
      </c>
      <c r="AS205">
        <v>360.1890347189439</v>
      </c>
      <c r="AT205">
        <v>587.66544795432071</v>
      </c>
      <c r="AU205">
        <v>10.30674263012658</v>
      </c>
      <c r="AV205">
        <v>257.81451910254071</v>
      </c>
      <c r="AW205">
        <v>965.97378518695677</v>
      </c>
      <c r="AX205">
        <v>708.159266084416</v>
      </c>
      <c r="AY205">
        <v>1.57124139137513</v>
      </c>
      <c r="AZ205" t="s">
        <v>142</v>
      </c>
      <c r="BA205" t="str">
        <f>VLOOKUP($AZ205,Sheet1!$A$2:$B$58,2)</f>
        <v>Nonane</v>
      </c>
      <c r="BB205" t="s">
        <v>190</v>
      </c>
      <c r="BC205">
        <v>128.25309999999999</v>
      </c>
      <c r="BD205">
        <v>6.2222222222222223</v>
      </c>
      <c r="BE205">
        <v>151</v>
      </c>
      <c r="BF205" t="s">
        <v>201</v>
      </c>
      <c r="BG205">
        <v>3.3171128027314731</v>
      </c>
      <c r="BH205">
        <v>5.3571428571428603E-2</v>
      </c>
      <c r="BI205">
        <v>0.236757470217584</v>
      </c>
      <c r="BJ205">
        <v>80</v>
      </c>
      <c r="BK205">
        <v>5100.017458262304</v>
      </c>
      <c r="BL205">
        <v>3738.8433057339539</v>
      </c>
      <c r="BM205">
        <v>4.9785145217787843</v>
      </c>
      <c r="BN205">
        <v>846.34746870239337</v>
      </c>
      <c r="BO205">
        <v>4253.6699895599104</v>
      </c>
    </row>
    <row r="206" spans="1:67" x14ac:dyDescent="0.25">
      <c r="A206" s="1">
        <v>204</v>
      </c>
      <c r="B206" t="s">
        <v>68</v>
      </c>
      <c r="C206" t="s">
        <v>82</v>
      </c>
      <c r="D206">
        <v>1</v>
      </c>
      <c r="E206">
        <v>0</v>
      </c>
      <c r="F206">
        <v>1</v>
      </c>
      <c r="G206">
        <v>28.009699999999999</v>
      </c>
      <c r="H206">
        <v>2</v>
      </c>
      <c r="I206" t="s">
        <v>89</v>
      </c>
      <c r="J206">
        <v>4</v>
      </c>
      <c r="K206">
        <v>300</v>
      </c>
      <c r="L206">
        <v>66.666666666666657</v>
      </c>
      <c r="N206" t="s">
        <v>91</v>
      </c>
      <c r="O206">
        <v>33.333333333333343</v>
      </c>
      <c r="P206">
        <v>0.33333333333333331</v>
      </c>
      <c r="Q206">
        <v>3.2500000000000001E-2</v>
      </c>
      <c r="R206">
        <v>77.5</v>
      </c>
      <c r="S206">
        <v>170</v>
      </c>
      <c r="T206">
        <v>20</v>
      </c>
      <c r="U206">
        <v>1812.1301775147931</v>
      </c>
      <c r="V206">
        <v>20</v>
      </c>
      <c r="W206">
        <v>0.95</v>
      </c>
      <c r="X206">
        <v>1</v>
      </c>
      <c r="Y206">
        <v>101290.5202220645</v>
      </c>
      <c r="Z206">
        <v>303871560.66619349</v>
      </c>
      <c r="AA206">
        <v>1215486242.6647739</v>
      </c>
      <c r="AB206">
        <v>1215486.2426647739</v>
      </c>
      <c r="AC206">
        <v>0</v>
      </c>
      <c r="AD206">
        <v>3149.406770261488</v>
      </c>
      <c r="AE206">
        <v>5668932.1864706781</v>
      </c>
      <c r="AF206">
        <v>3779288.1243137838</v>
      </c>
      <c r="AG206">
        <v>105.85672657559179</v>
      </c>
      <c r="AH206">
        <v>831.63235175524824</v>
      </c>
      <c r="AI206">
        <v>166.32647035104969</v>
      </c>
      <c r="AJ206">
        <v>39503.302886605154</v>
      </c>
      <c r="AK206">
        <v>854.70085470085473</v>
      </c>
      <c r="AL206" t="s">
        <v>93</v>
      </c>
      <c r="AM206">
        <v>64451.507261031737</v>
      </c>
      <c r="AN206">
        <v>1130.3797080049251</v>
      </c>
      <c r="AO206">
        <v>28275.49995967844</v>
      </c>
      <c r="AP206">
        <v>105939.8907103427</v>
      </c>
      <c r="AQ206">
        <v>77664.390750664228</v>
      </c>
      <c r="AR206">
        <v>1.0452577730833339E-2</v>
      </c>
      <c r="AS206">
        <v>360.18903471894401</v>
      </c>
      <c r="AT206">
        <v>587.66544795432071</v>
      </c>
      <c r="AU206">
        <v>10.30674263012658</v>
      </c>
      <c r="AV206">
        <v>257.81451910254083</v>
      </c>
      <c r="AW206">
        <v>965.95434267162398</v>
      </c>
      <c r="AX206">
        <v>708.13982356908321</v>
      </c>
      <c r="AY206">
        <v>1.5712413913751311</v>
      </c>
      <c r="AZ206" t="s">
        <v>143</v>
      </c>
      <c r="BA206" t="str">
        <f>VLOOKUP($AZ206,Sheet1!$A$2:$B$58,2)</f>
        <v>Octane</v>
      </c>
      <c r="BB206" t="s">
        <v>191</v>
      </c>
      <c r="BC206">
        <v>114.22672</v>
      </c>
      <c r="BD206">
        <v>6.25</v>
      </c>
      <c r="BE206">
        <v>126</v>
      </c>
      <c r="BF206" t="s">
        <v>201</v>
      </c>
      <c r="BG206">
        <v>3.3391486685427019</v>
      </c>
      <c r="BH206">
        <v>0.06</v>
      </c>
      <c r="BI206">
        <v>0.236168270158511</v>
      </c>
      <c r="BJ206">
        <v>80</v>
      </c>
      <c r="BK206">
        <v>5112.6382368347813</v>
      </c>
      <c r="BL206">
        <v>3748.0681840420129</v>
      </c>
      <c r="BM206">
        <v>4.9771748490097814</v>
      </c>
      <c r="BN206">
        <v>846.11972433166284</v>
      </c>
      <c r="BO206">
        <v>4266.5185125031176</v>
      </c>
    </row>
    <row r="207" spans="1:67" x14ac:dyDescent="0.25">
      <c r="A207" s="1">
        <v>205</v>
      </c>
      <c r="B207" t="s">
        <v>68</v>
      </c>
      <c r="C207" t="s">
        <v>82</v>
      </c>
      <c r="D207">
        <v>1</v>
      </c>
      <c r="E207">
        <v>0</v>
      </c>
      <c r="F207">
        <v>1</v>
      </c>
      <c r="G207">
        <v>28.009699999999999</v>
      </c>
      <c r="H207">
        <v>2</v>
      </c>
      <c r="I207" t="s">
        <v>89</v>
      </c>
      <c r="J207">
        <v>4</v>
      </c>
      <c r="K207">
        <v>300</v>
      </c>
      <c r="L207">
        <v>66.666666666666657</v>
      </c>
      <c r="N207" t="s">
        <v>91</v>
      </c>
      <c r="O207">
        <v>33.333333333333343</v>
      </c>
      <c r="P207">
        <v>0.33333333333333331</v>
      </c>
      <c r="Q207">
        <v>3.2500000000000001E-2</v>
      </c>
      <c r="R207">
        <v>77.5</v>
      </c>
      <c r="S207">
        <v>170</v>
      </c>
      <c r="T207">
        <v>20</v>
      </c>
      <c r="U207">
        <v>1812.1301775147931</v>
      </c>
      <c r="V207">
        <v>20</v>
      </c>
      <c r="W207">
        <v>0.95</v>
      </c>
      <c r="X207">
        <v>1</v>
      </c>
      <c r="Y207">
        <v>102634.81728588069</v>
      </c>
      <c r="Z207">
        <v>307904451.85764217</v>
      </c>
      <c r="AA207">
        <v>1231617807.4305689</v>
      </c>
      <c r="AB207">
        <v>1231617.8074305691</v>
      </c>
      <c r="AC207">
        <v>66773.504273504266</v>
      </c>
      <c r="AD207">
        <v>3191.2047417275612</v>
      </c>
      <c r="AE207">
        <v>5744168.5351096103</v>
      </c>
      <c r="AF207">
        <v>3829445.6900730729</v>
      </c>
      <c r="AG207">
        <v>107.2616249452397</v>
      </c>
      <c r="AH207">
        <v>842.66952410057945</v>
      </c>
      <c r="AI207">
        <v>168.53390482011591</v>
      </c>
      <c r="AJ207">
        <v>40027.578741493489</v>
      </c>
      <c r="AK207">
        <v>2170.1388888888891</v>
      </c>
      <c r="AL207" t="s">
        <v>95</v>
      </c>
      <c r="AM207">
        <v>65306.888117794908</v>
      </c>
      <c r="AN207">
        <v>1145.381764654818</v>
      </c>
      <c r="AO207">
        <v>28650.763819419699</v>
      </c>
      <c r="AP207">
        <v>108649.9875128321</v>
      </c>
      <c r="AQ207">
        <v>79999.223693412394</v>
      </c>
      <c r="AR207">
        <v>1.0452577730833331E-2</v>
      </c>
      <c r="AS207">
        <v>360.1890347189439</v>
      </c>
      <c r="AT207">
        <v>587.66544795432071</v>
      </c>
      <c r="AU207">
        <v>10.30674263012658</v>
      </c>
      <c r="AV207">
        <v>257.81451910254071</v>
      </c>
      <c r="AW207">
        <v>977.68926712283383</v>
      </c>
      <c r="AX207">
        <v>719.87474802029317</v>
      </c>
      <c r="AY207">
        <v>1.5712413913751311</v>
      </c>
      <c r="AZ207" t="s">
        <v>144</v>
      </c>
      <c r="BA207" t="str">
        <f>VLOOKUP($AZ207,Sheet1!$A$2:$B$58,2)</f>
        <v>Pentane</v>
      </c>
      <c r="BB207" t="s">
        <v>192</v>
      </c>
      <c r="BC207">
        <v>72.147580000000005</v>
      </c>
      <c r="BD207">
        <v>6.4</v>
      </c>
      <c r="BE207">
        <v>36.1</v>
      </c>
      <c r="BF207" t="s">
        <v>201</v>
      </c>
      <c r="BG207">
        <v>3.4566647973500979</v>
      </c>
      <c r="BH207">
        <v>9.375E-2</v>
      </c>
      <c r="BI207">
        <v>0.23307496984838</v>
      </c>
      <c r="BJ207">
        <v>80</v>
      </c>
      <c r="BK207">
        <v>5243.4269741557864</v>
      </c>
      <c r="BL207">
        <v>3860.746761485083</v>
      </c>
      <c r="BM207">
        <v>4.9700304436556992</v>
      </c>
      <c r="BN207">
        <v>844.90517542146893</v>
      </c>
      <c r="BO207">
        <v>4398.5217987343176</v>
      </c>
    </row>
    <row r="208" spans="1:67" x14ac:dyDescent="0.25">
      <c r="A208" s="1">
        <v>206</v>
      </c>
      <c r="B208" t="s">
        <v>68</v>
      </c>
      <c r="C208" t="s">
        <v>82</v>
      </c>
      <c r="D208">
        <v>1</v>
      </c>
      <c r="E208">
        <v>0</v>
      </c>
      <c r="F208">
        <v>1</v>
      </c>
      <c r="G208">
        <v>28.009699999999999</v>
      </c>
      <c r="H208">
        <v>2</v>
      </c>
      <c r="I208" t="s">
        <v>89</v>
      </c>
      <c r="J208">
        <v>4</v>
      </c>
      <c r="K208">
        <v>300</v>
      </c>
      <c r="L208">
        <v>66.666666666666657</v>
      </c>
      <c r="N208" t="s">
        <v>91</v>
      </c>
      <c r="O208">
        <v>33.333333333333343</v>
      </c>
      <c r="P208">
        <v>0.33333333333333331</v>
      </c>
      <c r="Q208">
        <v>3.2500000000000001E-2</v>
      </c>
      <c r="R208">
        <v>77.5</v>
      </c>
      <c r="S208">
        <v>170</v>
      </c>
      <c r="T208">
        <v>20</v>
      </c>
      <c r="U208">
        <v>1812.1301775147931</v>
      </c>
      <c r="V208">
        <v>20</v>
      </c>
      <c r="W208">
        <v>0.95</v>
      </c>
      <c r="X208">
        <v>1</v>
      </c>
      <c r="Y208">
        <v>96741.496637700533</v>
      </c>
      <c r="Z208">
        <v>290224489.91310161</v>
      </c>
      <c r="AA208">
        <v>1160897959.652406</v>
      </c>
      <c r="AB208">
        <v>1160897.9596524059</v>
      </c>
      <c r="AC208">
        <v>0</v>
      </c>
      <c r="AD208">
        <v>3007.964850096937</v>
      </c>
      <c r="AE208">
        <v>5414336.7301744875</v>
      </c>
      <c r="AF208">
        <v>3609557.8201163239</v>
      </c>
      <c r="AG208">
        <v>101.1026316741122</v>
      </c>
      <c r="AH208">
        <v>794.28319831659712</v>
      </c>
      <c r="AI208">
        <v>158.85663966331941</v>
      </c>
      <c r="AJ208">
        <v>37729.183688703211</v>
      </c>
      <c r="AK208">
        <v>854.70085470085473</v>
      </c>
      <c r="AL208" t="s">
        <v>93</v>
      </c>
      <c r="AM208">
        <v>61556.947869536278</v>
      </c>
      <c r="AN208">
        <v>1079.6136151886631</v>
      </c>
      <c r="AO208">
        <v>27005.6287427643</v>
      </c>
      <c r="AP208">
        <v>101220.44602812899</v>
      </c>
      <c r="AQ208">
        <v>74214.817285364697</v>
      </c>
      <c r="AR208">
        <v>1.0452577730833339E-2</v>
      </c>
      <c r="AS208">
        <v>360.1890347189439</v>
      </c>
      <c r="AT208">
        <v>587.66544795432071</v>
      </c>
      <c r="AU208">
        <v>10.30674263012658</v>
      </c>
      <c r="AV208">
        <v>257.81451910254071</v>
      </c>
      <c r="AW208">
        <v>966.32079425585516</v>
      </c>
      <c r="AX208">
        <v>708.5062751533145</v>
      </c>
      <c r="AY208">
        <v>1.5712413913751311</v>
      </c>
      <c r="AZ208" t="s">
        <v>145</v>
      </c>
      <c r="BA208" t="str">
        <f>VLOOKUP($AZ208,Sheet1!$A$2:$B$58,2)</f>
        <v>Pentanol (PW1)</v>
      </c>
      <c r="BB208" t="s">
        <v>157</v>
      </c>
      <c r="BC208">
        <v>88.14658</v>
      </c>
      <c r="BD208">
        <v>6</v>
      </c>
      <c r="BE208">
        <v>138</v>
      </c>
      <c r="BF208" t="s">
        <v>201</v>
      </c>
      <c r="BG208">
        <v>2.7814671494798442</v>
      </c>
      <c r="BH208">
        <v>8.1408450704225296E-2</v>
      </c>
      <c r="BI208">
        <v>0.24727348424107701</v>
      </c>
      <c r="BJ208">
        <v>80</v>
      </c>
      <c r="BK208">
        <v>4884.8787670342635</v>
      </c>
      <c r="BL208">
        <v>3581.592448781138</v>
      </c>
      <c r="BM208">
        <v>5.1613648336861271</v>
      </c>
      <c r="BN208">
        <v>877.43202172664155</v>
      </c>
      <c r="BO208">
        <v>4007.4467453076231</v>
      </c>
    </row>
    <row r="209" spans="1:67" x14ac:dyDescent="0.25">
      <c r="A209" s="1">
        <v>207</v>
      </c>
      <c r="B209" t="s">
        <v>68</v>
      </c>
      <c r="C209" t="s">
        <v>82</v>
      </c>
      <c r="D209">
        <v>1</v>
      </c>
      <c r="E209">
        <v>0</v>
      </c>
      <c r="F209">
        <v>1</v>
      </c>
      <c r="G209">
        <v>28.009699999999999</v>
      </c>
      <c r="H209">
        <v>2</v>
      </c>
      <c r="I209" t="s">
        <v>89</v>
      </c>
      <c r="J209">
        <v>4</v>
      </c>
      <c r="K209">
        <v>300</v>
      </c>
      <c r="L209">
        <v>66.666666666666657</v>
      </c>
      <c r="N209" t="s">
        <v>91</v>
      </c>
      <c r="O209">
        <v>33.333333333333343</v>
      </c>
      <c r="P209">
        <v>0.33333333333333331</v>
      </c>
      <c r="Q209">
        <v>3.2500000000000001E-2</v>
      </c>
      <c r="R209">
        <v>77.5</v>
      </c>
      <c r="S209">
        <v>170</v>
      </c>
      <c r="T209">
        <v>20</v>
      </c>
      <c r="U209">
        <v>1812.1301775147931</v>
      </c>
      <c r="V209">
        <v>20</v>
      </c>
      <c r="W209">
        <v>0.95</v>
      </c>
      <c r="X209">
        <v>1</v>
      </c>
      <c r="Y209">
        <v>96741.496637700533</v>
      </c>
      <c r="Z209">
        <v>290224489.91310161</v>
      </c>
      <c r="AA209">
        <v>1160897959.652406</v>
      </c>
      <c r="AB209">
        <v>1160897.9596524059</v>
      </c>
      <c r="AC209">
        <v>0</v>
      </c>
      <c r="AD209">
        <v>3007.964850096937</v>
      </c>
      <c r="AE209">
        <v>5414336.7301744875</v>
      </c>
      <c r="AF209">
        <v>3609557.8201163239</v>
      </c>
      <c r="AG209">
        <v>101.1026316741122</v>
      </c>
      <c r="AH209">
        <v>794.28319831659712</v>
      </c>
      <c r="AI209">
        <v>158.85663966331941</v>
      </c>
      <c r="AJ209">
        <v>37729.183688703211</v>
      </c>
      <c r="AK209">
        <v>854.70085470085473</v>
      </c>
      <c r="AL209" t="s">
        <v>93</v>
      </c>
      <c r="AM209">
        <v>61556.947869536278</v>
      </c>
      <c r="AN209">
        <v>1079.6136151886631</v>
      </c>
      <c r="AO209">
        <v>27005.6287427643</v>
      </c>
      <c r="AP209">
        <v>101220.44602812899</v>
      </c>
      <c r="AQ209">
        <v>74214.817285364697</v>
      </c>
      <c r="AR209">
        <v>1.0452577730833339E-2</v>
      </c>
      <c r="AS209">
        <v>360.1890347189439</v>
      </c>
      <c r="AT209">
        <v>587.66544795432071</v>
      </c>
      <c r="AU209">
        <v>10.30674263012658</v>
      </c>
      <c r="AV209">
        <v>257.81451910254071</v>
      </c>
      <c r="AW209">
        <v>966.32079425585516</v>
      </c>
      <c r="AX209">
        <v>708.5062751533145</v>
      </c>
      <c r="AY209">
        <v>1.5712413913751311</v>
      </c>
      <c r="AZ209" t="s">
        <v>146</v>
      </c>
      <c r="BA209" t="str">
        <f>VLOOKUP($AZ209,Sheet1!$A$2:$B$58,2)</f>
        <v>Pentanol (PW2)</v>
      </c>
      <c r="BB209" t="s">
        <v>157</v>
      </c>
      <c r="BC209">
        <v>88.14658</v>
      </c>
      <c r="BD209">
        <v>6</v>
      </c>
      <c r="BE209">
        <v>138</v>
      </c>
      <c r="BF209" t="s">
        <v>201</v>
      </c>
      <c r="BG209">
        <v>2.781467149479838</v>
      </c>
      <c r="BH209">
        <v>8.1408450704225296E-2</v>
      </c>
      <c r="BI209">
        <v>0.24727348424107701</v>
      </c>
      <c r="BJ209">
        <v>80</v>
      </c>
      <c r="BK209">
        <v>4884.8787670342635</v>
      </c>
      <c r="BL209">
        <v>3581.592448781138</v>
      </c>
      <c r="BM209">
        <v>5.1613648336861342</v>
      </c>
      <c r="BN209">
        <v>877.4320217266428</v>
      </c>
      <c r="BO209">
        <v>4007.4467453076222</v>
      </c>
    </row>
    <row r="210" spans="1:67" x14ac:dyDescent="0.25">
      <c r="A210" s="1">
        <v>208</v>
      </c>
      <c r="B210" t="s">
        <v>68</v>
      </c>
      <c r="C210" t="s">
        <v>82</v>
      </c>
      <c r="D210">
        <v>1</v>
      </c>
      <c r="E210">
        <v>0</v>
      </c>
      <c r="F210">
        <v>1</v>
      </c>
      <c r="G210">
        <v>28.009699999999999</v>
      </c>
      <c r="H210">
        <v>2</v>
      </c>
      <c r="I210" t="s">
        <v>89</v>
      </c>
      <c r="J210">
        <v>4</v>
      </c>
      <c r="K210">
        <v>300</v>
      </c>
      <c r="L210">
        <v>66.666666666666657</v>
      </c>
      <c r="N210" t="s">
        <v>91</v>
      </c>
      <c r="O210">
        <v>33.333333333333343</v>
      </c>
      <c r="P210">
        <v>0.33333333333333331</v>
      </c>
      <c r="Q210">
        <v>3.2500000000000001E-2</v>
      </c>
      <c r="R210">
        <v>77.5</v>
      </c>
      <c r="S210">
        <v>170</v>
      </c>
      <c r="T210">
        <v>20</v>
      </c>
      <c r="U210">
        <v>1812.1301775147931</v>
      </c>
      <c r="V210">
        <v>20</v>
      </c>
      <c r="W210">
        <v>0.95</v>
      </c>
      <c r="X210">
        <v>1</v>
      </c>
      <c r="Y210">
        <v>242480.40006315589</v>
      </c>
      <c r="Z210">
        <v>727441200.18946767</v>
      </c>
      <c r="AA210">
        <v>2909764800.7578712</v>
      </c>
      <c r="AB210">
        <v>2909764.800757871</v>
      </c>
      <c r="AC210">
        <v>0</v>
      </c>
      <c r="AD210">
        <v>7539.3966971478176</v>
      </c>
      <c r="AE210">
        <v>13570914.05486607</v>
      </c>
      <c r="AF210">
        <v>9047276.0365773793</v>
      </c>
      <c r="AG210">
        <v>253.4114876017214</v>
      </c>
      <c r="AH210">
        <v>1990.853091848852</v>
      </c>
      <c r="AI210">
        <v>398.17061836977052</v>
      </c>
      <c r="AJ210">
        <v>94567.35602463079</v>
      </c>
      <c r="AK210">
        <v>854.70085470085473</v>
      </c>
      <c r="AL210" t="s">
        <v>93</v>
      </c>
      <c r="AM210">
        <v>154291.11461828611</v>
      </c>
      <c r="AN210">
        <v>2706.027407297297</v>
      </c>
      <c r="AO210">
        <v>67689.005122860981</v>
      </c>
      <c r="AP210">
        <v>252419.19890491501</v>
      </c>
      <c r="AQ210">
        <v>184730.193782054</v>
      </c>
      <c r="AR210">
        <v>1.0452577730833331E-2</v>
      </c>
      <c r="AS210">
        <v>360.1890347189439</v>
      </c>
      <c r="AT210">
        <v>587.66544795432071</v>
      </c>
      <c r="AU210">
        <v>10.30674263012658</v>
      </c>
      <c r="AV210">
        <v>257.81451910254071</v>
      </c>
      <c r="AW210">
        <v>961.41661795440245</v>
      </c>
      <c r="AX210">
        <v>703.60209885186168</v>
      </c>
      <c r="AY210">
        <v>1.5712413913751311</v>
      </c>
      <c r="AZ210" t="s">
        <v>147</v>
      </c>
      <c r="BA210" t="str">
        <f>VLOOKUP($AZ210,Sheet1!$A$2:$B$58,2)</f>
        <v>Phenol</v>
      </c>
      <c r="BB210" t="s">
        <v>193</v>
      </c>
      <c r="BC210">
        <v>94.11023999999999</v>
      </c>
      <c r="BD210">
        <v>4.666666666666667</v>
      </c>
      <c r="BE210">
        <v>181.7</v>
      </c>
      <c r="BF210" t="s">
        <v>201</v>
      </c>
      <c r="BG210">
        <v>4.3107304309555126</v>
      </c>
      <c r="BH210">
        <v>3.0421052631578901E-2</v>
      </c>
      <c r="BI210">
        <v>9.8653775472450897E-2</v>
      </c>
      <c r="BJ210">
        <v>80</v>
      </c>
      <c r="BK210">
        <v>12181.70076804205</v>
      </c>
      <c r="BL210">
        <v>8915.0427274871854</v>
      </c>
      <c r="BM210">
        <v>15.597800487533011</v>
      </c>
      <c r="BN210">
        <v>2651.6260828806121</v>
      </c>
      <c r="BO210">
        <v>9530.0746851614385</v>
      </c>
    </row>
    <row r="211" spans="1:67" x14ac:dyDescent="0.25">
      <c r="A211" s="1">
        <v>209</v>
      </c>
      <c r="B211" t="s">
        <v>68</v>
      </c>
      <c r="C211" t="s">
        <v>82</v>
      </c>
      <c r="D211">
        <v>1</v>
      </c>
      <c r="E211">
        <v>0</v>
      </c>
      <c r="F211">
        <v>1</v>
      </c>
      <c r="G211">
        <v>28.009699999999999</v>
      </c>
      <c r="H211">
        <v>2</v>
      </c>
      <c r="I211" t="s">
        <v>89</v>
      </c>
      <c r="J211">
        <v>4</v>
      </c>
      <c r="K211">
        <v>300</v>
      </c>
      <c r="L211">
        <v>66.666666666666657</v>
      </c>
      <c r="N211" t="s">
        <v>91</v>
      </c>
      <c r="O211">
        <v>33.333333333333343</v>
      </c>
      <c r="P211">
        <v>0.33333333333333331</v>
      </c>
      <c r="Q211">
        <v>3.2500000000000001E-2</v>
      </c>
      <c r="R211">
        <v>77.5</v>
      </c>
      <c r="S211">
        <v>170</v>
      </c>
      <c r="T211">
        <v>20</v>
      </c>
      <c r="U211">
        <v>1812.1301775147931</v>
      </c>
      <c r="V211">
        <v>20</v>
      </c>
      <c r="W211">
        <v>0.95</v>
      </c>
      <c r="X211">
        <v>1</v>
      </c>
      <c r="Y211">
        <v>104956.3997953506</v>
      </c>
      <c r="Z211">
        <v>314869199.38605177</v>
      </c>
      <c r="AA211">
        <v>1259476797.5442071</v>
      </c>
      <c r="AB211">
        <v>1259476.797544207</v>
      </c>
      <c r="AC211">
        <v>66773.504273504266</v>
      </c>
      <c r="AD211">
        <v>3263.3892626187112</v>
      </c>
      <c r="AE211">
        <v>5874100.6727136793</v>
      </c>
      <c r="AF211">
        <v>3916067.1151424521</v>
      </c>
      <c r="AG211">
        <v>109.6878650750055</v>
      </c>
      <c r="AH211">
        <v>861.73056868709659</v>
      </c>
      <c r="AI211">
        <v>172.3461137374193</v>
      </c>
      <c r="AJ211">
        <v>40932.995920186753</v>
      </c>
      <c r="AK211">
        <v>2170.1388888888891</v>
      </c>
      <c r="AL211" t="s">
        <v>95</v>
      </c>
      <c r="AM211">
        <v>66784.119073249982</v>
      </c>
      <c r="AN211">
        <v>1171.290109812988</v>
      </c>
      <c r="AO211">
        <v>29298.839335361281</v>
      </c>
      <c r="AP211">
        <v>111058.5439921386</v>
      </c>
      <c r="AQ211">
        <v>81759.704656777321</v>
      </c>
      <c r="AR211">
        <v>1.0452577730833339E-2</v>
      </c>
      <c r="AS211">
        <v>360.18903471894401</v>
      </c>
      <c r="AT211">
        <v>587.66544795432071</v>
      </c>
      <c r="AU211">
        <v>10.30674263012658</v>
      </c>
      <c r="AV211">
        <v>257.81451910254071</v>
      </c>
      <c r="AW211">
        <v>977.25731670894208</v>
      </c>
      <c r="AX211">
        <v>719.44279760640154</v>
      </c>
      <c r="AY211">
        <v>1.5712413913751311</v>
      </c>
      <c r="AZ211" t="s">
        <v>148</v>
      </c>
      <c r="BA211" t="str">
        <f>VLOOKUP($AZ211,Sheet1!$A$2:$B$58,2)</f>
        <v>Propane (PW1)</v>
      </c>
      <c r="BB211" t="s">
        <v>194</v>
      </c>
      <c r="BC211">
        <v>44.094819999999999</v>
      </c>
      <c r="BD211">
        <v>6.666666666666667</v>
      </c>
      <c r="BE211">
        <v>-42</v>
      </c>
      <c r="BF211" t="s">
        <v>201</v>
      </c>
      <c r="BG211">
        <v>3.6596135328367358</v>
      </c>
      <c r="BH211">
        <v>0.15</v>
      </c>
      <c r="BI211">
        <v>0.22791946933149601</v>
      </c>
      <c r="BJ211">
        <v>80</v>
      </c>
      <c r="BK211">
        <v>5359.6634349366204</v>
      </c>
      <c r="BL211">
        <v>3945.7072256517749</v>
      </c>
      <c r="BM211">
        <v>4.9576921540342296</v>
      </c>
      <c r="BN211">
        <v>842.80766618581913</v>
      </c>
      <c r="BO211">
        <v>4516.855768750801</v>
      </c>
    </row>
    <row r="212" spans="1:67" x14ac:dyDescent="0.25">
      <c r="A212" s="1">
        <v>210</v>
      </c>
      <c r="B212" t="s">
        <v>68</v>
      </c>
      <c r="C212" t="s">
        <v>82</v>
      </c>
      <c r="D212">
        <v>1</v>
      </c>
      <c r="E212">
        <v>0</v>
      </c>
      <c r="F212">
        <v>1</v>
      </c>
      <c r="G212">
        <v>28.009699999999999</v>
      </c>
      <c r="H212">
        <v>2</v>
      </c>
      <c r="I212" t="s">
        <v>89</v>
      </c>
      <c r="J212">
        <v>4</v>
      </c>
      <c r="K212">
        <v>300</v>
      </c>
      <c r="L212">
        <v>66.666666666666657</v>
      </c>
      <c r="N212" t="s">
        <v>91</v>
      </c>
      <c r="O212">
        <v>33.333333333333343</v>
      </c>
      <c r="P212">
        <v>0.33333333333333331</v>
      </c>
      <c r="Q212">
        <v>3.2500000000000001E-2</v>
      </c>
      <c r="R212">
        <v>77.5</v>
      </c>
      <c r="S212">
        <v>170</v>
      </c>
      <c r="T212">
        <v>20</v>
      </c>
      <c r="U212">
        <v>1812.1301775147931</v>
      </c>
      <c r="V212">
        <v>20</v>
      </c>
      <c r="W212">
        <v>0.95</v>
      </c>
      <c r="X212">
        <v>1</v>
      </c>
      <c r="Y212">
        <v>104956.3997953511</v>
      </c>
      <c r="Z212">
        <v>314869199.38605332</v>
      </c>
      <c r="AA212">
        <v>1259476797.5442131</v>
      </c>
      <c r="AB212">
        <v>1259476.797544213</v>
      </c>
      <c r="AC212">
        <v>66773.504273504266</v>
      </c>
      <c r="AD212">
        <v>3263.3892626187262</v>
      </c>
      <c r="AE212">
        <v>5874100.6727137063</v>
      </c>
      <c r="AF212">
        <v>3916067.1151424702</v>
      </c>
      <c r="AG212">
        <v>109.687865075006</v>
      </c>
      <c r="AH212">
        <v>861.73056868710034</v>
      </c>
      <c r="AI212">
        <v>172.3461137374201</v>
      </c>
      <c r="AJ212">
        <v>40932.995920186928</v>
      </c>
      <c r="AK212">
        <v>2170.1388888888891</v>
      </c>
      <c r="AL212" t="s">
        <v>95</v>
      </c>
      <c r="AM212">
        <v>66784.119073250273</v>
      </c>
      <c r="AN212">
        <v>1171.2901098129939</v>
      </c>
      <c r="AO212">
        <v>29298.839335361408</v>
      </c>
      <c r="AP212">
        <v>111058.54399213909</v>
      </c>
      <c r="AQ212">
        <v>81759.704656777671</v>
      </c>
      <c r="AR212">
        <v>1.0452577730833339E-2</v>
      </c>
      <c r="AS212">
        <v>360.1890347189439</v>
      </c>
      <c r="AT212">
        <v>587.66544795432071</v>
      </c>
      <c r="AU212">
        <v>10.30674263012658</v>
      </c>
      <c r="AV212">
        <v>257.81451910254071</v>
      </c>
      <c r="AW212">
        <v>977.25731670894208</v>
      </c>
      <c r="AX212">
        <v>719.44279760640131</v>
      </c>
      <c r="AY212">
        <v>1.57124139137513</v>
      </c>
      <c r="AZ212" t="s">
        <v>149</v>
      </c>
      <c r="BA212" t="str">
        <f>VLOOKUP($AZ212,Sheet1!$A$2:$B$58,2)</f>
        <v>Propane (PW2)</v>
      </c>
      <c r="BB212" t="s">
        <v>194</v>
      </c>
      <c r="BC212">
        <v>44.094819999999999</v>
      </c>
      <c r="BD212">
        <v>6.666666666666667</v>
      </c>
      <c r="BE212">
        <v>-42</v>
      </c>
      <c r="BF212" t="s">
        <v>201</v>
      </c>
      <c r="BG212">
        <v>3.6596135328367358</v>
      </c>
      <c r="BH212">
        <v>0.15</v>
      </c>
      <c r="BI212">
        <v>0.22791946933149501</v>
      </c>
      <c r="BJ212">
        <v>80</v>
      </c>
      <c r="BK212">
        <v>5359.6634349366432</v>
      </c>
      <c r="BL212">
        <v>3945.7072256517908</v>
      </c>
      <c r="BM212">
        <v>4.957692154034266</v>
      </c>
      <c r="BN212">
        <v>842.80766618582527</v>
      </c>
      <c r="BO212">
        <v>4516.8557687508182</v>
      </c>
    </row>
    <row r="213" spans="1:67" x14ac:dyDescent="0.25">
      <c r="A213" s="1">
        <v>211</v>
      </c>
      <c r="B213" t="s">
        <v>68</v>
      </c>
      <c r="C213" t="s">
        <v>82</v>
      </c>
      <c r="D213">
        <v>1</v>
      </c>
      <c r="E213">
        <v>0</v>
      </c>
      <c r="F213">
        <v>1</v>
      </c>
      <c r="G213">
        <v>28.009699999999999</v>
      </c>
      <c r="H213">
        <v>2</v>
      </c>
      <c r="I213" t="s">
        <v>89</v>
      </c>
      <c r="J213">
        <v>4</v>
      </c>
      <c r="K213">
        <v>300</v>
      </c>
      <c r="L213">
        <v>66.666666666666657</v>
      </c>
      <c r="N213" t="s">
        <v>91</v>
      </c>
      <c r="O213">
        <v>33.333333333333343</v>
      </c>
      <c r="P213">
        <v>0.33333333333333331</v>
      </c>
      <c r="Q213">
        <v>3.2500000000000001E-2</v>
      </c>
      <c r="R213">
        <v>77.5</v>
      </c>
      <c r="S213">
        <v>170</v>
      </c>
      <c r="T213">
        <v>20</v>
      </c>
      <c r="U213">
        <v>1812.1301775147931</v>
      </c>
      <c r="V213">
        <v>20</v>
      </c>
      <c r="W213">
        <v>0.95</v>
      </c>
      <c r="X213">
        <v>1</v>
      </c>
      <c r="Y213">
        <v>98503.054372095197</v>
      </c>
      <c r="Z213">
        <v>295509163.11628562</v>
      </c>
      <c r="AA213">
        <v>1182036652.465142</v>
      </c>
      <c r="AB213">
        <v>1182036.6524651421</v>
      </c>
      <c r="AC213">
        <v>0</v>
      </c>
      <c r="AD213">
        <v>3062.7366277790561</v>
      </c>
      <c r="AE213">
        <v>5512925.9300023001</v>
      </c>
      <c r="AF213">
        <v>3675283.9533348661</v>
      </c>
      <c r="AG213">
        <v>102.9436009477236</v>
      </c>
      <c r="AH213">
        <v>808.74623393133731</v>
      </c>
      <c r="AI213">
        <v>161.74924678626749</v>
      </c>
      <c r="AJ213">
        <v>38416.191205117117</v>
      </c>
      <c r="AK213">
        <v>854.70085470085473</v>
      </c>
      <c r="AL213" t="s">
        <v>93</v>
      </c>
      <c r="AM213">
        <v>62677.833129678642</v>
      </c>
      <c r="AN213">
        <v>1099.2722082442949</v>
      </c>
      <c r="AO213">
        <v>27497.371953665472</v>
      </c>
      <c r="AP213">
        <v>103047.9973977409</v>
      </c>
      <c r="AQ213">
        <v>75550.625444075456</v>
      </c>
      <c r="AR213">
        <v>1.0452577730833339E-2</v>
      </c>
      <c r="AS213">
        <v>360.1890347189439</v>
      </c>
      <c r="AT213">
        <v>587.66544795432071</v>
      </c>
      <c r="AU213">
        <v>10.30674263012658</v>
      </c>
      <c r="AV213">
        <v>257.81451910254071</v>
      </c>
      <c r="AW213">
        <v>966.17487439693161</v>
      </c>
      <c r="AX213">
        <v>708.36035529439107</v>
      </c>
      <c r="AY213">
        <v>1.5712413913751311</v>
      </c>
      <c r="AZ213" t="s">
        <v>150</v>
      </c>
      <c r="BA213" t="str">
        <f>VLOOKUP($AZ213,Sheet1!$A$2:$B$58,2)</f>
        <v>Shikimate</v>
      </c>
      <c r="BB213" t="s">
        <v>195</v>
      </c>
      <c r="BC213">
        <v>173.14045999999999</v>
      </c>
      <c r="BD213">
        <v>3.8571428571428572</v>
      </c>
      <c r="BE213">
        <v>400.5</v>
      </c>
      <c r="BF213" t="s">
        <v>201</v>
      </c>
      <c r="BG213">
        <v>1.5611812121672359</v>
      </c>
      <c r="BH213">
        <v>4.0704225352112697E-2</v>
      </c>
      <c r="BI213">
        <v>0.24285142320497799</v>
      </c>
      <c r="BJ213">
        <v>80</v>
      </c>
      <c r="BK213">
        <v>4973.0760357817353</v>
      </c>
      <c r="BL213">
        <v>3646.058287130676</v>
      </c>
      <c r="BM213">
        <v>6.5262811271461363</v>
      </c>
      <c r="BN213">
        <v>1109.467791614843</v>
      </c>
      <c r="BO213">
        <v>3863.6082441668918</v>
      </c>
    </row>
    <row r="214" spans="1:67" x14ac:dyDescent="0.25">
      <c r="A214" s="1">
        <v>212</v>
      </c>
      <c r="B214" t="s">
        <v>68</v>
      </c>
      <c r="C214" t="s">
        <v>82</v>
      </c>
      <c r="D214">
        <v>1</v>
      </c>
      <c r="E214">
        <v>0</v>
      </c>
      <c r="F214">
        <v>1</v>
      </c>
      <c r="G214">
        <v>28.009699999999999</v>
      </c>
      <c r="H214">
        <v>2</v>
      </c>
      <c r="I214" t="s">
        <v>89</v>
      </c>
      <c r="J214">
        <v>4</v>
      </c>
      <c r="K214">
        <v>300</v>
      </c>
      <c r="L214">
        <v>66.666666666666657</v>
      </c>
      <c r="N214" t="s">
        <v>91</v>
      </c>
      <c r="O214">
        <v>33.333333333333343</v>
      </c>
      <c r="P214">
        <v>0.33333333333333331</v>
      </c>
      <c r="Q214">
        <v>3.2500000000000001E-2</v>
      </c>
      <c r="R214">
        <v>77.5</v>
      </c>
      <c r="S214">
        <v>170</v>
      </c>
      <c r="T214">
        <v>20</v>
      </c>
      <c r="U214">
        <v>1812.1301775147931</v>
      </c>
      <c r="V214">
        <v>20</v>
      </c>
      <c r="W214">
        <v>0.95</v>
      </c>
      <c r="X214">
        <v>1</v>
      </c>
      <c r="Y214">
        <v>239867.26653568001</v>
      </c>
      <c r="Z214">
        <v>719601799.60703993</v>
      </c>
      <c r="AA214">
        <v>2878407198.4281602</v>
      </c>
      <c r="AB214">
        <v>2878407.19842816</v>
      </c>
      <c r="AC214">
        <v>0</v>
      </c>
      <c r="AD214">
        <v>7458.1470362221226</v>
      </c>
      <c r="AE214">
        <v>13424664.66519982</v>
      </c>
      <c r="AF214">
        <v>8949776.443466546</v>
      </c>
      <c r="AG214">
        <v>250.68055324856491</v>
      </c>
      <c r="AH214">
        <v>1969.3983063848141</v>
      </c>
      <c r="AI214">
        <v>393.87966127696268</v>
      </c>
      <c r="AJ214">
        <v>93548.233948915193</v>
      </c>
      <c r="AK214">
        <v>854.70085470085473</v>
      </c>
      <c r="AL214" t="s">
        <v>93</v>
      </c>
      <c r="AM214">
        <v>152628.36874482309</v>
      </c>
      <c r="AN214">
        <v>2676.8654175346801</v>
      </c>
      <c r="AO214">
        <v>66959.542417083663</v>
      </c>
      <c r="AP214">
        <v>249708.1689659738</v>
      </c>
      <c r="AQ214">
        <v>182748.62654889011</v>
      </c>
      <c r="AR214">
        <v>1.0452577730833339E-2</v>
      </c>
      <c r="AS214">
        <v>360.1890347189439</v>
      </c>
      <c r="AT214">
        <v>587.66544795432071</v>
      </c>
      <c r="AU214">
        <v>10.306742630126591</v>
      </c>
      <c r="AV214">
        <v>257.81451910254083</v>
      </c>
      <c r="AW214">
        <v>961.45208246694028</v>
      </c>
      <c r="AX214">
        <v>703.6375633643994</v>
      </c>
      <c r="AY214">
        <v>1.5712413913751311</v>
      </c>
      <c r="AZ214" t="s">
        <v>151</v>
      </c>
      <c r="BA214" t="str">
        <f>VLOOKUP($AZ214,Sheet1!$A$2:$B$58,2)</f>
        <v>Styrene</v>
      </c>
      <c r="BB214" t="s">
        <v>196</v>
      </c>
      <c r="BC214">
        <v>104.14832</v>
      </c>
      <c r="BD214">
        <v>5</v>
      </c>
      <c r="BE214">
        <v>145</v>
      </c>
      <c r="BF214" t="s">
        <v>201</v>
      </c>
      <c r="BG214">
        <v>4.6468125099183029</v>
      </c>
      <c r="BH214">
        <v>2.7788461538461599E-2</v>
      </c>
      <c r="BI214">
        <v>9.9728517733128602E-2</v>
      </c>
      <c r="BJ214">
        <v>80</v>
      </c>
      <c r="BK214">
        <v>12050.866997739869</v>
      </c>
      <c r="BL214">
        <v>8819.4126835329917</v>
      </c>
      <c r="BM214">
        <v>15.047170553929829</v>
      </c>
      <c r="BN214">
        <v>2558.0189941680719</v>
      </c>
      <c r="BO214">
        <v>9492.8480035718021</v>
      </c>
    </row>
    <row r="215" spans="1:67" x14ac:dyDescent="0.25">
      <c r="A215" s="1">
        <v>213</v>
      </c>
      <c r="B215" t="s">
        <v>68</v>
      </c>
      <c r="C215" t="s">
        <v>82</v>
      </c>
      <c r="D215">
        <v>1</v>
      </c>
      <c r="E215">
        <v>0</v>
      </c>
      <c r="F215">
        <v>1</v>
      </c>
      <c r="G215">
        <v>28.009699999999999</v>
      </c>
      <c r="H215">
        <v>2</v>
      </c>
      <c r="I215" t="s">
        <v>89</v>
      </c>
      <c r="J215">
        <v>4</v>
      </c>
      <c r="K215">
        <v>300</v>
      </c>
      <c r="L215">
        <v>66.666666666666657</v>
      </c>
      <c r="N215" t="s">
        <v>91</v>
      </c>
      <c r="O215">
        <v>33.333333333333343</v>
      </c>
      <c r="P215">
        <v>0.33333333333333331</v>
      </c>
      <c r="Q215">
        <v>3.2500000000000001E-2</v>
      </c>
      <c r="R215">
        <v>77.5</v>
      </c>
      <c r="S215">
        <v>170</v>
      </c>
      <c r="T215">
        <v>20</v>
      </c>
      <c r="U215">
        <v>1812.1301775147931</v>
      </c>
      <c r="V215">
        <v>20</v>
      </c>
      <c r="W215">
        <v>0.95</v>
      </c>
      <c r="X215">
        <v>1</v>
      </c>
      <c r="Y215">
        <v>42425.131147303931</v>
      </c>
      <c r="Z215">
        <v>127275393.4419118</v>
      </c>
      <c r="AA215">
        <v>509101573.76764721</v>
      </c>
      <c r="AB215">
        <v>509101.57376764721</v>
      </c>
      <c r="AC215">
        <v>0</v>
      </c>
      <c r="AD215">
        <v>1319.1164876201799</v>
      </c>
      <c r="AE215">
        <v>2374409.6777163241</v>
      </c>
      <c r="AF215">
        <v>1582939.7851442159</v>
      </c>
      <c r="AG215">
        <v>44.337668499953942</v>
      </c>
      <c r="AH215">
        <v>348.32589972098458</v>
      </c>
      <c r="AI215">
        <v>69.665179944196936</v>
      </c>
      <c r="AJ215">
        <v>16545.801147448539</v>
      </c>
      <c r="AK215">
        <v>854.70085470085473</v>
      </c>
      <c r="AL215" t="s">
        <v>93</v>
      </c>
      <c r="AM215">
        <v>26995.257228376311</v>
      </c>
      <c r="AN215">
        <v>473.45504054300972</v>
      </c>
      <c r="AO215">
        <v>11843.08059051348</v>
      </c>
      <c r="AP215">
        <v>44869.214271068711</v>
      </c>
      <c r="AQ215">
        <v>33026.133680555227</v>
      </c>
      <c r="AR215">
        <v>1.0452577730833339E-2</v>
      </c>
      <c r="AS215">
        <v>360.18903471894401</v>
      </c>
      <c r="AT215">
        <v>587.66544795432071</v>
      </c>
      <c r="AU215">
        <v>10.30674263012658</v>
      </c>
      <c r="AV215">
        <v>257.81451910254071</v>
      </c>
      <c r="AW215">
        <v>976.76738846736896</v>
      </c>
      <c r="AX215">
        <v>718.95286936482808</v>
      </c>
      <c r="AY215">
        <v>1.5712413913751311</v>
      </c>
      <c r="AZ215" t="s">
        <v>152</v>
      </c>
      <c r="BA215" t="str">
        <f>VLOOKUP($AZ215,Sheet1!$A$2:$B$58,2)</f>
        <v>Succinate</v>
      </c>
      <c r="BB215" t="s">
        <v>197</v>
      </c>
      <c r="BC215">
        <v>116.07016</v>
      </c>
      <c r="BD215">
        <v>3</v>
      </c>
      <c r="BE215">
        <v>235</v>
      </c>
      <c r="BF215" t="s">
        <v>201</v>
      </c>
      <c r="BG215">
        <v>0.48281500796512422</v>
      </c>
      <c r="BH215">
        <v>0.14097560975609799</v>
      </c>
      <c r="BI215">
        <v>0.56385463750819398</v>
      </c>
      <c r="BJ215">
        <v>80</v>
      </c>
      <c r="BK215">
        <v>2165.379433571597</v>
      </c>
      <c r="BL215">
        <v>1593.834699449422</v>
      </c>
      <c r="BM215">
        <v>3.0004439892447219</v>
      </c>
      <c r="BN215">
        <v>510.07547817160281</v>
      </c>
      <c r="BO215">
        <v>1655.303955399994</v>
      </c>
    </row>
    <row r="216" spans="1:67" x14ac:dyDescent="0.25">
      <c r="A216" s="1">
        <v>214</v>
      </c>
      <c r="B216" t="s">
        <v>69</v>
      </c>
      <c r="C216" t="s">
        <v>82</v>
      </c>
      <c r="D216">
        <v>1</v>
      </c>
      <c r="E216">
        <v>0</v>
      </c>
      <c r="F216">
        <v>1</v>
      </c>
      <c r="G216">
        <v>28.009699999999999</v>
      </c>
      <c r="H216">
        <v>2</v>
      </c>
      <c r="I216" t="s">
        <v>89</v>
      </c>
      <c r="J216">
        <v>4</v>
      </c>
      <c r="K216">
        <v>300</v>
      </c>
      <c r="L216">
        <v>50</v>
      </c>
      <c r="N216" t="s">
        <v>91</v>
      </c>
      <c r="O216">
        <v>50</v>
      </c>
      <c r="P216">
        <v>0.25</v>
      </c>
      <c r="Q216">
        <v>3.2500000000000001E-2</v>
      </c>
      <c r="R216">
        <v>77.5</v>
      </c>
      <c r="S216">
        <v>170</v>
      </c>
      <c r="T216">
        <v>20</v>
      </c>
      <c r="U216">
        <v>1812.1301775147931</v>
      </c>
      <c r="V216">
        <v>20</v>
      </c>
      <c r="W216">
        <v>0.95</v>
      </c>
      <c r="X216">
        <v>1</v>
      </c>
      <c r="Y216">
        <v>58456.092389567362</v>
      </c>
      <c r="Z216">
        <v>175368277.1687021</v>
      </c>
      <c r="AA216">
        <v>701473108.67480826</v>
      </c>
      <c r="AB216">
        <v>701473.10867480829</v>
      </c>
      <c r="AC216">
        <v>0</v>
      </c>
      <c r="AD216">
        <v>1817.5640990994821</v>
      </c>
      <c r="AE216">
        <v>3271615.3783790669</v>
      </c>
      <c r="AF216">
        <v>1635807.689189533</v>
      </c>
      <c r="AG216">
        <v>45.818482631892067</v>
      </c>
      <c r="AH216">
        <v>359.95948200615669</v>
      </c>
      <c r="AI216">
        <v>71.991896401231358</v>
      </c>
      <c r="AJ216">
        <v>22797.876031931271</v>
      </c>
      <c r="AK216">
        <v>854.70085470085473</v>
      </c>
      <c r="AL216" t="s">
        <v>93</v>
      </c>
      <c r="AM216">
        <v>27896.859855477149</v>
      </c>
      <c r="AN216">
        <v>652.35700736419142</v>
      </c>
      <c r="AO216">
        <v>12238.622388209331</v>
      </c>
      <c r="AP216">
        <v>52201.793749473458</v>
      </c>
      <c r="AQ216">
        <v>39963.171361264132</v>
      </c>
      <c r="AR216">
        <v>1.393677030777778E-2</v>
      </c>
      <c r="AS216">
        <v>464.09955170307319</v>
      </c>
      <c r="AT216">
        <v>567.90027872406313</v>
      </c>
      <c r="AU216">
        <v>13.280122860744941</v>
      </c>
      <c r="AV216">
        <v>249.14334808539539</v>
      </c>
      <c r="AW216">
        <v>1062.679218155859</v>
      </c>
      <c r="AX216">
        <v>813.53587007046349</v>
      </c>
      <c r="AY216">
        <v>1.5712413913751311</v>
      </c>
      <c r="AZ216" t="s">
        <v>96</v>
      </c>
      <c r="BA216" t="str">
        <f>VLOOKUP($AZ216,Sheet1!$A$2:$B$58,2)</f>
        <v>1,3-Butanediol (PW1)</v>
      </c>
      <c r="BB216" t="s">
        <v>153</v>
      </c>
      <c r="BC216">
        <v>90.119200000000006</v>
      </c>
      <c r="BD216">
        <v>5.5</v>
      </c>
      <c r="BE216">
        <v>207</v>
      </c>
      <c r="BF216" t="s">
        <v>202</v>
      </c>
      <c r="BG216">
        <v>0.73252980496942355</v>
      </c>
      <c r="BH216">
        <v>0.18181818181818199</v>
      </c>
      <c r="BI216">
        <v>0.54563133835861</v>
      </c>
      <c r="BJ216">
        <v>80</v>
      </c>
      <c r="BK216">
        <v>2434.517465017344</v>
      </c>
      <c r="BL216">
        <v>1863.7489566622371</v>
      </c>
      <c r="BM216">
        <v>2.8670650150921451</v>
      </c>
      <c r="BN216">
        <v>487.4010525656646</v>
      </c>
      <c r="BO216">
        <v>1947.116412451679</v>
      </c>
    </row>
    <row r="217" spans="1:67" x14ac:dyDescent="0.25">
      <c r="A217" s="1">
        <v>215</v>
      </c>
      <c r="B217" t="s">
        <v>69</v>
      </c>
      <c r="C217" t="s">
        <v>82</v>
      </c>
      <c r="D217">
        <v>1</v>
      </c>
      <c r="E217">
        <v>0</v>
      </c>
      <c r="F217">
        <v>1</v>
      </c>
      <c r="G217">
        <v>28.009699999999999</v>
      </c>
      <c r="H217">
        <v>2</v>
      </c>
      <c r="I217" t="s">
        <v>89</v>
      </c>
      <c r="J217">
        <v>4</v>
      </c>
      <c r="K217">
        <v>300</v>
      </c>
      <c r="L217">
        <v>50</v>
      </c>
      <c r="N217" t="s">
        <v>91</v>
      </c>
      <c r="O217">
        <v>50</v>
      </c>
      <c r="P217">
        <v>0.25</v>
      </c>
      <c r="Q217">
        <v>3.2500000000000001E-2</v>
      </c>
      <c r="R217">
        <v>77.5</v>
      </c>
      <c r="S217">
        <v>170</v>
      </c>
      <c r="T217">
        <v>20</v>
      </c>
      <c r="U217">
        <v>1812.1301775147931</v>
      </c>
      <c r="V217">
        <v>20</v>
      </c>
      <c r="W217">
        <v>0.95</v>
      </c>
      <c r="X217">
        <v>1</v>
      </c>
      <c r="Y217">
        <v>58456.092389567231</v>
      </c>
      <c r="Z217">
        <v>175368277.16870171</v>
      </c>
      <c r="AA217">
        <v>701473108.67480683</v>
      </c>
      <c r="AB217">
        <v>701473.10867480678</v>
      </c>
      <c r="AC217">
        <v>0</v>
      </c>
      <c r="AD217">
        <v>1817.564099099478</v>
      </c>
      <c r="AE217">
        <v>3271615.37837906</v>
      </c>
      <c r="AF217">
        <v>1635807.68918953</v>
      </c>
      <c r="AG217">
        <v>45.818482631891989</v>
      </c>
      <c r="AH217">
        <v>359.95948200615612</v>
      </c>
      <c r="AI217">
        <v>71.991896401231216</v>
      </c>
      <c r="AJ217">
        <v>22797.87603193122</v>
      </c>
      <c r="AK217">
        <v>854.70085470085473</v>
      </c>
      <c r="AL217" t="s">
        <v>93</v>
      </c>
      <c r="AM217">
        <v>27896.859855477091</v>
      </c>
      <c r="AN217">
        <v>652.35700736418994</v>
      </c>
      <c r="AO217">
        <v>12238.622388209311</v>
      </c>
      <c r="AP217">
        <v>52201.793749473363</v>
      </c>
      <c r="AQ217">
        <v>39963.171361264052</v>
      </c>
      <c r="AR217">
        <v>1.393677030777777E-2</v>
      </c>
      <c r="AS217">
        <v>464.09955170307308</v>
      </c>
      <c r="AT217">
        <v>567.90027872406313</v>
      </c>
      <c r="AU217">
        <v>13.280122860744941</v>
      </c>
      <c r="AV217">
        <v>249.14334808539539</v>
      </c>
      <c r="AW217">
        <v>1062.679218155859</v>
      </c>
      <c r="AX217">
        <v>813.53587007046349</v>
      </c>
      <c r="AY217">
        <v>1.57124139137513</v>
      </c>
      <c r="AZ217" t="s">
        <v>97</v>
      </c>
      <c r="BA217" t="str">
        <f>VLOOKUP($AZ217,Sheet1!$A$2:$B$58,2)</f>
        <v>1,3-Butanediol (PW2)</v>
      </c>
      <c r="BB217" t="s">
        <v>153</v>
      </c>
      <c r="BC217">
        <v>90.119200000000006</v>
      </c>
      <c r="BD217">
        <v>5.5</v>
      </c>
      <c r="BE217">
        <v>207</v>
      </c>
      <c r="BF217" t="s">
        <v>202</v>
      </c>
      <c r="BG217">
        <v>0.73252980496941833</v>
      </c>
      <c r="BH217">
        <v>0.18181818181818199</v>
      </c>
      <c r="BI217">
        <v>0.545631338358611</v>
      </c>
      <c r="BJ217">
        <v>80</v>
      </c>
      <c r="BK217">
        <v>2434.517465017339</v>
      </c>
      <c r="BL217">
        <v>1863.748956662233</v>
      </c>
      <c r="BM217">
        <v>2.867065015092142</v>
      </c>
      <c r="BN217">
        <v>487.4010525656642</v>
      </c>
      <c r="BO217">
        <v>1947.1164124516749</v>
      </c>
    </row>
    <row r="218" spans="1:67" x14ac:dyDescent="0.25">
      <c r="A218" s="1">
        <v>216</v>
      </c>
      <c r="B218" t="s">
        <v>69</v>
      </c>
      <c r="C218" t="s">
        <v>82</v>
      </c>
      <c r="D218">
        <v>1</v>
      </c>
      <c r="E218">
        <v>0</v>
      </c>
      <c r="F218">
        <v>1</v>
      </c>
      <c r="G218">
        <v>28.009699999999999</v>
      </c>
      <c r="H218">
        <v>2</v>
      </c>
      <c r="I218" t="s">
        <v>89</v>
      </c>
      <c r="J218">
        <v>4</v>
      </c>
      <c r="K218">
        <v>300</v>
      </c>
      <c r="L218">
        <v>50</v>
      </c>
      <c r="N218" t="s">
        <v>91</v>
      </c>
      <c r="O218">
        <v>50</v>
      </c>
      <c r="P218">
        <v>0.25</v>
      </c>
      <c r="Q218">
        <v>3.2500000000000001E-2</v>
      </c>
      <c r="R218">
        <v>77.5</v>
      </c>
      <c r="S218">
        <v>170</v>
      </c>
      <c r="T218">
        <v>20</v>
      </c>
      <c r="U218">
        <v>1812.1301775147931</v>
      </c>
      <c r="V218">
        <v>20</v>
      </c>
      <c r="W218">
        <v>0.95</v>
      </c>
      <c r="X218">
        <v>1</v>
      </c>
      <c r="Y218">
        <v>89855.756835931898</v>
      </c>
      <c r="Z218">
        <v>269567270.50779569</v>
      </c>
      <c r="AA218">
        <v>1078269082.031183</v>
      </c>
      <c r="AB218">
        <v>1078269.0820311829</v>
      </c>
      <c r="AC218">
        <v>0</v>
      </c>
      <c r="AD218">
        <v>2793.8678595552178</v>
      </c>
      <c r="AE218">
        <v>5028962.1471993933</v>
      </c>
      <c r="AF218">
        <v>2514481.0735996971</v>
      </c>
      <c r="AG218">
        <v>70.42986052720542</v>
      </c>
      <c r="AH218">
        <v>553.31156024561324</v>
      </c>
      <c r="AI218">
        <v>110.6623120491226</v>
      </c>
      <c r="AJ218">
        <v>35043.745166013439</v>
      </c>
      <c r="AK218">
        <v>854.70085470085473</v>
      </c>
      <c r="AL218" t="s">
        <v>93</v>
      </c>
      <c r="AM218">
        <v>42881.645919035029</v>
      </c>
      <c r="AN218">
        <v>1002.770288395031</v>
      </c>
      <c r="AO218">
        <v>18812.593048350849</v>
      </c>
      <c r="AP218">
        <v>79782.862228144353</v>
      </c>
      <c r="AQ218">
        <v>60970.269179793497</v>
      </c>
      <c r="AR218">
        <v>1.393677030777778E-2</v>
      </c>
      <c r="AS218">
        <v>464.09955170307319</v>
      </c>
      <c r="AT218">
        <v>567.90027872406324</v>
      </c>
      <c r="AU218">
        <v>13.280122860744941</v>
      </c>
      <c r="AV218">
        <v>249.14334808539539</v>
      </c>
      <c r="AW218">
        <v>1056.599128268402</v>
      </c>
      <c r="AX218">
        <v>807.45578018300694</v>
      </c>
      <c r="AY218">
        <v>1.5712413913751311</v>
      </c>
      <c r="AZ218" t="s">
        <v>98</v>
      </c>
      <c r="BA218" t="str">
        <f>VLOOKUP($AZ218,Sheet1!$A$2:$B$58,2)</f>
        <v>1,3-Diaminopropane</v>
      </c>
      <c r="BB218" t="s">
        <v>154</v>
      </c>
      <c r="BC218">
        <v>76.139580000000009</v>
      </c>
      <c r="BD218">
        <v>6</v>
      </c>
      <c r="BE218">
        <v>139.30000000000001</v>
      </c>
      <c r="BF218" t="s">
        <v>202</v>
      </c>
      <c r="BG218">
        <v>0.57801737283026766</v>
      </c>
      <c r="BH218">
        <v>0.14000000000000001</v>
      </c>
      <c r="BI218">
        <v>0.35496307692307699</v>
      </c>
      <c r="BJ218">
        <v>80</v>
      </c>
      <c r="BK218">
        <v>3720.80646185552</v>
      </c>
      <c r="BL218">
        <v>2843.44989900875</v>
      </c>
      <c r="BM218">
        <v>4.9550982296258654</v>
      </c>
      <c r="BN218">
        <v>842.36669903639699</v>
      </c>
      <c r="BO218">
        <v>2878.4397628191241</v>
      </c>
    </row>
    <row r="219" spans="1:67" x14ac:dyDescent="0.25">
      <c r="A219" s="1">
        <v>217</v>
      </c>
      <c r="B219" t="s">
        <v>69</v>
      </c>
      <c r="C219" t="s">
        <v>82</v>
      </c>
      <c r="D219">
        <v>1</v>
      </c>
      <c r="E219">
        <v>0</v>
      </c>
      <c r="F219">
        <v>1</v>
      </c>
      <c r="G219">
        <v>28.009699999999999</v>
      </c>
      <c r="H219">
        <v>2</v>
      </c>
      <c r="I219" t="s">
        <v>89</v>
      </c>
      <c r="J219">
        <v>4</v>
      </c>
      <c r="K219">
        <v>300</v>
      </c>
      <c r="L219">
        <v>50</v>
      </c>
      <c r="N219" t="s">
        <v>91</v>
      </c>
      <c r="O219">
        <v>50</v>
      </c>
      <c r="P219">
        <v>0.25</v>
      </c>
      <c r="Q219">
        <v>3.2500000000000001E-2</v>
      </c>
      <c r="R219">
        <v>77.5</v>
      </c>
      <c r="S219">
        <v>170</v>
      </c>
      <c r="T219">
        <v>20</v>
      </c>
      <c r="U219">
        <v>1812.1301775147931</v>
      </c>
      <c r="V219">
        <v>20</v>
      </c>
      <c r="W219">
        <v>0.95</v>
      </c>
      <c r="X219">
        <v>1</v>
      </c>
      <c r="Y219">
        <v>50350.145627395468</v>
      </c>
      <c r="Z219">
        <v>151050436.88218641</v>
      </c>
      <c r="AA219">
        <v>604201747.52874565</v>
      </c>
      <c r="AB219">
        <v>604201.74752874568</v>
      </c>
      <c r="AC219">
        <v>0</v>
      </c>
      <c r="AD219">
        <v>1565.527446940968</v>
      </c>
      <c r="AE219">
        <v>2817949.4044937431</v>
      </c>
      <c r="AF219">
        <v>1408974.702246872</v>
      </c>
      <c r="AG219">
        <v>39.464958717524198</v>
      </c>
      <c r="AH219">
        <v>310.04488322942399</v>
      </c>
      <c r="AI219">
        <v>62.008976645884808</v>
      </c>
      <c r="AJ219">
        <v>19636.556794684231</v>
      </c>
      <c r="AK219">
        <v>854.70085470085473</v>
      </c>
      <c r="AL219" t="s">
        <v>93</v>
      </c>
      <c r="AM219">
        <v>24028.47845028036</v>
      </c>
      <c r="AN219">
        <v>561.89644191305877</v>
      </c>
      <c r="AO219">
        <v>10541.52602980042</v>
      </c>
      <c r="AP219">
        <v>45081.63254157851</v>
      </c>
      <c r="AQ219">
        <v>34540.106511778104</v>
      </c>
      <c r="AR219">
        <v>1.393677030777778E-2</v>
      </c>
      <c r="AS219">
        <v>464.09955170307319</v>
      </c>
      <c r="AT219">
        <v>567.90027872406313</v>
      </c>
      <c r="AU219">
        <v>13.280122860744941</v>
      </c>
      <c r="AV219">
        <v>249.14334808539539</v>
      </c>
      <c r="AW219">
        <v>1065.4803523524611</v>
      </c>
      <c r="AX219">
        <v>816.33700426706525</v>
      </c>
      <c r="AY219">
        <v>1.5712413913751311</v>
      </c>
      <c r="AZ219" t="s">
        <v>99</v>
      </c>
      <c r="BA219" t="str">
        <f>VLOOKUP($AZ219,Sheet1!$A$2:$B$58,2)</f>
        <v>1,3-Propanediol</v>
      </c>
      <c r="BB219" t="s">
        <v>155</v>
      </c>
      <c r="BC219">
        <v>76.092820000000003</v>
      </c>
      <c r="BD219">
        <v>5.333333333333333</v>
      </c>
      <c r="BE219">
        <v>213</v>
      </c>
      <c r="BF219" t="s">
        <v>202</v>
      </c>
      <c r="BG219">
        <v>0.57837257181426571</v>
      </c>
      <c r="BH219">
        <v>0.25</v>
      </c>
      <c r="BI219">
        <v>0.63347335997335996</v>
      </c>
      <c r="BJ219">
        <v>80</v>
      </c>
      <c r="BK219">
        <v>2102.45690599615</v>
      </c>
      <c r="BL219">
        <v>1610.8353086493551</v>
      </c>
      <c r="BM219">
        <v>2.522076260479976</v>
      </c>
      <c r="BN219">
        <v>428.75296428159578</v>
      </c>
      <c r="BO219">
        <v>1673.703941714555</v>
      </c>
    </row>
    <row r="220" spans="1:67" x14ac:dyDescent="0.25">
      <c r="A220" s="1">
        <v>218</v>
      </c>
      <c r="B220" t="s">
        <v>69</v>
      </c>
      <c r="C220" t="s">
        <v>82</v>
      </c>
      <c r="D220">
        <v>1</v>
      </c>
      <c r="E220">
        <v>0</v>
      </c>
      <c r="F220">
        <v>1</v>
      </c>
      <c r="G220">
        <v>28.009699999999999</v>
      </c>
      <c r="H220">
        <v>2</v>
      </c>
      <c r="I220" t="s">
        <v>89</v>
      </c>
      <c r="J220">
        <v>4</v>
      </c>
      <c r="K220">
        <v>300</v>
      </c>
      <c r="L220">
        <v>50</v>
      </c>
      <c r="N220" t="s">
        <v>91</v>
      </c>
      <c r="O220">
        <v>50</v>
      </c>
      <c r="P220">
        <v>0.25</v>
      </c>
      <c r="Q220">
        <v>3.2500000000000001E-2</v>
      </c>
      <c r="R220">
        <v>77.5</v>
      </c>
      <c r="S220">
        <v>170</v>
      </c>
      <c r="T220">
        <v>20</v>
      </c>
      <c r="U220">
        <v>1812.1301775147931</v>
      </c>
      <c r="V220">
        <v>20</v>
      </c>
      <c r="W220">
        <v>0.95</v>
      </c>
      <c r="X220">
        <v>1</v>
      </c>
      <c r="Y220">
        <v>115335.4470223728</v>
      </c>
      <c r="Z220">
        <v>346006341.06711841</v>
      </c>
      <c r="AA220">
        <v>1384025364.2684741</v>
      </c>
      <c r="AB220">
        <v>1384025.364268474</v>
      </c>
      <c r="AC220">
        <v>0</v>
      </c>
      <c r="AD220">
        <v>3586.1029927287359</v>
      </c>
      <c r="AE220">
        <v>6454985.3869117256</v>
      </c>
      <c r="AF220">
        <v>3227492.6934558628</v>
      </c>
      <c r="AG220">
        <v>90.401102095890693</v>
      </c>
      <c r="AH220">
        <v>710.20976719496252</v>
      </c>
      <c r="AI220">
        <v>142.04195343899249</v>
      </c>
      <c r="AJ220">
        <v>44980.82433872539</v>
      </c>
      <c r="AK220">
        <v>854.70085470085473</v>
      </c>
      <c r="AL220" t="s">
        <v>93</v>
      </c>
      <c r="AM220">
        <v>55041.256957609592</v>
      </c>
      <c r="AN220">
        <v>1287.117971572701</v>
      </c>
      <c r="AO220">
        <v>24147.132084628731</v>
      </c>
      <c r="AP220">
        <v>102163.90012260849</v>
      </c>
      <c r="AQ220">
        <v>78016.768037979811</v>
      </c>
      <c r="AR220">
        <v>1.393677030777778E-2</v>
      </c>
      <c r="AS220">
        <v>464.09955170307319</v>
      </c>
      <c r="AT220">
        <v>567.90027872406313</v>
      </c>
      <c r="AU220">
        <v>13.280122860744941</v>
      </c>
      <c r="AV220">
        <v>249.14334808539539</v>
      </c>
      <c r="AW220">
        <v>1054.098517405778</v>
      </c>
      <c r="AX220">
        <v>804.95516932038242</v>
      </c>
      <c r="AY220">
        <v>1.5712413913751311</v>
      </c>
      <c r="AZ220" t="s">
        <v>100</v>
      </c>
      <c r="BA220" t="str">
        <f>VLOOKUP($AZ220,Sheet1!$A$2:$B$58,2)</f>
        <v>1,4-Butanediol</v>
      </c>
      <c r="BB220" t="s">
        <v>153</v>
      </c>
      <c r="BC220">
        <v>90.119200000000006</v>
      </c>
      <c r="BD220">
        <v>5.5</v>
      </c>
      <c r="BE220">
        <v>230</v>
      </c>
      <c r="BF220" t="s">
        <v>202</v>
      </c>
      <c r="BG220">
        <v>0.73252980496941933</v>
      </c>
      <c r="BH220">
        <v>9.2151898734177007E-2</v>
      </c>
      <c r="BI220">
        <v>0.27654530111239001</v>
      </c>
      <c r="BJ220">
        <v>80</v>
      </c>
      <c r="BK220">
        <v>4764.5833845563357</v>
      </c>
      <c r="BL220">
        <v>3638.4417222173429</v>
      </c>
      <c r="BM220">
        <v>6.3695678669802058</v>
      </c>
      <c r="BN220">
        <v>1082.826537386635</v>
      </c>
      <c r="BO220">
        <v>3681.7568471697</v>
      </c>
    </row>
    <row r="221" spans="1:67" x14ac:dyDescent="0.25">
      <c r="A221" s="1">
        <v>219</v>
      </c>
      <c r="B221" t="s">
        <v>69</v>
      </c>
      <c r="C221" t="s">
        <v>82</v>
      </c>
      <c r="D221">
        <v>1</v>
      </c>
      <c r="E221">
        <v>0</v>
      </c>
      <c r="F221">
        <v>1</v>
      </c>
      <c r="G221">
        <v>28.009699999999999</v>
      </c>
      <c r="H221">
        <v>2</v>
      </c>
      <c r="I221" t="s">
        <v>89</v>
      </c>
      <c r="J221">
        <v>4</v>
      </c>
      <c r="K221">
        <v>300</v>
      </c>
      <c r="L221">
        <v>50</v>
      </c>
      <c r="N221" t="s">
        <v>91</v>
      </c>
      <c r="O221">
        <v>50</v>
      </c>
      <c r="P221">
        <v>0.25</v>
      </c>
      <c r="Q221">
        <v>3.2500000000000001E-2</v>
      </c>
      <c r="R221">
        <v>77.5</v>
      </c>
      <c r="S221">
        <v>170</v>
      </c>
      <c r="T221">
        <v>20</v>
      </c>
      <c r="U221">
        <v>1812.1301775147931</v>
      </c>
      <c r="V221">
        <v>20</v>
      </c>
      <c r="W221">
        <v>0.95</v>
      </c>
      <c r="X221">
        <v>1</v>
      </c>
      <c r="Y221">
        <v>116037.6961268836</v>
      </c>
      <c r="Z221">
        <v>348113088.38065058</v>
      </c>
      <c r="AA221">
        <v>1392452353.522603</v>
      </c>
      <c r="AB221">
        <v>1392452.353522602</v>
      </c>
      <c r="AC221">
        <v>0</v>
      </c>
      <c r="AD221">
        <v>3607.937889808024</v>
      </c>
      <c r="AE221">
        <v>6494288.2016544426</v>
      </c>
      <c r="AF221">
        <v>3247144.1008272208</v>
      </c>
      <c r="AG221">
        <v>90.951532120940229</v>
      </c>
      <c r="AH221">
        <v>714.53405938702997</v>
      </c>
      <c r="AI221">
        <v>142.906811877406</v>
      </c>
      <c r="AJ221">
        <v>45254.701489484592</v>
      </c>
      <c r="AK221">
        <v>854.70085470085473</v>
      </c>
      <c r="AL221" t="s">
        <v>93</v>
      </c>
      <c r="AM221">
        <v>55376.389602494834</v>
      </c>
      <c r="AN221">
        <v>1294.954915602244</v>
      </c>
      <c r="AO221">
        <v>24294.158019159018</v>
      </c>
      <c r="AP221">
        <v>102780.7468622825</v>
      </c>
      <c r="AQ221">
        <v>78486.588843123493</v>
      </c>
      <c r="AR221">
        <v>1.393677030777778E-2</v>
      </c>
      <c r="AS221">
        <v>464.09955170307319</v>
      </c>
      <c r="AT221">
        <v>567.90027872406324</v>
      </c>
      <c r="AU221">
        <v>13.280122860744941</v>
      </c>
      <c r="AV221">
        <v>249.14334808539539</v>
      </c>
      <c r="AW221">
        <v>1054.0451482941739</v>
      </c>
      <c r="AX221">
        <v>804.90180020877847</v>
      </c>
      <c r="AY221">
        <v>1.57124139137513</v>
      </c>
      <c r="AZ221" t="s">
        <v>101</v>
      </c>
      <c r="BA221" t="str">
        <f>VLOOKUP($AZ221,Sheet1!$A$2:$B$58,2)</f>
        <v>1-Propanol (PW1)</v>
      </c>
      <c r="BB221" t="s">
        <v>156</v>
      </c>
      <c r="BC221">
        <v>60.093820000000001</v>
      </c>
      <c r="BD221">
        <v>6</v>
      </c>
      <c r="BE221">
        <v>97</v>
      </c>
      <c r="BF221" t="s">
        <v>202</v>
      </c>
      <c r="BG221">
        <v>1.0985322617200901</v>
      </c>
      <c r="BH221">
        <v>0.13735849056603799</v>
      </c>
      <c r="BI221">
        <v>0.27487167524299599</v>
      </c>
      <c r="BJ221">
        <v>80</v>
      </c>
      <c r="BK221">
        <v>4793.3510580999382</v>
      </c>
      <c r="BL221">
        <v>3660.3525967945661</v>
      </c>
      <c r="BM221">
        <v>6.0468083321502082</v>
      </c>
      <c r="BN221">
        <v>1027.9574164655351</v>
      </c>
      <c r="BO221">
        <v>3765.3936416344031</v>
      </c>
    </row>
    <row r="222" spans="1:67" x14ac:dyDescent="0.25">
      <c r="A222" s="1">
        <v>220</v>
      </c>
      <c r="B222" t="s">
        <v>69</v>
      </c>
      <c r="C222" t="s">
        <v>82</v>
      </c>
      <c r="D222">
        <v>1</v>
      </c>
      <c r="E222">
        <v>0</v>
      </c>
      <c r="F222">
        <v>1</v>
      </c>
      <c r="G222">
        <v>28.009699999999999</v>
      </c>
      <c r="H222">
        <v>2</v>
      </c>
      <c r="I222" t="s">
        <v>89</v>
      </c>
      <c r="J222">
        <v>4</v>
      </c>
      <c r="K222">
        <v>300</v>
      </c>
      <c r="L222">
        <v>50</v>
      </c>
      <c r="N222" t="s">
        <v>91</v>
      </c>
      <c r="O222">
        <v>50</v>
      </c>
      <c r="P222">
        <v>0.25</v>
      </c>
      <c r="Q222">
        <v>3.2500000000000001E-2</v>
      </c>
      <c r="R222">
        <v>77.5</v>
      </c>
      <c r="S222">
        <v>170</v>
      </c>
      <c r="T222">
        <v>20</v>
      </c>
      <c r="U222">
        <v>1812.1301775147931</v>
      </c>
      <c r="V222">
        <v>20</v>
      </c>
      <c r="W222">
        <v>0.95</v>
      </c>
      <c r="X222">
        <v>1</v>
      </c>
      <c r="Y222">
        <v>72249.886267682246</v>
      </c>
      <c r="Z222">
        <v>216749658.8030467</v>
      </c>
      <c r="AA222">
        <v>866998635.21218693</v>
      </c>
      <c r="AB222">
        <v>866998.63521218696</v>
      </c>
      <c r="AC222">
        <v>0</v>
      </c>
      <c r="AD222">
        <v>2246.451893654053</v>
      </c>
      <c r="AE222">
        <v>4043613.408577296</v>
      </c>
      <c r="AF222">
        <v>2021806.704288648</v>
      </c>
      <c r="AG222">
        <v>56.630199245113751</v>
      </c>
      <c r="AH222">
        <v>444.898565278717</v>
      </c>
      <c r="AI222">
        <v>88.979713055743403</v>
      </c>
      <c r="AJ222">
        <v>28177.455644396079</v>
      </c>
      <c r="AK222">
        <v>854.70085470085473</v>
      </c>
      <c r="AL222" t="s">
        <v>93</v>
      </c>
      <c r="AM222">
        <v>34479.638809100557</v>
      </c>
      <c r="AN222">
        <v>806.29268329951071</v>
      </c>
      <c r="AO222">
        <v>15126.55121947638</v>
      </c>
      <c r="AP222">
        <v>64318.087991496999</v>
      </c>
      <c r="AQ222">
        <v>49191.53677202062</v>
      </c>
      <c r="AR222">
        <v>1.393677030777778E-2</v>
      </c>
      <c r="AS222">
        <v>464.09955170307319</v>
      </c>
      <c r="AT222">
        <v>567.90027872406313</v>
      </c>
      <c r="AU222">
        <v>13.280122860744941</v>
      </c>
      <c r="AV222">
        <v>249.14334808539539</v>
      </c>
      <c r="AW222">
        <v>1059.357387691927</v>
      </c>
      <c r="AX222">
        <v>810.21403960653151</v>
      </c>
      <c r="AY222">
        <v>1.5712413913751311</v>
      </c>
      <c r="AZ222" t="s">
        <v>102</v>
      </c>
      <c r="BA222" t="str">
        <f>VLOOKUP($AZ222,Sheet1!$A$2:$B$58,2)</f>
        <v>1-Propanol (PW2)</v>
      </c>
      <c r="BB222" t="s">
        <v>156</v>
      </c>
      <c r="BC222">
        <v>60.093820000000001</v>
      </c>
      <c r="BD222">
        <v>6</v>
      </c>
      <c r="BE222">
        <v>97</v>
      </c>
      <c r="BF222" t="s">
        <v>202</v>
      </c>
      <c r="BG222">
        <v>1.098532261720089</v>
      </c>
      <c r="BH222">
        <v>0.220606060606061</v>
      </c>
      <c r="BI222">
        <v>0.44146056932965999</v>
      </c>
      <c r="BJ222">
        <v>80</v>
      </c>
      <c r="BK222">
        <v>2999.5809968388521</v>
      </c>
      <c r="BL222">
        <v>2294.1291247053182</v>
      </c>
      <c r="BM222">
        <v>3.3504533910670822</v>
      </c>
      <c r="BN222">
        <v>569.57707648140388</v>
      </c>
      <c r="BO222">
        <v>2430.0039203574479</v>
      </c>
    </row>
    <row r="223" spans="1:67" x14ac:dyDescent="0.25">
      <c r="A223" s="1">
        <v>221</v>
      </c>
      <c r="B223" t="s">
        <v>69</v>
      </c>
      <c r="C223" t="s">
        <v>82</v>
      </c>
      <c r="D223">
        <v>1</v>
      </c>
      <c r="E223">
        <v>0</v>
      </c>
      <c r="F223">
        <v>1</v>
      </c>
      <c r="G223">
        <v>28.009699999999999</v>
      </c>
      <c r="H223">
        <v>2</v>
      </c>
      <c r="I223" t="s">
        <v>89</v>
      </c>
      <c r="J223">
        <v>4</v>
      </c>
      <c r="K223">
        <v>300</v>
      </c>
      <c r="L223">
        <v>50</v>
      </c>
      <c r="N223" t="s">
        <v>91</v>
      </c>
      <c r="O223">
        <v>50</v>
      </c>
      <c r="P223">
        <v>0.25</v>
      </c>
      <c r="Q223">
        <v>3.2500000000000001E-2</v>
      </c>
      <c r="R223">
        <v>77.5</v>
      </c>
      <c r="S223">
        <v>170</v>
      </c>
      <c r="T223">
        <v>20</v>
      </c>
      <c r="U223">
        <v>1812.1301775147931</v>
      </c>
      <c r="V223">
        <v>20</v>
      </c>
      <c r="W223">
        <v>0.95</v>
      </c>
      <c r="X223">
        <v>1</v>
      </c>
      <c r="Y223">
        <v>58456.092389567231</v>
      </c>
      <c r="Z223">
        <v>175368277.16870171</v>
      </c>
      <c r="AA223">
        <v>701473108.67480683</v>
      </c>
      <c r="AB223">
        <v>701473.10867480678</v>
      </c>
      <c r="AC223">
        <v>0</v>
      </c>
      <c r="AD223">
        <v>1817.564099099478</v>
      </c>
      <c r="AE223">
        <v>3271615.37837906</v>
      </c>
      <c r="AF223">
        <v>1635807.68918953</v>
      </c>
      <c r="AG223">
        <v>45.818482631891989</v>
      </c>
      <c r="AH223">
        <v>359.95948200615612</v>
      </c>
      <c r="AI223">
        <v>71.991896401231216</v>
      </c>
      <c r="AJ223">
        <v>22797.87603193122</v>
      </c>
      <c r="AK223">
        <v>854.70085470085473</v>
      </c>
      <c r="AL223" t="s">
        <v>93</v>
      </c>
      <c r="AM223">
        <v>27896.859855477091</v>
      </c>
      <c r="AN223">
        <v>652.35700736418994</v>
      </c>
      <c r="AO223">
        <v>12238.622388209311</v>
      </c>
      <c r="AP223">
        <v>52201.793749473363</v>
      </c>
      <c r="AQ223">
        <v>39963.171361264052</v>
      </c>
      <c r="AR223">
        <v>1.393677030777777E-2</v>
      </c>
      <c r="AS223">
        <v>464.09955170307308</v>
      </c>
      <c r="AT223">
        <v>567.90027872406313</v>
      </c>
      <c r="AU223">
        <v>13.280122860744941</v>
      </c>
      <c r="AV223">
        <v>249.14334808539539</v>
      </c>
      <c r="AW223">
        <v>1062.679218155859</v>
      </c>
      <c r="AX223">
        <v>813.53587007046349</v>
      </c>
      <c r="AY223">
        <v>1.57124139137513</v>
      </c>
      <c r="AZ223" t="s">
        <v>103</v>
      </c>
      <c r="BA223" t="str">
        <f>VLOOKUP($AZ223,Sheet1!$A$2:$B$58,2)</f>
        <v>2,3-Butanediol</v>
      </c>
      <c r="BB223" t="s">
        <v>153</v>
      </c>
      <c r="BC223">
        <v>90.119200000000006</v>
      </c>
      <c r="BD223">
        <v>5.5</v>
      </c>
      <c r="BE223">
        <v>177</v>
      </c>
      <c r="BF223" t="s">
        <v>202</v>
      </c>
      <c r="BG223">
        <v>0.73252980496941833</v>
      </c>
      <c r="BH223">
        <v>0.18181818181818199</v>
      </c>
      <c r="BI223">
        <v>0.545631338358611</v>
      </c>
      <c r="BJ223">
        <v>80</v>
      </c>
      <c r="BK223">
        <v>2434.517465017339</v>
      </c>
      <c r="BL223">
        <v>1863.748956662233</v>
      </c>
      <c r="BM223">
        <v>2.867065015092142</v>
      </c>
      <c r="BN223">
        <v>487.4010525656642</v>
      </c>
      <c r="BO223">
        <v>1947.1164124516749</v>
      </c>
    </row>
    <row r="224" spans="1:67" x14ac:dyDescent="0.25">
      <c r="A224" s="1">
        <v>222</v>
      </c>
      <c r="B224" t="s">
        <v>69</v>
      </c>
      <c r="C224" t="s">
        <v>82</v>
      </c>
      <c r="D224">
        <v>1</v>
      </c>
      <c r="E224">
        <v>0</v>
      </c>
      <c r="F224">
        <v>1</v>
      </c>
      <c r="G224">
        <v>28.009699999999999</v>
      </c>
      <c r="H224">
        <v>2</v>
      </c>
      <c r="I224" t="s">
        <v>89</v>
      </c>
      <c r="J224">
        <v>4</v>
      </c>
      <c r="K224">
        <v>300</v>
      </c>
      <c r="L224">
        <v>50</v>
      </c>
      <c r="N224" t="s">
        <v>91</v>
      </c>
      <c r="O224">
        <v>50</v>
      </c>
      <c r="P224">
        <v>0.25</v>
      </c>
      <c r="Q224">
        <v>3.2500000000000001E-2</v>
      </c>
      <c r="R224">
        <v>77.5</v>
      </c>
      <c r="S224">
        <v>170</v>
      </c>
      <c r="T224">
        <v>20</v>
      </c>
      <c r="U224">
        <v>1812.1301775147931</v>
      </c>
      <c r="V224">
        <v>20</v>
      </c>
      <c r="W224">
        <v>0.95</v>
      </c>
      <c r="X224">
        <v>1</v>
      </c>
      <c r="Y224">
        <v>82093.781751384391</v>
      </c>
      <c r="Z224">
        <v>246281345.25415319</v>
      </c>
      <c r="AA224">
        <v>985125381.01661265</v>
      </c>
      <c r="AB224">
        <v>985125.38101661263</v>
      </c>
      <c r="AC224">
        <v>0</v>
      </c>
      <c r="AD224">
        <v>2552.5262529736601</v>
      </c>
      <c r="AE224">
        <v>4594547.2553525874</v>
      </c>
      <c r="AF224">
        <v>2297273.6276762942</v>
      </c>
      <c r="AG224">
        <v>64.345945129124686</v>
      </c>
      <c r="AH224">
        <v>505.51506177016842</v>
      </c>
      <c r="AI224">
        <v>101.10301235403369</v>
      </c>
      <c r="AJ224">
        <v>32016.57488303991</v>
      </c>
      <c r="AK224">
        <v>854.70085470085473</v>
      </c>
      <c r="AL224" t="s">
        <v>93</v>
      </c>
      <c r="AM224">
        <v>39177.417287188051</v>
      </c>
      <c r="AN224">
        <v>916.14837046651485</v>
      </c>
      <c r="AO224">
        <v>17187.51210018573</v>
      </c>
      <c r="AP224">
        <v>72964.841395395342</v>
      </c>
      <c r="AQ224">
        <v>55777.329295209624</v>
      </c>
      <c r="AR224">
        <v>1.393677030777778E-2</v>
      </c>
      <c r="AS224">
        <v>464.09955170307319</v>
      </c>
      <c r="AT224">
        <v>567.90027872406324</v>
      </c>
      <c r="AU224">
        <v>13.280122860744941</v>
      </c>
      <c r="AV224">
        <v>249.14334808539539</v>
      </c>
      <c r="AW224">
        <v>1057.66935736861</v>
      </c>
      <c r="AX224">
        <v>808.52600928321476</v>
      </c>
      <c r="AY224">
        <v>1.5712413913751311</v>
      </c>
      <c r="AZ224" t="s">
        <v>104</v>
      </c>
      <c r="BA224" t="str">
        <f>VLOOKUP($AZ224,Sheet1!$A$2:$B$58,2)</f>
        <v>2-Methyl-1-Butanol</v>
      </c>
      <c r="BB224" t="s">
        <v>157</v>
      </c>
      <c r="BC224">
        <v>88.14658</v>
      </c>
      <c r="BD224">
        <v>6</v>
      </c>
      <c r="BE224">
        <v>129</v>
      </c>
      <c r="BF224" t="s">
        <v>202</v>
      </c>
      <c r="BG224">
        <v>1.248204978570929</v>
      </c>
      <c r="BH224">
        <v>0.13236363636363599</v>
      </c>
      <c r="BI224">
        <v>0.388524870523416</v>
      </c>
      <c r="BJ224">
        <v>80</v>
      </c>
      <c r="BK224">
        <v>3402.8367216998581</v>
      </c>
      <c r="BL224">
        <v>2601.2685114403948</v>
      </c>
      <c r="BM224">
        <v>3.8069456391307561</v>
      </c>
      <c r="BN224">
        <v>647.18075865222852</v>
      </c>
      <c r="BO224">
        <v>2755.655963047629</v>
      </c>
    </row>
    <row r="225" spans="1:67" x14ac:dyDescent="0.25">
      <c r="A225" s="1">
        <v>223</v>
      </c>
      <c r="B225" t="s">
        <v>69</v>
      </c>
      <c r="C225" t="s">
        <v>82</v>
      </c>
      <c r="D225">
        <v>1</v>
      </c>
      <c r="E225">
        <v>0</v>
      </c>
      <c r="F225">
        <v>1</v>
      </c>
      <c r="G225">
        <v>28.009699999999999</v>
      </c>
      <c r="H225">
        <v>2</v>
      </c>
      <c r="I225" t="s">
        <v>89</v>
      </c>
      <c r="J225">
        <v>4</v>
      </c>
      <c r="K225">
        <v>300</v>
      </c>
      <c r="L225">
        <v>50</v>
      </c>
      <c r="N225" t="s">
        <v>91</v>
      </c>
      <c r="O225">
        <v>50</v>
      </c>
      <c r="P225">
        <v>0.25</v>
      </c>
      <c r="Q225">
        <v>3.2500000000000001E-2</v>
      </c>
      <c r="R225">
        <v>77.5</v>
      </c>
      <c r="S225">
        <v>170</v>
      </c>
      <c r="T225">
        <v>20</v>
      </c>
      <c r="U225">
        <v>1812.1301775147931</v>
      </c>
      <c r="V225">
        <v>20</v>
      </c>
      <c r="W225">
        <v>0.95</v>
      </c>
      <c r="X225">
        <v>1</v>
      </c>
      <c r="Y225">
        <v>100441.1478252659</v>
      </c>
      <c r="Z225">
        <v>301323443.47579777</v>
      </c>
      <c r="AA225">
        <v>1205293773.9031911</v>
      </c>
      <c r="AB225">
        <v>1205293.7739031911</v>
      </c>
      <c r="AC225">
        <v>0</v>
      </c>
      <c r="AD225">
        <v>3122.9973967970609</v>
      </c>
      <c r="AE225">
        <v>5621395.3142347094</v>
      </c>
      <c r="AF225">
        <v>2810697.6571173551</v>
      </c>
      <c r="AG225">
        <v>78.726798166559973</v>
      </c>
      <c r="AH225">
        <v>618.49401944867384</v>
      </c>
      <c r="AI225">
        <v>123.6988038897348</v>
      </c>
      <c r="AJ225">
        <v>39172.047651853711</v>
      </c>
      <c r="AK225">
        <v>854.70085470085473</v>
      </c>
      <c r="AL225" t="s">
        <v>93</v>
      </c>
      <c r="AM225">
        <v>47933.28650727222</v>
      </c>
      <c r="AN225">
        <v>1120.9009007110569</v>
      </c>
      <c r="AO225">
        <v>21028.79666125491</v>
      </c>
      <c r="AP225">
        <v>89080.93591453784</v>
      </c>
      <c r="AQ225">
        <v>68052.13925328292</v>
      </c>
      <c r="AR225">
        <v>1.393677030777778E-2</v>
      </c>
      <c r="AS225">
        <v>464.09955170307319</v>
      </c>
      <c r="AT225">
        <v>567.90027872406313</v>
      </c>
      <c r="AU225">
        <v>13.280122860744941</v>
      </c>
      <c r="AV225">
        <v>249.14334808539539</v>
      </c>
      <c r="AW225">
        <v>1055.4062118647189</v>
      </c>
      <c r="AX225">
        <v>806.26286377932399</v>
      </c>
      <c r="AY225">
        <v>1.5712413913751311</v>
      </c>
      <c r="AZ225" t="s">
        <v>106</v>
      </c>
      <c r="BA225" t="str">
        <f>VLOOKUP($AZ225,Sheet1!$A$2:$B$58,2)</f>
        <v>3-Methyl-1-Pentanol</v>
      </c>
      <c r="BB225" t="s">
        <v>159</v>
      </c>
      <c r="BC225">
        <v>102.17296</v>
      </c>
      <c r="BD225">
        <v>6</v>
      </c>
      <c r="BE225">
        <v>153</v>
      </c>
      <c r="BF225" t="s">
        <v>202</v>
      </c>
      <c r="BG225">
        <v>1.292220564031815</v>
      </c>
      <c r="BH225">
        <v>9.3333333333333005E-2</v>
      </c>
      <c r="BI225">
        <v>0.31755387723387701</v>
      </c>
      <c r="BJ225">
        <v>80</v>
      </c>
      <c r="BK225">
        <v>4154.4375912603691</v>
      </c>
      <c r="BL225">
        <v>3173.7246872973742</v>
      </c>
      <c r="BM225">
        <v>4.8927196304549243</v>
      </c>
      <c r="BN225">
        <v>831.76233717733714</v>
      </c>
      <c r="BO225">
        <v>3322.6752540830321</v>
      </c>
    </row>
    <row r="226" spans="1:67" x14ac:dyDescent="0.25">
      <c r="A226" s="1">
        <v>224</v>
      </c>
      <c r="B226" t="s">
        <v>69</v>
      </c>
      <c r="C226" t="s">
        <v>82</v>
      </c>
      <c r="D226">
        <v>1</v>
      </c>
      <c r="E226">
        <v>0</v>
      </c>
      <c r="F226">
        <v>1</v>
      </c>
      <c r="G226">
        <v>28.009699999999999</v>
      </c>
      <c r="H226">
        <v>2</v>
      </c>
      <c r="I226" t="s">
        <v>89</v>
      </c>
      <c r="J226">
        <v>4</v>
      </c>
      <c r="K226">
        <v>300</v>
      </c>
      <c r="L226">
        <v>50</v>
      </c>
      <c r="N226" t="s">
        <v>91</v>
      </c>
      <c r="O226">
        <v>50</v>
      </c>
      <c r="P226">
        <v>0.25</v>
      </c>
      <c r="Q226">
        <v>3.2500000000000001E-2</v>
      </c>
      <c r="R226">
        <v>77.5</v>
      </c>
      <c r="S226">
        <v>170</v>
      </c>
      <c r="T226">
        <v>20</v>
      </c>
      <c r="U226">
        <v>1812.1301775147931</v>
      </c>
      <c r="V226">
        <v>20</v>
      </c>
      <c r="W226">
        <v>0.95</v>
      </c>
      <c r="X226">
        <v>1</v>
      </c>
      <c r="Y226">
        <v>231058.21135969559</v>
      </c>
      <c r="Z226">
        <v>693174634.0790869</v>
      </c>
      <c r="AA226">
        <v>2772698536.3163481</v>
      </c>
      <c r="AB226">
        <v>2772698.5363163478</v>
      </c>
      <c r="AC226">
        <v>0</v>
      </c>
      <c r="AD226">
        <v>7184.2487686445756</v>
      </c>
      <c r="AE226">
        <v>12931647.783560241</v>
      </c>
      <c r="AF226">
        <v>6465823.8917801185</v>
      </c>
      <c r="AG226">
        <v>181.10578746159359</v>
      </c>
      <c r="AH226">
        <v>1422.8045473862151</v>
      </c>
      <c r="AI226">
        <v>284.560909477243</v>
      </c>
      <c r="AJ226">
        <v>90112.702430281308</v>
      </c>
      <c r="AK226">
        <v>854.70085470085473</v>
      </c>
      <c r="AL226" t="s">
        <v>93</v>
      </c>
      <c r="AM226">
        <v>110267.35242243161</v>
      </c>
      <c r="AN226">
        <v>2578.5583183530589</v>
      </c>
      <c r="AO226">
        <v>48375.354611131312</v>
      </c>
      <c r="AP226">
        <v>203813.31402576689</v>
      </c>
      <c r="AQ226">
        <v>155437.95941463561</v>
      </c>
      <c r="AR226">
        <v>1.393677030777778E-2</v>
      </c>
      <c r="AS226">
        <v>464.09955170307319</v>
      </c>
      <c r="AT226">
        <v>567.90027872406313</v>
      </c>
      <c r="AU226">
        <v>13.280122860744941</v>
      </c>
      <c r="AV226">
        <v>249.14334808539539</v>
      </c>
      <c r="AW226">
        <v>1049.6818441735061</v>
      </c>
      <c r="AX226">
        <v>800.53849608811083</v>
      </c>
      <c r="AY226">
        <v>1.5712413913751311</v>
      </c>
      <c r="AZ226" t="s">
        <v>107</v>
      </c>
      <c r="BA226" t="str">
        <f>VLOOKUP($AZ226,Sheet1!$A$2:$B$58,2)</f>
        <v>4-Hydroxystyrene</v>
      </c>
      <c r="BB226" t="s">
        <v>160</v>
      </c>
      <c r="BC226">
        <v>120.14731999999999</v>
      </c>
      <c r="BD226">
        <v>4.75</v>
      </c>
      <c r="BE226">
        <v>229</v>
      </c>
      <c r="BF226" t="s">
        <v>202</v>
      </c>
      <c r="BG226">
        <v>0.54945045798774583</v>
      </c>
      <c r="BH226">
        <v>3.4502369668246997E-2</v>
      </c>
      <c r="BI226">
        <v>0.13804086744219399</v>
      </c>
      <c r="BJ226">
        <v>80</v>
      </c>
      <c r="BK226">
        <v>9505.1728486590309</v>
      </c>
      <c r="BL226">
        <v>7249.1077363678578</v>
      </c>
      <c r="BM226">
        <v>13.6785950158744</v>
      </c>
      <c r="BN226">
        <v>2325.3611526986492</v>
      </c>
      <c r="BO226">
        <v>7179.8116959603822</v>
      </c>
    </row>
    <row r="227" spans="1:67" x14ac:dyDescent="0.25">
      <c r="A227" s="1">
        <v>225</v>
      </c>
      <c r="B227" t="s">
        <v>69</v>
      </c>
      <c r="C227" t="s">
        <v>82</v>
      </c>
      <c r="D227">
        <v>1</v>
      </c>
      <c r="E227">
        <v>0</v>
      </c>
      <c r="F227">
        <v>1</v>
      </c>
      <c r="G227">
        <v>28.009699999999999</v>
      </c>
      <c r="H227">
        <v>2</v>
      </c>
      <c r="I227" t="s">
        <v>89</v>
      </c>
      <c r="J227">
        <v>4</v>
      </c>
      <c r="K227">
        <v>300</v>
      </c>
      <c r="L227">
        <v>50</v>
      </c>
      <c r="N227" t="s">
        <v>91</v>
      </c>
      <c r="O227">
        <v>50</v>
      </c>
      <c r="P227">
        <v>0.25</v>
      </c>
      <c r="Q227">
        <v>3.2500000000000001E-2</v>
      </c>
      <c r="R227">
        <v>77.5</v>
      </c>
      <c r="S227">
        <v>170</v>
      </c>
      <c r="T227">
        <v>20</v>
      </c>
      <c r="U227">
        <v>1812.1301775147931</v>
      </c>
      <c r="V227">
        <v>20</v>
      </c>
      <c r="W227">
        <v>0.95</v>
      </c>
      <c r="X227">
        <v>1</v>
      </c>
      <c r="Y227">
        <v>65967.7559956154</v>
      </c>
      <c r="Z227">
        <v>197903267.98684621</v>
      </c>
      <c r="AA227">
        <v>791613071.94738472</v>
      </c>
      <c r="AB227">
        <v>791613.07194738474</v>
      </c>
      <c r="AC227">
        <v>0</v>
      </c>
      <c r="AD227">
        <v>2051.1228187600132</v>
      </c>
      <c r="AE227">
        <v>3692021.0737680229</v>
      </c>
      <c r="AF227">
        <v>1846010.536884011</v>
      </c>
      <c r="AG227">
        <v>51.706201334960113</v>
      </c>
      <c r="AH227">
        <v>406.21461864132669</v>
      </c>
      <c r="AI227">
        <v>81.242923728265339</v>
      </c>
      <c r="AJ227">
        <v>25727.42483829</v>
      </c>
      <c r="AK227">
        <v>854.70085470085473</v>
      </c>
      <c r="AL227" t="s">
        <v>93</v>
      </c>
      <c r="AM227">
        <v>31481.632944702818</v>
      </c>
      <c r="AN227">
        <v>736.18550478942404</v>
      </c>
      <c r="AO227">
        <v>13811.297033805109</v>
      </c>
      <c r="AP227">
        <v>58799.944142483087</v>
      </c>
      <c r="AQ227">
        <v>44988.647108677993</v>
      </c>
      <c r="AR227">
        <v>1.393677030777778E-2</v>
      </c>
      <c r="AS227">
        <v>464.09955170307319</v>
      </c>
      <c r="AT227">
        <v>567.90027872406324</v>
      </c>
      <c r="AU227">
        <v>13.280122860744941</v>
      </c>
      <c r="AV227">
        <v>249.14334808539539</v>
      </c>
      <c r="AW227">
        <v>1060.697986223558</v>
      </c>
      <c r="AX227">
        <v>811.55463813816243</v>
      </c>
      <c r="AY227">
        <v>1.57124139137513</v>
      </c>
      <c r="AZ227" t="s">
        <v>109</v>
      </c>
      <c r="BA227" t="str">
        <f>VLOOKUP($AZ227,Sheet1!$A$2:$B$58,2)</f>
        <v>Acetone</v>
      </c>
      <c r="BB227" t="s">
        <v>162</v>
      </c>
      <c r="BC227">
        <v>58.078139999999998</v>
      </c>
      <c r="BD227">
        <v>5.333333333333333</v>
      </c>
      <c r="BE227">
        <v>56</v>
      </c>
      <c r="BF227" t="s">
        <v>202</v>
      </c>
      <c r="BG227">
        <v>0.75777220138248214</v>
      </c>
      <c r="BH227">
        <v>0.25</v>
      </c>
      <c r="BI227">
        <v>0.48350099900099902</v>
      </c>
      <c r="BJ227">
        <v>80</v>
      </c>
      <c r="BK227">
        <v>2742.233181563101</v>
      </c>
      <c r="BL227">
        <v>2098.1203756946261</v>
      </c>
      <c r="BM227">
        <v>3.3043739850307849</v>
      </c>
      <c r="BN227">
        <v>561.74357745523344</v>
      </c>
      <c r="BO227">
        <v>2180.4896041078669</v>
      </c>
    </row>
    <row r="228" spans="1:67" x14ac:dyDescent="0.25">
      <c r="A228" s="1">
        <v>226</v>
      </c>
      <c r="B228" t="s">
        <v>69</v>
      </c>
      <c r="C228" t="s">
        <v>82</v>
      </c>
      <c r="D228">
        <v>1</v>
      </c>
      <c r="E228">
        <v>0</v>
      </c>
      <c r="F228">
        <v>1</v>
      </c>
      <c r="G228">
        <v>28.009699999999999</v>
      </c>
      <c r="H228">
        <v>2</v>
      </c>
      <c r="I228" t="s">
        <v>89</v>
      </c>
      <c r="J228">
        <v>4</v>
      </c>
      <c r="K228">
        <v>300</v>
      </c>
      <c r="L228">
        <v>50</v>
      </c>
      <c r="N228" t="s">
        <v>91</v>
      </c>
      <c r="O228">
        <v>50</v>
      </c>
      <c r="P228">
        <v>0.25</v>
      </c>
      <c r="Q228">
        <v>3.2500000000000001E-2</v>
      </c>
      <c r="R228">
        <v>77.5</v>
      </c>
      <c r="S228">
        <v>170</v>
      </c>
      <c r="T228">
        <v>20</v>
      </c>
      <c r="U228">
        <v>1812.1301775147931</v>
      </c>
      <c r="V228">
        <v>20</v>
      </c>
      <c r="W228">
        <v>0.95</v>
      </c>
      <c r="X228">
        <v>1</v>
      </c>
      <c r="Y228">
        <v>159244.80814143171</v>
      </c>
      <c r="Z228">
        <v>477734424.42429501</v>
      </c>
      <c r="AA228">
        <v>1910937697.69718</v>
      </c>
      <c r="AB228">
        <v>1910937.6976971801</v>
      </c>
      <c r="AC228">
        <v>0</v>
      </c>
      <c r="AD228">
        <v>4951.3683589549501</v>
      </c>
      <c r="AE228">
        <v>8912463.0461189095</v>
      </c>
      <c r="AF228">
        <v>4456231.5230594547</v>
      </c>
      <c r="AG228">
        <v>124.8177080914384</v>
      </c>
      <c r="AH228">
        <v>980.59374664923291</v>
      </c>
      <c r="AI228">
        <v>196.11874932984659</v>
      </c>
      <c r="AJ228">
        <v>62105.475175158354</v>
      </c>
      <c r="AK228">
        <v>854.70085470085473</v>
      </c>
      <c r="AL228" t="s">
        <v>93</v>
      </c>
      <c r="AM228">
        <v>75996.015365315558</v>
      </c>
      <c r="AN228">
        <v>1777.1366889376509</v>
      </c>
      <c r="AO228">
        <v>33340.187386073922</v>
      </c>
      <c r="AP228">
        <v>140733.32808411241</v>
      </c>
      <c r="AQ228">
        <v>107393.14069803851</v>
      </c>
      <c r="AR228">
        <v>1.393677030777778E-2</v>
      </c>
      <c r="AS228">
        <v>464.09955170307319</v>
      </c>
      <c r="AT228">
        <v>567.90027872406324</v>
      </c>
      <c r="AU228">
        <v>13.280122860744941</v>
      </c>
      <c r="AV228">
        <v>249.14334808539539</v>
      </c>
      <c r="AW228">
        <v>1051.666930963974</v>
      </c>
      <c r="AX228">
        <v>802.52358287857885</v>
      </c>
      <c r="AY228">
        <v>1.5712413913751311</v>
      </c>
      <c r="AZ228" t="s">
        <v>110</v>
      </c>
      <c r="BA228" t="str">
        <f>VLOOKUP($AZ228,Sheet1!$A$2:$B$58,2)</f>
        <v>Acrylate (PW1)</v>
      </c>
      <c r="BB228" t="s">
        <v>163</v>
      </c>
      <c r="BC228">
        <v>71.053619999999995</v>
      </c>
      <c r="BD228">
        <v>3.666666666666667</v>
      </c>
      <c r="BE228">
        <v>80</v>
      </c>
      <c r="BF228" t="s">
        <v>202</v>
      </c>
      <c r="BG228">
        <v>0</v>
      </c>
      <c r="BH228">
        <v>8.4651162790697704E-2</v>
      </c>
      <c r="BI228">
        <v>0.20029209302325601</v>
      </c>
      <c r="BJ228">
        <v>80</v>
      </c>
      <c r="BK228">
        <v>6563.3327999240146</v>
      </c>
      <c r="BL228">
        <v>5008.4577152116872</v>
      </c>
      <c r="BM228">
        <v>9.8059374664923329</v>
      </c>
      <c r="BN228">
        <v>1667.009369303697</v>
      </c>
      <c r="BO228">
        <v>4896.3234306203176</v>
      </c>
    </row>
    <row r="229" spans="1:67" x14ac:dyDescent="0.25">
      <c r="A229" s="1">
        <v>227</v>
      </c>
      <c r="B229" t="s">
        <v>69</v>
      </c>
      <c r="C229" t="s">
        <v>82</v>
      </c>
      <c r="D229">
        <v>1</v>
      </c>
      <c r="E229">
        <v>0</v>
      </c>
      <c r="F229">
        <v>1</v>
      </c>
      <c r="G229">
        <v>28.009699999999999</v>
      </c>
      <c r="H229">
        <v>2</v>
      </c>
      <c r="I229" t="s">
        <v>89</v>
      </c>
      <c r="J229">
        <v>4</v>
      </c>
      <c r="K229">
        <v>300</v>
      </c>
      <c r="L229">
        <v>50</v>
      </c>
      <c r="N229" t="s">
        <v>91</v>
      </c>
      <c r="O229">
        <v>50</v>
      </c>
      <c r="P229">
        <v>0.25</v>
      </c>
      <c r="Q229">
        <v>3.2500000000000001E-2</v>
      </c>
      <c r="R229">
        <v>77.5</v>
      </c>
      <c r="S229">
        <v>170</v>
      </c>
      <c r="T229">
        <v>20</v>
      </c>
      <c r="U229">
        <v>1812.1301775147931</v>
      </c>
      <c r="V229">
        <v>20</v>
      </c>
      <c r="W229">
        <v>0.95</v>
      </c>
      <c r="X229">
        <v>1</v>
      </c>
      <c r="Y229">
        <v>62957.249730333533</v>
      </c>
      <c r="Z229">
        <v>188871749.19100061</v>
      </c>
      <c r="AA229">
        <v>755486996.76400244</v>
      </c>
      <c r="AB229">
        <v>755486.99676400248</v>
      </c>
      <c r="AC229">
        <v>0</v>
      </c>
      <c r="AD229">
        <v>1957.5177233077741</v>
      </c>
      <c r="AE229">
        <v>3523531.901953992</v>
      </c>
      <c r="AF229">
        <v>1761765.950976996</v>
      </c>
      <c r="AG229">
        <v>49.346535757080368</v>
      </c>
      <c r="AH229">
        <v>387.676597512488</v>
      </c>
      <c r="AI229">
        <v>77.5353195024976</v>
      </c>
      <c r="AJ229">
        <v>24553.327394830081</v>
      </c>
      <c r="AK229">
        <v>854.70085470085473</v>
      </c>
      <c r="AL229" t="s">
        <v>93</v>
      </c>
      <c r="AM229">
        <v>30044.93630721782</v>
      </c>
      <c r="AN229">
        <v>702.58892353349097</v>
      </c>
      <c r="AO229">
        <v>13181.00431542459</v>
      </c>
      <c r="AP229">
        <v>56155.553480282237</v>
      </c>
      <c r="AQ229">
        <v>42974.54916485765</v>
      </c>
      <c r="AR229">
        <v>1.393677030777778E-2</v>
      </c>
      <c r="AS229">
        <v>464.09955170307319</v>
      </c>
      <c r="AT229">
        <v>567.90027872406324</v>
      </c>
      <c r="AU229">
        <v>13.280122860744941</v>
      </c>
      <c r="AV229">
        <v>249.14334808539539</v>
      </c>
      <c r="AW229">
        <v>1061.4352497627051</v>
      </c>
      <c r="AX229">
        <v>812.29190167730985</v>
      </c>
      <c r="AY229">
        <v>1.5712413913751311</v>
      </c>
      <c r="AZ229" t="s">
        <v>111</v>
      </c>
      <c r="BA229" t="str">
        <f>VLOOKUP($AZ229,Sheet1!$A$2:$B$58,2)</f>
        <v>Acrylate (PW2)</v>
      </c>
      <c r="BB229" t="s">
        <v>163</v>
      </c>
      <c r="BC229">
        <v>71.053619999999995</v>
      </c>
      <c r="BD229">
        <v>3.666666666666667</v>
      </c>
      <c r="BE229">
        <v>80</v>
      </c>
      <c r="BF229" t="s">
        <v>202</v>
      </c>
      <c r="BG229">
        <v>0</v>
      </c>
      <c r="BH229">
        <v>0.214117647058824</v>
      </c>
      <c r="BI229">
        <v>0.50662117647058802</v>
      </c>
      <c r="BJ229">
        <v>80</v>
      </c>
      <c r="BK229">
        <v>2618.9076253120438</v>
      </c>
      <c r="BL229">
        <v>2004.1895685653089</v>
      </c>
      <c r="BM229">
        <v>3.8767659751248811</v>
      </c>
      <c r="BN229">
        <v>659.05021577122966</v>
      </c>
      <c r="BO229">
        <v>1959.8574095408139</v>
      </c>
    </row>
    <row r="230" spans="1:67" x14ac:dyDescent="0.25">
      <c r="A230" s="1">
        <v>228</v>
      </c>
      <c r="B230" t="s">
        <v>69</v>
      </c>
      <c r="C230" t="s">
        <v>82</v>
      </c>
      <c r="D230">
        <v>1</v>
      </c>
      <c r="E230">
        <v>0</v>
      </c>
      <c r="F230">
        <v>1</v>
      </c>
      <c r="G230">
        <v>28.009699999999999</v>
      </c>
      <c r="H230">
        <v>2</v>
      </c>
      <c r="I230" t="s">
        <v>89</v>
      </c>
      <c r="J230">
        <v>4</v>
      </c>
      <c r="K230">
        <v>300</v>
      </c>
      <c r="L230">
        <v>50</v>
      </c>
      <c r="N230" t="s">
        <v>91</v>
      </c>
      <c r="O230">
        <v>50</v>
      </c>
      <c r="P230">
        <v>0.25</v>
      </c>
      <c r="Q230">
        <v>3.2500000000000001E-2</v>
      </c>
      <c r="R230">
        <v>77.5</v>
      </c>
      <c r="S230">
        <v>170</v>
      </c>
      <c r="T230">
        <v>20</v>
      </c>
      <c r="U230">
        <v>1812.1301775147931</v>
      </c>
      <c r="V230">
        <v>20</v>
      </c>
      <c r="W230">
        <v>0.95</v>
      </c>
      <c r="X230">
        <v>1</v>
      </c>
      <c r="Y230">
        <v>233562.95705908441</v>
      </c>
      <c r="Z230">
        <v>700688871.17725325</v>
      </c>
      <c r="AA230">
        <v>2802755484.709013</v>
      </c>
      <c r="AB230">
        <v>2802755.4847090128</v>
      </c>
      <c r="AC230">
        <v>0</v>
      </c>
      <c r="AD230">
        <v>7262.128347564144</v>
      </c>
      <c r="AE230">
        <v>13071831.025615459</v>
      </c>
      <c r="AF230">
        <v>6535915.5128077297</v>
      </c>
      <c r="AG230">
        <v>183.06903273909069</v>
      </c>
      <c r="AH230">
        <v>1438.2282085933409</v>
      </c>
      <c r="AI230">
        <v>287.64564171866817</v>
      </c>
      <c r="AJ230">
        <v>91089.553253042919</v>
      </c>
      <c r="AK230">
        <v>854.70085470085473</v>
      </c>
      <c r="AL230" t="s">
        <v>93</v>
      </c>
      <c r="AM230">
        <v>111462.68616598391</v>
      </c>
      <c r="AN230">
        <v>2606.5107240282832</v>
      </c>
      <c r="AO230">
        <v>48899.75909217359</v>
      </c>
      <c r="AP230">
        <v>206013.45099775601</v>
      </c>
      <c r="AQ230">
        <v>157113.69190558241</v>
      </c>
      <c r="AR230">
        <v>1.393677030777777E-2</v>
      </c>
      <c r="AS230">
        <v>464.09955170307308</v>
      </c>
      <c r="AT230">
        <v>567.90027872406313</v>
      </c>
      <c r="AU230">
        <v>13.280122860744941</v>
      </c>
      <c r="AV230">
        <v>249.14334808539539</v>
      </c>
      <c r="AW230">
        <v>1049.634637983776</v>
      </c>
      <c r="AX230">
        <v>800.49128989838027</v>
      </c>
      <c r="AY230">
        <v>1.57124139137513</v>
      </c>
      <c r="AZ230" t="s">
        <v>113</v>
      </c>
      <c r="BA230" t="str">
        <f>VLOOKUP($AZ230,Sheet1!$A$2:$B$58,2)</f>
        <v>Benzoate (PW1)</v>
      </c>
      <c r="BB230" t="s">
        <v>165</v>
      </c>
      <c r="BC230">
        <v>121.1121</v>
      </c>
      <c r="BD230">
        <v>4.1428571428571432</v>
      </c>
      <c r="BE230">
        <v>249.2</v>
      </c>
      <c r="BF230" t="s">
        <v>202</v>
      </c>
      <c r="BG230">
        <v>0.18169117701699661</v>
      </c>
      <c r="BH230">
        <v>3.3860465116279E-2</v>
      </c>
      <c r="BI230">
        <v>0.13656050739957701</v>
      </c>
      <c r="BJ230">
        <v>80</v>
      </c>
      <c r="BK230">
        <v>9607.77989525677</v>
      </c>
      <c r="BL230">
        <v>7327.2583078881753</v>
      </c>
      <c r="BM230">
        <v>14.200590908916411</v>
      </c>
      <c r="BN230">
        <v>2414.1004545157889</v>
      </c>
      <c r="BO230">
        <v>7193.6794407409807</v>
      </c>
    </row>
    <row r="231" spans="1:67" x14ac:dyDescent="0.25">
      <c r="A231" s="1">
        <v>229</v>
      </c>
      <c r="B231" t="s">
        <v>69</v>
      </c>
      <c r="C231" t="s">
        <v>82</v>
      </c>
      <c r="D231">
        <v>1</v>
      </c>
      <c r="E231">
        <v>0</v>
      </c>
      <c r="F231">
        <v>1</v>
      </c>
      <c r="G231">
        <v>28.009699999999999</v>
      </c>
      <c r="H231">
        <v>2</v>
      </c>
      <c r="I231" t="s">
        <v>89</v>
      </c>
      <c r="J231">
        <v>4</v>
      </c>
      <c r="K231">
        <v>300</v>
      </c>
      <c r="L231">
        <v>50</v>
      </c>
      <c r="N231" t="s">
        <v>91</v>
      </c>
      <c r="O231">
        <v>50</v>
      </c>
      <c r="P231">
        <v>0.25</v>
      </c>
      <c r="Q231">
        <v>3.2500000000000001E-2</v>
      </c>
      <c r="R231">
        <v>77.5</v>
      </c>
      <c r="S231">
        <v>170</v>
      </c>
      <c r="T231">
        <v>20</v>
      </c>
      <c r="U231">
        <v>1812.1301775147931</v>
      </c>
      <c r="V231">
        <v>20</v>
      </c>
      <c r="W231">
        <v>0.95</v>
      </c>
      <c r="X231">
        <v>1</v>
      </c>
      <c r="Y231">
        <v>250944.38642162149</v>
      </c>
      <c r="Z231">
        <v>752833159.26486444</v>
      </c>
      <c r="AA231">
        <v>3011332637.0594578</v>
      </c>
      <c r="AB231">
        <v>3011332.6370594581</v>
      </c>
      <c r="AC231">
        <v>0</v>
      </c>
      <c r="AD231">
        <v>7802.5658059875386</v>
      </c>
      <c r="AE231">
        <v>14044618.45077757</v>
      </c>
      <c r="AF231">
        <v>7022309.2253887849</v>
      </c>
      <c r="AG231">
        <v>196.6927747103723</v>
      </c>
      <c r="AH231">
        <v>1545.2591450468019</v>
      </c>
      <c r="AI231">
        <v>309.05182900936052</v>
      </c>
      <c r="AJ231">
        <v>97868.31070443237</v>
      </c>
      <c r="AK231">
        <v>854.70085470085473</v>
      </c>
      <c r="AL231" t="s">
        <v>93</v>
      </c>
      <c r="AM231">
        <v>119757.58374112719</v>
      </c>
      <c r="AN231">
        <v>2800.483615118766</v>
      </c>
      <c r="AO231">
        <v>52538.810931591281</v>
      </c>
      <c r="AP231">
        <v>221281.07891537921</v>
      </c>
      <c r="AQ231">
        <v>168742.2679837879</v>
      </c>
      <c r="AR231">
        <v>1.393677030777778E-2</v>
      </c>
      <c r="AS231">
        <v>464.09955170307319</v>
      </c>
      <c r="AT231">
        <v>567.90027872406324</v>
      </c>
      <c r="AU231">
        <v>13.280122860744941</v>
      </c>
      <c r="AV231">
        <v>249.1433480853955</v>
      </c>
      <c r="AW231">
        <v>1049.3330148013761</v>
      </c>
      <c r="AX231">
        <v>800.18966671598059</v>
      </c>
      <c r="AY231">
        <v>1.5712413913751311</v>
      </c>
      <c r="AZ231" t="s">
        <v>114</v>
      </c>
      <c r="BA231" t="str">
        <f>VLOOKUP($AZ231,Sheet1!$A$2:$B$58,2)</f>
        <v>Benzoate (PW2)</v>
      </c>
      <c r="BB231" t="s">
        <v>165</v>
      </c>
      <c r="BC231">
        <v>121.1121</v>
      </c>
      <c r="BD231">
        <v>4.1428571428571432</v>
      </c>
      <c r="BE231">
        <v>249.2</v>
      </c>
      <c r="BF231" t="s">
        <v>202</v>
      </c>
      <c r="BG231">
        <v>0.18169117701699561</v>
      </c>
      <c r="BH231">
        <v>3.1515151515152003E-2</v>
      </c>
      <c r="BI231">
        <v>0.127101770956316</v>
      </c>
      <c r="BJ231">
        <v>80</v>
      </c>
      <c r="BK231">
        <v>10319.81111382414</v>
      </c>
      <c r="BL231">
        <v>7869.5762920467114</v>
      </c>
      <c r="BM231">
        <v>15.270900273451019</v>
      </c>
      <c r="BN231">
        <v>2596.0530464866738</v>
      </c>
      <c r="BO231">
        <v>7723.7580673374641</v>
      </c>
    </row>
    <row r="232" spans="1:67" x14ac:dyDescent="0.25">
      <c r="A232" s="1">
        <v>230</v>
      </c>
      <c r="B232" t="s">
        <v>69</v>
      </c>
      <c r="C232" t="s">
        <v>82</v>
      </c>
      <c r="D232">
        <v>1</v>
      </c>
      <c r="E232">
        <v>0</v>
      </c>
      <c r="F232">
        <v>1</v>
      </c>
      <c r="G232">
        <v>28.009699999999999</v>
      </c>
      <c r="H232">
        <v>2</v>
      </c>
      <c r="I232" t="s">
        <v>89</v>
      </c>
      <c r="J232">
        <v>4</v>
      </c>
      <c r="K232">
        <v>300</v>
      </c>
      <c r="L232">
        <v>50</v>
      </c>
      <c r="N232" t="s">
        <v>91</v>
      </c>
      <c r="O232">
        <v>50</v>
      </c>
      <c r="P232">
        <v>0.25</v>
      </c>
      <c r="Q232">
        <v>3.2500000000000001E-2</v>
      </c>
      <c r="R232">
        <v>77.5</v>
      </c>
      <c r="S232">
        <v>170</v>
      </c>
      <c r="T232">
        <v>20</v>
      </c>
      <c r="U232">
        <v>1812.1301775147931</v>
      </c>
      <c r="V232">
        <v>20</v>
      </c>
      <c r="W232">
        <v>0.95</v>
      </c>
      <c r="X232">
        <v>1</v>
      </c>
      <c r="Y232">
        <v>165249.946459067</v>
      </c>
      <c r="Z232">
        <v>495749839.37720102</v>
      </c>
      <c r="AA232">
        <v>1982999357.5088041</v>
      </c>
      <c r="AB232">
        <v>1982999.357508804</v>
      </c>
      <c r="AC232">
        <v>66773.504273504266</v>
      </c>
      <c r="AD232">
        <v>5138.0849759932889</v>
      </c>
      <c r="AE232">
        <v>9248552.9567879196</v>
      </c>
      <c r="AF232">
        <v>4624276.4783939598</v>
      </c>
      <c r="AG232">
        <v>129.5245968768713</v>
      </c>
      <c r="AH232">
        <v>1017.572039070591</v>
      </c>
      <c r="AI232">
        <v>203.51440781411819</v>
      </c>
      <c r="AJ232">
        <v>64447.479119036128</v>
      </c>
      <c r="AK232">
        <v>2170.1388888888891</v>
      </c>
      <c r="AL232" t="s">
        <v>95</v>
      </c>
      <c r="AM232">
        <v>78861.833027970788</v>
      </c>
      <c r="AN232">
        <v>1844.152698759063</v>
      </c>
      <c r="AO232">
        <v>34597.449328400093</v>
      </c>
      <c r="AP232">
        <v>147323.6037346549</v>
      </c>
      <c r="AQ232">
        <v>112726.15440625481</v>
      </c>
      <c r="AR232">
        <v>1.393677030777778E-2</v>
      </c>
      <c r="AS232">
        <v>464.09955170307319</v>
      </c>
      <c r="AT232">
        <v>567.90027872406324</v>
      </c>
      <c r="AU232">
        <v>13.280122860744941</v>
      </c>
      <c r="AV232">
        <v>249.1433480853955</v>
      </c>
      <c r="AW232">
        <v>1060.9075697475801</v>
      </c>
      <c r="AX232">
        <v>811.76422166218458</v>
      </c>
      <c r="AY232">
        <v>1.5712413913751311</v>
      </c>
      <c r="AZ232" t="s">
        <v>117</v>
      </c>
      <c r="BA232" t="str">
        <f>VLOOKUP($AZ232,Sheet1!$A$2:$B$58,2)</f>
        <v>Butane</v>
      </c>
      <c r="BB232" t="s">
        <v>168</v>
      </c>
      <c r="BC232">
        <v>58.121200000000002</v>
      </c>
      <c r="BD232">
        <v>6.5</v>
      </c>
      <c r="BE232">
        <v>-1</v>
      </c>
      <c r="BF232" t="s">
        <v>202</v>
      </c>
      <c r="BG232">
        <v>1.893026984989983</v>
      </c>
      <c r="BH232">
        <v>9.9726027397259998E-2</v>
      </c>
      <c r="BI232">
        <v>0.19301353258613499</v>
      </c>
      <c r="BJ232">
        <v>80</v>
      </c>
      <c r="BK232">
        <v>6870.6812647588276</v>
      </c>
      <c r="BL232">
        <v>5257.1716784930832</v>
      </c>
      <c r="BM232">
        <v>8.2826934057159285</v>
      </c>
      <c r="BN232">
        <v>1408.0578789717081</v>
      </c>
      <c r="BO232">
        <v>5462.6233857871193</v>
      </c>
    </row>
    <row r="233" spans="1:67" x14ac:dyDescent="0.25">
      <c r="A233" s="1">
        <v>231</v>
      </c>
      <c r="B233" t="s">
        <v>69</v>
      </c>
      <c r="C233" t="s">
        <v>82</v>
      </c>
      <c r="D233">
        <v>1</v>
      </c>
      <c r="E233">
        <v>0</v>
      </c>
      <c r="F233">
        <v>1</v>
      </c>
      <c r="G233">
        <v>28.009699999999999</v>
      </c>
      <c r="H233">
        <v>2</v>
      </c>
      <c r="I233" t="s">
        <v>89</v>
      </c>
      <c r="J233">
        <v>4</v>
      </c>
      <c r="K233">
        <v>300</v>
      </c>
      <c r="L233">
        <v>50</v>
      </c>
      <c r="N233" t="s">
        <v>91</v>
      </c>
      <c r="O233">
        <v>50</v>
      </c>
      <c r="P233">
        <v>0.25</v>
      </c>
      <c r="Q233">
        <v>3.2500000000000001E-2</v>
      </c>
      <c r="R233">
        <v>77.5</v>
      </c>
      <c r="S233">
        <v>170</v>
      </c>
      <c r="T233">
        <v>20</v>
      </c>
      <c r="U233">
        <v>1812.1301775147931</v>
      </c>
      <c r="V233">
        <v>20</v>
      </c>
      <c r="W233">
        <v>0.95</v>
      </c>
      <c r="X233">
        <v>1</v>
      </c>
      <c r="Y233">
        <v>77535.231317492478</v>
      </c>
      <c r="Z233">
        <v>232605693.9524774</v>
      </c>
      <c r="AA233">
        <v>930422775.8099097</v>
      </c>
      <c r="AB233">
        <v>930422.77580990968</v>
      </c>
      <c r="AC233">
        <v>0</v>
      </c>
      <c r="AD233">
        <v>2410.788116299047</v>
      </c>
      <c r="AE233">
        <v>4339418.6093382835</v>
      </c>
      <c r="AF233">
        <v>2169709.3046691418</v>
      </c>
      <c r="AG233">
        <v>60.772906710991258</v>
      </c>
      <c r="AH233">
        <v>477.44453249244458</v>
      </c>
      <c r="AI233">
        <v>95.488906498488916</v>
      </c>
      <c r="AJ233">
        <v>30238.74021382206</v>
      </c>
      <c r="AK233">
        <v>854.70085470085473</v>
      </c>
      <c r="AL233" t="s">
        <v>93</v>
      </c>
      <c r="AM233">
        <v>37001.951268164463</v>
      </c>
      <c r="AN233">
        <v>865.27596012553227</v>
      </c>
      <c r="AO233">
        <v>16233.114104743119</v>
      </c>
      <c r="AP233">
        <v>68960.668296812917</v>
      </c>
      <c r="AQ233">
        <v>52727.554192069802</v>
      </c>
      <c r="AR233">
        <v>1.393677030777778E-2</v>
      </c>
      <c r="AS233">
        <v>464.09955170307319</v>
      </c>
      <c r="AT233">
        <v>567.90027872406324</v>
      </c>
      <c r="AU233">
        <v>13.280122860744941</v>
      </c>
      <c r="AV233">
        <v>249.14334808539539</v>
      </c>
      <c r="AW233">
        <v>1058.397771050858</v>
      </c>
      <c r="AX233">
        <v>809.25442296546225</v>
      </c>
      <c r="AY233">
        <v>1.57124139137513</v>
      </c>
      <c r="AZ233" t="s">
        <v>118</v>
      </c>
      <c r="BA233" t="str">
        <f>VLOOKUP($AZ233,Sheet1!$A$2:$B$58,2)</f>
        <v>Butanol (PW1)</v>
      </c>
      <c r="BB233" t="s">
        <v>169</v>
      </c>
      <c r="BC233">
        <v>74.120199999999997</v>
      </c>
      <c r="BD233">
        <v>6</v>
      </c>
      <c r="BE233">
        <v>117.7</v>
      </c>
      <c r="BF233" t="s">
        <v>202</v>
      </c>
      <c r="BG233">
        <v>1.187530524742247</v>
      </c>
      <c r="BH233">
        <v>0.16666666666666599</v>
      </c>
      <c r="BI233">
        <v>0.41136752136751997</v>
      </c>
      <c r="BJ233">
        <v>80</v>
      </c>
      <c r="BK233">
        <v>3216.0954501597439</v>
      </c>
      <c r="BL233">
        <v>2459.0371776168549</v>
      </c>
      <c r="BM233">
        <v>3.5869148001822002</v>
      </c>
      <c r="BN233">
        <v>609.7755160309739</v>
      </c>
      <c r="BO233">
        <v>2606.31993412877</v>
      </c>
    </row>
    <row r="234" spans="1:67" x14ac:dyDescent="0.25">
      <c r="A234" s="1">
        <v>232</v>
      </c>
      <c r="B234" t="s">
        <v>69</v>
      </c>
      <c r="C234" t="s">
        <v>82</v>
      </c>
      <c r="D234">
        <v>1</v>
      </c>
      <c r="E234">
        <v>0</v>
      </c>
      <c r="F234">
        <v>1</v>
      </c>
      <c r="G234">
        <v>28.009699999999999</v>
      </c>
      <c r="H234">
        <v>2</v>
      </c>
      <c r="I234" t="s">
        <v>89</v>
      </c>
      <c r="J234">
        <v>4</v>
      </c>
      <c r="K234">
        <v>300</v>
      </c>
      <c r="L234">
        <v>50</v>
      </c>
      <c r="N234" t="s">
        <v>91</v>
      </c>
      <c r="O234">
        <v>50</v>
      </c>
      <c r="P234">
        <v>0.25</v>
      </c>
      <c r="Q234">
        <v>3.2500000000000001E-2</v>
      </c>
      <c r="R234">
        <v>77.5</v>
      </c>
      <c r="S234">
        <v>170</v>
      </c>
      <c r="T234">
        <v>20</v>
      </c>
      <c r="U234">
        <v>1812.1301775147931</v>
      </c>
      <c r="V234">
        <v>20</v>
      </c>
      <c r="W234">
        <v>0.95</v>
      </c>
      <c r="X234">
        <v>1</v>
      </c>
      <c r="Y234">
        <v>77535.231317492275</v>
      </c>
      <c r="Z234">
        <v>232605693.9524768</v>
      </c>
      <c r="AA234">
        <v>930422775.8099072</v>
      </c>
      <c r="AB234">
        <v>930422.77580990724</v>
      </c>
      <c r="AC234">
        <v>0</v>
      </c>
      <c r="AD234">
        <v>2410.7881162990402</v>
      </c>
      <c r="AE234">
        <v>4339418.6093382724</v>
      </c>
      <c r="AF234">
        <v>2169709.3046691362</v>
      </c>
      <c r="AG234">
        <v>60.772906710991109</v>
      </c>
      <c r="AH234">
        <v>477.44453249244327</v>
      </c>
      <c r="AI234">
        <v>95.488906498488674</v>
      </c>
      <c r="AJ234">
        <v>30238.740213821991</v>
      </c>
      <c r="AK234">
        <v>854.70085470085473</v>
      </c>
      <c r="AL234" t="s">
        <v>93</v>
      </c>
      <c r="AM234">
        <v>37001.951268164361</v>
      </c>
      <c r="AN234">
        <v>865.27596012552999</v>
      </c>
      <c r="AO234">
        <v>16233.11410474307</v>
      </c>
      <c r="AP234">
        <v>68960.668296812728</v>
      </c>
      <c r="AQ234">
        <v>52727.554192069663</v>
      </c>
      <c r="AR234">
        <v>1.393677030777778E-2</v>
      </c>
      <c r="AS234">
        <v>464.09955170307319</v>
      </c>
      <c r="AT234">
        <v>567.90027872406324</v>
      </c>
      <c r="AU234">
        <v>13.280122860744941</v>
      </c>
      <c r="AV234">
        <v>249.14334808539539</v>
      </c>
      <c r="AW234">
        <v>1058.397771050858</v>
      </c>
      <c r="AX234">
        <v>809.25442296546203</v>
      </c>
      <c r="AY234">
        <v>1.57124139137513</v>
      </c>
      <c r="AZ234" t="s">
        <v>119</v>
      </c>
      <c r="BA234" t="str">
        <f>VLOOKUP($AZ234,Sheet1!$A$2:$B$58,2)</f>
        <v>Butanol (PW2)</v>
      </c>
      <c r="BB234" t="s">
        <v>169</v>
      </c>
      <c r="BC234">
        <v>74.120199999999997</v>
      </c>
      <c r="BD234">
        <v>6</v>
      </c>
      <c r="BE234">
        <v>117.7</v>
      </c>
      <c r="BF234" t="s">
        <v>202</v>
      </c>
      <c r="BG234">
        <v>1.187530524742239</v>
      </c>
      <c r="BH234">
        <v>0.16666666666666699</v>
      </c>
      <c r="BI234">
        <v>0.41136752136752103</v>
      </c>
      <c r="BJ234">
        <v>80</v>
      </c>
      <c r="BK234">
        <v>3216.0954501597348</v>
      </c>
      <c r="BL234">
        <v>2459.0371776168481</v>
      </c>
      <c r="BM234">
        <v>3.586914800182194</v>
      </c>
      <c r="BN234">
        <v>609.77551603097299</v>
      </c>
      <c r="BO234">
        <v>2606.3199341287618</v>
      </c>
    </row>
    <row r="235" spans="1:67" x14ac:dyDescent="0.25">
      <c r="A235" s="1">
        <v>233</v>
      </c>
      <c r="B235" t="s">
        <v>69</v>
      </c>
      <c r="C235" t="s">
        <v>82</v>
      </c>
      <c r="D235">
        <v>1</v>
      </c>
      <c r="E235">
        <v>0</v>
      </c>
      <c r="F235">
        <v>1</v>
      </c>
      <c r="G235">
        <v>28.009699999999999</v>
      </c>
      <c r="H235">
        <v>2</v>
      </c>
      <c r="I235" t="s">
        <v>89</v>
      </c>
      <c r="J235">
        <v>4</v>
      </c>
      <c r="K235">
        <v>300</v>
      </c>
      <c r="L235">
        <v>50</v>
      </c>
      <c r="N235" t="s">
        <v>91</v>
      </c>
      <c r="O235">
        <v>50</v>
      </c>
      <c r="P235">
        <v>0.25</v>
      </c>
      <c r="Q235">
        <v>3.2500000000000001E-2</v>
      </c>
      <c r="R235">
        <v>77.5</v>
      </c>
      <c r="S235">
        <v>170</v>
      </c>
      <c r="T235">
        <v>20</v>
      </c>
      <c r="U235">
        <v>1812.1301775147931</v>
      </c>
      <c r="V235">
        <v>20</v>
      </c>
      <c r="W235">
        <v>0.95</v>
      </c>
      <c r="X235">
        <v>1</v>
      </c>
      <c r="Y235">
        <v>54986.719321199249</v>
      </c>
      <c r="Z235">
        <v>164960157.96359771</v>
      </c>
      <c r="AA235">
        <v>659840631.85439098</v>
      </c>
      <c r="AB235">
        <v>659840.63185439096</v>
      </c>
      <c r="AC235">
        <v>0</v>
      </c>
      <c r="AD235">
        <v>1709.691545911614</v>
      </c>
      <c r="AE235">
        <v>3077444.7826409061</v>
      </c>
      <c r="AF235">
        <v>1538722.391320453</v>
      </c>
      <c r="AG235">
        <v>43.099152564168499</v>
      </c>
      <c r="AH235">
        <v>338.59586221006572</v>
      </c>
      <c r="AI235">
        <v>67.719172442013132</v>
      </c>
      <c r="AJ235">
        <v>21444.820535267711</v>
      </c>
      <c r="AK235">
        <v>854.70085470085473</v>
      </c>
      <c r="AL235" t="s">
        <v>93</v>
      </c>
      <c r="AM235">
        <v>26241.179321280091</v>
      </c>
      <c r="AN235">
        <v>613.63957450488408</v>
      </c>
      <c r="AO235">
        <v>11512.25931514223</v>
      </c>
      <c r="AP235">
        <v>49154.340285753533</v>
      </c>
      <c r="AQ235">
        <v>37642.0809706113</v>
      </c>
      <c r="AR235">
        <v>1.393677030777778E-2</v>
      </c>
      <c r="AS235">
        <v>464.09955170307319</v>
      </c>
      <c r="AT235">
        <v>567.90027872406324</v>
      </c>
      <c r="AU235">
        <v>13.280122860744941</v>
      </c>
      <c r="AV235">
        <v>249.14334808539539</v>
      </c>
      <c r="AW235">
        <v>1063.7770203467801</v>
      </c>
      <c r="AX235">
        <v>814.63367226138462</v>
      </c>
      <c r="AY235">
        <v>1.57124139137513</v>
      </c>
      <c r="AZ235" t="s">
        <v>120</v>
      </c>
      <c r="BA235" t="str">
        <f>VLOOKUP($AZ235,Sheet1!$A$2:$B$58,2)</f>
        <v>Butyrate</v>
      </c>
      <c r="BB235" t="s">
        <v>170</v>
      </c>
      <c r="BC235">
        <v>87.095680000000002</v>
      </c>
      <c r="BD235">
        <v>4.75</v>
      </c>
      <c r="BE235">
        <v>163.5</v>
      </c>
      <c r="BF235" t="s">
        <v>202</v>
      </c>
      <c r="BG235">
        <v>0.50530634814493669</v>
      </c>
      <c r="BH235">
        <v>0.2</v>
      </c>
      <c r="BI235">
        <v>0.580057808857809</v>
      </c>
      <c r="BJ235">
        <v>80</v>
      </c>
      <c r="BK235">
        <v>2292.3944047091222</v>
      </c>
      <c r="BL235">
        <v>1755.5010462351131</v>
      </c>
      <c r="BM235">
        <v>2.8806522739557199</v>
      </c>
      <c r="BN235">
        <v>489.71088657247242</v>
      </c>
      <c r="BO235">
        <v>1802.68351813665</v>
      </c>
    </row>
    <row r="236" spans="1:67" x14ac:dyDescent="0.25">
      <c r="A236" s="1">
        <v>234</v>
      </c>
      <c r="B236" t="s">
        <v>69</v>
      </c>
      <c r="C236" t="s">
        <v>82</v>
      </c>
      <c r="D236">
        <v>1</v>
      </c>
      <c r="E236">
        <v>0</v>
      </c>
      <c r="F236">
        <v>1</v>
      </c>
      <c r="G236">
        <v>28.009699999999999</v>
      </c>
      <c r="H236">
        <v>2</v>
      </c>
      <c r="I236" t="s">
        <v>89</v>
      </c>
      <c r="J236">
        <v>4</v>
      </c>
      <c r="K236">
        <v>300</v>
      </c>
      <c r="L236">
        <v>50</v>
      </c>
      <c r="N236" t="s">
        <v>91</v>
      </c>
      <c r="O236">
        <v>50</v>
      </c>
      <c r="P236">
        <v>0.25</v>
      </c>
      <c r="Q236">
        <v>3.2500000000000001E-2</v>
      </c>
      <c r="R236">
        <v>77.5</v>
      </c>
      <c r="S236">
        <v>170</v>
      </c>
      <c r="T236">
        <v>20</v>
      </c>
      <c r="U236">
        <v>1812.1301775147931</v>
      </c>
      <c r="V236">
        <v>20</v>
      </c>
      <c r="W236">
        <v>0.95</v>
      </c>
      <c r="X236">
        <v>1</v>
      </c>
      <c r="Y236">
        <v>163700.43815151701</v>
      </c>
      <c r="Z236">
        <v>491101314.45455092</v>
      </c>
      <c r="AA236">
        <v>1964405257.8182039</v>
      </c>
      <c r="AB236">
        <v>1964405.2578182039</v>
      </c>
      <c r="AC236">
        <v>0</v>
      </c>
      <c r="AD236">
        <v>5089.9064105789184</v>
      </c>
      <c r="AE236">
        <v>9161831.5390420519</v>
      </c>
      <c r="AF236">
        <v>4580915.7695210259</v>
      </c>
      <c r="AG236">
        <v>128.31007642955311</v>
      </c>
      <c r="AH236">
        <v>1008.030515083102</v>
      </c>
      <c r="AI236">
        <v>201.6061030166203</v>
      </c>
      <c r="AJ236">
        <v>63843.170879091616</v>
      </c>
      <c r="AK236">
        <v>854.70085470085473</v>
      </c>
      <c r="AL236" t="s">
        <v>93</v>
      </c>
      <c r="AM236">
        <v>78122.36491894038</v>
      </c>
      <c r="AN236">
        <v>1826.8605302086439</v>
      </c>
      <c r="AO236">
        <v>34273.037512825453</v>
      </c>
      <c r="AP236">
        <v>144647.09718294151</v>
      </c>
      <c r="AQ236">
        <v>110374.0596701161</v>
      </c>
      <c r="AR236">
        <v>1.393677030777778E-2</v>
      </c>
      <c r="AS236">
        <v>464.09955170307319</v>
      </c>
      <c r="AT236">
        <v>567.90027872406324</v>
      </c>
      <c r="AU236">
        <v>13.280122860744941</v>
      </c>
      <c r="AV236">
        <v>249.14334808539539</v>
      </c>
      <c r="AW236">
        <v>1051.4930889771811</v>
      </c>
      <c r="AX236">
        <v>802.34974089178513</v>
      </c>
      <c r="AY236">
        <v>1.5712413913751311</v>
      </c>
      <c r="AZ236" t="s">
        <v>121</v>
      </c>
      <c r="BA236" t="str">
        <f>VLOOKUP($AZ236,Sheet1!$A$2:$B$58,2)</f>
        <v>Catechol</v>
      </c>
      <c r="BB236" t="s">
        <v>171</v>
      </c>
      <c r="BC236">
        <v>110.10924</v>
      </c>
      <c r="BD236">
        <v>4.333333333333333</v>
      </c>
      <c r="BE236">
        <v>245</v>
      </c>
      <c r="BF236" t="s">
        <v>202</v>
      </c>
      <c r="BG236">
        <v>0.1998469883181469</v>
      </c>
      <c r="BH236">
        <v>5.3138686131386899E-2</v>
      </c>
      <c r="BI236">
        <v>0.19484050431320499</v>
      </c>
      <c r="BJ236">
        <v>80</v>
      </c>
      <c r="BK236">
        <v>6745.8579305904459</v>
      </c>
      <c r="BL236">
        <v>5147.4778288528532</v>
      </c>
      <c r="BM236">
        <v>9.8804581625128698</v>
      </c>
      <c r="BN236">
        <v>1679.6778876271881</v>
      </c>
      <c r="BO236">
        <v>5066.1800429632594</v>
      </c>
    </row>
    <row r="237" spans="1:67" x14ac:dyDescent="0.25">
      <c r="A237" s="1">
        <v>235</v>
      </c>
      <c r="B237" t="s">
        <v>69</v>
      </c>
      <c r="C237" t="s">
        <v>82</v>
      </c>
      <c r="D237">
        <v>1</v>
      </c>
      <c r="E237">
        <v>0</v>
      </c>
      <c r="F237">
        <v>1</v>
      </c>
      <c r="G237">
        <v>28.009699999999999</v>
      </c>
      <c r="H237">
        <v>2</v>
      </c>
      <c r="I237" t="s">
        <v>89</v>
      </c>
      <c r="J237">
        <v>4</v>
      </c>
      <c r="K237">
        <v>300</v>
      </c>
      <c r="L237">
        <v>50</v>
      </c>
      <c r="N237" t="s">
        <v>91</v>
      </c>
      <c r="O237">
        <v>50</v>
      </c>
      <c r="P237">
        <v>0.25</v>
      </c>
      <c r="Q237">
        <v>3.2500000000000001E-2</v>
      </c>
      <c r="R237">
        <v>77.5</v>
      </c>
      <c r="S237">
        <v>170</v>
      </c>
      <c r="T237">
        <v>20</v>
      </c>
      <c r="U237">
        <v>1812.1301775147931</v>
      </c>
      <c r="V237">
        <v>20</v>
      </c>
      <c r="W237">
        <v>0.95</v>
      </c>
      <c r="X237">
        <v>1</v>
      </c>
      <c r="Y237">
        <v>50095.910604025572</v>
      </c>
      <c r="Z237">
        <v>150287731.81207669</v>
      </c>
      <c r="AA237">
        <v>601150927.24830687</v>
      </c>
      <c r="AB237">
        <v>601150.92724830692</v>
      </c>
      <c r="AC237">
        <v>0</v>
      </c>
      <c r="AD237">
        <v>1557.6225659897859</v>
      </c>
      <c r="AE237">
        <v>2803720.618781615</v>
      </c>
      <c r="AF237">
        <v>1401860.309390808</v>
      </c>
      <c r="AG237">
        <v>39.265686707943708</v>
      </c>
      <c r="AH237">
        <v>308.47936108144722</v>
      </c>
      <c r="AI237">
        <v>61.695872216289438</v>
      </c>
      <c r="AJ237">
        <v>19537.40513556997</v>
      </c>
      <c r="AK237">
        <v>854.70085470085473</v>
      </c>
      <c r="AL237" t="s">
        <v>93</v>
      </c>
      <c r="AM237">
        <v>23907.150483812151</v>
      </c>
      <c r="AN237">
        <v>559.05923552048171</v>
      </c>
      <c r="AO237">
        <v>10488.298276769199</v>
      </c>
      <c r="AP237">
        <v>44858.315709603463</v>
      </c>
      <c r="AQ237">
        <v>34370.017432834247</v>
      </c>
      <c r="AR237">
        <v>1.393677030777778E-2</v>
      </c>
      <c r="AS237">
        <v>464.09955170307319</v>
      </c>
      <c r="AT237">
        <v>567.90027872406313</v>
      </c>
      <c r="AU237">
        <v>13.280122860744941</v>
      </c>
      <c r="AV237">
        <v>249.14334808539539</v>
      </c>
      <c r="AW237">
        <v>1065.582868682962</v>
      </c>
      <c r="AX237">
        <v>816.43952059756668</v>
      </c>
      <c r="AY237">
        <v>1.57124139137513</v>
      </c>
      <c r="AZ237" t="s">
        <v>123</v>
      </c>
      <c r="BA237" t="str">
        <f>VLOOKUP($AZ237,Sheet1!$A$2:$B$58,2)</f>
        <v>Citrate</v>
      </c>
      <c r="BB237" t="s">
        <v>173</v>
      </c>
      <c r="BC237">
        <v>189.09639999999999</v>
      </c>
      <c r="BD237">
        <v>2.5</v>
      </c>
      <c r="BF237" t="s">
        <v>202</v>
      </c>
      <c r="BG237">
        <v>0</v>
      </c>
      <c r="BH237">
        <v>0.101111111111111</v>
      </c>
      <c r="BI237">
        <v>0.63668821548821497</v>
      </c>
      <c r="BJ237">
        <v>80</v>
      </c>
      <c r="BK237">
        <v>2092.0421541528549</v>
      </c>
      <c r="BL237">
        <v>1602.90292158839</v>
      </c>
      <c r="BM237">
        <v>3.0847936108144709</v>
      </c>
      <c r="BN237">
        <v>524.41491383846017</v>
      </c>
      <c r="BO237">
        <v>1567.6272403143951</v>
      </c>
    </row>
    <row r="238" spans="1:67" x14ac:dyDescent="0.25">
      <c r="A238" s="1">
        <v>236</v>
      </c>
      <c r="B238" t="s">
        <v>69</v>
      </c>
      <c r="C238" t="s">
        <v>82</v>
      </c>
      <c r="D238">
        <v>1</v>
      </c>
      <c r="E238">
        <v>0</v>
      </c>
      <c r="F238">
        <v>1</v>
      </c>
      <c r="G238">
        <v>28.009699999999999</v>
      </c>
      <c r="H238">
        <v>2</v>
      </c>
      <c r="I238" t="s">
        <v>89</v>
      </c>
      <c r="J238">
        <v>4</v>
      </c>
      <c r="K238">
        <v>300</v>
      </c>
      <c r="L238">
        <v>50</v>
      </c>
      <c r="N238" t="s">
        <v>91</v>
      </c>
      <c r="O238">
        <v>50</v>
      </c>
      <c r="P238">
        <v>0.25</v>
      </c>
      <c r="Q238">
        <v>3.2500000000000001E-2</v>
      </c>
      <c r="R238">
        <v>77.5</v>
      </c>
      <c r="S238">
        <v>170</v>
      </c>
      <c r="T238">
        <v>20</v>
      </c>
      <c r="U238">
        <v>1812.1301775147931</v>
      </c>
      <c r="V238">
        <v>20</v>
      </c>
      <c r="W238">
        <v>0.95</v>
      </c>
      <c r="X238">
        <v>1</v>
      </c>
      <c r="Y238">
        <v>173384.09911551329</v>
      </c>
      <c r="Z238">
        <v>520152297.34653968</v>
      </c>
      <c r="AA238">
        <v>2080609189.3861589</v>
      </c>
      <c r="AB238">
        <v>2080609.1893861589</v>
      </c>
      <c r="AC238">
        <v>0</v>
      </c>
      <c r="AD238">
        <v>5390.9986286272097</v>
      </c>
      <c r="AE238">
        <v>9703797.5315289777</v>
      </c>
      <c r="AF238">
        <v>4851898.7657644888</v>
      </c>
      <c r="AG238">
        <v>135.90022885943361</v>
      </c>
      <c r="AH238">
        <v>1067.6603234064751</v>
      </c>
      <c r="AI238">
        <v>213.53206468129511</v>
      </c>
      <c r="AJ238">
        <v>67619.798655050166</v>
      </c>
      <c r="AK238">
        <v>854.70085470085473</v>
      </c>
      <c r="AL238" t="s">
        <v>93</v>
      </c>
      <c r="AM238">
        <v>82743.675064001829</v>
      </c>
      <c r="AN238">
        <v>1934.928035725477</v>
      </c>
      <c r="AO238">
        <v>36300.450995820167</v>
      </c>
      <c r="AP238">
        <v>153153.10260947829</v>
      </c>
      <c r="AQ238">
        <v>116852.6516136581</v>
      </c>
      <c r="AR238">
        <v>1.393677030777778E-2</v>
      </c>
      <c r="AS238">
        <v>464.09955170307319</v>
      </c>
      <c r="AT238">
        <v>567.90027872406301</v>
      </c>
      <c r="AU238">
        <v>13.280122860744941</v>
      </c>
      <c r="AV238">
        <v>249.14334808539539</v>
      </c>
      <c r="AW238">
        <v>1051.146079650227</v>
      </c>
      <c r="AX238">
        <v>802.00273156483127</v>
      </c>
      <c r="AY238">
        <v>1.57124139137513</v>
      </c>
      <c r="AZ238" t="s">
        <v>124</v>
      </c>
      <c r="BA238" t="str">
        <f>VLOOKUP($AZ238,Sheet1!$A$2:$B$58,2)</f>
        <v>Coumaric Acid</v>
      </c>
      <c r="BB238" t="s">
        <v>174</v>
      </c>
      <c r="BC238">
        <v>163.14818</v>
      </c>
      <c r="BD238">
        <v>4.1111111111111107</v>
      </c>
      <c r="BE238">
        <v>346</v>
      </c>
      <c r="BF238" t="s">
        <v>202</v>
      </c>
      <c r="BG238">
        <v>0.13487738569930879</v>
      </c>
      <c r="BH238">
        <v>3.3860465116279097E-2</v>
      </c>
      <c r="BI238">
        <v>0.183958483439041</v>
      </c>
      <c r="BJ238">
        <v>80</v>
      </c>
      <c r="BK238">
        <v>7142.5496394581096</v>
      </c>
      <c r="BL238">
        <v>5449.6177382775732</v>
      </c>
      <c r="BM238">
        <v>10.54172584836545</v>
      </c>
      <c r="BN238">
        <v>1792.0933942221261</v>
      </c>
      <c r="BO238">
        <v>5350.4562452359842</v>
      </c>
    </row>
    <row r="239" spans="1:67" x14ac:dyDescent="0.25">
      <c r="A239" s="1">
        <v>237</v>
      </c>
      <c r="B239" t="s">
        <v>69</v>
      </c>
      <c r="C239" t="s">
        <v>82</v>
      </c>
      <c r="D239">
        <v>1</v>
      </c>
      <c r="E239">
        <v>0</v>
      </c>
      <c r="F239">
        <v>1</v>
      </c>
      <c r="G239">
        <v>28.009699999999999</v>
      </c>
      <c r="H239">
        <v>2</v>
      </c>
      <c r="I239" t="s">
        <v>89</v>
      </c>
      <c r="J239">
        <v>4</v>
      </c>
      <c r="K239">
        <v>300</v>
      </c>
      <c r="L239">
        <v>50</v>
      </c>
      <c r="N239" t="s">
        <v>91</v>
      </c>
      <c r="O239">
        <v>50</v>
      </c>
      <c r="P239">
        <v>0.25</v>
      </c>
      <c r="Q239">
        <v>3.2500000000000001E-2</v>
      </c>
      <c r="R239">
        <v>77.5</v>
      </c>
      <c r="S239">
        <v>170</v>
      </c>
      <c r="T239">
        <v>20</v>
      </c>
      <c r="U239">
        <v>1812.1301775147931</v>
      </c>
      <c r="V239">
        <v>20</v>
      </c>
      <c r="W239">
        <v>0.95</v>
      </c>
      <c r="X239">
        <v>1</v>
      </c>
      <c r="Y239">
        <v>54357.71136328025</v>
      </c>
      <c r="Z239">
        <v>163073134.08984071</v>
      </c>
      <c r="AA239">
        <v>652292536.35936296</v>
      </c>
      <c r="AB239">
        <v>652292.536359363</v>
      </c>
      <c r="AC239">
        <v>0</v>
      </c>
      <c r="AD239">
        <v>1690.1339217936279</v>
      </c>
      <c r="AE239">
        <v>3042241.0592285302</v>
      </c>
      <c r="AF239">
        <v>1521120.5296142651</v>
      </c>
      <c r="AG239">
        <v>42.60612969833668</v>
      </c>
      <c r="AH239">
        <v>334.722572541619</v>
      </c>
      <c r="AI239">
        <v>66.944514508323806</v>
      </c>
      <c r="AJ239">
        <v>21199.5074316793</v>
      </c>
      <c r="AK239">
        <v>854.70085470085473</v>
      </c>
      <c r="AL239" t="s">
        <v>93</v>
      </c>
      <c r="AM239">
        <v>25940.999371975471</v>
      </c>
      <c r="AN239">
        <v>606.61998540368825</v>
      </c>
      <c r="AO239">
        <v>11380.56746641505</v>
      </c>
      <c r="AP239">
        <v>48601.827643759323</v>
      </c>
      <c r="AQ239">
        <v>37221.260177344273</v>
      </c>
      <c r="AR239">
        <v>1.393677030777778E-2</v>
      </c>
      <c r="AS239">
        <v>464.0995517030733</v>
      </c>
      <c r="AT239">
        <v>567.90027872406313</v>
      </c>
      <c r="AU239">
        <v>13.280122860744941</v>
      </c>
      <c r="AV239">
        <v>249.14334808539539</v>
      </c>
      <c r="AW239">
        <v>1063.9910617787391</v>
      </c>
      <c r="AX239">
        <v>814.84771369334362</v>
      </c>
      <c r="AY239">
        <v>1.5712413913751311</v>
      </c>
      <c r="AZ239" t="s">
        <v>125</v>
      </c>
      <c r="BA239" t="str">
        <f>VLOOKUP($AZ239,Sheet1!$A$2:$B$58,2)</f>
        <v>Ethyl Acetate</v>
      </c>
      <c r="BB239" t="s">
        <v>175</v>
      </c>
      <c r="BC239">
        <v>88.103520000000003</v>
      </c>
      <c r="BD239">
        <v>5</v>
      </c>
      <c r="BE239">
        <v>77.099999999999994</v>
      </c>
      <c r="BF239" t="s">
        <v>202</v>
      </c>
      <c r="BG239">
        <v>0.49952601212755171</v>
      </c>
      <c r="BH239">
        <v>0.2</v>
      </c>
      <c r="BI239">
        <v>0.58677002997003003</v>
      </c>
      <c r="BJ239">
        <v>80</v>
      </c>
      <c r="BK239">
        <v>2266.627058800796</v>
      </c>
      <c r="BL239">
        <v>1735.875368700586</v>
      </c>
      <c r="BM239">
        <v>2.8476997132886388</v>
      </c>
      <c r="BN239">
        <v>484.10895125906859</v>
      </c>
      <c r="BO239">
        <v>1782.518107541727</v>
      </c>
    </row>
    <row r="240" spans="1:67" x14ac:dyDescent="0.25">
      <c r="A240" s="1">
        <v>238</v>
      </c>
      <c r="B240" t="s">
        <v>69</v>
      </c>
      <c r="C240" t="s">
        <v>82</v>
      </c>
      <c r="D240">
        <v>1</v>
      </c>
      <c r="E240">
        <v>0</v>
      </c>
      <c r="F240">
        <v>1</v>
      </c>
      <c r="G240">
        <v>28.009699999999999</v>
      </c>
      <c r="H240">
        <v>2</v>
      </c>
      <c r="I240" t="s">
        <v>89</v>
      </c>
      <c r="J240">
        <v>4</v>
      </c>
      <c r="K240">
        <v>300</v>
      </c>
      <c r="L240">
        <v>50</v>
      </c>
      <c r="N240" t="s">
        <v>91</v>
      </c>
      <c r="O240">
        <v>50</v>
      </c>
      <c r="P240">
        <v>0.25</v>
      </c>
      <c r="Q240">
        <v>3.2500000000000001E-2</v>
      </c>
      <c r="R240">
        <v>77.5</v>
      </c>
      <c r="S240">
        <v>170</v>
      </c>
      <c r="T240">
        <v>20</v>
      </c>
      <c r="U240">
        <v>1812.1301775147931</v>
      </c>
      <c r="V240">
        <v>20</v>
      </c>
      <c r="W240">
        <v>0.95</v>
      </c>
      <c r="X240">
        <v>1</v>
      </c>
      <c r="Y240">
        <v>186715.01479950809</v>
      </c>
      <c r="Z240">
        <v>560145044.3985244</v>
      </c>
      <c r="AA240">
        <v>2240580177.5940981</v>
      </c>
      <c r="AB240">
        <v>2240580.1775940978</v>
      </c>
      <c r="AC240">
        <v>0</v>
      </c>
      <c r="AD240">
        <v>5805.494240032046</v>
      </c>
      <c r="AE240">
        <v>10449889.63205768</v>
      </c>
      <c r="AF240">
        <v>5224944.8160288418</v>
      </c>
      <c r="AG240">
        <v>146.34913681352299</v>
      </c>
      <c r="AH240">
        <v>1149.749106767146</v>
      </c>
      <c r="AI240">
        <v>229.94982135342929</v>
      </c>
      <c r="AJ240">
        <v>72818.855771808187</v>
      </c>
      <c r="AK240">
        <v>1835.336538461539</v>
      </c>
      <c r="AL240" t="s">
        <v>94</v>
      </c>
      <c r="AM240">
        <v>89105.555774453838</v>
      </c>
      <c r="AN240">
        <v>2083.698093824456</v>
      </c>
      <c r="AO240">
        <v>39091.469630082982</v>
      </c>
      <c r="AP240">
        <v>165843.44617854801</v>
      </c>
      <c r="AQ240">
        <v>126751.9765484651</v>
      </c>
      <c r="AR240">
        <v>1.393677030777778E-2</v>
      </c>
      <c r="AS240">
        <v>464.09955170307319</v>
      </c>
      <c r="AT240">
        <v>567.90027872406313</v>
      </c>
      <c r="AU240">
        <v>13.280122860744941</v>
      </c>
      <c r="AV240">
        <v>249.14334808539539</v>
      </c>
      <c r="AW240">
        <v>1056.977182744404</v>
      </c>
      <c r="AX240">
        <v>807.8338346590084</v>
      </c>
      <c r="AY240">
        <v>1.57124139137513</v>
      </c>
      <c r="AZ240" t="s">
        <v>126</v>
      </c>
      <c r="BA240" t="str">
        <f>VLOOKUP($AZ240,Sheet1!$A$2:$B$58,2)</f>
        <v>Farnesene</v>
      </c>
      <c r="BB240" t="s">
        <v>176</v>
      </c>
      <c r="BC240">
        <v>204.34866</v>
      </c>
      <c r="BD240">
        <v>5.6</v>
      </c>
      <c r="BE240" t="s">
        <v>198</v>
      </c>
      <c r="BF240" t="s">
        <v>202</v>
      </c>
      <c r="BG240">
        <v>1.2922032373493419</v>
      </c>
      <c r="BH240">
        <v>2.5103448275862E-2</v>
      </c>
      <c r="BI240">
        <v>0.17082437617554799</v>
      </c>
      <c r="BJ240">
        <v>80</v>
      </c>
      <c r="BK240">
        <v>7734.3849163116474</v>
      </c>
      <c r="BL240">
        <v>5911.2892195552085</v>
      </c>
      <c r="BM240">
        <v>10.205287830322121</v>
      </c>
      <c r="BN240">
        <v>1734.89893115476</v>
      </c>
      <c r="BO240">
        <v>5999.4859851568863</v>
      </c>
    </row>
    <row r="241" spans="1:67" x14ac:dyDescent="0.25">
      <c r="A241" s="1">
        <v>239</v>
      </c>
      <c r="B241" t="s">
        <v>69</v>
      </c>
      <c r="C241" t="s">
        <v>82</v>
      </c>
      <c r="D241">
        <v>1</v>
      </c>
      <c r="E241">
        <v>0</v>
      </c>
      <c r="F241">
        <v>1</v>
      </c>
      <c r="G241">
        <v>28.009699999999999</v>
      </c>
      <c r="H241">
        <v>2</v>
      </c>
      <c r="I241" t="s">
        <v>89</v>
      </c>
      <c r="J241">
        <v>4</v>
      </c>
      <c r="K241">
        <v>300</v>
      </c>
      <c r="L241">
        <v>50</v>
      </c>
      <c r="N241" t="s">
        <v>91</v>
      </c>
      <c r="O241">
        <v>50</v>
      </c>
      <c r="P241">
        <v>0.25</v>
      </c>
      <c r="Q241">
        <v>3.2500000000000001E-2</v>
      </c>
      <c r="R241">
        <v>77.5</v>
      </c>
      <c r="S241">
        <v>170</v>
      </c>
      <c r="T241">
        <v>20</v>
      </c>
      <c r="U241">
        <v>1812.1301775147931</v>
      </c>
      <c r="V241">
        <v>20</v>
      </c>
      <c r="W241">
        <v>0.95</v>
      </c>
      <c r="X241">
        <v>1</v>
      </c>
      <c r="Y241">
        <v>129906.2823095637</v>
      </c>
      <c r="Z241">
        <v>389718846.92869103</v>
      </c>
      <c r="AA241">
        <v>1558875387.7147641</v>
      </c>
      <c r="AB241">
        <v>1558875.3877147641</v>
      </c>
      <c r="AC241">
        <v>0</v>
      </c>
      <c r="AD241">
        <v>4039.151187182058</v>
      </c>
      <c r="AE241">
        <v>7270472.1369277043</v>
      </c>
      <c r="AF241">
        <v>3635236.0684638522</v>
      </c>
      <c r="AG241">
        <v>101.82187170685199</v>
      </c>
      <c r="AH241">
        <v>799.93369686547055</v>
      </c>
      <c r="AI241">
        <v>159.98673937309411</v>
      </c>
      <c r="AJ241">
        <v>50663.450100729839</v>
      </c>
      <c r="AK241">
        <v>1835.336538461539</v>
      </c>
      <c r="AL241" t="s">
        <v>94</v>
      </c>
      <c r="AM241">
        <v>61994.861507073969</v>
      </c>
      <c r="AN241">
        <v>1449.7252570443659</v>
      </c>
      <c r="AO241">
        <v>27197.745693426001</v>
      </c>
      <c r="AP241">
        <v>115943.3734033097</v>
      </c>
      <c r="AQ241">
        <v>88745.627709883702</v>
      </c>
      <c r="AR241">
        <v>1.393677030777778E-2</v>
      </c>
      <c r="AS241">
        <v>464.09955170307319</v>
      </c>
      <c r="AT241">
        <v>567.90027872406313</v>
      </c>
      <c r="AU241">
        <v>13.280122860744941</v>
      </c>
      <c r="AV241">
        <v>249.14334808539539</v>
      </c>
      <c r="AW241">
        <v>1062.0924455881629</v>
      </c>
      <c r="AX241">
        <v>812.94909750276793</v>
      </c>
      <c r="AY241">
        <v>1.57124139137513</v>
      </c>
      <c r="AZ241" t="s">
        <v>127</v>
      </c>
      <c r="BA241" t="str">
        <f>VLOOKUP($AZ241,Sheet1!$A$2:$B$58,2)</f>
        <v>Gamma Butyrolactone</v>
      </c>
      <c r="BB241" t="s">
        <v>177</v>
      </c>
      <c r="BC241">
        <v>86.08784</v>
      </c>
      <c r="BD241">
        <v>4.5</v>
      </c>
      <c r="BE241">
        <v>204</v>
      </c>
      <c r="BF241" t="s">
        <v>202</v>
      </c>
      <c r="BG241">
        <v>0.25561101312334028</v>
      </c>
      <c r="BH241">
        <v>8.5647058823529298E-2</v>
      </c>
      <c r="BI241">
        <v>0.245526816399287</v>
      </c>
      <c r="BJ241">
        <v>80</v>
      </c>
      <c r="BK241">
        <v>5407.2120367747311</v>
      </c>
      <c r="BL241">
        <v>4138.7999355063967</v>
      </c>
      <c r="BM241">
        <v>7.7437259555313638</v>
      </c>
      <c r="BN241">
        <v>1316.4334124403319</v>
      </c>
      <c r="BO241">
        <v>4090.778624334399</v>
      </c>
    </row>
    <row r="242" spans="1:67" x14ac:dyDescent="0.25">
      <c r="A242" s="1">
        <v>240</v>
      </c>
      <c r="B242" t="s">
        <v>69</v>
      </c>
      <c r="C242" t="s">
        <v>82</v>
      </c>
      <c r="D242">
        <v>1</v>
      </c>
      <c r="E242">
        <v>0</v>
      </c>
      <c r="F242">
        <v>1</v>
      </c>
      <c r="G242">
        <v>28.009699999999999</v>
      </c>
      <c r="H242">
        <v>2</v>
      </c>
      <c r="I242" t="s">
        <v>89</v>
      </c>
      <c r="J242">
        <v>4</v>
      </c>
      <c r="K242">
        <v>300</v>
      </c>
      <c r="L242">
        <v>50</v>
      </c>
      <c r="N242" t="s">
        <v>91</v>
      </c>
      <c r="O242">
        <v>50</v>
      </c>
      <c r="P242">
        <v>0.25</v>
      </c>
      <c r="Q242">
        <v>3.2500000000000001E-2</v>
      </c>
      <c r="R242">
        <v>77.5</v>
      </c>
      <c r="S242">
        <v>170</v>
      </c>
      <c r="T242">
        <v>20</v>
      </c>
      <c r="U242">
        <v>1812.1301775147931</v>
      </c>
      <c r="V242">
        <v>20</v>
      </c>
      <c r="W242">
        <v>0.95</v>
      </c>
      <c r="X242">
        <v>1</v>
      </c>
      <c r="Y242">
        <v>55826.226802158977</v>
      </c>
      <c r="Z242">
        <v>167478680.40647691</v>
      </c>
      <c r="AA242">
        <v>669914721.62590766</v>
      </c>
      <c r="AB242">
        <v>669914.7216259077</v>
      </c>
      <c r="AC242">
        <v>0</v>
      </c>
      <c r="AD242">
        <v>1735.794191434841</v>
      </c>
      <c r="AE242">
        <v>3124429.5445827129</v>
      </c>
      <c r="AF242">
        <v>1562214.7722913569</v>
      </c>
      <c r="AG242">
        <v>43.75716710744922</v>
      </c>
      <c r="AH242">
        <v>343.76536064271289</v>
      </c>
      <c r="AI242">
        <v>68.753072128542598</v>
      </c>
      <c r="AJ242">
        <v>21772.228452841999</v>
      </c>
      <c r="AK242">
        <v>854.70085470085473</v>
      </c>
      <c r="AL242" t="s">
        <v>93</v>
      </c>
      <c r="AM242">
        <v>26641.815449810249</v>
      </c>
      <c r="AN242">
        <v>623.00829152909068</v>
      </c>
      <c r="AO242">
        <v>11688.02226185224</v>
      </c>
      <c r="AP242">
        <v>49891.753048882187</v>
      </c>
      <c r="AQ242">
        <v>38203.730787029963</v>
      </c>
      <c r="AR242">
        <v>1.393677030777778E-2</v>
      </c>
      <c r="AS242">
        <v>464.09955170307319</v>
      </c>
      <c r="AT242">
        <v>567.90027872406313</v>
      </c>
      <c r="AU242">
        <v>13.280122860744941</v>
      </c>
      <c r="AV242">
        <v>249.14334808539539</v>
      </c>
      <c r="AW242">
        <v>1063.49886387694</v>
      </c>
      <c r="AX242">
        <v>814.3555157915448</v>
      </c>
      <c r="AY242">
        <v>1.57124139137513</v>
      </c>
      <c r="AZ242" t="s">
        <v>128</v>
      </c>
      <c r="BA242" t="str">
        <f>VLOOKUP($AZ242,Sheet1!$A$2:$B$58,2)</f>
        <v>L-Glutamate</v>
      </c>
      <c r="BB242" t="s">
        <v>178</v>
      </c>
      <c r="BC242">
        <v>146.11892</v>
      </c>
      <c r="BD242">
        <v>3.4</v>
      </c>
      <c r="BE242">
        <v>333.8</v>
      </c>
      <c r="BF242" t="s">
        <v>202</v>
      </c>
      <c r="BG242">
        <v>0</v>
      </c>
      <c r="BH242">
        <v>0.11741935483870999</v>
      </c>
      <c r="BI242">
        <v>0.57133497556207202</v>
      </c>
      <c r="BJ242">
        <v>80</v>
      </c>
      <c r="BK242">
        <v>2326.7848752622831</v>
      </c>
      <c r="BL242">
        <v>1781.6945194681809</v>
      </c>
      <c r="BM242">
        <v>3.437653606427129</v>
      </c>
      <c r="BN242">
        <v>584.40111309261204</v>
      </c>
      <c r="BO242">
        <v>1742.3837621696709</v>
      </c>
    </row>
    <row r="243" spans="1:67" x14ac:dyDescent="0.25">
      <c r="A243" s="1">
        <v>241</v>
      </c>
      <c r="B243" t="s">
        <v>69</v>
      </c>
      <c r="C243" t="s">
        <v>82</v>
      </c>
      <c r="D243">
        <v>1</v>
      </c>
      <c r="E243">
        <v>0</v>
      </c>
      <c r="F243">
        <v>1</v>
      </c>
      <c r="G243">
        <v>28.009699999999999</v>
      </c>
      <c r="H243">
        <v>2</v>
      </c>
      <c r="I243" t="s">
        <v>89</v>
      </c>
      <c r="J243">
        <v>4</v>
      </c>
      <c r="K243">
        <v>300</v>
      </c>
      <c r="L243">
        <v>50</v>
      </c>
      <c r="N243" t="s">
        <v>91</v>
      </c>
      <c r="O243">
        <v>50</v>
      </c>
      <c r="P243">
        <v>0.25</v>
      </c>
      <c r="Q243">
        <v>3.2500000000000001E-2</v>
      </c>
      <c r="R243">
        <v>77.5</v>
      </c>
      <c r="S243">
        <v>170</v>
      </c>
      <c r="T243">
        <v>20</v>
      </c>
      <c r="U243">
        <v>1812.1301775147931</v>
      </c>
      <c r="V243">
        <v>20</v>
      </c>
      <c r="W243">
        <v>0.95</v>
      </c>
      <c r="X243">
        <v>1</v>
      </c>
      <c r="Y243">
        <v>105196.27285148361</v>
      </c>
      <c r="Z243">
        <v>315588818.55445081</v>
      </c>
      <c r="AA243">
        <v>1262355274.217803</v>
      </c>
      <c r="AB243">
        <v>1262355.274217803</v>
      </c>
      <c r="AC243">
        <v>0</v>
      </c>
      <c r="AD243">
        <v>3270.8475896697751</v>
      </c>
      <c r="AE243">
        <v>5887525.661405595</v>
      </c>
      <c r="AF243">
        <v>2943762.830702798</v>
      </c>
      <c r="AG243">
        <v>82.453913759136157</v>
      </c>
      <c r="AH243">
        <v>647.77501089615055</v>
      </c>
      <c r="AI243">
        <v>129.55500217923009</v>
      </c>
      <c r="AJ243">
        <v>41026.546412078613</v>
      </c>
      <c r="AK243">
        <v>854.70085470085473</v>
      </c>
      <c r="AL243" t="s">
        <v>93</v>
      </c>
      <c r="AM243">
        <v>50202.563344451657</v>
      </c>
      <c r="AN243">
        <v>1173.9670398411431</v>
      </c>
      <c r="AO243">
        <v>22024.350370469121</v>
      </c>
      <c r="AP243">
        <v>93257.777651072262</v>
      </c>
      <c r="AQ243">
        <v>71233.427280603137</v>
      </c>
      <c r="AR243">
        <v>1.393677030777778E-2</v>
      </c>
      <c r="AS243">
        <v>464.09955170307319</v>
      </c>
      <c r="AT243">
        <v>567.90027872406313</v>
      </c>
      <c r="AU243">
        <v>13.280122860744941</v>
      </c>
      <c r="AV243">
        <v>249.14334808539539</v>
      </c>
      <c r="AW243">
        <v>1054.948480575621</v>
      </c>
      <c r="AX243">
        <v>805.80513249022545</v>
      </c>
      <c r="AY243">
        <v>1.5712413913751311</v>
      </c>
      <c r="AZ243" t="s">
        <v>130</v>
      </c>
      <c r="BA243" t="str">
        <f>VLOOKUP($AZ243,Sheet1!$A$2:$B$58,2)</f>
        <v>Glycolate</v>
      </c>
      <c r="BB243" t="s">
        <v>180</v>
      </c>
      <c r="BC243">
        <v>75.041920000000005</v>
      </c>
      <c r="BD243">
        <v>2.5</v>
      </c>
      <c r="BE243">
        <v>112</v>
      </c>
      <c r="BF243" t="s">
        <v>202</v>
      </c>
      <c r="BG243">
        <v>0</v>
      </c>
      <c r="BH243">
        <v>0.121333333333333</v>
      </c>
      <c r="BI243">
        <v>0.30319967676767701</v>
      </c>
      <c r="BJ243">
        <v>80</v>
      </c>
      <c r="BK243">
        <v>4349.2315518856994</v>
      </c>
      <c r="BL243">
        <v>3322.089345050917</v>
      </c>
      <c r="BM243">
        <v>6.4777501089615068</v>
      </c>
      <c r="BN243">
        <v>1101.217518523456</v>
      </c>
      <c r="BO243">
        <v>3248.0140333622421</v>
      </c>
    </row>
    <row r="244" spans="1:67" x14ac:dyDescent="0.25">
      <c r="A244" s="1">
        <v>242</v>
      </c>
      <c r="B244" t="s">
        <v>69</v>
      </c>
      <c r="C244" t="s">
        <v>82</v>
      </c>
      <c r="D244">
        <v>1</v>
      </c>
      <c r="E244">
        <v>0</v>
      </c>
      <c r="F244">
        <v>1</v>
      </c>
      <c r="G244">
        <v>28.009699999999999</v>
      </c>
      <c r="H244">
        <v>2</v>
      </c>
      <c r="I244" t="s">
        <v>89</v>
      </c>
      <c r="J244">
        <v>4</v>
      </c>
      <c r="K244">
        <v>300</v>
      </c>
      <c r="L244">
        <v>50</v>
      </c>
      <c r="N244" t="s">
        <v>91</v>
      </c>
      <c r="O244">
        <v>50</v>
      </c>
      <c r="P244">
        <v>0.25</v>
      </c>
      <c r="Q244">
        <v>3.2500000000000001E-2</v>
      </c>
      <c r="R244">
        <v>77.5</v>
      </c>
      <c r="S244">
        <v>170</v>
      </c>
      <c r="T244">
        <v>20</v>
      </c>
      <c r="U244">
        <v>1812.1301775147931</v>
      </c>
      <c r="V244">
        <v>20</v>
      </c>
      <c r="W244">
        <v>0.95</v>
      </c>
      <c r="X244">
        <v>1</v>
      </c>
      <c r="Y244">
        <v>105149.668779046</v>
      </c>
      <c r="Z244">
        <v>315449006.33713788</v>
      </c>
      <c r="AA244">
        <v>1261796025.348552</v>
      </c>
      <c r="AB244">
        <v>1261796.025348552</v>
      </c>
      <c r="AC244">
        <v>0</v>
      </c>
      <c r="AD244">
        <v>3269.3985381599682</v>
      </c>
      <c r="AE244">
        <v>5884917.3686879426</v>
      </c>
      <c r="AF244">
        <v>2942458.6843439708</v>
      </c>
      <c r="AG244">
        <v>82.417385010869339</v>
      </c>
      <c r="AH244">
        <v>647.48803348989077</v>
      </c>
      <c r="AI244">
        <v>129.4976066979782</v>
      </c>
      <c r="AJ244">
        <v>41008.370823827929</v>
      </c>
      <c r="AK244">
        <v>854.70085470085473</v>
      </c>
      <c r="AL244" t="s">
        <v>93</v>
      </c>
      <c r="AM244">
        <v>50180.322595466532</v>
      </c>
      <c r="AN244">
        <v>1173.446948743986</v>
      </c>
      <c r="AO244">
        <v>22014.593138656292</v>
      </c>
      <c r="AP244">
        <v>93216.841222739313</v>
      </c>
      <c r="AQ244">
        <v>71202.248084083025</v>
      </c>
      <c r="AR244">
        <v>1.393677030777778E-2</v>
      </c>
      <c r="AS244">
        <v>464.0995517030733</v>
      </c>
      <c r="AT244">
        <v>567.90027872406313</v>
      </c>
      <c r="AU244">
        <v>13.280122860744941</v>
      </c>
      <c r="AV244">
        <v>249.14334808539539</v>
      </c>
      <c r="AW244">
        <v>1054.952765826838</v>
      </c>
      <c r="AX244">
        <v>805.8094177414423</v>
      </c>
      <c r="AY244">
        <v>1.5712413913751311</v>
      </c>
      <c r="AZ244" t="s">
        <v>131</v>
      </c>
      <c r="BA244" t="str">
        <f>VLOOKUP($AZ244,Sheet1!$A$2:$B$58,2)</f>
        <v>Heptane</v>
      </c>
      <c r="BB244" t="s">
        <v>181</v>
      </c>
      <c r="BC244">
        <v>100.20034</v>
      </c>
      <c r="BD244">
        <v>6.2857142857142856</v>
      </c>
      <c r="BE244">
        <v>98</v>
      </c>
      <c r="BF244" t="s">
        <v>202</v>
      </c>
      <c r="BG244">
        <v>1.756880266074951</v>
      </c>
      <c r="BH244">
        <v>9.0909090909090801E-2</v>
      </c>
      <c r="BI244">
        <v>0.30333405987951401</v>
      </c>
      <c r="BJ244">
        <v>80</v>
      </c>
      <c r="BK244">
        <v>4347.3224134715983</v>
      </c>
      <c r="BL244">
        <v>3320.6352513690449</v>
      </c>
      <c r="BM244">
        <v>4.7180000688239572</v>
      </c>
      <c r="BN244">
        <v>802.06001170007266</v>
      </c>
      <c r="BO244">
        <v>3545.2624017715261</v>
      </c>
    </row>
    <row r="245" spans="1:67" x14ac:dyDescent="0.25">
      <c r="A245" s="1">
        <v>243</v>
      </c>
      <c r="B245" t="s">
        <v>69</v>
      </c>
      <c r="C245" t="s">
        <v>82</v>
      </c>
      <c r="D245">
        <v>1</v>
      </c>
      <c r="E245">
        <v>0</v>
      </c>
      <c r="F245">
        <v>1</v>
      </c>
      <c r="G245">
        <v>28.009699999999999</v>
      </c>
      <c r="H245">
        <v>2</v>
      </c>
      <c r="I245" t="s">
        <v>89</v>
      </c>
      <c r="J245">
        <v>4</v>
      </c>
      <c r="K245">
        <v>300</v>
      </c>
      <c r="L245">
        <v>50</v>
      </c>
      <c r="N245" t="s">
        <v>91</v>
      </c>
      <c r="O245">
        <v>50</v>
      </c>
      <c r="P245">
        <v>0.25</v>
      </c>
      <c r="Q245">
        <v>3.2500000000000001E-2</v>
      </c>
      <c r="R245">
        <v>77.5</v>
      </c>
      <c r="S245">
        <v>170</v>
      </c>
      <c r="T245">
        <v>20</v>
      </c>
      <c r="U245">
        <v>1812.1301775147931</v>
      </c>
      <c r="V245">
        <v>20</v>
      </c>
      <c r="W245">
        <v>0.95</v>
      </c>
      <c r="X245">
        <v>1</v>
      </c>
      <c r="Y245">
        <v>105592.2328447373</v>
      </c>
      <c r="Z245">
        <v>316776698.53421181</v>
      </c>
      <c r="AA245">
        <v>1267106794.136847</v>
      </c>
      <c r="AB245">
        <v>1267106.7941368469</v>
      </c>
      <c r="AC245">
        <v>0</v>
      </c>
      <c r="AD245">
        <v>3283.1590980001879</v>
      </c>
      <c r="AE245">
        <v>5909686.3764003376</v>
      </c>
      <c r="AF245">
        <v>2954843.1882001688</v>
      </c>
      <c r="AG245">
        <v>82.764271248530278</v>
      </c>
      <c r="AH245">
        <v>650.21324356344712</v>
      </c>
      <c r="AI245">
        <v>130.04264871268941</v>
      </c>
      <c r="AJ245">
        <v>41180.970809447543</v>
      </c>
      <c r="AK245">
        <v>854.70085470085473</v>
      </c>
      <c r="AL245" t="s">
        <v>93</v>
      </c>
      <c r="AM245">
        <v>50391.526376167152</v>
      </c>
      <c r="AN245">
        <v>1178.3858654190401</v>
      </c>
      <c r="AO245">
        <v>22107.250281157201</v>
      </c>
      <c r="AP245">
        <v>93605.583905734587</v>
      </c>
      <c r="AQ245">
        <v>71498.333624577383</v>
      </c>
      <c r="AR245">
        <v>1.393677030777778E-2</v>
      </c>
      <c r="AS245">
        <v>464.09955170307319</v>
      </c>
      <c r="AT245">
        <v>567.90027872406313</v>
      </c>
      <c r="AU245">
        <v>13.280122860744941</v>
      </c>
      <c r="AV245">
        <v>249.14334808539539</v>
      </c>
      <c r="AW245">
        <v>1054.9122245945091</v>
      </c>
      <c r="AX245">
        <v>805.76887650911306</v>
      </c>
      <c r="AY245">
        <v>1.5712413913751311</v>
      </c>
      <c r="AZ245" t="s">
        <v>132</v>
      </c>
      <c r="BA245" t="str">
        <f>VLOOKUP($AZ245,Sheet1!$A$2:$B$58,2)</f>
        <v>Hexane</v>
      </c>
      <c r="BB245" t="s">
        <v>182</v>
      </c>
      <c r="BC245">
        <v>86.173959999999994</v>
      </c>
      <c r="BD245">
        <v>6.333333333333333</v>
      </c>
      <c r="BE245">
        <v>69</v>
      </c>
      <c r="BF245" t="s">
        <v>202</v>
      </c>
      <c r="BG245">
        <v>1.7874889351725249</v>
      </c>
      <c r="BH245">
        <v>0.105263157894737</v>
      </c>
      <c r="BI245">
        <v>0.30206270922060402</v>
      </c>
      <c r="BJ245">
        <v>80</v>
      </c>
      <c r="BK245">
        <v>4365.4520749865214</v>
      </c>
      <c r="BL245">
        <v>3334.4436929511871</v>
      </c>
      <c r="BM245">
        <v>4.7146435004619462</v>
      </c>
      <c r="BN245">
        <v>801.48939507853083</v>
      </c>
      <c r="BO245">
        <v>3563.9626799079902</v>
      </c>
    </row>
    <row r="246" spans="1:67" x14ac:dyDescent="0.25">
      <c r="A246" s="1">
        <v>244</v>
      </c>
      <c r="B246" t="s">
        <v>69</v>
      </c>
      <c r="C246" t="s">
        <v>82</v>
      </c>
      <c r="D246">
        <v>1</v>
      </c>
      <c r="E246">
        <v>0</v>
      </c>
      <c r="F246">
        <v>1</v>
      </c>
      <c r="G246">
        <v>28.009699999999999</v>
      </c>
      <c r="H246">
        <v>2</v>
      </c>
      <c r="I246" t="s">
        <v>89</v>
      </c>
      <c r="J246">
        <v>4</v>
      </c>
      <c r="K246">
        <v>300</v>
      </c>
      <c r="L246">
        <v>50</v>
      </c>
      <c r="N246" t="s">
        <v>91</v>
      </c>
      <c r="O246">
        <v>50</v>
      </c>
      <c r="P246">
        <v>0.25</v>
      </c>
      <c r="Q246">
        <v>3.2500000000000001E-2</v>
      </c>
      <c r="R246">
        <v>77.5</v>
      </c>
      <c r="S246">
        <v>170</v>
      </c>
      <c r="T246">
        <v>20</v>
      </c>
      <c r="U246">
        <v>1812.1301775147931</v>
      </c>
      <c r="V246">
        <v>20</v>
      </c>
      <c r="W246">
        <v>0.95</v>
      </c>
      <c r="X246">
        <v>1</v>
      </c>
      <c r="Y246">
        <v>66723.171966144393</v>
      </c>
      <c r="Z246">
        <v>200169515.89843321</v>
      </c>
      <c r="AA246">
        <v>800678063.59373271</v>
      </c>
      <c r="AB246">
        <v>800678.06359373266</v>
      </c>
      <c r="AC246">
        <v>0</v>
      </c>
      <c r="AD246">
        <v>2074.6108230345671</v>
      </c>
      <c r="AE246">
        <v>3734299.4814622211</v>
      </c>
      <c r="AF246">
        <v>1867149.740731111</v>
      </c>
      <c r="AG246">
        <v>52.298304092956187</v>
      </c>
      <c r="AH246">
        <v>410.86630044788092</v>
      </c>
      <c r="AI246">
        <v>82.173260089576175</v>
      </c>
      <c r="AJ246">
        <v>26022.037066796311</v>
      </c>
      <c r="AK246">
        <v>854.70085470085473</v>
      </c>
      <c r="AL246" t="s">
        <v>93</v>
      </c>
      <c r="AM246">
        <v>31842.138284710771</v>
      </c>
      <c r="AN246">
        <v>744.61577923481877</v>
      </c>
      <c r="AO246">
        <v>13969.45421522795</v>
      </c>
      <c r="AP246">
        <v>59463.491985442743</v>
      </c>
      <c r="AQ246">
        <v>45494.037770214803</v>
      </c>
      <c r="AR246">
        <v>1.393677030777777E-2</v>
      </c>
      <c r="AS246">
        <v>464.09955170307308</v>
      </c>
      <c r="AT246">
        <v>567.90027872406324</v>
      </c>
      <c r="AU246">
        <v>13.280122860744941</v>
      </c>
      <c r="AV246">
        <v>249.14334808539539</v>
      </c>
      <c r="AW246">
        <v>1060.523428750186</v>
      </c>
      <c r="AX246">
        <v>811.3800806647904</v>
      </c>
      <c r="AY246">
        <v>1.5712413913751311</v>
      </c>
      <c r="AZ246" t="s">
        <v>133</v>
      </c>
      <c r="BA246" t="str">
        <f>VLOOKUP($AZ246,Sheet1!$A$2:$B$58,2)</f>
        <v>Isobutanol</v>
      </c>
      <c r="BB246" t="s">
        <v>183</v>
      </c>
      <c r="BC246">
        <v>86.130899999999997</v>
      </c>
      <c r="BD246">
        <v>5.6</v>
      </c>
      <c r="BE246">
        <v>108</v>
      </c>
      <c r="BF246" t="s">
        <v>202</v>
      </c>
      <c r="BG246">
        <v>1.02193289516306</v>
      </c>
      <c r="BH246">
        <v>0.16666666666666699</v>
      </c>
      <c r="BI246">
        <v>0.478026973026973</v>
      </c>
      <c r="BJ246">
        <v>80</v>
      </c>
      <c r="BK246">
        <v>2773.178838724089</v>
      </c>
      <c r="BL246">
        <v>2121.690109678726</v>
      </c>
      <c r="BM246">
        <v>3.08673010931575</v>
      </c>
      <c r="BN246">
        <v>524.74411858367739</v>
      </c>
      <c r="BO246">
        <v>2248.4347201404112</v>
      </c>
    </row>
    <row r="247" spans="1:67" x14ac:dyDescent="0.25">
      <c r="A247" s="1">
        <v>245</v>
      </c>
      <c r="B247" t="s">
        <v>69</v>
      </c>
      <c r="C247" t="s">
        <v>82</v>
      </c>
      <c r="D247">
        <v>1</v>
      </c>
      <c r="E247">
        <v>0</v>
      </c>
      <c r="F247">
        <v>1</v>
      </c>
      <c r="G247">
        <v>28.009699999999999</v>
      </c>
      <c r="H247">
        <v>2</v>
      </c>
      <c r="I247" t="s">
        <v>89</v>
      </c>
      <c r="J247">
        <v>4</v>
      </c>
      <c r="K247">
        <v>300</v>
      </c>
      <c r="L247">
        <v>50</v>
      </c>
      <c r="N247" t="s">
        <v>91</v>
      </c>
      <c r="O247">
        <v>50</v>
      </c>
      <c r="P247">
        <v>0.25</v>
      </c>
      <c r="Q247">
        <v>3.2500000000000001E-2</v>
      </c>
      <c r="R247">
        <v>77.5</v>
      </c>
      <c r="S247">
        <v>170</v>
      </c>
      <c r="T247">
        <v>20</v>
      </c>
      <c r="U247">
        <v>1812.1301775147931</v>
      </c>
      <c r="V247">
        <v>20</v>
      </c>
      <c r="W247">
        <v>0.95</v>
      </c>
      <c r="X247">
        <v>1</v>
      </c>
      <c r="Y247">
        <v>54986.719321199249</v>
      </c>
      <c r="Z247">
        <v>164960157.96359771</v>
      </c>
      <c r="AA247">
        <v>659840631.85439098</v>
      </c>
      <c r="AB247">
        <v>659840.63185439096</v>
      </c>
      <c r="AC247">
        <v>0</v>
      </c>
      <c r="AD247">
        <v>1709.691545911614</v>
      </c>
      <c r="AE247">
        <v>3077444.7826409061</v>
      </c>
      <c r="AF247">
        <v>1538722.391320453</v>
      </c>
      <c r="AG247">
        <v>43.099152564168499</v>
      </c>
      <c r="AH247">
        <v>338.59586221006572</v>
      </c>
      <c r="AI247">
        <v>67.719172442013132</v>
      </c>
      <c r="AJ247">
        <v>21444.820535267711</v>
      </c>
      <c r="AK247">
        <v>854.70085470085473</v>
      </c>
      <c r="AL247" t="s">
        <v>93</v>
      </c>
      <c r="AM247">
        <v>26241.179321280091</v>
      </c>
      <c r="AN247">
        <v>613.63957450488408</v>
      </c>
      <c r="AO247">
        <v>11512.25931514223</v>
      </c>
      <c r="AP247">
        <v>49154.340285753533</v>
      </c>
      <c r="AQ247">
        <v>37642.0809706113</v>
      </c>
      <c r="AR247">
        <v>1.393677030777778E-2</v>
      </c>
      <c r="AS247">
        <v>464.09955170307319</v>
      </c>
      <c r="AT247">
        <v>567.90027872406324</v>
      </c>
      <c r="AU247">
        <v>13.280122860744941</v>
      </c>
      <c r="AV247">
        <v>249.14334808539539</v>
      </c>
      <c r="AW247">
        <v>1063.7770203467801</v>
      </c>
      <c r="AX247">
        <v>814.63367226138462</v>
      </c>
      <c r="AY247">
        <v>1.57124139137513</v>
      </c>
      <c r="AZ247" t="s">
        <v>134</v>
      </c>
      <c r="BA247" t="str">
        <f>VLOOKUP($AZ247,Sheet1!$A$2:$B$58,2)</f>
        <v>Isobutyrate</v>
      </c>
      <c r="BB247" t="s">
        <v>170</v>
      </c>
      <c r="BC247">
        <v>87.095680000000002</v>
      </c>
      <c r="BD247">
        <v>4.75</v>
      </c>
      <c r="BE247">
        <v>155</v>
      </c>
      <c r="BF247" t="s">
        <v>202</v>
      </c>
      <c r="BG247">
        <v>0.50530634814493669</v>
      </c>
      <c r="BH247">
        <v>0.2</v>
      </c>
      <c r="BI247">
        <v>0.580057808857809</v>
      </c>
      <c r="BJ247">
        <v>80</v>
      </c>
      <c r="BK247">
        <v>2292.3944047091222</v>
      </c>
      <c r="BL247">
        <v>1755.5010462351131</v>
      </c>
      <c r="BM247">
        <v>2.8806522739557199</v>
      </c>
      <c r="BN247">
        <v>489.71088657247242</v>
      </c>
      <c r="BO247">
        <v>1802.68351813665</v>
      </c>
    </row>
    <row r="248" spans="1:67" x14ac:dyDescent="0.25">
      <c r="A248" s="1">
        <v>246</v>
      </c>
      <c r="B248" t="s">
        <v>69</v>
      </c>
      <c r="C248" t="s">
        <v>82</v>
      </c>
      <c r="D248">
        <v>1</v>
      </c>
      <c r="E248">
        <v>0</v>
      </c>
      <c r="F248">
        <v>1</v>
      </c>
      <c r="G248">
        <v>28.009699999999999</v>
      </c>
      <c r="H248">
        <v>2</v>
      </c>
      <c r="I248" t="s">
        <v>89</v>
      </c>
      <c r="J248">
        <v>4</v>
      </c>
      <c r="K248">
        <v>300</v>
      </c>
      <c r="L248">
        <v>50</v>
      </c>
      <c r="N248" t="s">
        <v>91</v>
      </c>
      <c r="O248">
        <v>50</v>
      </c>
      <c r="P248">
        <v>0.25</v>
      </c>
      <c r="Q248">
        <v>3.2500000000000001E-2</v>
      </c>
      <c r="R248">
        <v>77.5</v>
      </c>
      <c r="S248">
        <v>170</v>
      </c>
      <c r="T248">
        <v>20</v>
      </c>
      <c r="U248">
        <v>1812.1301775147931</v>
      </c>
      <c r="V248">
        <v>20</v>
      </c>
      <c r="W248">
        <v>0.95</v>
      </c>
      <c r="X248">
        <v>1</v>
      </c>
      <c r="Y248">
        <v>189290.39431398359</v>
      </c>
      <c r="Z248">
        <v>567871182.9419508</v>
      </c>
      <c r="AA248">
        <v>2271484731.7678032</v>
      </c>
      <c r="AB248">
        <v>2271484.731767803</v>
      </c>
      <c r="AC248">
        <v>66773.504273504266</v>
      </c>
      <c r="AD248">
        <v>5885.5700226531617</v>
      </c>
      <c r="AE248">
        <v>10594026.04077569</v>
      </c>
      <c r="AF248">
        <v>5297013.0203878451</v>
      </c>
      <c r="AG248">
        <v>148.36774559715741</v>
      </c>
      <c r="AH248">
        <v>1165.607715136345</v>
      </c>
      <c r="AI248">
        <v>233.1215430272691</v>
      </c>
      <c r="AJ248">
        <v>73823.253782453598</v>
      </c>
      <c r="AK248">
        <v>2170.1388888888891</v>
      </c>
      <c r="AL248" t="s">
        <v>95</v>
      </c>
      <c r="AM248">
        <v>90334.597923066773</v>
      </c>
      <c r="AN248">
        <v>2112.4387571875468</v>
      </c>
      <c r="AO248">
        <v>39630.662314635752</v>
      </c>
      <c r="AP248">
        <v>168440.4293515968</v>
      </c>
      <c r="AQ248">
        <v>128809.767036961</v>
      </c>
      <c r="AR248">
        <v>1.393677030777778E-2</v>
      </c>
      <c r="AS248">
        <v>464.09955170307319</v>
      </c>
      <c r="AT248">
        <v>567.90027872406324</v>
      </c>
      <c r="AU248">
        <v>13.280122860744941</v>
      </c>
      <c r="AV248">
        <v>249.1433480853955</v>
      </c>
      <c r="AW248">
        <v>1058.9228155821211</v>
      </c>
      <c r="AX248">
        <v>809.7794674967256</v>
      </c>
      <c r="AY248">
        <v>1.5712413913751311</v>
      </c>
      <c r="AZ248" t="s">
        <v>135</v>
      </c>
      <c r="BA248" t="str">
        <f>VLOOKUP($AZ248,Sheet1!$A$2:$B$58,2)</f>
        <v>Isoprene</v>
      </c>
      <c r="BB248" t="s">
        <v>184</v>
      </c>
      <c r="BC248">
        <v>68.116219999999998</v>
      </c>
      <c r="BD248">
        <v>5.6</v>
      </c>
      <c r="BE248">
        <v>34.07</v>
      </c>
      <c r="BF248" t="s">
        <v>202</v>
      </c>
      <c r="BG248">
        <v>1.2922032373493439</v>
      </c>
      <c r="BH248">
        <v>7.4285714285714399E-2</v>
      </c>
      <c r="BI248">
        <v>0.168500235003092</v>
      </c>
      <c r="BJ248">
        <v>80</v>
      </c>
      <c r="BK248">
        <v>7855.499545465691</v>
      </c>
      <c r="BL248">
        <v>6007.2577011677913</v>
      </c>
      <c r="BM248">
        <v>10.363873914014111</v>
      </c>
      <c r="BN248">
        <v>1761.8585653823991</v>
      </c>
      <c r="BO248">
        <v>6093.6409800832917</v>
      </c>
    </row>
    <row r="249" spans="1:67" x14ac:dyDescent="0.25">
      <c r="A249" s="1">
        <v>247</v>
      </c>
      <c r="B249" t="s">
        <v>69</v>
      </c>
      <c r="C249" t="s">
        <v>82</v>
      </c>
      <c r="D249">
        <v>1</v>
      </c>
      <c r="E249">
        <v>0</v>
      </c>
      <c r="F249">
        <v>1</v>
      </c>
      <c r="G249">
        <v>28.009699999999999</v>
      </c>
      <c r="H249">
        <v>2</v>
      </c>
      <c r="I249" t="s">
        <v>89</v>
      </c>
      <c r="J249">
        <v>4</v>
      </c>
      <c r="K249">
        <v>300</v>
      </c>
      <c r="L249">
        <v>50</v>
      </c>
      <c r="N249" t="s">
        <v>91</v>
      </c>
      <c r="O249">
        <v>50</v>
      </c>
      <c r="P249">
        <v>0.25</v>
      </c>
      <c r="Q249">
        <v>3.2500000000000001E-2</v>
      </c>
      <c r="R249">
        <v>77.5</v>
      </c>
      <c r="S249">
        <v>170</v>
      </c>
      <c r="T249">
        <v>20</v>
      </c>
      <c r="U249">
        <v>1812.1301775147931</v>
      </c>
      <c r="V249">
        <v>20</v>
      </c>
      <c r="W249">
        <v>0.95</v>
      </c>
      <c r="X249">
        <v>1</v>
      </c>
      <c r="Y249">
        <v>71724.432549371893</v>
      </c>
      <c r="Z249">
        <v>215173297.64811569</v>
      </c>
      <c r="AA249">
        <v>860693190.59246278</v>
      </c>
      <c r="AB249">
        <v>860693.19059246278</v>
      </c>
      <c r="AC249">
        <v>0</v>
      </c>
      <c r="AD249">
        <v>2230.1140617002079</v>
      </c>
      <c r="AE249">
        <v>4014205.3110603751</v>
      </c>
      <c r="AF249">
        <v>2007102.6555301871</v>
      </c>
      <c r="AG249">
        <v>56.218343250603887</v>
      </c>
      <c r="AH249">
        <v>441.66293934941768</v>
      </c>
      <c r="AI249">
        <v>88.33258786988354</v>
      </c>
      <c r="AJ249">
        <v>27972.528694255041</v>
      </c>
      <c r="AK249">
        <v>854.70085470085473</v>
      </c>
      <c r="AL249" t="s">
        <v>93</v>
      </c>
      <c r="AM249">
        <v>34228.877799579866</v>
      </c>
      <c r="AN249">
        <v>800.42873651187858</v>
      </c>
      <c r="AO249">
        <v>15016.539937880199</v>
      </c>
      <c r="AP249">
        <v>63856.53608504765</v>
      </c>
      <c r="AQ249">
        <v>48839.996147167447</v>
      </c>
      <c r="AR249">
        <v>1.393677030777778E-2</v>
      </c>
      <c r="AS249">
        <v>464.09955170307319</v>
      </c>
      <c r="AT249">
        <v>567.90027872406324</v>
      </c>
      <c r="AU249">
        <v>13.280122860744941</v>
      </c>
      <c r="AV249">
        <v>249.14334808539539</v>
      </c>
      <c r="AW249">
        <v>1059.460519079503</v>
      </c>
      <c r="AX249">
        <v>810.31717099410696</v>
      </c>
      <c r="AY249">
        <v>1.57124139137513</v>
      </c>
      <c r="AZ249" t="s">
        <v>136</v>
      </c>
      <c r="BA249" t="str">
        <f>VLOOKUP($AZ249,Sheet1!$A$2:$B$58,2)</f>
        <v>Isopropanol</v>
      </c>
      <c r="BB249" t="s">
        <v>156</v>
      </c>
      <c r="BC249">
        <v>60.093820000000001</v>
      </c>
      <c r="BD249">
        <v>6</v>
      </c>
      <c r="BE249">
        <v>82.5</v>
      </c>
      <c r="BF249" t="s">
        <v>202</v>
      </c>
      <c r="BG249">
        <v>1.0985322617200901</v>
      </c>
      <c r="BH249">
        <v>0.22222222222222199</v>
      </c>
      <c r="BI249">
        <v>0.444694712694712</v>
      </c>
      <c r="BJ249">
        <v>80</v>
      </c>
      <c r="BK249">
        <v>2978.0557561037231</v>
      </c>
      <c r="BL249">
        <v>2277.73444304025</v>
      </c>
      <c r="BM249">
        <v>3.318097131774087</v>
      </c>
      <c r="BN249">
        <v>564.07651240159475</v>
      </c>
      <c r="BO249">
        <v>2413.9792437021279</v>
      </c>
    </row>
    <row r="250" spans="1:67" x14ac:dyDescent="0.25">
      <c r="A250" s="1">
        <v>248</v>
      </c>
      <c r="B250" t="s">
        <v>69</v>
      </c>
      <c r="C250" t="s">
        <v>82</v>
      </c>
      <c r="D250">
        <v>1</v>
      </c>
      <c r="E250">
        <v>0</v>
      </c>
      <c r="F250">
        <v>1</v>
      </c>
      <c r="G250">
        <v>28.009699999999999</v>
      </c>
      <c r="H250">
        <v>2</v>
      </c>
      <c r="I250" t="s">
        <v>89</v>
      </c>
      <c r="J250">
        <v>4</v>
      </c>
      <c r="K250">
        <v>300</v>
      </c>
      <c r="L250">
        <v>50</v>
      </c>
      <c r="N250" t="s">
        <v>91</v>
      </c>
      <c r="O250">
        <v>50</v>
      </c>
      <c r="P250">
        <v>0.25</v>
      </c>
      <c r="Q250">
        <v>3.2500000000000001E-2</v>
      </c>
      <c r="R250">
        <v>77.5</v>
      </c>
      <c r="S250">
        <v>170</v>
      </c>
      <c r="T250">
        <v>20</v>
      </c>
      <c r="U250">
        <v>1812.1301775147931</v>
      </c>
      <c r="V250">
        <v>20</v>
      </c>
      <c r="W250">
        <v>0.95</v>
      </c>
      <c r="X250">
        <v>1</v>
      </c>
      <c r="Y250">
        <v>59579.492324082661</v>
      </c>
      <c r="Z250">
        <v>178738476.97224799</v>
      </c>
      <c r="AA250">
        <v>714953907.88899195</v>
      </c>
      <c r="AB250">
        <v>714953.90788899199</v>
      </c>
      <c r="AC250">
        <v>0</v>
      </c>
      <c r="AD250">
        <v>1852.493758377736</v>
      </c>
      <c r="AE250">
        <v>3334488.7650799239</v>
      </c>
      <c r="AF250">
        <v>1667244.382539962</v>
      </c>
      <c r="AG250">
        <v>46.699014981629581</v>
      </c>
      <c r="AH250">
        <v>366.87712637791861</v>
      </c>
      <c r="AI250">
        <v>73.375425275583723</v>
      </c>
      <c r="AJ250">
        <v>23236.002006392238</v>
      </c>
      <c r="AK250">
        <v>854.70085470085473</v>
      </c>
      <c r="AL250" t="s">
        <v>93</v>
      </c>
      <c r="AM250">
        <v>28432.977294288688</v>
      </c>
      <c r="AN250">
        <v>664.8939011146249</v>
      </c>
      <c r="AO250">
        <v>12473.82229684923</v>
      </c>
      <c r="AP250">
        <v>53188.574056496407</v>
      </c>
      <c r="AQ250">
        <v>40714.751759647181</v>
      </c>
      <c r="AR250">
        <v>1.393677030777778E-2</v>
      </c>
      <c r="AS250">
        <v>464.09955170307319</v>
      </c>
      <c r="AT250">
        <v>567.90027872406313</v>
      </c>
      <c r="AU250">
        <v>13.280122860744941</v>
      </c>
      <c r="AV250">
        <v>249.14334808539539</v>
      </c>
      <c r="AW250">
        <v>1062.351146662618</v>
      </c>
      <c r="AX250">
        <v>813.20779857722289</v>
      </c>
      <c r="AY250">
        <v>1.57124139137513</v>
      </c>
      <c r="AZ250" t="s">
        <v>137</v>
      </c>
      <c r="BA250" t="str">
        <f>VLOOKUP($AZ250,Sheet1!$A$2:$B$58,2)</f>
        <v>Itaconate</v>
      </c>
      <c r="BB250" t="s">
        <v>185</v>
      </c>
      <c r="BC250">
        <v>128.08086</v>
      </c>
      <c r="BD250">
        <v>3.2</v>
      </c>
      <c r="BE250">
        <v>381</v>
      </c>
      <c r="BF250" t="s">
        <v>202</v>
      </c>
      <c r="BG250">
        <v>0</v>
      </c>
      <c r="BH250">
        <v>0.12551724137931</v>
      </c>
      <c r="BI250">
        <v>0.53534319749216297</v>
      </c>
      <c r="BJ250">
        <v>80</v>
      </c>
      <c r="BK250">
        <v>2480.5376056874479</v>
      </c>
      <c r="BL250">
        <v>1898.800158446787</v>
      </c>
      <c r="BM250">
        <v>3.6687712637791852</v>
      </c>
      <c r="BN250">
        <v>623.6911148424615</v>
      </c>
      <c r="BO250">
        <v>1856.8464908449871</v>
      </c>
    </row>
    <row r="251" spans="1:67" x14ac:dyDescent="0.25">
      <c r="A251" s="1">
        <v>249</v>
      </c>
      <c r="B251" t="s">
        <v>69</v>
      </c>
      <c r="C251" t="s">
        <v>82</v>
      </c>
      <c r="D251">
        <v>1</v>
      </c>
      <c r="E251">
        <v>0</v>
      </c>
      <c r="F251">
        <v>1</v>
      </c>
      <c r="G251">
        <v>28.009699999999999</v>
      </c>
      <c r="H251">
        <v>2</v>
      </c>
      <c r="I251" t="s">
        <v>89</v>
      </c>
      <c r="J251">
        <v>4</v>
      </c>
      <c r="K251">
        <v>300</v>
      </c>
      <c r="L251">
        <v>50</v>
      </c>
      <c r="N251" t="s">
        <v>91</v>
      </c>
      <c r="O251">
        <v>50</v>
      </c>
      <c r="P251">
        <v>0.25</v>
      </c>
      <c r="Q251">
        <v>3.2500000000000001E-2</v>
      </c>
      <c r="R251">
        <v>77.5</v>
      </c>
      <c r="S251">
        <v>170</v>
      </c>
      <c r="T251">
        <v>20</v>
      </c>
      <c r="U251">
        <v>1812.1301775147931</v>
      </c>
      <c r="V251">
        <v>20</v>
      </c>
      <c r="W251">
        <v>0.95</v>
      </c>
      <c r="X251">
        <v>1</v>
      </c>
      <c r="Y251">
        <v>185427.32504227009</v>
      </c>
      <c r="Z251">
        <v>556281975.12681031</v>
      </c>
      <c r="AA251">
        <v>2225127900.5072408</v>
      </c>
      <c r="AB251">
        <v>2225127.900507241</v>
      </c>
      <c r="AC251">
        <v>0</v>
      </c>
      <c r="AD251">
        <v>5765.4563487214782</v>
      </c>
      <c r="AE251">
        <v>10377821.427698661</v>
      </c>
      <c r="AF251">
        <v>5188910.7138493303</v>
      </c>
      <c r="AG251">
        <v>145.33983242170561</v>
      </c>
      <c r="AH251">
        <v>1141.819802582545</v>
      </c>
      <c r="AI251">
        <v>228.363960516509</v>
      </c>
      <c r="AJ251">
        <v>72316.656766485336</v>
      </c>
      <c r="AK251">
        <v>854.70085470085473</v>
      </c>
      <c r="AL251" t="s">
        <v>93</v>
      </c>
      <c r="AM251">
        <v>88491.03470014724</v>
      </c>
      <c r="AN251">
        <v>2069.3277621429079</v>
      </c>
      <c r="AO251">
        <v>38821.873287806528</v>
      </c>
      <c r="AP251">
        <v>163731.72008347631</v>
      </c>
      <c r="AQ251">
        <v>124909.8467956698</v>
      </c>
      <c r="AR251">
        <v>1.393677030777778E-2</v>
      </c>
      <c r="AS251">
        <v>464.09955170307319</v>
      </c>
      <c r="AT251">
        <v>567.90027872406324</v>
      </c>
      <c r="AU251">
        <v>13.280122860744941</v>
      </c>
      <c r="AV251">
        <v>249.14334808539539</v>
      </c>
      <c r="AW251">
        <v>1050.7650835641291</v>
      </c>
      <c r="AX251">
        <v>801.62173547873397</v>
      </c>
      <c r="AY251">
        <v>1.57124139137513</v>
      </c>
      <c r="AZ251" t="s">
        <v>138</v>
      </c>
      <c r="BA251" t="str">
        <f>VLOOKUP($AZ251,Sheet1!$A$2:$B$58,2)</f>
        <v>Limonene</v>
      </c>
      <c r="BB251" t="s">
        <v>186</v>
      </c>
      <c r="BC251">
        <v>136.23244</v>
      </c>
      <c r="BD251">
        <v>5.6</v>
      </c>
      <c r="BE251">
        <v>176</v>
      </c>
      <c r="BF251" t="s">
        <v>202</v>
      </c>
      <c r="BG251">
        <v>1.2922032373493471</v>
      </c>
      <c r="BH251">
        <v>3.7916666666666599E-2</v>
      </c>
      <c r="BI251">
        <v>0.17201065656565601</v>
      </c>
      <c r="BJ251">
        <v>80</v>
      </c>
      <c r="BK251">
        <v>7635.9010579895021</v>
      </c>
      <c r="BL251">
        <v>5825.3784350038004</v>
      </c>
      <c r="BM251">
        <v>10.125994788476101</v>
      </c>
      <c r="BN251">
        <v>1721.419114040938</v>
      </c>
      <c r="BO251">
        <v>5914.4819439485645</v>
      </c>
    </row>
    <row r="252" spans="1:67" x14ac:dyDescent="0.25">
      <c r="A252" s="1">
        <v>250</v>
      </c>
      <c r="B252" t="s">
        <v>69</v>
      </c>
      <c r="C252" t="s">
        <v>82</v>
      </c>
      <c r="D252">
        <v>1</v>
      </c>
      <c r="E252">
        <v>0</v>
      </c>
      <c r="F252">
        <v>1</v>
      </c>
      <c r="G252">
        <v>28.009699999999999</v>
      </c>
      <c r="H252">
        <v>2</v>
      </c>
      <c r="I252" t="s">
        <v>89</v>
      </c>
      <c r="J252">
        <v>4</v>
      </c>
      <c r="K252">
        <v>300</v>
      </c>
      <c r="L252">
        <v>50</v>
      </c>
      <c r="N252" t="s">
        <v>91</v>
      </c>
      <c r="O252">
        <v>50</v>
      </c>
      <c r="P252">
        <v>0.25</v>
      </c>
      <c r="Q252">
        <v>3.2500000000000001E-2</v>
      </c>
      <c r="R252">
        <v>77.5</v>
      </c>
      <c r="S252">
        <v>170</v>
      </c>
      <c r="T252">
        <v>20</v>
      </c>
      <c r="U252">
        <v>1812.1301775147931</v>
      </c>
      <c r="V252">
        <v>20</v>
      </c>
      <c r="W252">
        <v>0.95</v>
      </c>
      <c r="X252">
        <v>1</v>
      </c>
      <c r="Y252">
        <v>69720.404061498601</v>
      </c>
      <c r="Z252">
        <v>209161212.18449581</v>
      </c>
      <c r="AA252">
        <v>836644848.73798323</v>
      </c>
      <c r="AB252">
        <v>836644.84873798327</v>
      </c>
      <c r="AC252">
        <v>0</v>
      </c>
      <c r="AD252">
        <v>2167.8031872603492</v>
      </c>
      <c r="AE252">
        <v>3902045.7370686289</v>
      </c>
      <c r="AF252">
        <v>1951022.868534314</v>
      </c>
      <c r="AG252">
        <v>54.647565240785589</v>
      </c>
      <c r="AH252">
        <v>429.32258222097579</v>
      </c>
      <c r="AI252">
        <v>85.864516444195161</v>
      </c>
      <c r="AJ252">
        <v>27190.957583984458</v>
      </c>
      <c r="AK252">
        <v>854.70085470085473</v>
      </c>
      <c r="AL252" t="s">
        <v>93</v>
      </c>
      <c r="AM252">
        <v>33272.500122125617</v>
      </c>
      <c r="AN252">
        <v>778.06422370268979</v>
      </c>
      <c r="AO252">
        <v>14596.967795513179</v>
      </c>
      <c r="AP252">
        <v>62096.222784513629</v>
      </c>
      <c r="AQ252">
        <v>47499.254989000452</v>
      </c>
      <c r="AR252">
        <v>1.393677030777778E-2</v>
      </c>
      <c r="AS252">
        <v>464.09955170307319</v>
      </c>
      <c r="AT252">
        <v>567.90027872406313</v>
      </c>
      <c r="AU252">
        <v>13.280122860744941</v>
      </c>
      <c r="AV252">
        <v>249.14334808539539</v>
      </c>
      <c r="AW252">
        <v>1059.8681222511011</v>
      </c>
      <c r="AX252">
        <v>810.7247741657053</v>
      </c>
      <c r="AY252">
        <v>1.57124139137513</v>
      </c>
      <c r="AZ252" t="s">
        <v>139</v>
      </c>
      <c r="BA252" t="str">
        <f>VLOOKUP($AZ252,Sheet1!$A$2:$B$58,2)</f>
        <v>L-Lysine</v>
      </c>
      <c r="BB252" t="s">
        <v>187</v>
      </c>
      <c r="BC252">
        <v>147.19319999999999</v>
      </c>
      <c r="BD252">
        <v>4.833333333333333</v>
      </c>
      <c r="BF252" t="s">
        <v>202</v>
      </c>
      <c r="BG252">
        <v>0.2989947905202146</v>
      </c>
      <c r="BH252">
        <v>9.3333333333333296E-2</v>
      </c>
      <c r="BI252">
        <v>0.457476923076923</v>
      </c>
      <c r="BJ252">
        <v>80</v>
      </c>
      <c r="BK252">
        <v>2895.9606178672971</v>
      </c>
      <c r="BL252">
        <v>2215.2067494270768</v>
      </c>
      <c r="BM252">
        <v>3.9942310316895431</v>
      </c>
      <c r="BN252">
        <v>679.01927538722236</v>
      </c>
      <c r="BO252">
        <v>2216.941342480075</v>
      </c>
    </row>
    <row r="253" spans="1:67" x14ac:dyDescent="0.25">
      <c r="A253" s="1">
        <v>251</v>
      </c>
      <c r="B253" t="s">
        <v>69</v>
      </c>
      <c r="C253" t="s">
        <v>82</v>
      </c>
      <c r="D253">
        <v>1</v>
      </c>
      <c r="E253">
        <v>0</v>
      </c>
      <c r="F253">
        <v>1</v>
      </c>
      <c r="G253">
        <v>28.009699999999999</v>
      </c>
      <c r="H253">
        <v>2</v>
      </c>
      <c r="I253" t="s">
        <v>89</v>
      </c>
      <c r="J253">
        <v>4</v>
      </c>
      <c r="K253">
        <v>300</v>
      </c>
      <c r="L253">
        <v>50</v>
      </c>
      <c r="N253" t="s">
        <v>91</v>
      </c>
      <c r="O253">
        <v>50</v>
      </c>
      <c r="P253">
        <v>0.25</v>
      </c>
      <c r="Q253">
        <v>3.2500000000000001E-2</v>
      </c>
      <c r="R253">
        <v>77.5</v>
      </c>
      <c r="S253">
        <v>170</v>
      </c>
      <c r="T253">
        <v>20</v>
      </c>
      <c r="U253">
        <v>1812.1301775147931</v>
      </c>
      <c r="V253">
        <v>20</v>
      </c>
      <c r="W253">
        <v>0.95</v>
      </c>
      <c r="X253">
        <v>1</v>
      </c>
      <c r="Y253">
        <v>47818.160070794453</v>
      </c>
      <c r="Z253">
        <v>143454480.21238339</v>
      </c>
      <c r="AA253">
        <v>573817920.84953344</v>
      </c>
      <c r="AB253">
        <v>573817.9208495334</v>
      </c>
      <c r="AC253">
        <v>0</v>
      </c>
      <c r="AD253">
        <v>1486.800904351581</v>
      </c>
      <c r="AE253">
        <v>2676241.6278328458</v>
      </c>
      <c r="AF253">
        <v>1338120.8139164229</v>
      </c>
      <c r="AG253">
        <v>37.480362561554841</v>
      </c>
      <c r="AH253">
        <v>294.45348510230878</v>
      </c>
      <c r="AI253">
        <v>58.890697020461772</v>
      </c>
      <c r="AJ253">
        <v>18649.082427609839</v>
      </c>
      <c r="AK253">
        <v>854.70085470085473</v>
      </c>
      <c r="AL253" t="s">
        <v>93</v>
      </c>
      <c r="AM253">
        <v>22820.145095428939</v>
      </c>
      <c r="AN253">
        <v>533.64004548159994</v>
      </c>
      <c r="AO253">
        <v>10011.418493478501</v>
      </c>
      <c r="AP253">
        <v>42857.56842322123</v>
      </c>
      <c r="AQ253">
        <v>32846.149929742729</v>
      </c>
      <c r="AR253">
        <v>1.393677030777777E-2</v>
      </c>
      <c r="AS253">
        <v>464.09955170307308</v>
      </c>
      <c r="AT253">
        <v>567.90027872406313</v>
      </c>
      <c r="AU253">
        <v>13.280122860744941</v>
      </c>
      <c r="AV253">
        <v>249.14334808539539</v>
      </c>
      <c r="AW253">
        <v>1066.549969389029</v>
      </c>
      <c r="AX253">
        <v>817.40662130363376</v>
      </c>
      <c r="AY253">
        <v>1.57124139137513</v>
      </c>
      <c r="AZ253" t="s">
        <v>140</v>
      </c>
      <c r="BA253" t="str">
        <f>VLOOKUP($AZ253,Sheet1!$A$2:$B$58,2)</f>
        <v>L-Malate</v>
      </c>
      <c r="BB253" t="s">
        <v>188</v>
      </c>
      <c r="BC253">
        <v>132.06916000000001</v>
      </c>
      <c r="BD253">
        <v>2.5</v>
      </c>
      <c r="BF253" t="s">
        <v>202</v>
      </c>
      <c r="BG253">
        <v>0</v>
      </c>
      <c r="BH253">
        <v>0.151666666666667</v>
      </c>
      <c r="BI253">
        <v>0.66701595959596005</v>
      </c>
      <c r="BJ253">
        <v>80</v>
      </c>
      <c r="BK253">
        <v>1998.733977135802</v>
      </c>
      <c r="BL253">
        <v>1531.834826333788</v>
      </c>
      <c r="BM253">
        <v>2.9445348510230889</v>
      </c>
      <c r="BN253">
        <v>500.57092467392522</v>
      </c>
      <c r="BO253">
        <v>1498.163052461877</v>
      </c>
    </row>
    <row r="254" spans="1:67" x14ac:dyDescent="0.25">
      <c r="A254" s="1">
        <v>252</v>
      </c>
      <c r="B254" t="s">
        <v>69</v>
      </c>
      <c r="C254" t="s">
        <v>82</v>
      </c>
      <c r="D254">
        <v>1</v>
      </c>
      <c r="E254">
        <v>0</v>
      </c>
      <c r="F254">
        <v>1</v>
      </c>
      <c r="G254">
        <v>28.009699999999999</v>
      </c>
      <c r="H254">
        <v>2</v>
      </c>
      <c r="I254" t="s">
        <v>89</v>
      </c>
      <c r="J254">
        <v>4</v>
      </c>
      <c r="K254">
        <v>300</v>
      </c>
      <c r="L254">
        <v>50</v>
      </c>
      <c r="N254" t="s">
        <v>91</v>
      </c>
      <c r="O254">
        <v>50</v>
      </c>
      <c r="P254">
        <v>0.25</v>
      </c>
      <c r="Q254">
        <v>3.2500000000000001E-2</v>
      </c>
      <c r="R254">
        <v>77.5</v>
      </c>
      <c r="S254">
        <v>170</v>
      </c>
      <c r="T254">
        <v>20</v>
      </c>
      <c r="U254">
        <v>1812.1301775147931</v>
      </c>
      <c r="V254">
        <v>20</v>
      </c>
      <c r="W254">
        <v>0.95</v>
      </c>
      <c r="X254">
        <v>1</v>
      </c>
      <c r="Y254">
        <v>54152.161005143571</v>
      </c>
      <c r="Z254">
        <v>162456483.01543069</v>
      </c>
      <c r="AA254">
        <v>649825932.06172276</v>
      </c>
      <c r="AB254">
        <v>649825.93206172273</v>
      </c>
      <c r="AC254">
        <v>0</v>
      </c>
      <c r="AD254">
        <v>1683.742783826066</v>
      </c>
      <c r="AE254">
        <v>3030737.0108869192</v>
      </c>
      <c r="AF254">
        <v>1515368.5054434589</v>
      </c>
      <c r="AG254">
        <v>42.445017226919667</v>
      </c>
      <c r="AH254">
        <v>333.45683962283317</v>
      </c>
      <c r="AI254">
        <v>66.691367924566634</v>
      </c>
      <c r="AJ254">
        <v>21119.342792005991</v>
      </c>
      <c r="AK254">
        <v>854.70085470085473</v>
      </c>
      <c r="AL254" t="s">
        <v>93</v>
      </c>
      <c r="AM254">
        <v>25842.905070769571</v>
      </c>
      <c r="AN254">
        <v>604.32608906174562</v>
      </c>
      <c r="AO254">
        <v>11337.53254717633</v>
      </c>
      <c r="AP254">
        <v>48421.27480653816</v>
      </c>
      <c r="AQ254">
        <v>37083.742259361832</v>
      </c>
      <c r="AR254">
        <v>1.393677030777778E-2</v>
      </c>
      <c r="AS254">
        <v>464.09955170307319</v>
      </c>
      <c r="AT254">
        <v>567.90027872406313</v>
      </c>
      <c r="AU254">
        <v>13.280122860744941</v>
      </c>
      <c r="AV254">
        <v>249.14334808539539</v>
      </c>
      <c r="AW254">
        <v>1064.06208526109</v>
      </c>
      <c r="AX254">
        <v>814.9187371756949</v>
      </c>
      <c r="AY254">
        <v>1.57124139137513</v>
      </c>
      <c r="AZ254" t="s">
        <v>141</v>
      </c>
      <c r="BA254" t="str">
        <f>VLOOKUP($AZ254,Sheet1!$A$2:$B$58,2)</f>
        <v>Malonate</v>
      </c>
      <c r="BB254" t="s">
        <v>189</v>
      </c>
      <c r="BC254">
        <v>102.04378</v>
      </c>
      <c r="BD254">
        <v>2</v>
      </c>
      <c r="BE254">
        <v>199</v>
      </c>
      <c r="BF254" t="s">
        <v>202</v>
      </c>
      <c r="BG254">
        <v>0</v>
      </c>
      <c r="BH254">
        <v>0.17333333333333301</v>
      </c>
      <c r="BI254">
        <v>0.58899728715728705</v>
      </c>
      <c r="BJ254">
        <v>80</v>
      </c>
      <c r="BK254">
        <v>2258.2066769709518</v>
      </c>
      <c r="BL254">
        <v>1729.4619918981</v>
      </c>
      <c r="BM254">
        <v>3.3345683962283319</v>
      </c>
      <c r="BN254">
        <v>566.87662735881645</v>
      </c>
      <c r="BO254">
        <v>1691.330049612136</v>
      </c>
    </row>
    <row r="255" spans="1:67" x14ac:dyDescent="0.25">
      <c r="A255" s="1">
        <v>253</v>
      </c>
      <c r="B255" t="s">
        <v>69</v>
      </c>
      <c r="C255" t="s">
        <v>82</v>
      </c>
      <c r="D255">
        <v>1</v>
      </c>
      <c r="E255">
        <v>0</v>
      </c>
      <c r="F255">
        <v>1</v>
      </c>
      <c r="G255">
        <v>28.009699999999999</v>
      </c>
      <c r="H255">
        <v>2</v>
      </c>
      <c r="I255" t="s">
        <v>89</v>
      </c>
      <c r="J255">
        <v>4</v>
      </c>
      <c r="K255">
        <v>300</v>
      </c>
      <c r="L255">
        <v>50</v>
      </c>
      <c r="N255" t="s">
        <v>91</v>
      </c>
      <c r="O255">
        <v>50</v>
      </c>
      <c r="P255">
        <v>0.25</v>
      </c>
      <c r="Q255">
        <v>3.2500000000000001E-2</v>
      </c>
      <c r="R255">
        <v>77.5</v>
      </c>
      <c r="S255">
        <v>170</v>
      </c>
      <c r="T255">
        <v>20</v>
      </c>
      <c r="U255">
        <v>1812.1301775147931</v>
      </c>
      <c r="V255">
        <v>20</v>
      </c>
      <c r="W255">
        <v>0.95</v>
      </c>
      <c r="X255">
        <v>1</v>
      </c>
      <c r="Y255">
        <v>104554.9463420159</v>
      </c>
      <c r="Z255">
        <v>313664839.02604759</v>
      </c>
      <c r="AA255">
        <v>1254659356.1041901</v>
      </c>
      <c r="AB255">
        <v>1254659.35610419</v>
      </c>
      <c r="AC255">
        <v>0</v>
      </c>
      <c r="AD255">
        <v>3250.9069471847938</v>
      </c>
      <c r="AE255">
        <v>5851632.5049326299</v>
      </c>
      <c r="AF255">
        <v>2925816.2524663149</v>
      </c>
      <c r="AG255">
        <v>81.951235486705755</v>
      </c>
      <c r="AH255">
        <v>643.8258663552125</v>
      </c>
      <c r="AI255">
        <v>128.7651732710425</v>
      </c>
      <c r="AJ255">
        <v>40776.429073386193</v>
      </c>
      <c r="AK255">
        <v>854.70085470085473</v>
      </c>
      <c r="AL255" t="s">
        <v>93</v>
      </c>
      <c r="AM255">
        <v>49896.504642528969</v>
      </c>
      <c r="AN255">
        <v>1166.8099784407409</v>
      </c>
      <c r="AO255">
        <v>21890.07945607723</v>
      </c>
      <c r="AP255">
        <v>92694.44454905676</v>
      </c>
      <c r="AQ255">
        <v>70804.36509297954</v>
      </c>
      <c r="AR255">
        <v>1.393677030777778E-2</v>
      </c>
      <c r="AS255">
        <v>464.0995517030733</v>
      </c>
      <c r="AT255">
        <v>567.90027872406313</v>
      </c>
      <c r="AU255">
        <v>13.280122860744941</v>
      </c>
      <c r="AV255">
        <v>249.14334808539539</v>
      </c>
      <c r="AW255">
        <v>1055.0077860707131</v>
      </c>
      <c r="AX255">
        <v>805.86443798531752</v>
      </c>
      <c r="AY255">
        <v>1.57124139137513</v>
      </c>
      <c r="AZ255" t="s">
        <v>142</v>
      </c>
      <c r="BA255" t="str">
        <f>VLOOKUP($AZ255,Sheet1!$A$2:$B$58,2)</f>
        <v>Nonane</v>
      </c>
      <c r="BB255" t="s">
        <v>190</v>
      </c>
      <c r="BC255">
        <v>128.25309999999999</v>
      </c>
      <c r="BD255">
        <v>6.2222222222222223</v>
      </c>
      <c r="BE255">
        <v>151</v>
      </c>
      <c r="BF255" t="s">
        <v>202</v>
      </c>
      <c r="BG255">
        <v>1.715748001412839</v>
      </c>
      <c r="BH255">
        <v>7.14285714285713E-2</v>
      </c>
      <c r="BI255">
        <v>0.305059464345178</v>
      </c>
      <c r="BJ255">
        <v>80</v>
      </c>
      <c r="BK255">
        <v>4322.9595758294536</v>
      </c>
      <c r="BL255">
        <v>3302.0793163848271</v>
      </c>
      <c r="BM255">
        <v>4.7225106621392854</v>
      </c>
      <c r="BN255">
        <v>802.82681256367846</v>
      </c>
      <c r="BO255">
        <v>3520.1327632657758</v>
      </c>
    </row>
    <row r="256" spans="1:67" x14ac:dyDescent="0.25">
      <c r="A256" s="1">
        <v>254</v>
      </c>
      <c r="B256" t="s">
        <v>69</v>
      </c>
      <c r="C256" t="s">
        <v>82</v>
      </c>
      <c r="D256">
        <v>1</v>
      </c>
      <c r="E256">
        <v>0</v>
      </c>
      <c r="F256">
        <v>1</v>
      </c>
      <c r="G256">
        <v>28.009699999999999</v>
      </c>
      <c r="H256">
        <v>2</v>
      </c>
      <c r="I256" t="s">
        <v>89</v>
      </c>
      <c r="J256">
        <v>4</v>
      </c>
      <c r="K256">
        <v>300</v>
      </c>
      <c r="L256">
        <v>50</v>
      </c>
      <c r="N256" t="s">
        <v>91</v>
      </c>
      <c r="O256">
        <v>50</v>
      </c>
      <c r="P256">
        <v>0.25</v>
      </c>
      <c r="Q256">
        <v>3.2500000000000001E-2</v>
      </c>
      <c r="R256">
        <v>77.5</v>
      </c>
      <c r="S256">
        <v>170</v>
      </c>
      <c r="T256">
        <v>20</v>
      </c>
      <c r="U256">
        <v>1812.1301775147931</v>
      </c>
      <c r="V256">
        <v>20</v>
      </c>
      <c r="W256">
        <v>0.95</v>
      </c>
      <c r="X256">
        <v>1</v>
      </c>
      <c r="Y256">
        <v>104815.7933242107</v>
      </c>
      <c r="Z256">
        <v>314447379.97263211</v>
      </c>
      <c r="AA256">
        <v>1257789519.890528</v>
      </c>
      <c r="AB256">
        <v>1257789.5198905279</v>
      </c>
      <c r="AC256">
        <v>0</v>
      </c>
      <c r="AD256">
        <v>3259.0174125069748</v>
      </c>
      <c r="AE256">
        <v>5866231.3425125554</v>
      </c>
      <c r="AF256">
        <v>2933115.6712562782</v>
      </c>
      <c r="AG256">
        <v>82.15569001718697</v>
      </c>
      <c r="AH256">
        <v>645.43210345994396</v>
      </c>
      <c r="AI256">
        <v>129.08642069198879</v>
      </c>
      <c r="AJ256">
        <v>40878.159396442177</v>
      </c>
      <c r="AK256">
        <v>854.70085470085473</v>
      </c>
      <c r="AL256" t="s">
        <v>93</v>
      </c>
      <c r="AM256">
        <v>50020.988018145646</v>
      </c>
      <c r="AN256">
        <v>1169.7209728252201</v>
      </c>
      <c r="AO256">
        <v>21944.69151763809</v>
      </c>
      <c r="AP256">
        <v>92923.56924211391</v>
      </c>
      <c r="AQ256">
        <v>70978.877724475809</v>
      </c>
      <c r="AR256">
        <v>1.393677030777778E-2</v>
      </c>
      <c r="AS256">
        <v>464.09955170307319</v>
      </c>
      <c r="AT256">
        <v>567.90027872406324</v>
      </c>
      <c r="AU256">
        <v>13.280122860744941</v>
      </c>
      <c r="AV256">
        <v>249.14334808539539</v>
      </c>
      <c r="AW256">
        <v>1054.983577163408</v>
      </c>
      <c r="AX256">
        <v>805.84022907801261</v>
      </c>
      <c r="AY256">
        <v>1.5712413913751311</v>
      </c>
      <c r="AZ256" t="s">
        <v>143</v>
      </c>
      <c r="BA256" t="str">
        <f>VLOOKUP($AZ256,Sheet1!$A$2:$B$58,2)</f>
        <v>Octane</v>
      </c>
      <c r="BB256" t="s">
        <v>191</v>
      </c>
      <c r="BC256">
        <v>114.22672</v>
      </c>
      <c r="BD256">
        <v>6.25</v>
      </c>
      <c r="BE256">
        <v>126</v>
      </c>
      <c r="BF256" t="s">
        <v>202</v>
      </c>
      <c r="BG256">
        <v>1.733788731743326</v>
      </c>
      <c r="BH256">
        <v>0.08</v>
      </c>
      <c r="BI256">
        <v>0.304300286380286</v>
      </c>
      <c r="BJ256">
        <v>80</v>
      </c>
      <c r="BK256">
        <v>4333.6451869329994</v>
      </c>
      <c r="BL256">
        <v>3310.218003175607</v>
      </c>
      <c r="BM256">
        <v>4.7205323028561139</v>
      </c>
      <c r="BN256">
        <v>802.49049148553934</v>
      </c>
      <c r="BO256">
        <v>3531.1546954474602</v>
      </c>
    </row>
    <row r="257" spans="1:67" x14ac:dyDescent="0.25">
      <c r="A257" s="1">
        <v>255</v>
      </c>
      <c r="B257" t="s">
        <v>69</v>
      </c>
      <c r="C257" t="s">
        <v>82</v>
      </c>
      <c r="D257">
        <v>1</v>
      </c>
      <c r="E257">
        <v>0</v>
      </c>
      <c r="F257">
        <v>1</v>
      </c>
      <c r="G257">
        <v>28.009699999999999</v>
      </c>
      <c r="H257">
        <v>2</v>
      </c>
      <c r="I257" t="s">
        <v>89</v>
      </c>
      <c r="J257">
        <v>4</v>
      </c>
      <c r="K257">
        <v>300</v>
      </c>
      <c r="L257">
        <v>50</v>
      </c>
      <c r="N257" t="s">
        <v>91</v>
      </c>
      <c r="O257">
        <v>50</v>
      </c>
      <c r="P257">
        <v>0.25</v>
      </c>
      <c r="Q257">
        <v>3.2500000000000001E-2</v>
      </c>
      <c r="R257">
        <v>77.5</v>
      </c>
      <c r="S257">
        <v>170</v>
      </c>
      <c r="T257">
        <v>20</v>
      </c>
      <c r="U257">
        <v>1812.1301775147931</v>
      </c>
      <c r="V257">
        <v>20</v>
      </c>
      <c r="W257">
        <v>0.95</v>
      </c>
      <c r="X257">
        <v>1</v>
      </c>
      <c r="Y257">
        <v>106206.87674345259</v>
      </c>
      <c r="Z257">
        <v>318620630.23035771</v>
      </c>
      <c r="AA257">
        <v>1274482520.9214311</v>
      </c>
      <c r="AB257">
        <v>1274482.520921431</v>
      </c>
      <c r="AC257">
        <v>66773.504273504266</v>
      </c>
      <c r="AD257">
        <v>3302.270103172933</v>
      </c>
      <c r="AE257">
        <v>5944086.1857112786</v>
      </c>
      <c r="AF257">
        <v>2972043.0928556388</v>
      </c>
      <c r="AG257">
        <v>83.246035417958609</v>
      </c>
      <c r="AH257">
        <v>653.9980825828834</v>
      </c>
      <c r="AI257">
        <v>130.79961651657669</v>
      </c>
      <c r="AJ257">
        <v>41420.681929946499</v>
      </c>
      <c r="AK257">
        <v>2170.1388888888891</v>
      </c>
      <c r="AL257" t="s">
        <v>95</v>
      </c>
      <c r="AM257">
        <v>50684.851400173473</v>
      </c>
      <c r="AN257">
        <v>1185.2451548099291</v>
      </c>
      <c r="AO257">
        <v>22235.934807818041</v>
      </c>
      <c r="AP257">
        <v>95460.917373818796</v>
      </c>
      <c r="AQ257">
        <v>73224.982566000763</v>
      </c>
      <c r="AR257">
        <v>1.393677030777777E-2</v>
      </c>
      <c r="AS257">
        <v>464.09955170307308</v>
      </c>
      <c r="AT257">
        <v>567.90027872406324</v>
      </c>
      <c r="AU257">
        <v>13.280122860744941</v>
      </c>
      <c r="AV257">
        <v>249.14334808539539</v>
      </c>
      <c r="AW257">
        <v>1069.595354158638</v>
      </c>
      <c r="AX257">
        <v>820.45200607324216</v>
      </c>
      <c r="AY257">
        <v>1.5712413913751311</v>
      </c>
      <c r="AZ257" t="s">
        <v>144</v>
      </c>
      <c r="BA257" t="str">
        <f>VLOOKUP($AZ257,Sheet1!$A$2:$B$58,2)</f>
        <v>Pentane</v>
      </c>
      <c r="BB257" t="s">
        <v>192</v>
      </c>
      <c r="BC257">
        <v>72.147580000000005</v>
      </c>
      <c r="BD257">
        <v>6.4</v>
      </c>
      <c r="BE257">
        <v>36.1</v>
      </c>
      <c r="BF257" t="s">
        <v>202</v>
      </c>
      <c r="BG257">
        <v>1.829999010361816</v>
      </c>
      <c r="BH257">
        <v>0.125</v>
      </c>
      <c r="BI257">
        <v>0.30031460206460198</v>
      </c>
      <c r="BJ257">
        <v>80</v>
      </c>
      <c r="BK257">
        <v>4451.9786367586958</v>
      </c>
      <c r="BL257">
        <v>3414.9688378154151</v>
      </c>
      <c r="BM257">
        <v>4.7099818154670183</v>
      </c>
      <c r="BN257">
        <v>800.69690862939308</v>
      </c>
      <c r="BO257">
        <v>3651.2817281293028</v>
      </c>
    </row>
    <row r="258" spans="1:67" x14ac:dyDescent="0.25">
      <c r="A258" s="1">
        <v>256</v>
      </c>
      <c r="B258" t="s">
        <v>69</v>
      </c>
      <c r="C258" t="s">
        <v>82</v>
      </c>
      <c r="D258">
        <v>1</v>
      </c>
      <c r="E258">
        <v>0</v>
      </c>
      <c r="F258">
        <v>1</v>
      </c>
      <c r="G258">
        <v>28.009699999999999</v>
      </c>
      <c r="H258">
        <v>2</v>
      </c>
      <c r="I258" t="s">
        <v>89</v>
      </c>
      <c r="J258">
        <v>4</v>
      </c>
      <c r="K258">
        <v>300</v>
      </c>
      <c r="L258">
        <v>50</v>
      </c>
      <c r="N258" t="s">
        <v>91</v>
      </c>
      <c r="O258">
        <v>50</v>
      </c>
      <c r="P258">
        <v>0.25</v>
      </c>
      <c r="Q258">
        <v>3.2500000000000001E-2</v>
      </c>
      <c r="R258">
        <v>77.5</v>
      </c>
      <c r="S258">
        <v>170</v>
      </c>
      <c r="T258">
        <v>20</v>
      </c>
      <c r="U258">
        <v>1812.1301775147931</v>
      </c>
      <c r="V258">
        <v>20</v>
      </c>
      <c r="W258">
        <v>0.95</v>
      </c>
      <c r="X258">
        <v>1</v>
      </c>
      <c r="Y258">
        <v>105975.6091699689</v>
      </c>
      <c r="Z258">
        <v>317926827.50990671</v>
      </c>
      <c r="AA258">
        <v>1271707310.0396271</v>
      </c>
      <c r="AB258">
        <v>1271707.3100396269</v>
      </c>
      <c r="AC258">
        <v>0</v>
      </c>
      <c r="AD258">
        <v>3295.079344747815</v>
      </c>
      <c r="AE258">
        <v>5931142.8205460664</v>
      </c>
      <c r="AF258">
        <v>2965571.4102730332</v>
      </c>
      <c r="AG258">
        <v>83.064765530324578</v>
      </c>
      <c r="AH258">
        <v>652.57398883058067</v>
      </c>
      <c r="AI258">
        <v>130.51479776611609</v>
      </c>
      <c r="AJ258">
        <v>41330.487576287873</v>
      </c>
      <c r="AK258">
        <v>854.70085470085473</v>
      </c>
      <c r="AL258" t="s">
        <v>93</v>
      </c>
      <c r="AM258">
        <v>50574.484134370003</v>
      </c>
      <c r="AN258">
        <v>1182.6642600567729</v>
      </c>
      <c r="AO258">
        <v>22187.515620239741</v>
      </c>
      <c r="AP258">
        <v>93942.336825415507</v>
      </c>
      <c r="AQ258">
        <v>71754.821205175758</v>
      </c>
      <c r="AR258">
        <v>1.393677030777777E-2</v>
      </c>
      <c r="AS258">
        <v>464.09955170307308</v>
      </c>
      <c r="AT258">
        <v>567.90027872406301</v>
      </c>
      <c r="AU258">
        <v>13.28012286074493</v>
      </c>
      <c r="AV258">
        <v>249.1433480853953</v>
      </c>
      <c r="AW258">
        <v>1054.8773789842201</v>
      </c>
      <c r="AX258">
        <v>805.73403089882504</v>
      </c>
      <c r="AY258">
        <v>1.57124139137513</v>
      </c>
      <c r="AZ258" t="s">
        <v>145</v>
      </c>
      <c r="BA258" t="str">
        <f>VLOOKUP($AZ258,Sheet1!$A$2:$B$58,2)</f>
        <v>Pentanol (PW1)</v>
      </c>
      <c r="BB258" t="s">
        <v>157</v>
      </c>
      <c r="BC258">
        <v>88.14658</v>
      </c>
      <c r="BD258">
        <v>6</v>
      </c>
      <c r="BE258">
        <v>138</v>
      </c>
      <c r="BF258" t="s">
        <v>202</v>
      </c>
      <c r="BG258">
        <v>1.2482049785709159</v>
      </c>
      <c r="BH258">
        <v>0.10253521126760599</v>
      </c>
      <c r="BI258">
        <v>0.30096997012377302</v>
      </c>
      <c r="BJ258">
        <v>80</v>
      </c>
      <c r="BK258">
        <v>4381.1571074283802</v>
      </c>
      <c r="BL258">
        <v>3346.4054178207102</v>
      </c>
      <c r="BM258">
        <v>5.2775349097348911</v>
      </c>
      <c r="BN258">
        <v>897.18093465493155</v>
      </c>
      <c r="BO258">
        <v>3483.976172773449</v>
      </c>
    </row>
    <row r="259" spans="1:67" x14ac:dyDescent="0.25">
      <c r="A259" s="1">
        <v>257</v>
      </c>
      <c r="B259" t="s">
        <v>69</v>
      </c>
      <c r="C259" t="s">
        <v>82</v>
      </c>
      <c r="D259">
        <v>1</v>
      </c>
      <c r="E259">
        <v>0</v>
      </c>
      <c r="F259">
        <v>1</v>
      </c>
      <c r="G259">
        <v>28.009699999999999</v>
      </c>
      <c r="H259">
        <v>2</v>
      </c>
      <c r="I259" t="s">
        <v>89</v>
      </c>
      <c r="J259">
        <v>4</v>
      </c>
      <c r="K259">
        <v>300</v>
      </c>
      <c r="L259">
        <v>50</v>
      </c>
      <c r="N259" t="s">
        <v>91</v>
      </c>
      <c r="O259">
        <v>50</v>
      </c>
      <c r="P259">
        <v>0.25</v>
      </c>
      <c r="Q259">
        <v>3.2500000000000001E-2</v>
      </c>
      <c r="R259">
        <v>77.5</v>
      </c>
      <c r="S259">
        <v>170</v>
      </c>
      <c r="T259">
        <v>20</v>
      </c>
      <c r="U259">
        <v>1812.1301775147931</v>
      </c>
      <c r="V259">
        <v>20</v>
      </c>
      <c r="W259">
        <v>0.95</v>
      </c>
      <c r="X259">
        <v>1</v>
      </c>
      <c r="Y259">
        <v>105975.6091699689</v>
      </c>
      <c r="Z259">
        <v>317926827.50990671</v>
      </c>
      <c r="AA259">
        <v>1271707310.0396271</v>
      </c>
      <c r="AB259">
        <v>1271707.3100396269</v>
      </c>
      <c r="AC259">
        <v>0</v>
      </c>
      <c r="AD259">
        <v>3295.079344747815</v>
      </c>
      <c r="AE259">
        <v>5931142.8205460664</v>
      </c>
      <c r="AF259">
        <v>2965571.4102730332</v>
      </c>
      <c r="AG259">
        <v>83.064765530324578</v>
      </c>
      <c r="AH259">
        <v>652.57398883058067</v>
      </c>
      <c r="AI259">
        <v>130.51479776611609</v>
      </c>
      <c r="AJ259">
        <v>41330.487576287873</v>
      </c>
      <c r="AK259">
        <v>854.70085470085473</v>
      </c>
      <c r="AL259" t="s">
        <v>93</v>
      </c>
      <c r="AM259">
        <v>50574.484134370003</v>
      </c>
      <c r="AN259">
        <v>1182.6642600567729</v>
      </c>
      <c r="AO259">
        <v>22187.515620239741</v>
      </c>
      <c r="AP259">
        <v>93942.336825415507</v>
      </c>
      <c r="AQ259">
        <v>71754.821205175758</v>
      </c>
      <c r="AR259">
        <v>1.393677030777777E-2</v>
      </c>
      <c r="AS259">
        <v>464.09955170307308</v>
      </c>
      <c r="AT259">
        <v>567.90027872406301</v>
      </c>
      <c r="AU259">
        <v>13.28012286074493</v>
      </c>
      <c r="AV259">
        <v>249.1433480853953</v>
      </c>
      <c r="AW259">
        <v>1054.8773789842201</v>
      </c>
      <c r="AX259">
        <v>805.73403089882504</v>
      </c>
      <c r="AY259">
        <v>1.57124139137513</v>
      </c>
      <c r="AZ259" t="s">
        <v>146</v>
      </c>
      <c r="BA259" t="str">
        <f>VLOOKUP($AZ259,Sheet1!$A$2:$B$58,2)</f>
        <v>Pentanol (PW2)</v>
      </c>
      <c r="BB259" t="s">
        <v>157</v>
      </c>
      <c r="BC259">
        <v>88.14658</v>
      </c>
      <c r="BD259">
        <v>6</v>
      </c>
      <c r="BE259">
        <v>138</v>
      </c>
      <c r="BF259" t="s">
        <v>202</v>
      </c>
      <c r="BG259">
        <v>1.2482049785709159</v>
      </c>
      <c r="BH259">
        <v>0.10253521126760599</v>
      </c>
      <c r="BI259">
        <v>0.30096997012377302</v>
      </c>
      <c r="BJ259">
        <v>80</v>
      </c>
      <c r="BK259">
        <v>4381.1571074283802</v>
      </c>
      <c r="BL259">
        <v>3346.4054178207102</v>
      </c>
      <c r="BM259">
        <v>5.2775349097348911</v>
      </c>
      <c r="BN259">
        <v>897.18093465493155</v>
      </c>
      <c r="BO259">
        <v>3483.976172773449</v>
      </c>
    </row>
    <row r="260" spans="1:67" x14ac:dyDescent="0.25">
      <c r="A260" s="1">
        <v>258</v>
      </c>
      <c r="B260" t="s">
        <v>69</v>
      </c>
      <c r="C260" t="s">
        <v>82</v>
      </c>
      <c r="D260">
        <v>1</v>
      </c>
      <c r="E260">
        <v>0</v>
      </c>
      <c r="F260">
        <v>1</v>
      </c>
      <c r="G260">
        <v>28.009699999999999</v>
      </c>
      <c r="H260">
        <v>2</v>
      </c>
      <c r="I260" t="s">
        <v>89</v>
      </c>
      <c r="J260">
        <v>4</v>
      </c>
      <c r="K260">
        <v>300</v>
      </c>
      <c r="L260">
        <v>50</v>
      </c>
      <c r="N260" t="s">
        <v>91</v>
      </c>
      <c r="O260">
        <v>50</v>
      </c>
      <c r="P260">
        <v>0.25</v>
      </c>
      <c r="Q260">
        <v>3.2500000000000001E-2</v>
      </c>
      <c r="R260">
        <v>77.5</v>
      </c>
      <c r="S260">
        <v>170</v>
      </c>
      <c r="T260">
        <v>20</v>
      </c>
      <c r="U260">
        <v>1812.1301775147931</v>
      </c>
      <c r="V260">
        <v>20</v>
      </c>
      <c r="W260">
        <v>0.95</v>
      </c>
      <c r="X260">
        <v>1</v>
      </c>
      <c r="Y260">
        <v>265625.4968300389</v>
      </c>
      <c r="Z260">
        <v>796876490.4901166</v>
      </c>
      <c r="AA260">
        <v>3187505961.9604659</v>
      </c>
      <c r="AB260">
        <v>3187505.961960467</v>
      </c>
      <c r="AC260">
        <v>0</v>
      </c>
      <c r="AD260">
        <v>8259.0427636915647</v>
      </c>
      <c r="AE260">
        <v>14866276.974644819</v>
      </c>
      <c r="AF260">
        <v>7433138.4873224078</v>
      </c>
      <c r="AG260">
        <v>208.1999790883545</v>
      </c>
      <c r="AH260">
        <v>1635.6621241352959</v>
      </c>
      <c r="AI260">
        <v>327.1324248270592</v>
      </c>
      <c r="AJ260">
        <v>103593.9437637152</v>
      </c>
      <c r="AK260">
        <v>854.70085470085473</v>
      </c>
      <c r="AL260" t="s">
        <v>93</v>
      </c>
      <c r="AM260">
        <v>126763.8146204854</v>
      </c>
      <c r="AN260">
        <v>2964.3215464500731</v>
      </c>
      <c r="AO260">
        <v>55612.512220600067</v>
      </c>
      <c r="AP260">
        <v>234176.7807853515</v>
      </c>
      <c r="AQ260">
        <v>178564.26856475149</v>
      </c>
      <c r="AR260">
        <v>1.393677030777778E-2</v>
      </c>
      <c r="AS260">
        <v>464.0995517030733</v>
      </c>
      <c r="AT260">
        <v>567.90027872406324</v>
      </c>
      <c r="AU260">
        <v>13.280122860744941</v>
      </c>
      <c r="AV260">
        <v>249.1433480853955</v>
      </c>
      <c r="AW260">
        <v>1049.109002256339</v>
      </c>
      <c r="AX260">
        <v>799.96565417094348</v>
      </c>
      <c r="AY260">
        <v>1.5712413913751311</v>
      </c>
      <c r="AZ260" t="s">
        <v>147</v>
      </c>
      <c r="BA260" t="str">
        <f>VLOOKUP($AZ260,Sheet1!$A$2:$B$58,2)</f>
        <v>Phenol</v>
      </c>
      <c r="BB260" t="s">
        <v>193</v>
      </c>
      <c r="BC260">
        <v>94.11023999999999</v>
      </c>
      <c r="BD260">
        <v>4.666666666666667</v>
      </c>
      <c r="BE260">
        <v>181.7</v>
      </c>
      <c r="BF260" t="s">
        <v>202</v>
      </c>
      <c r="BG260">
        <v>0.46764305350831492</v>
      </c>
      <c r="BH260">
        <v>3.8315789473684303E-2</v>
      </c>
      <c r="BI260">
        <v>0.12007686124401901</v>
      </c>
      <c r="BJ260">
        <v>80</v>
      </c>
      <c r="BK260">
        <v>10921.223616558709</v>
      </c>
      <c r="BL260">
        <v>8327.6416234896114</v>
      </c>
      <c r="BM260">
        <v>15.888978187844639</v>
      </c>
      <c r="BN260">
        <v>2701.1262919335891</v>
      </c>
      <c r="BO260">
        <v>8220.0973246251197</v>
      </c>
    </row>
    <row r="261" spans="1:67" x14ac:dyDescent="0.25">
      <c r="A261" s="1">
        <v>259</v>
      </c>
      <c r="B261" t="s">
        <v>69</v>
      </c>
      <c r="C261" t="s">
        <v>82</v>
      </c>
      <c r="D261">
        <v>1</v>
      </c>
      <c r="E261">
        <v>0</v>
      </c>
      <c r="F261">
        <v>1</v>
      </c>
      <c r="G261">
        <v>28.009699999999999</v>
      </c>
      <c r="H261">
        <v>2</v>
      </c>
      <c r="I261" t="s">
        <v>89</v>
      </c>
      <c r="J261">
        <v>4</v>
      </c>
      <c r="K261">
        <v>300</v>
      </c>
      <c r="L261">
        <v>50</v>
      </c>
      <c r="N261" t="s">
        <v>91</v>
      </c>
      <c r="O261">
        <v>50</v>
      </c>
      <c r="P261">
        <v>0.25</v>
      </c>
      <c r="Q261">
        <v>3.2500000000000001E-2</v>
      </c>
      <c r="R261">
        <v>77.5</v>
      </c>
      <c r="S261">
        <v>170</v>
      </c>
      <c r="T261">
        <v>20</v>
      </c>
      <c r="U261">
        <v>1812.1301775147931</v>
      </c>
      <c r="V261">
        <v>20</v>
      </c>
      <c r="W261">
        <v>0.95</v>
      </c>
      <c r="X261">
        <v>1</v>
      </c>
      <c r="Y261">
        <v>108609.2586441896</v>
      </c>
      <c r="Z261">
        <v>325827775.93256891</v>
      </c>
      <c r="AA261">
        <v>1303311103.7302761</v>
      </c>
      <c r="AB261">
        <v>1303311.103730276</v>
      </c>
      <c r="AC261">
        <v>66773.504273504266</v>
      </c>
      <c r="AD261">
        <v>3376.9669040813242</v>
      </c>
      <c r="AE261">
        <v>6078540.4273463832</v>
      </c>
      <c r="AF261">
        <v>3039270.2136731921</v>
      </c>
      <c r="AG261">
        <v>85.129046903922003</v>
      </c>
      <c r="AH261">
        <v>668.79141051878571</v>
      </c>
      <c r="AI261">
        <v>133.75828210375721</v>
      </c>
      <c r="AJ261">
        <v>42357.610871233963</v>
      </c>
      <c r="AK261">
        <v>2170.1388888888891</v>
      </c>
      <c r="AL261" t="s">
        <v>95</v>
      </c>
      <c r="AM261">
        <v>51831.334315205902</v>
      </c>
      <c r="AN261">
        <v>1212.055203228259</v>
      </c>
      <c r="AO261">
        <v>22738.907957638719</v>
      </c>
      <c r="AP261">
        <v>97571.139278556991</v>
      </c>
      <c r="AQ261">
        <v>74832.231320918276</v>
      </c>
      <c r="AR261">
        <v>1.393677030777778E-2</v>
      </c>
      <c r="AS261">
        <v>464.09955170307319</v>
      </c>
      <c r="AT261">
        <v>567.90027872406324</v>
      </c>
      <c r="AU261">
        <v>13.280122860744941</v>
      </c>
      <c r="AV261">
        <v>249.14334808539539</v>
      </c>
      <c r="AW261">
        <v>1069.057509782474</v>
      </c>
      <c r="AX261">
        <v>819.91416169707827</v>
      </c>
      <c r="AY261">
        <v>1.57124139137513</v>
      </c>
      <c r="AZ261" t="s">
        <v>148</v>
      </c>
      <c r="BA261" t="str">
        <f>VLOOKUP($AZ261,Sheet1!$A$2:$B$58,2)</f>
        <v>Propane (PW1)</v>
      </c>
      <c r="BB261" t="s">
        <v>194</v>
      </c>
      <c r="BC261">
        <v>44.094819999999999</v>
      </c>
      <c r="BD261">
        <v>6.666666666666667</v>
      </c>
      <c r="BE261">
        <v>-42</v>
      </c>
      <c r="BF261" t="s">
        <v>202</v>
      </c>
      <c r="BG261">
        <v>1.9961528360927661</v>
      </c>
      <c r="BH261">
        <v>0.2</v>
      </c>
      <c r="BI261">
        <v>0.29367179487179501</v>
      </c>
      <c r="BJ261">
        <v>80</v>
      </c>
      <c r="BK261">
        <v>4550.3923446631125</v>
      </c>
      <c r="BL261">
        <v>3489.925556415023</v>
      </c>
      <c r="BM261">
        <v>4.6917612690950934</v>
      </c>
      <c r="BN261">
        <v>797.59941574616573</v>
      </c>
      <c r="BO261">
        <v>3752.7929289169469</v>
      </c>
    </row>
    <row r="262" spans="1:67" x14ac:dyDescent="0.25">
      <c r="A262" s="1">
        <v>260</v>
      </c>
      <c r="B262" t="s">
        <v>69</v>
      </c>
      <c r="C262" t="s">
        <v>82</v>
      </c>
      <c r="D262">
        <v>1</v>
      </c>
      <c r="E262">
        <v>0</v>
      </c>
      <c r="F262">
        <v>1</v>
      </c>
      <c r="G262">
        <v>28.009699999999999</v>
      </c>
      <c r="H262">
        <v>2</v>
      </c>
      <c r="I262" t="s">
        <v>89</v>
      </c>
      <c r="J262">
        <v>4</v>
      </c>
      <c r="K262">
        <v>300</v>
      </c>
      <c r="L262">
        <v>50</v>
      </c>
      <c r="N262" t="s">
        <v>91</v>
      </c>
      <c r="O262">
        <v>50</v>
      </c>
      <c r="P262">
        <v>0.25</v>
      </c>
      <c r="Q262">
        <v>3.2500000000000001E-2</v>
      </c>
      <c r="R262">
        <v>77.5</v>
      </c>
      <c r="S262">
        <v>170</v>
      </c>
      <c r="T262">
        <v>20</v>
      </c>
      <c r="U262">
        <v>1812.1301775147931</v>
      </c>
      <c r="V262">
        <v>20</v>
      </c>
      <c r="W262">
        <v>0.95</v>
      </c>
      <c r="X262">
        <v>1</v>
      </c>
      <c r="Y262">
        <v>113383.2919911873</v>
      </c>
      <c r="Z262">
        <v>340149875.97356188</v>
      </c>
      <c r="AA262">
        <v>1360599503.894248</v>
      </c>
      <c r="AB262">
        <v>1360599.503894248</v>
      </c>
      <c r="AC262">
        <v>66773.504273504266</v>
      </c>
      <c r="AD262">
        <v>3525.405009755239</v>
      </c>
      <c r="AE262">
        <v>6345729.0175594296</v>
      </c>
      <c r="AF262">
        <v>3172864.5087797148</v>
      </c>
      <c r="AG262">
        <v>88.870983031567192</v>
      </c>
      <c r="AH262">
        <v>698.18883515697632</v>
      </c>
      <c r="AI262">
        <v>139.6377670313953</v>
      </c>
      <c r="AJ262">
        <v>44219.483876563063</v>
      </c>
      <c r="AK262">
        <v>2170.1388888888891</v>
      </c>
      <c r="AL262" t="s">
        <v>95</v>
      </c>
      <c r="AM262">
        <v>54109.634724665673</v>
      </c>
      <c r="AN262">
        <v>1265.332355018516</v>
      </c>
      <c r="AO262">
        <v>23738.420395337191</v>
      </c>
      <c r="AP262">
        <v>101764.5898451361</v>
      </c>
      <c r="AQ262">
        <v>78026.169449798937</v>
      </c>
      <c r="AR262">
        <v>1.393677030777778E-2</v>
      </c>
      <c r="AS262">
        <v>464.09955170307319</v>
      </c>
      <c r="AT262">
        <v>567.90027872406324</v>
      </c>
      <c r="AU262">
        <v>13.280122860744941</v>
      </c>
      <c r="AV262">
        <v>249.1433480853955</v>
      </c>
      <c r="AW262">
        <v>1068.056349509018</v>
      </c>
      <c r="AX262">
        <v>818.91300142362206</v>
      </c>
      <c r="AY262">
        <v>1.5712413913751311</v>
      </c>
      <c r="AZ262" t="s">
        <v>149</v>
      </c>
      <c r="BA262" t="str">
        <f>VLOOKUP($AZ262,Sheet1!$A$2:$B$58,2)</f>
        <v>Propane (PW2)</v>
      </c>
      <c r="BB262" t="s">
        <v>194</v>
      </c>
      <c r="BC262">
        <v>44.094819999999999</v>
      </c>
      <c r="BD262">
        <v>6.666666666666667</v>
      </c>
      <c r="BE262">
        <v>-42</v>
      </c>
      <c r="BF262" t="s">
        <v>202</v>
      </c>
      <c r="BG262">
        <v>1.9961528360927661</v>
      </c>
      <c r="BH262">
        <v>0.19157894736842099</v>
      </c>
      <c r="BI262">
        <v>0.28130666666666598</v>
      </c>
      <c r="BJ262">
        <v>80</v>
      </c>
      <c r="BK262">
        <v>4745.9608856986742</v>
      </c>
      <c r="BL262">
        <v>3638.880172692423</v>
      </c>
      <c r="BM262">
        <v>4.985735515476998</v>
      </c>
      <c r="BN262">
        <v>847.57503763108969</v>
      </c>
      <c r="BO262">
        <v>3898.385848067584</v>
      </c>
    </row>
    <row r="263" spans="1:67" x14ac:dyDescent="0.25">
      <c r="A263" s="1">
        <v>261</v>
      </c>
      <c r="B263" t="s">
        <v>69</v>
      </c>
      <c r="C263" t="s">
        <v>82</v>
      </c>
      <c r="D263">
        <v>1</v>
      </c>
      <c r="E263">
        <v>0</v>
      </c>
      <c r="F263">
        <v>1</v>
      </c>
      <c r="G263">
        <v>28.009699999999999</v>
      </c>
      <c r="H263">
        <v>2</v>
      </c>
      <c r="I263" t="s">
        <v>89</v>
      </c>
      <c r="J263">
        <v>4</v>
      </c>
      <c r="K263">
        <v>300</v>
      </c>
      <c r="L263">
        <v>50</v>
      </c>
      <c r="N263" t="s">
        <v>91</v>
      </c>
      <c r="O263">
        <v>50</v>
      </c>
      <c r="P263">
        <v>0.25</v>
      </c>
      <c r="Q263">
        <v>3.2500000000000001E-2</v>
      </c>
      <c r="R263">
        <v>77.5</v>
      </c>
      <c r="S263">
        <v>170</v>
      </c>
      <c r="T263">
        <v>20</v>
      </c>
      <c r="U263">
        <v>1812.1301775147931</v>
      </c>
      <c r="V263">
        <v>20</v>
      </c>
      <c r="W263">
        <v>0.95</v>
      </c>
      <c r="X263">
        <v>1</v>
      </c>
      <c r="Y263">
        <v>107905.31007887371</v>
      </c>
      <c r="Z263">
        <v>323715930.23662102</v>
      </c>
      <c r="AA263">
        <v>1294863720.9464841</v>
      </c>
      <c r="AB263">
        <v>1294863.720946484</v>
      </c>
      <c r="AC263">
        <v>0</v>
      </c>
      <c r="AD263">
        <v>3355.0791659922961</v>
      </c>
      <c r="AE263">
        <v>6039142.4987861319</v>
      </c>
      <c r="AF263">
        <v>3019571.2493930659</v>
      </c>
      <c r="AG263">
        <v>84.577284824124959</v>
      </c>
      <c r="AH263">
        <v>664.45665342894415</v>
      </c>
      <c r="AI263">
        <v>132.8913306857888</v>
      </c>
      <c r="AJ263">
        <v>42083.070930760718</v>
      </c>
      <c r="AK263">
        <v>854.70085470085473</v>
      </c>
      <c r="AL263" t="s">
        <v>93</v>
      </c>
      <c r="AM263">
        <v>51495.390640743171</v>
      </c>
      <c r="AN263">
        <v>1204.199293593598</v>
      </c>
      <c r="AO263">
        <v>22591.526216584101</v>
      </c>
      <c r="AP263">
        <v>95637.361719798355</v>
      </c>
      <c r="AQ263">
        <v>73045.835503214257</v>
      </c>
      <c r="AR263">
        <v>1.393677030777778E-2</v>
      </c>
      <c r="AS263">
        <v>464.09955170307319</v>
      </c>
      <c r="AT263">
        <v>567.90027872406324</v>
      </c>
      <c r="AU263">
        <v>13.280122860744941</v>
      </c>
      <c r="AV263">
        <v>249.14334808539539</v>
      </c>
      <c r="AW263">
        <v>1054.705745530076</v>
      </c>
      <c r="AX263">
        <v>805.56239744468076</v>
      </c>
      <c r="AY263">
        <v>1.5712413913751311</v>
      </c>
      <c r="AZ263" t="s">
        <v>150</v>
      </c>
      <c r="BA263" t="str">
        <f>VLOOKUP($AZ263,Sheet1!$A$2:$B$58,2)</f>
        <v>Shikimate</v>
      </c>
      <c r="BB263" t="s">
        <v>195</v>
      </c>
      <c r="BC263">
        <v>173.14045999999999</v>
      </c>
      <c r="BD263">
        <v>3.8571428571428572</v>
      </c>
      <c r="BE263">
        <v>400.5</v>
      </c>
      <c r="BF263" t="s">
        <v>202</v>
      </c>
      <c r="BG263">
        <v>0</v>
      </c>
      <c r="BH263">
        <v>5.1267605633802803E-2</v>
      </c>
      <c r="BI263">
        <v>0.29558763977806202</v>
      </c>
      <c r="BJ263">
        <v>80</v>
      </c>
      <c r="BK263">
        <v>4460.2074122669164</v>
      </c>
      <c r="BL263">
        <v>3406.6140166141859</v>
      </c>
      <c r="BM263">
        <v>6.6445665342894422</v>
      </c>
      <c r="BN263">
        <v>1129.5763108292051</v>
      </c>
      <c r="BO263">
        <v>3330.6311014377111</v>
      </c>
    </row>
    <row r="264" spans="1:67" x14ac:dyDescent="0.25">
      <c r="A264" s="1">
        <v>262</v>
      </c>
      <c r="B264" t="s">
        <v>69</v>
      </c>
      <c r="C264" t="s">
        <v>82</v>
      </c>
      <c r="D264">
        <v>1</v>
      </c>
      <c r="E264">
        <v>0</v>
      </c>
      <c r="F264">
        <v>1</v>
      </c>
      <c r="G264">
        <v>28.009699999999999</v>
      </c>
      <c r="H264">
        <v>2</v>
      </c>
      <c r="I264" t="s">
        <v>89</v>
      </c>
      <c r="J264">
        <v>4</v>
      </c>
      <c r="K264">
        <v>300</v>
      </c>
      <c r="L264">
        <v>50</v>
      </c>
      <c r="N264" t="s">
        <v>91</v>
      </c>
      <c r="O264">
        <v>50</v>
      </c>
      <c r="P264">
        <v>0.25</v>
      </c>
      <c r="Q264">
        <v>3.2500000000000001E-2</v>
      </c>
      <c r="R264">
        <v>77.5</v>
      </c>
      <c r="S264">
        <v>170</v>
      </c>
      <c r="T264">
        <v>20</v>
      </c>
      <c r="U264">
        <v>1812.1301775147931</v>
      </c>
      <c r="V264">
        <v>20</v>
      </c>
      <c r="W264">
        <v>0.95</v>
      </c>
      <c r="X264">
        <v>1</v>
      </c>
      <c r="Y264">
        <v>262762.93601548258</v>
      </c>
      <c r="Z264">
        <v>788288808.04644799</v>
      </c>
      <c r="AA264">
        <v>3153155232.185792</v>
      </c>
      <c r="AB264">
        <v>3153155.2321857922</v>
      </c>
      <c r="AC264">
        <v>0</v>
      </c>
      <c r="AD264">
        <v>8170.0377078395086</v>
      </c>
      <c r="AE264">
        <v>14706067.87411112</v>
      </c>
      <c r="AF264">
        <v>7353033.9370555589</v>
      </c>
      <c r="AG264">
        <v>205.95627466674509</v>
      </c>
      <c r="AH264">
        <v>1618.035117849076</v>
      </c>
      <c r="AI264">
        <v>323.60702356981523</v>
      </c>
      <c r="AJ264">
        <v>102477.5450460383</v>
      </c>
      <c r="AK264">
        <v>854.70085470085473</v>
      </c>
      <c r="AL264" t="s">
        <v>93</v>
      </c>
      <c r="AM264">
        <v>125397.7216333034</v>
      </c>
      <c r="AN264">
        <v>2932.3760035640212</v>
      </c>
      <c r="AO264">
        <v>55013.19400686858</v>
      </c>
      <c r="AP264">
        <v>231662.3435376065</v>
      </c>
      <c r="AQ264">
        <v>176649.14953073789</v>
      </c>
      <c r="AR264">
        <v>1.393677030777778E-2</v>
      </c>
      <c r="AS264">
        <v>464.09955170307319</v>
      </c>
      <c r="AT264">
        <v>567.90027872406324</v>
      </c>
      <c r="AU264">
        <v>13.280122860744941</v>
      </c>
      <c r="AV264">
        <v>249.1433480853955</v>
      </c>
      <c r="AW264">
        <v>1049.1507162274961</v>
      </c>
      <c r="AX264">
        <v>800.00736814210063</v>
      </c>
      <c r="AY264">
        <v>1.5712413913751311</v>
      </c>
      <c r="AZ264" t="s">
        <v>151</v>
      </c>
      <c r="BA264" t="str">
        <f>VLOOKUP($AZ264,Sheet1!$A$2:$B$58,2)</f>
        <v>Styrene</v>
      </c>
      <c r="BB264" t="s">
        <v>196</v>
      </c>
      <c r="BC264">
        <v>104.14832</v>
      </c>
      <c r="BD264">
        <v>5</v>
      </c>
      <c r="BE264">
        <v>145</v>
      </c>
      <c r="BF264" t="s">
        <v>202</v>
      </c>
      <c r="BG264">
        <v>0.84514085296815156</v>
      </c>
      <c r="BH264">
        <v>3.5000000000000003E-2</v>
      </c>
      <c r="BI264">
        <v>0.121384988344988</v>
      </c>
      <c r="BJ264">
        <v>80</v>
      </c>
      <c r="BK264">
        <v>10803.958653908119</v>
      </c>
      <c r="BL264">
        <v>8238.3268624247157</v>
      </c>
      <c r="BM264">
        <v>15.33521032552261</v>
      </c>
      <c r="BN264">
        <v>2606.9857553388429</v>
      </c>
      <c r="BO264">
        <v>8196.9728985692818</v>
      </c>
    </row>
    <row r="265" spans="1:67" x14ac:dyDescent="0.25">
      <c r="A265" s="1">
        <v>263</v>
      </c>
      <c r="B265" t="s">
        <v>69</v>
      </c>
      <c r="C265" t="s">
        <v>82</v>
      </c>
      <c r="D265">
        <v>1</v>
      </c>
      <c r="E265">
        <v>0</v>
      </c>
      <c r="F265">
        <v>1</v>
      </c>
      <c r="G265">
        <v>28.009699999999999</v>
      </c>
      <c r="H265">
        <v>2</v>
      </c>
      <c r="I265" t="s">
        <v>89</v>
      </c>
      <c r="J265">
        <v>4</v>
      </c>
      <c r="K265">
        <v>300</v>
      </c>
      <c r="L265">
        <v>50</v>
      </c>
      <c r="N265" t="s">
        <v>91</v>
      </c>
      <c r="O265">
        <v>50</v>
      </c>
      <c r="P265">
        <v>0.25</v>
      </c>
      <c r="Q265">
        <v>3.2500000000000001E-2</v>
      </c>
      <c r="R265">
        <v>77.5</v>
      </c>
      <c r="S265">
        <v>170</v>
      </c>
      <c r="T265">
        <v>20</v>
      </c>
      <c r="U265">
        <v>1812.1301775147931</v>
      </c>
      <c r="V265">
        <v>20</v>
      </c>
      <c r="W265">
        <v>0.95</v>
      </c>
      <c r="X265">
        <v>1</v>
      </c>
      <c r="Y265">
        <v>47608.198387367192</v>
      </c>
      <c r="Z265">
        <v>142824595.1621016</v>
      </c>
      <c r="AA265">
        <v>571298380.64840627</v>
      </c>
      <c r="AB265">
        <v>571298.38064840622</v>
      </c>
      <c r="AC265">
        <v>0</v>
      </c>
      <c r="AD265">
        <v>1480.2726058905639</v>
      </c>
      <c r="AE265">
        <v>2664490.690603015</v>
      </c>
      <c r="AF265">
        <v>1332245.345301508</v>
      </c>
      <c r="AG265">
        <v>37.315792448291653</v>
      </c>
      <c r="AH265">
        <v>293.16058823359668</v>
      </c>
      <c r="AI265">
        <v>58.632117646719337</v>
      </c>
      <c r="AJ265">
        <v>18567.197371073202</v>
      </c>
      <c r="AK265">
        <v>854.70085470085473</v>
      </c>
      <c r="AL265" t="s">
        <v>93</v>
      </c>
      <c r="AM265">
        <v>22719.945588103739</v>
      </c>
      <c r="AN265">
        <v>531.29691972921569</v>
      </c>
      <c r="AO265">
        <v>9967.4599999422881</v>
      </c>
      <c r="AP265">
        <v>42673.140733607011</v>
      </c>
      <c r="AQ265">
        <v>32705.680733664729</v>
      </c>
      <c r="AR265">
        <v>1.393677030777777E-2</v>
      </c>
      <c r="AS265">
        <v>464.09955170307308</v>
      </c>
      <c r="AT265">
        <v>567.90027872406313</v>
      </c>
      <c r="AU265">
        <v>13.280122860744941</v>
      </c>
      <c r="AV265">
        <v>249.14334808539539</v>
      </c>
      <c r="AW265">
        <v>1066.643774417121</v>
      </c>
      <c r="AX265">
        <v>817.50042633172529</v>
      </c>
      <c r="AY265">
        <v>1.57124139137513</v>
      </c>
      <c r="AZ265" t="s">
        <v>152</v>
      </c>
      <c r="BA265" t="str">
        <f>VLOOKUP($AZ265,Sheet1!$A$2:$B$58,2)</f>
        <v>Succinate</v>
      </c>
      <c r="BB265" t="s">
        <v>197</v>
      </c>
      <c r="BC265">
        <v>116.07016</v>
      </c>
      <c r="BD265">
        <v>3</v>
      </c>
      <c r="BE265">
        <v>235</v>
      </c>
      <c r="BF265" t="s">
        <v>202</v>
      </c>
      <c r="BG265">
        <v>0</v>
      </c>
      <c r="BH265">
        <v>0.17333333333333301</v>
      </c>
      <c r="BI265">
        <v>0.66995763347763304</v>
      </c>
      <c r="BJ265">
        <v>80</v>
      </c>
      <c r="BK265">
        <v>1990.1328851205849</v>
      </c>
      <c r="BL265">
        <v>1525.2838117692299</v>
      </c>
      <c r="BM265">
        <v>2.9316058823359672</v>
      </c>
      <c r="BN265">
        <v>498.37299999711428</v>
      </c>
      <c r="BO265">
        <v>1491.75988512347</v>
      </c>
    </row>
    <row r="266" spans="1:67" x14ac:dyDescent="0.25">
      <c r="A266" s="1">
        <v>264</v>
      </c>
      <c r="B266" t="s">
        <v>70</v>
      </c>
      <c r="C266" t="s">
        <v>82</v>
      </c>
      <c r="D266">
        <v>1</v>
      </c>
      <c r="E266">
        <v>0</v>
      </c>
      <c r="F266">
        <v>1</v>
      </c>
      <c r="G266">
        <v>28.009699999999999</v>
      </c>
      <c r="H266">
        <v>2</v>
      </c>
      <c r="I266" t="s">
        <v>89</v>
      </c>
      <c r="J266">
        <v>4</v>
      </c>
      <c r="K266">
        <v>300</v>
      </c>
      <c r="L266">
        <v>33.333333333333329</v>
      </c>
      <c r="N266" t="s">
        <v>91</v>
      </c>
      <c r="O266">
        <v>66.666666666666671</v>
      </c>
      <c r="P266">
        <v>0.1666666666666666</v>
      </c>
      <c r="Q266">
        <v>3.2500000000000001E-2</v>
      </c>
      <c r="R266">
        <v>77.5</v>
      </c>
      <c r="S266">
        <v>170</v>
      </c>
      <c r="T266">
        <v>20</v>
      </c>
      <c r="U266">
        <v>1812.1301775147931</v>
      </c>
      <c r="V266">
        <v>20</v>
      </c>
      <c r="W266">
        <v>0.95</v>
      </c>
      <c r="X266">
        <v>1</v>
      </c>
      <c r="Y266">
        <v>66987.464696354538</v>
      </c>
      <c r="Z266">
        <v>200962394.08906361</v>
      </c>
      <c r="AA266">
        <v>803849576.35625446</v>
      </c>
      <c r="AB266">
        <v>803849.5763562544</v>
      </c>
      <c r="AC266">
        <v>0</v>
      </c>
      <c r="AD266">
        <v>2082.8284263406799</v>
      </c>
      <c r="AE266">
        <v>3749091.167413224</v>
      </c>
      <c r="AF266">
        <v>1249697.0558044079</v>
      </c>
      <c r="AG266">
        <v>35.003639623964723</v>
      </c>
      <c r="AH266">
        <v>274.99583712975988</v>
      </c>
      <c r="AI266">
        <v>54.999167425951981</v>
      </c>
      <c r="AJ266">
        <v>26125.11123157827</v>
      </c>
      <c r="AK266">
        <v>854.70085470085473</v>
      </c>
      <c r="AL266" t="s">
        <v>93</v>
      </c>
      <c r="AM266">
        <v>21312.177377556389</v>
      </c>
      <c r="AN266">
        <v>747.56522740181219</v>
      </c>
      <c r="AO266">
        <v>9349.8584624118375</v>
      </c>
      <c r="AP266">
        <v>49039.554691237317</v>
      </c>
      <c r="AQ266">
        <v>39689.696228825487</v>
      </c>
      <c r="AR266">
        <v>2.0905155461666668E-2</v>
      </c>
      <c r="AS266">
        <v>652.27304660158029</v>
      </c>
      <c r="AT266">
        <v>532.10716480965493</v>
      </c>
      <c r="AU266">
        <v>18.664672624298149</v>
      </c>
      <c r="AV266">
        <v>233.44056262617119</v>
      </c>
      <c r="AW266">
        <v>1224.384442190403</v>
      </c>
      <c r="AX266">
        <v>990.94387956423168</v>
      </c>
      <c r="AY266">
        <v>1.5712413913751311</v>
      </c>
      <c r="AZ266" t="s">
        <v>96</v>
      </c>
      <c r="BA266" t="str">
        <f>VLOOKUP($AZ266,Sheet1!$A$2:$B$58,2)</f>
        <v>1,3-Butanediol (PW1)</v>
      </c>
      <c r="BB266" t="s">
        <v>153</v>
      </c>
      <c r="BC266">
        <v>90.119200000000006</v>
      </c>
      <c r="BD266">
        <v>5.5</v>
      </c>
      <c r="BE266">
        <v>207</v>
      </c>
      <c r="BF266" t="s">
        <v>203</v>
      </c>
      <c r="BG266">
        <v>0</v>
      </c>
      <c r="BH266">
        <v>0.25</v>
      </c>
      <c r="BI266">
        <v>0.71421144396893299</v>
      </c>
      <c r="BJ266">
        <v>80</v>
      </c>
      <c r="BK266">
        <v>2142.8955887810962</v>
      </c>
      <c r="BL266">
        <v>1734.3321223919929</v>
      </c>
      <c r="BM266">
        <v>2.7499583712975988</v>
      </c>
      <c r="BN266">
        <v>467.49292312059191</v>
      </c>
      <c r="BO266">
        <v>1675.402665660504</v>
      </c>
    </row>
    <row r="267" spans="1:67" x14ac:dyDescent="0.25">
      <c r="A267" s="1">
        <v>265</v>
      </c>
      <c r="B267" t="s">
        <v>70</v>
      </c>
      <c r="C267" t="s">
        <v>82</v>
      </c>
      <c r="D267">
        <v>1</v>
      </c>
      <c r="E267">
        <v>0</v>
      </c>
      <c r="F267">
        <v>1</v>
      </c>
      <c r="G267">
        <v>28.009699999999999</v>
      </c>
      <c r="H267">
        <v>2</v>
      </c>
      <c r="I267" t="s">
        <v>89</v>
      </c>
      <c r="J267">
        <v>4</v>
      </c>
      <c r="K267">
        <v>300</v>
      </c>
      <c r="L267">
        <v>33.333333333333329</v>
      </c>
      <c r="N267" t="s">
        <v>91</v>
      </c>
      <c r="O267">
        <v>66.666666666666671</v>
      </c>
      <c r="P267">
        <v>0.1666666666666666</v>
      </c>
      <c r="Q267">
        <v>3.2500000000000001E-2</v>
      </c>
      <c r="R267">
        <v>77.5</v>
      </c>
      <c r="S267">
        <v>170</v>
      </c>
      <c r="T267">
        <v>20</v>
      </c>
      <c r="U267">
        <v>1812.1301775147931</v>
      </c>
      <c r="V267">
        <v>20</v>
      </c>
      <c r="W267">
        <v>0.95</v>
      </c>
      <c r="X267">
        <v>1</v>
      </c>
      <c r="Y267">
        <v>66987.464696354538</v>
      </c>
      <c r="Z267">
        <v>200962394.08906361</v>
      </c>
      <c r="AA267">
        <v>803849576.35625446</v>
      </c>
      <c r="AB267">
        <v>803849.5763562544</v>
      </c>
      <c r="AC267">
        <v>0</v>
      </c>
      <c r="AD267">
        <v>2082.8284263406799</v>
      </c>
      <c r="AE267">
        <v>3749091.167413224</v>
      </c>
      <c r="AF267">
        <v>1249697.0558044079</v>
      </c>
      <c r="AG267">
        <v>35.003639623964723</v>
      </c>
      <c r="AH267">
        <v>274.99583712975988</v>
      </c>
      <c r="AI267">
        <v>54.999167425951981</v>
      </c>
      <c r="AJ267">
        <v>26125.11123157827</v>
      </c>
      <c r="AK267">
        <v>854.70085470085473</v>
      </c>
      <c r="AL267" t="s">
        <v>93</v>
      </c>
      <c r="AM267">
        <v>21312.177377556389</v>
      </c>
      <c r="AN267">
        <v>747.56522740181219</v>
      </c>
      <c r="AO267">
        <v>9349.8584624118375</v>
      </c>
      <c r="AP267">
        <v>49039.554691237317</v>
      </c>
      <c r="AQ267">
        <v>39689.696228825487</v>
      </c>
      <c r="AR267">
        <v>2.0905155461666668E-2</v>
      </c>
      <c r="AS267">
        <v>652.27304660158029</v>
      </c>
      <c r="AT267">
        <v>532.10716480965493</v>
      </c>
      <c r="AU267">
        <v>18.664672624298149</v>
      </c>
      <c r="AV267">
        <v>233.44056262617119</v>
      </c>
      <c r="AW267">
        <v>1224.384442190403</v>
      </c>
      <c r="AX267">
        <v>990.94387956423168</v>
      </c>
      <c r="AY267">
        <v>1.5712413913751311</v>
      </c>
      <c r="AZ267" t="s">
        <v>97</v>
      </c>
      <c r="BA267" t="str">
        <f>VLOOKUP($AZ267,Sheet1!$A$2:$B$58,2)</f>
        <v>1,3-Butanediol (PW2)</v>
      </c>
      <c r="BB267" t="s">
        <v>153</v>
      </c>
      <c r="BC267">
        <v>90.119200000000006</v>
      </c>
      <c r="BD267">
        <v>5.5</v>
      </c>
      <c r="BE267">
        <v>207</v>
      </c>
      <c r="BF267" t="s">
        <v>203</v>
      </c>
      <c r="BG267">
        <v>0</v>
      </c>
      <c r="BH267">
        <v>0.25</v>
      </c>
      <c r="BI267">
        <v>0.71421144396893299</v>
      </c>
      <c r="BJ267">
        <v>80</v>
      </c>
      <c r="BK267">
        <v>2142.8955887810962</v>
      </c>
      <c r="BL267">
        <v>1734.3321223919929</v>
      </c>
      <c r="BM267">
        <v>2.7499583712975988</v>
      </c>
      <c r="BN267">
        <v>467.49292312059191</v>
      </c>
      <c r="BO267">
        <v>1675.402665660504</v>
      </c>
    </row>
    <row r="268" spans="1:67" x14ac:dyDescent="0.25">
      <c r="A268" s="1">
        <v>266</v>
      </c>
      <c r="B268" t="s">
        <v>70</v>
      </c>
      <c r="C268" t="s">
        <v>82</v>
      </c>
      <c r="D268">
        <v>1</v>
      </c>
      <c r="E268">
        <v>0</v>
      </c>
      <c r="F268">
        <v>1</v>
      </c>
      <c r="G268">
        <v>28.009699999999999</v>
      </c>
      <c r="H268">
        <v>2</v>
      </c>
      <c r="I268" t="s">
        <v>89</v>
      </c>
      <c r="J268">
        <v>4</v>
      </c>
      <c r="K268">
        <v>300</v>
      </c>
      <c r="L268">
        <v>33.333333333333329</v>
      </c>
      <c r="N268" t="s">
        <v>91</v>
      </c>
      <c r="O268">
        <v>66.666666666666671</v>
      </c>
      <c r="P268">
        <v>0.1666666666666666</v>
      </c>
      <c r="Q268">
        <v>3.2500000000000001E-2</v>
      </c>
      <c r="R268">
        <v>77.5</v>
      </c>
      <c r="S268">
        <v>170</v>
      </c>
      <c r="T268">
        <v>20</v>
      </c>
      <c r="U268">
        <v>1812.1301775147931</v>
      </c>
      <c r="V268">
        <v>20</v>
      </c>
      <c r="W268">
        <v>0.95</v>
      </c>
      <c r="X268">
        <v>1</v>
      </c>
      <c r="Y268">
        <v>111578.5539753293</v>
      </c>
      <c r="Z268">
        <v>334735661.92598772</v>
      </c>
      <c r="AA268">
        <v>1338942647.7039509</v>
      </c>
      <c r="AB268">
        <v>1338942.647703951</v>
      </c>
      <c r="AC268">
        <v>0</v>
      </c>
      <c r="AD268">
        <v>3469.2906358411678</v>
      </c>
      <c r="AE268">
        <v>6244723.1445141016</v>
      </c>
      <c r="AF268">
        <v>2081574.3815047001</v>
      </c>
      <c r="AG268">
        <v>58.304273953632197</v>
      </c>
      <c r="AH268">
        <v>458.05044265010918</v>
      </c>
      <c r="AI268">
        <v>91.610088530021855</v>
      </c>
      <c r="AJ268">
        <v>43515.636050378409</v>
      </c>
      <c r="AK268">
        <v>854.70085470085473</v>
      </c>
      <c r="AL268" t="s">
        <v>93</v>
      </c>
      <c r="AM268">
        <v>35498.909305383473</v>
      </c>
      <c r="AN268">
        <v>1245.1918796125401</v>
      </c>
      <c r="AO268">
        <v>15573.715050103719</v>
      </c>
      <c r="AP268">
        <v>81114.438090075273</v>
      </c>
      <c r="AQ268">
        <v>65540.723039971563</v>
      </c>
      <c r="AR268">
        <v>2.0905155461666668E-2</v>
      </c>
      <c r="AS268">
        <v>652.27304660158029</v>
      </c>
      <c r="AT268">
        <v>532.10716480965493</v>
      </c>
      <c r="AU268">
        <v>18.664672624298149</v>
      </c>
      <c r="AV268">
        <v>233.44056262617119</v>
      </c>
      <c r="AW268">
        <v>1215.8563325406931</v>
      </c>
      <c r="AX268">
        <v>982.41576991452189</v>
      </c>
      <c r="AY268">
        <v>1.5712413913751311</v>
      </c>
      <c r="AZ268" t="s">
        <v>98</v>
      </c>
      <c r="BA268" t="str">
        <f>VLOOKUP($AZ268,Sheet1!$A$2:$B$58,2)</f>
        <v>1,3-Diaminopropane</v>
      </c>
      <c r="BB268" t="s">
        <v>154</v>
      </c>
      <c r="BC268">
        <v>76.139580000000009</v>
      </c>
      <c r="BD268">
        <v>6</v>
      </c>
      <c r="BE268">
        <v>139.30000000000001</v>
      </c>
      <c r="BF268" t="s">
        <v>203</v>
      </c>
      <c r="BG268">
        <v>0</v>
      </c>
      <c r="BH268">
        <v>0.17846153846153801</v>
      </c>
      <c r="BI268">
        <v>0.42878503246403199</v>
      </c>
      <c r="BJ268">
        <v>80</v>
      </c>
      <c r="BK268">
        <v>3544.481035035556</v>
      </c>
      <c r="BL268">
        <v>2863.9519092732389</v>
      </c>
      <c r="BM268">
        <v>4.5805044265010926</v>
      </c>
      <c r="BN268">
        <v>778.68575250518586</v>
      </c>
      <c r="BO268">
        <v>2765.7952825303701</v>
      </c>
    </row>
    <row r="269" spans="1:67" x14ac:dyDescent="0.25">
      <c r="A269" s="1">
        <v>267</v>
      </c>
      <c r="B269" t="s">
        <v>70</v>
      </c>
      <c r="C269" t="s">
        <v>82</v>
      </c>
      <c r="D269">
        <v>1</v>
      </c>
      <c r="E269">
        <v>0</v>
      </c>
      <c r="F269">
        <v>1</v>
      </c>
      <c r="G269">
        <v>28.009699999999999</v>
      </c>
      <c r="H269">
        <v>2</v>
      </c>
      <c r="I269" t="s">
        <v>89</v>
      </c>
      <c r="J269">
        <v>4</v>
      </c>
      <c r="K269">
        <v>300</v>
      </c>
      <c r="L269">
        <v>33.333333333333329</v>
      </c>
      <c r="N269" t="s">
        <v>91</v>
      </c>
      <c r="O269">
        <v>66.666666666666671</v>
      </c>
      <c r="P269">
        <v>0.1666666666666666</v>
      </c>
      <c r="Q269">
        <v>3.2500000000000001E-2</v>
      </c>
      <c r="R269">
        <v>77.5</v>
      </c>
      <c r="S269">
        <v>170</v>
      </c>
      <c r="T269">
        <v>20</v>
      </c>
      <c r="U269">
        <v>1812.1301775147931</v>
      </c>
      <c r="V269">
        <v>20</v>
      </c>
      <c r="W269">
        <v>0.95</v>
      </c>
      <c r="X269">
        <v>1</v>
      </c>
      <c r="Y269">
        <v>59184.056042791482</v>
      </c>
      <c r="Z269">
        <v>177552168.1283744</v>
      </c>
      <c r="AA269">
        <v>710208672.51349771</v>
      </c>
      <c r="AB269">
        <v>710208.67251349776</v>
      </c>
      <c r="AC269">
        <v>0</v>
      </c>
      <c r="AD269">
        <v>1840.1985337231961</v>
      </c>
      <c r="AE269">
        <v>3312357.3607017528</v>
      </c>
      <c r="AF269">
        <v>1104119.1202339169</v>
      </c>
      <c r="AG269">
        <v>30.926045322015959</v>
      </c>
      <c r="AH269">
        <v>242.96141240747349</v>
      </c>
      <c r="AI269">
        <v>48.592282481494699</v>
      </c>
      <c r="AJ269">
        <v>23081.781856688682</v>
      </c>
      <c r="AK269">
        <v>854.70085470085473</v>
      </c>
      <c r="AL269" t="s">
        <v>93</v>
      </c>
      <c r="AM269">
        <v>18829.5094615792</v>
      </c>
      <c r="AN269">
        <v>660.48092004590774</v>
      </c>
      <c r="AO269">
        <v>8260.6880218540991</v>
      </c>
      <c r="AP269">
        <v>43426.473093014632</v>
      </c>
      <c r="AQ269">
        <v>35165.785071160542</v>
      </c>
      <c r="AR269">
        <v>2.0905155461666668E-2</v>
      </c>
      <c r="AS269">
        <v>652.27304660158029</v>
      </c>
      <c r="AT269">
        <v>532.10716480965493</v>
      </c>
      <c r="AU269">
        <v>18.664672624298149</v>
      </c>
      <c r="AV269">
        <v>233.44056262617119</v>
      </c>
      <c r="AW269">
        <v>1227.1980596391379</v>
      </c>
      <c r="AX269">
        <v>993.75749701296706</v>
      </c>
      <c r="AY269">
        <v>1.57124139137513</v>
      </c>
      <c r="AZ269" t="s">
        <v>99</v>
      </c>
      <c r="BA269" t="str">
        <f>VLOOKUP($AZ269,Sheet1!$A$2:$B$58,2)</f>
        <v>1,3-Propanediol</v>
      </c>
      <c r="BB269" t="s">
        <v>155</v>
      </c>
      <c r="BC269">
        <v>76.092820000000003</v>
      </c>
      <c r="BD269">
        <v>5.333333333333333</v>
      </c>
      <c r="BE269">
        <v>213</v>
      </c>
      <c r="BF269" t="s">
        <v>203</v>
      </c>
      <c r="BG269">
        <v>0</v>
      </c>
      <c r="BH269">
        <v>0.33333333333333298</v>
      </c>
      <c r="BI269">
        <v>0.80838011261021903</v>
      </c>
      <c r="BJ269">
        <v>80</v>
      </c>
      <c r="BK269">
        <v>1897.619140574501</v>
      </c>
      <c r="BL269">
        <v>1536.649469585808</v>
      </c>
      <c r="BM269">
        <v>2.4296141240747349</v>
      </c>
      <c r="BN269">
        <v>413.03440109270491</v>
      </c>
      <c r="BO269">
        <v>1484.584739481797</v>
      </c>
    </row>
    <row r="270" spans="1:67" x14ac:dyDescent="0.25">
      <c r="A270" s="1">
        <v>268</v>
      </c>
      <c r="B270" t="s">
        <v>70</v>
      </c>
      <c r="C270" t="s">
        <v>82</v>
      </c>
      <c r="D270">
        <v>1</v>
      </c>
      <c r="E270">
        <v>0</v>
      </c>
      <c r="F270">
        <v>1</v>
      </c>
      <c r="G270">
        <v>28.009699999999999</v>
      </c>
      <c r="H270">
        <v>2</v>
      </c>
      <c r="I270" t="s">
        <v>89</v>
      </c>
      <c r="J270">
        <v>4</v>
      </c>
      <c r="K270">
        <v>300</v>
      </c>
      <c r="L270">
        <v>33.333333333333329</v>
      </c>
      <c r="N270" t="s">
        <v>91</v>
      </c>
      <c r="O270">
        <v>66.666666666666671</v>
      </c>
      <c r="P270">
        <v>0.1666666666666666</v>
      </c>
      <c r="Q270">
        <v>3.2500000000000001E-2</v>
      </c>
      <c r="R270">
        <v>77.5</v>
      </c>
      <c r="S270">
        <v>170</v>
      </c>
      <c r="T270">
        <v>20</v>
      </c>
      <c r="U270">
        <v>1812.1301775147931</v>
      </c>
      <c r="V270">
        <v>20</v>
      </c>
      <c r="W270">
        <v>0.95</v>
      </c>
      <c r="X270">
        <v>1</v>
      </c>
      <c r="Y270">
        <v>141941.317733189</v>
      </c>
      <c r="Z270">
        <v>425823953.19956708</v>
      </c>
      <c r="AA270">
        <v>1703295812.798269</v>
      </c>
      <c r="AB270">
        <v>1703295.8127982691</v>
      </c>
      <c r="AC270">
        <v>0</v>
      </c>
      <c r="AD270">
        <v>4413.3542415291513</v>
      </c>
      <c r="AE270">
        <v>7944037.6347524729</v>
      </c>
      <c r="AF270">
        <v>2648012.5449174899</v>
      </c>
      <c r="AG270">
        <v>74.170036979375439</v>
      </c>
      <c r="AH270">
        <v>582.69516050909351</v>
      </c>
      <c r="AI270">
        <v>116.53903210181871</v>
      </c>
      <c r="AJ270">
        <v>55357.11391594373</v>
      </c>
      <c r="AK270">
        <v>854.70085470085473</v>
      </c>
      <c r="AL270" t="s">
        <v>93</v>
      </c>
      <c r="AM270">
        <v>45158.874939454749</v>
      </c>
      <c r="AN270">
        <v>1584.033579266046</v>
      </c>
      <c r="AO270">
        <v>19811.635457309181</v>
      </c>
      <c r="AP270">
        <v>102954.7232893654</v>
      </c>
      <c r="AQ270">
        <v>83143.087832056204</v>
      </c>
      <c r="AR270">
        <v>2.0905155461666668E-2</v>
      </c>
      <c r="AS270">
        <v>652.27304660158029</v>
      </c>
      <c r="AT270">
        <v>532.10716480965482</v>
      </c>
      <c r="AU270">
        <v>18.664672624298149</v>
      </c>
      <c r="AV270">
        <v>233.4405626261711</v>
      </c>
      <c r="AW270">
        <v>1213.115826882648</v>
      </c>
      <c r="AX270">
        <v>979.67526425647736</v>
      </c>
      <c r="AY270">
        <v>1.57124139137513</v>
      </c>
      <c r="AZ270" t="s">
        <v>100</v>
      </c>
      <c r="BA270" t="str">
        <f>VLOOKUP($AZ270,Sheet1!$A$2:$B$58,2)</f>
        <v>1,4-Butanediol</v>
      </c>
      <c r="BB270" t="s">
        <v>153</v>
      </c>
      <c r="BC270">
        <v>90.119200000000006</v>
      </c>
      <c r="BD270">
        <v>5.5</v>
      </c>
      <c r="BE270">
        <v>230</v>
      </c>
      <c r="BF270" t="s">
        <v>203</v>
      </c>
      <c r="BG270">
        <v>0</v>
      </c>
      <c r="BH270">
        <v>0.118974358974359</v>
      </c>
      <c r="BI270">
        <v>0.33706333471226102</v>
      </c>
      <c r="BJ270">
        <v>80</v>
      </c>
      <c r="BK270">
        <v>4498.8422870075819</v>
      </c>
      <c r="BL270">
        <v>3633.1275288841161</v>
      </c>
      <c r="BM270">
        <v>5.8269516050909358</v>
      </c>
      <c r="BN270">
        <v>990.58177286545913</v>
      </c>
      <c r="BO270">
        <v>3508.2605141421232</v>
      </c>
    </row>
    <row r="271" spans="1:67" x14ac:dyDescent="0.25">
      <c r="A271" s="1">
        <v>269</v>
      </c>
      <c r="B271" t="s">
        <v>70</v>
      </c>
      <c r="C271" t="s">
        <v>82</v>
      </c>
      <c r="D271">
        <v>1</v>
      </c>
      <c r="E271">
        <v>0</v>
      </c>
      <c r="F271">
        <v>1</v>
      </c>
      <c r="G271">
        <v>28.009699999999999</v>
      </c>
      <c r="H271">
        <v>2</v>
      </c>
      <c r="I271" t="s">
        <v>89</v>
      </c>
      <c r="J271">
        <v>4</v>
      </c>
      <c r="K271">
        <v>300</v>
      </c>
      <c r="L271">
        <v>33.333333333333329</v>
      </c>
      <c r="N271" t="s">
        <v>91</v>
      </c>
      <c r="O271">
        <v>66.666666666666671</v>
      </c>
      <c r="P271">
        <v>0.1666666666666666</v>
      </c>
      <c r="Q271">
        <v>3.2500000000000001E-2</v>
      </c>
      <c r="R271">
        <v>77.5</v>
      </c>
      <c r="S271">
        <v>170</v>
      </c>
      <c r="T271">
        <v>20</v>
      </c>
      <c r="U271">
        <v>1812.1301775147931</v>
      </c>
      <c r="V271">
        <v>20</v>
      </c>
      <c r="W271">
        <v>0.95</v>
      </c>
      <c r="X271">
        <v>1</v>
      </c>
      <c r="Y271">
        <v>137480.3395363834</v>
      </c>
      <c r="Z271">
        <v>412441018.60915017</v>
      </c>
      <c r="AA271">
        <v>1649764074.4366009</v>
      </c>
      <c r="AB271">
        <v>1649764.074436601</v>
      </c>
      <c r="AC271">
        <v>0</v>
      </c>
      <c r="AD271">
        <v>4274.6498997584977</v>
      </c>
      <c r="AE271">
        <v>7694369.8195652962</v>
      </c>
      <c r="AF271">
        <v>2564789.9398550978</v>
      </c>
      <c r="AG271">
        <v>71.838996778359359</v>
      </c>
      <c r="AH271">
        <v>564.38202626511429</v>
      </c>
      <c r="AI271">
        <v>112.8764052530229</v>
      </c>
      <c r="AJ271">
        <v>53617.332419189537</v>
      </c>
      <c r="AK271">
        <v>854.70085470085473</v>
      </c>
      <c r="AL271" t="s">
        <v>93</v>
      </c>
      <c r="AM271">
        <v>43739.60703554636</v>
      </c>
      <c r="AN271">
        <v>1534.250053419142</v>
      </c>
      <c r="AO271">
        <v>19188.988893013891</v>
      </c>
      <c r="AP271">
        <v>99745.890362855891</v>
      </c>
      <c r="AQ271">
        <v>80556.901469842007</v>
      </c>
      <c r="AR271">
        <v>2.0905155461666668E-2</v>
      </c>
      <c r="AS271">
        <v>652.27304660158029</v>
      </c>
      <c r="AT271">
        <v>532.10716480965493</v>
      </c>
      <c r="AU271">
        <v>18.664672624298149</v>
      </c>
      <c r="AV271">
        <v>233.44056262617119</v>
      </c>
      <c r="AW271">
        <v>1213.4426100184321</v>
      </c>
      <c r="AX271">
        <v>980.00204739226035</v>
      </c>
      <c r="AY271">
        <v>1.57124139137513</v>
      </c>
      <c r="AZ271" t="s">
        <v>101</v>
      </c>
      <c r="BA271" t="str">
        <f>VLOOKUP($AZ271,Sheet1!$A$2:$B$58,2)</f>
        <v>1-Propanol (PW1)</v>
      </c>
      <c r="BB271" t="s">
        <v>156</v>
      </c>
      <c r="BC271">
        <v>60.093820000000001</v>
      </c>
      <c r="BD271">
        <v>6</v>
      </c>
      <c r="BE271">
        <v>97</v>
      </c>
      <c r="BF271" t="s">
        <v>203</v>
      </c>
      <c r="BG271">
        <v>0</v>
      </c>
      <c r="BH271">
        <v>0.18559999999999999</v>
      </c>
      <c r="BI271">
        <v>0.34800040536661497</v>
      </c>
      <c r="BJ271">
        <v>80</v>
      </c>
      <c r="BK271">
        <v>4358.6249875919038</v>
      </c>
      <c r="BL271">
        <v>3520.118196269907</v>
      </c>
      <c r="BM271">
        <v>5.6438202626511416</v>
      </c>
      <c r="BN271">
        <v>959.4494446506942</v>
      </c>
      <c r="BO271">
        <v>3399.1755429412101</v>
      </c>
    </row>
    <row r="272" spans="1:67" x14ac:dyDescent="0.25">
      <c r="A272" s="1">
        <v>270</v>
      </c>
      <c r="B272" t="s">
        <v>70</v>
      </c>
      <c r="C272" t="s">
        <v>82</v>
      </c>
      <c r="D272">
        <v>1</v>
      </c>
      <c r="E272">
        <v>0</v>
      </c>
      <c r="F272">
        <v>1</v>
      </c>
      <c r="G272">
        <v>28.009699999999999</v>
      </c>
      <c r="H272">
        <v>2</v>
      </c>
      <c r="I272" t="s">
        <v>89</v>
      </c>
      <c r="J272">
        <v>4</v>
      </c>
      <c r="K272">
        <v>300</v>
      </c>
      <c r="L272">
        <v>33.333333333333329</v>
      </c>
      <c r="N272" t="s">
        <v>91</v>
      </c>
      <c r="O272">
        <v>66.666666666666671</v>
      </c>
      <c r="P272">
        <v>0.1666666666666666</v>
      </c>
      <c r="Q272">
        <v>3.2500000000000001E-2</v>
      </c>
      <c r="R272">
        <v>77.5</v>
      </c>
      <c r="S272">
        <v>170</v>
      </c>
      <c r="T272">
        <v>20</v>
      </c>
      <c r="U272">
        <v>1812.1301775147931</v>
      </c>
      <c r="V272">
        <v>20</v>
      </c>
      <c r="W272">
        <v>0.95</v>
      </c>
      <c r="X272">
        <v>1</v>
      </c>
      <c r="Y272">
        <v>82488.20372183017</v>
      </c>
      <c r="Z272">
        <v>247464611.16549051</v>
      </c>
      <c r="AA272">
        <v>989858444.66196215</v>
      </c>
      <c r="AB272">
        <v>989858.4446619621</v>
      </c>
      <c r="AC272">
        <v>0</v>
      </c>
      <c r="AD272">
        <v>2564.7899398551031</v>
      </c>
      <c r="AE272">
        <v>4616621.891739185</v>
      </c>
      <c r="AF272">
        <v>1538873.963913061</v>
      </c>
      <c r="AG272">
        <v>43.103398067015682</v>
      </c>
      <c r="AH272">
        <v>338.62921575906921</v>
      </c>
      <c r="AI272">
        <v>67.725843151813834</v>
      </c>
      <c r="AJ272">
        <v>32170.399451513771</v>
      </c>
      <c r="AK272">
        <v>854.70085470085473</v>
      </c>
      <c r="AL272" t="s">
        <v>93</v>
      </c>
      <c r="AM272">
        <v>26243.76422132786</v>
      </c>
      <c r="AN272">
        <v>920.55003205148637</v>
      </c>
      <c r="AO272">
        <v>11513.39333580835</v>
      </c>
      <c r="AP272">
        <v>60189.41455959397</v>
      </c>
      <c r="AQ272">
        <v>48676.021223785618</v>
      </c>
      <c r="AR272">
        <v>2.0905155461666668E-2</v>
      </c>
      <c r="AS272">
        <v>652.27304660158029</v>
      </c>
      <c r="AT272">
        <v>532.10716480965493</v>
      </c>
      <c r="AU272">
        <v>18.664672624298149</v>
      </c>
      <c r="AV272">
        <v>233.44056262617119</v>
      </c>
      <c r="AW272">
        <v>1220.374427340364</v>
      </c>
      <c r="AX272">
        <v>986.93386471419228</v>
      </c>
      <c r="AY272">
        <v>1.5712413913751311</v>
      </c>
      <c r="AZ272" t="s">
        <v>102</v>
      </c>
      <c r="BA272" t="str">
        <f>VLOOKUP($AZ272,Sheet1!$A$2:$B$58,2)</f>
        <v>1-Propanol (PW2)</v>
      </c>
      <c r="BB272" t="s">
        <v>156</v>
      </c>
      <c r="BC272">
        <v>60.093820000000001</v>
      </c>
      <c r="BD272">
        <v>6</v>
      </c>
      <c r="BE272">
        <v>97</v>
      </c>
      <c r="BF272" t="s">
        <v>203</v>
      </c>
      <c r="BG272">
        <v>0</v>
      </c>
      <c r="BH272">
        <v>0.30933333333333302</v>
      </c>
      <c r="BI272">
        <v>0.58000067561102397</v>
      </c>
      <c r="BJ272">
        <v>80</v>
      </c>
      <c r="BK272">
        <v>2630.1142366229001</v>
      </c>
      <c r="BL272">
        <v>2127.0101618297022</v>
      </c>
      <c r="BM272">
        <v>3.3862921575906921</v>
      </c>
      <c r="BN272">
        <v>575.66966679041764</v>
      </c>
      <c r="BO272">
        <v>2054.4445698324821</v>
      </c>
    </row>
    <row r="273" spans="1:67" x14ac:dyDescent="0.25">
      <c r="A273" s="1">
        <v>271</v>
      </c>
      <c r="B273" t="s">
        <v>70</v>
      </c>
      <c r="C273" t="s">
        <v>82</v>
      </c>
      <c r="D273">
        <v>1</v>
      </c>
      <c r="E273">
        <v>0</v>
      </c>
      <c r="F273">
        <v>1</v>
      </c>
      <c r="G273">
        <v>28.009699999999999</v>
      </c>
      <c r="H273">
        <v>2</v>
      </c>
      <c r="I273" t="s">
        <v>89</v>
      </c>
      <c r="J273">
        <v>4</v>
      </c>
      <c r="K273">
        <v>300</v>
      </c>
      <c r="L273">
        <v>33.333333333333329</v>
      </c>
      <c r="N273" t="s">
        <v>91</v>
      </c>
      <c r="O273">
        <v>66.666666666666671</v>
      </c>
      <c r="P273">
        <v>0.1666666666666666</v>
      </c>
      <c r="Q273">
        <v>3.2500000000000001E-2</v>
      </c>
      <c r="R273">
        <v>77.5</v>
      </c>
      <c r="S273">
        <v>170</v>
      </c>
      <c r="T273">
        <v>20</v>
      </c>
      <c r="U273">
        <v>1812.1301775147931</v>
      </c>
      <c r="V273">
        <v>20</v>
      </c>
      <c r="W273">
        <v>0.95</v>
      </c>
      <c r="X273">
        <v>1</v>
      </c>
      <c r="Y273">
        <v>66987.464696354538</v>
      </c>
      <c r="Z273">
        <v>200962394.08906361</v>
      </c>
      <c r="AA273">
        <v>803849576.35625446</v>
      </c>
      <c r="AB273">
        <v>803849.5763562544</v>
      </c>
      <c r="AC273">
        <v>0</v>
      </c>
      <c r="AD273">
        <v>2082.8284263406799</v>
      </c>
      <c r="AE273">
        <v>3749091.167413224</v>
      </c>
      <c r="AF273">
        <v>1249697.0558044079</v>
      </c>
      <c r="AG273">
        <v>35.003639623964723</v>
      </c>
      <c r="AH273">
        <v>274.99583712975988</v>
      </c>
      <c r="AI273">
        <v>54.999167425951981</v>
      </c>
      <c r="AJ273">
        <v>26125.11123157827</v>
      </c>
      <c r="AK273">
        <v>854.70085470085473</v>
      </c>
      <c r="AL273" t="s">
        <v>93</v>
      </c>
      <c r="AM273">
        <v>21312.177377556389</v>
      </c>
      <c r="AN273">
        <v>747.56522740181219</v>
      </c>
      <c r="AO273">
        <v>9349.8584624118375</v>
      </c>
      <c r="AP273">
        <v>49039.554691237317</v>
      </c>
      <c r="AQ273">
        <v>39689.696228825487</v>
      </c>
      <c r="AR273">
        <v>2.0905155461666668E-2</v>
      </c>
      <c r="AS273">
        <v>652.27304660158029</v>
      </c>
      <c r="AT273">
        <v>532.10716480965493</v>
      </c>
      <c r="AU273">
        <v>18.664672624298149</v>
      </c>
      <c r="AV273">
        <v>233.44056262617119</v>
      </c>
      <c r="AW273">
        <v>1224.384442190403</v>
      </c>
      <c r="AX273">
        <v>990.94387956423168</v>
      </c>
      <c r="AY273">
        <v>1.5712413913751311</v>
      </c>
      <c r="AZ273" t="s">
        <v>103</v>
      </c>
      <c r="BA273" t="str">
        <f>VLOOKUP($AZ273,Sheet1!$A$2:$B$58,2)</f>
        <v>2,3-Butanediol</v>
      </c>
      <c r="BB273" t="s">
        <v>153</v>
      </c>
      <c r="BC273">
        <v>90.119200000000006</v>
      </c>
      <c r="BD273">
        <v>5.5</v>
      </c>
      <c r="BE273">
        <v>177</v>
      </c>
      <c r="BF273" t="s">
        <v>203</v>
      </c>
      <c r="BG273">
        <v>0</v>
      </c>
      <c r="BH273">
        <v>0.25</v>
      </c>
      <c r="BI273">
        <v>0.71421144396893299</v>
      </c>
      <c r="BJ273">
        <v>80</v>
      </c>
      <c r="BK273">
        <v>2142.8955887810962</v>
      </c>
      <c r="BL273">
        <v>1734.3321223919929</v>
      </c>
      <c r="BM273">
        <v>2.7499583712975988</v>
      </c>
      <c r="BN273">
        <v>467.49292312059191</v>
      </c>
      <c r="BO273">
        <v>1675.402665660504</v>
      </c>
    </row>
    <row r="274" spans="1:67" x14ac:dyDescent="0.25">
      <c r="A274" s="1">
        <v>272</v>
      </c>
      <c r="B274" t="s">
        <v>70</v>
      </c>
      <c r="C274" t="s">
        <v>82</v>
      </c>
      <c r="D274">
        <v>1</v>
      </c>
      <c r="E274">
        <v>0</v>
      </c>
      <c r="F274">
        <v>1</v>
      </c>
      <c r="G274">
        <v>28.009699999999999</v>
      </c>
      <c r="H274">
        <v>2</v>
      </c>
      <c r="I274" t="s">
        <v>89</v>
      </c>
      <c r="J274">
        <v>4</v>
      </c>
      <c r="K274">
        <v>300</v>
      </c>
      <c r="L274">
        <v>33.333333333333329</v>
      </c>
      <c r="N274" t="s">
        <v>91</v>
      </c>
      <c r="O274">
        <v>66.666666666666671</v>
      </c>
      <c r="P274">
        <v>0.1666666666666666</v>
      </c>
      <c r="Q274">
        <v>3.2500000000000001E-2</v>
      </c>
      <c r="R274">
        <v>77.5</v>
      </c>
      <c r="S274">
        <v>170</v>
      </c>
      <c r="T274">
        <v>20</v>
      </c>
      <c r="U274">
        <v>1812.1301775147931</v>
      </c>
      <c r="V274">
        <v>20</v>
      </c>
      <c r="W274">
        <v>0.95</v>
      </c>
      <c r="X274">
        <v>1</v>
      </c>
      <c r="Y274">
        <v>93727.048487171138</v>
      </c>
      <c r="Z274">
        <v>281181145.4615134</v>
      </c>
      <c r="AA274">
        <v>1124724581.8460541</v>
      </c>
      <c r="AB274">
        <v>1124724.5818460539</v>
      </c>
      <c r="AC274">
        <v>0</v>
      </c>
      <c r="AD274">
        <v>2914.2371903607059</v>
      </c>
      <c r="AE274">
        <v>5245626.9426492713</v>
      </c>
      <c r="AF274">
        <v>1748542.3142164231</v>
      </c>
      <c r="AG274">
        <v>48.976145658507747</v>
      </c>
      <c r="AH274">
        <v>384.76673624332392</v>
      </c>
      <c r="AI274">
        <v>76.953347248664784</v>
      </c>
      <c r="AJ274">
        <v>36553.548909996753</v>
      </c>
      <c r="AK274">
        <v>854.70085470085473</v>
      </c>
      <c r="AL274" t="s">
        <v>93</v>
      </c>
      <c r="AM274">
        <v>29819.422058857599</v>
      </c>
      <c r="AN274">
        <v>1045.973043368901</v>
      </c>
      <c r="AO274">
        <v>13082.06903227301</v>
      </c>
      <c r="AP274">
        <v>68273.644866924107</v>
      </c>
      <c r="AQ274">
        <v>55191.575834651092</v>
      </c>
      <c r="AR274">
        <v>2.0905155461666668E-2</v>
      </c>
      <c r="AS274">
        <v>652.27304660158029</v>
      </c>
      <c r="AT274">
        <v>532.10716480965493</v>
      </c>
      <c r="AU274">
        <v>18.664672624298159</v>
      </c>
      <c r="AV274">
        <v>233.44056262617119</v>
      </c>
      <c r="AW274">
        <v>1218.2964354458049</v>
      </c>
      <c r="AX274">
        <v>984.85587281963433</v>
      </c>
      <c r="AY274">
        <v>1.5712413913751311</v>
      </c>
      <c r="AZ274" t="s">
        <v>104</v>
      </c>
      <c r="BA274" t="str">
        <f>VLOOKUP($AZ274,Sheet1!$A$2:$B$58,2)</f>
        <v>2-Methyl-1-Butanol</v>
      </c>
      <c r="BB274" t="s">
        <v>157</v>
      </c>
      <c r="BC274">
        <v>88.14658</v>
      </c>
      <c r="BD274">
        <v>6</v>
      </c>
      <c r="BE274">
        <v>129</v>
      </c>
      <c r="BF274" t="s">
        <v>203</v>
      </c>
      <c r="BG274">
        <v>0</v>
      </c>
      <c r="BH274">
        <v>0.18559999999999999</v>
      </c>
      <c r="BI274">
        <v>0.51045258184087405</v>
      </c>
      <c r="BJ274">
        <v>80</v>
      </c>
      <c r="BK274">
        <v>2983.373183881728</v>
      </c>
      <c r="BL274">
        <v>2411.7222339925602</v>
      </c>
      <c r="BM274">
        <v>3.8476673624332389</v>
      </c>
      <c r="BN274">
        <v>654.10345161365069</v>
      </c>
      <c r="BO274">
        <v>2329.269732268077</v>
      </c>
    </row>
    <row r="275" spans="1:67" x14ac:dyDescent="0.25">
      <c r="A275" s="1">
        <v>273</v>
      </c>
      <c r="B275" t="s">
        <v>70</v>
      </c>
      <c r="C275" t="s">
        <v>82</v>
      </c>
      <c r="D275">
        <v>1</v>
      </c>
      <c r="E275">
        <v>0</v>
      </c>
      <c r="F275">
        <v>1</v>
      </c>
      <c r="G275">
        <v>28.009699999999999</v>
      </c>
      <c r="H275">
        <v>2</v>
      </c>
      <c r="I275" t="s">
        <v>89</v>
      </c>
      <c r="J275">
        <v>4</v>
      </c>
      <c r="K275">
        <v>300</v>
      </c>
      <c r="L275">
        <v>33.333333333333329</v>
      </c>
      <c r="N275" t="s">
        <v>91</v>
      </c>
      <c r="O275">
        <v>66.666666666666671</v>
      </c>
      <c r="P275">
        <v>0.1666666666666666</v>
      </c>
      <c r="Q275">
        <v>3.2500000000000001E-2</v>
      </c>
      <c r="R275">
        <v>77.5</v>
      </c>
      <c r="S275">
        <v>170</v>
      </c>
      <c r="T275">
        <v>20</v>
      </c>
      <c r="U275">
        <v>1812.1301775147931</v>
      </c>
      <c r="V275">
        <v>20</v>
      </c>
      <c r="W275">
        <v>0.95</v>
      </c>
      <c r="X275">
        <v>1</v>
      </c>
      <c r="Y275">
        <v>116438.5864890198</v>
      </c>
      <c r="Z275">
        <v>349315759.46705961</v>
      </c>
      <c r="AA275">
        <v>1397263037.868238</v>
      </c>
      <c r="AB275">
        <v>1397263.0378682381</v>
      </c>
      <c r="AC275">
        <v>0</v>
      </c>
      <c r="AD275">
        <v>3620.4026971550161</v>
      </c>
      <c r="AE275">
        <v>6516724.8548790282</v>
      </c>
      <c r="AF275">
        <v>2172241.6182930092</v>
      </c>
      <c r="AG275">
        <v>60.84383605590169</v>
      </c>
      <c r="AH275">
        <v>478.00176810537653</v>
      </c>
      <c r="AI275">
        <v>95.600353621075314</v>
      </c>
      <c r="AJ275">
        <v>45411.048730717746</v>
      </c>
      <c r="AK275">
        <v>854.70085470085473</v>
      </c>
      <c r="AL275" t="s">
        <v>93</v>
      </c>
      <c r="AM275">
        <v>37045.137028166682</v>
      </c>
      <c r="AN275">
        <v>1299.428763001785</v>
      </c>
      <c r="AO275">
        <v>16252.060115582801</v>
      </c>
      <c r="AP275">
        <v>84610.315376587067</v>
      </c>
      <c r="AQ275">
        <v>68358.255261004262</v>
      </c>
      <c r="AR275">
        <v>2.0905155461666679E-2</v>
      </c>
      <c r="AS275">
        <v>652.2730466015804</v>
      </c>
      <c r="AT275">
        <v>532.10716480965493</v>
      </c>
      <c r="AU275">
        <v>18.664672624298159</v>
      </c>
      <c r="AV275">
        <v>233.44056262617119</v>
      </c>
      <c r="AW275">
        <v>1215.3215952327271</v>
      </c>
      <c r="AX275">
        <v>981.88103260655555</v>
      </c>
      <c r="AY275">
        <v>1.5712413913751311</v>
      </c>
      <c r="AZ275" t="s">
        <v>106</v>
      </c>
      <c r="BA275" t="str">
        <f>VLOOKUP($AZ275,Sheet1!$A$2:$B$58,2)</f>
        <v>3-Methyl-1-Pentanol</v>
      </c>
      <c r="BB275" t="s">
        <v>159</v>
      </c>
      <c r="BC275">
        <v>102.17296</v>
      </c>
      <c r="BD275">
        <v>6</v>
      </c>
      <c r="BE275">
        <v>153</v>
      </c>
      <c r="BF275" t="s">
        <v>203</v>
      </c>
      <c r="BG275">
        <v>0</v>
      </c>
      <c r="BH275">
        <v>0.128888888888889</v>
      </c>
      <c r="BI275">
        <v>0.41088796533194699</v>
      </c>
      <c r="BJ275">
        <v>80</v>
      </c>
      <c r="BK275">
        <v>3697.2413947768468</v>
      </c>
      <c r="BL275">
        <v>2987.0704287156359</v>
      </c>
      <c r="BM275">
        <v>4.7800176810537662</v>
      </c>
      <c r="BN275">
        <v>812.60300577914029</v>
      </c>
      <c r="BO275">
        <v>2884.6383889977069</v>
      </c>
    </row>
    <row r="276" spans="1:67" x14ac:dyDescent="0.25">
      <c r="A276" s="1">
        <v>274</v>
      </c>
      <c r="B276" t="s">
        <v>70</v>
      </c>
      <c r="C276" t="s">
        <v>82</v>
      </c>
      <c r="D276">
        <v>1</v>
      </c>
      <c r="E276">
        <v>0</v>
      </c>
      <c r="F276">
        <v>1</v>
      </c>
      <c r="G276">
        <v>28.009699999999999</v>
      </c>
      <c r="H276">
        <v>2</v>
      </c>
      <c r="I276" t="s">
        <v>89</v>
      </c>
      <c r="J276">
        <v>4</v>
      </c>
      <c r="K276">
        <v>300</v>
      </c>
      <c r="L276">
        <v>33.333333333333329</v>
      </c>
      <c r="N276" t="s">
        <v>91</v>
      </c>
      <c r="O276">
        <v>66.666666666666671</v>
      </c>
      <c r="P276">
        <v>0.1666666666666666</v>
      </c>
      <c r="Q276">
        <v>3.2500000000000001E-2</v>
      </c>
      <c r="R276">
        <v>77.5</v>
      </c>
      <c r="S276">
        <v>170</v>
      </c>
      <c r="T276">
        <v>20</v>
      </c>
      <c r="U276">
        <v>1812.1301775147931</v>
      </c>
      <c r="V276">
        <v>20</v>
      </c>
      <c r="W276">
        <v>0.95</v>
      </c>
      <c r="X276">
        <v>1</v>
      </c>
      <c r="Y276">
        <v>295785.85198760912</v>
      </c>
      <c r="Z276">
        <v>887357555.96282721</v>
      </c>
      <c r="AA276">
        <v>3549430223.8513088</v>
      </c>
      <c r="AB276">
        <v>3549430.2238513092</v>
      </c>
      <c r="AC276">
        <v>0</v>
      </c>
      <c r="AD276">
        <v>9196.8129174877649</v>
      </c>
      <c r="AE276">
        <v>16554263.251477979</v>
      </c>
      <c r="AF276">
        <v>5518087.7504926575</v>
      </c>
      <c r="AG276">
        <v>154.55998246497421</v>
      </c>
      <c r="AH276">
        <v>1214.255209495909</v>
      </c>
      <c r="AI276">
        <v>242.85104189918181</v>
      </c>
      <c r="AJ276">
        <v>115356.48227516749</v>
      </c>
      <c r="AK276">
        <v>854.70085470085473</v>
      </c>
      <c r="AL276" t="s">
        <v>93</v>
      </c>
      <c r="AM276">
        <v>94104.778735932967</v>
      </c>
      <c r="AN276">
        <v>3300.9044110813929</v>
      </c>
      <c r="AO276">
        <v>41284.677122860907</v>
      </c>
      <c r="AP276">
        <v>213616.86627688271</v>
      </c>
      <c r="AQ276">
        <v>172332.18915402179</v>
      </c>
      <c r="AR276">
        <v>2.0905155461666668E-2</v>
      </c>
      <c r="AS276">
        <v>652.27304660158029</v>
      </c>
      <c r="AT276">
        <v>532.10716480965493</v>
      </c>
      <c r="AU276">
        <v>18.664672624298159</v>
      </c>
      <c r="AV276">
        <v>233.44056262617119</v>
      </c>
      <c r="AW276">
        <v>1207.877714574686</v>
      </c>
      <c r="AX276">
        <v>974.43715194851518</v>
      </c>
      <c r="AY276">
        <v>1.5712413913751311</v>
      </c>
      <c r="AZ276" t="s">
        <v>107</v>
      </c>
      <c r="BA276" t="str">
        <f>VLOOKUP($AZ276,Sheet1!$A$2:$B$58,2)</f>
        <v>4-Hydroxystyrene</v>
      </c>
      <c r="BB276" t="s">
        <v>160</v>
      </c>
      <c r="BC276">
        <v>120.14731999999999</v>
      </c>
      <c r="BD276">
        <v>4.75</v>
      </c>
      <c r="BE276">
        <v>229</v>
      </c>
      <c r="BF276" t="s">
        <v>203</v>
      </c>
      <c r="BG276">
        <v>0</v>
      </c>
      <c r="BH276">
        <v>4.2568807339450003E-2</v>
      </c>
      <c r="BI276">
        <v>0.16174950075233999</v>
      </c>
      <c r="BJ276">
        <v>80</v>
      </c>
      <c r="BK276">
        <v>9334.4779192248316</v>
      </c>
      <c r="BL276">
        <v>7530.4494559190953</v>
      </c>
      <c r="BM276">
        <v>12.1425520949591</v>
      </c>
      <c r="BN276">
        <v>2064.2338561430461</v>
      </c>
      <c r="BO276">
        <v>7270.2440630817846</v>
      </c>
    </row>
    <row r="277" spans="1:67" x14ac:dyDescent="0.25">
      <c r="A277" s="1">
        <v>275</v>
      </c>
      <c r="B277" t="s">
        <v>70</v>
      </c>
      <c r="C277" t="s">
        <v>82</v>
      </c>
      <c r="D277">
        <v>1</v>
      </c>
      <c r="E277">
        <v>0</v>
      </c>
      <c r="F277">
        <v>1</v>
      </c>
      <c r="G277">
        <v>28.009699999999999</v>
      </c>
      <c r="H277">
        <v>2</v>
      </c>
      <c r="I277" t="s">
        <v>89</v>
      </c>
      <c r="J277">
        <v>4</v>
      </c>
      <c r="K277">
        <v>300</v>
      </c>
      <c r="L277">
        <v>33.333333333333329</v>
      </c>
      <c r="N277" t="s">
        <v>91</v>
      </c>
      <c r="O277">
        <v>66.666666666666671</v>
      </c>
      <c r="P277">
        <v>0.1666666666666666</v>
      </c>
      <c r="Q277">
        <v>3.2500000000000001E-2</v>
      </c>
      <c r="R277">
        <v>77.5</v>
      </c>
      <c r="S277">
        <v>170</v>
      </c>
      <c r="T277">
        <v>20</v>
      </c>
      <c r="U277">
        <v>1812.1301775147931</v>
      </c>
      <c r="V277">
        <v>20</v>
      </c>
      <c r="W277">
        <v>0.95</v>
      </c>
      <c r="X277">
        <v>1</v>
      </c>
      <c r="Y277">
        <v>77541.76912921184</v>
      </c>
      <c r="Z277">
        <v>232625307.3876355</v>
      </c>
      <c r="AA277">
        <v>930501229.55054212</v>
      </c>
      <c r="AB277">
        <v>930501.22955054208</v>
      </c>
      <c r="AC277">
        <v>0</v>
      </c>
      <c r="AD277">
        <v>2410.991395228275</v>
      </c>
      <c r="AE277">
        <v>4339784.5114108939</v>
      </c>
      <c r="AF277">
        <v>1446594.8371369641</v>
      </c>
      <c r="AG277">
        <v>40.518687409755231</v>
      </c>
      <c r="AH277">
        <v>318.32319391198899</v>
      </c>
      <c r="AI277">
        <v>63.664638782397802</v>
      </c>
      <c r="AJ277">
        <v>30241.28996039262</v>
      </c>
      <c r="AK277">
        <v>854.70085470085473</v>
      </c>
      <c r="AL277" t="s">
        <v>93</v>
      </c>
      <c r="AM277">
        <v>24670.047528179151</v>
      </c>
      <c r="AN277">
        <v>865.3489206522047</v>
      </c>
      <c r="AO277">
        <v>10822.988593007631</v>
      </c>
      <c r="AP277">
        <v>56631.387263924822</v>
      </c>
      <c r="AQ277">
        <v>45808.398670917188</v>
      </c>
      <c r="AR277">
        <v>2.0905155461666668E-2</v>
      </c>
      <c r="AS277">
        <v>652.27304660158029</v>
      </c>
      <c r="AT277">
        <v>532.10716480965493</v>
      </c>
      <c r="AU277">
        <v>18.664672624298149</v>
      </c>
      <c r="AV277">
        <v>233.44056262617119</v>
      </c>
      <c r="AW277">
        <v>1221.479888995932</v>
      </c>
      <c r="AX277">
        <v>988.03932636976106</v>
      </c>
      <c r="AY277">
        <v>1.5712413913751311</v>
      </c>
      <c r="AZ277" t="s">
        <v>109</v>
      </c>
      <c r="BA277" t="str">
        <f>VLOOKUP($AZ277,Sheet1!$A$2:$B$58,2)</f>
        <v>Acetone</v>
      </c>
      <c r="BB277" t="s">
        <v>162</v>
      </c>
      <c r="BC277">
        <v>58.078139999999998</v>
      </c>
      <c r="BD277">
        <v>5.333333333333333</v>
      </c>
      <c r="BE277">
        <v>56</v>
      </c>
      <c r="BF277" t="s">
        <v>203</v>
      </c>
      <c r="BG277">
        <v>0</v>
      </c>
      <c r="BH277">
        <v>0.33333333333333298</v>
      </c>
      <c r="BI277">
        <v>0.616999256347604</v>
      </c>
      <c r="BJ277">
        <v>80</v>
      </c>
      <c r="BK277">
        <v>2474.6380899764349</v>
      </c>
      <c r="BL277">
        <v>2001.7028306860741</v>
      </c>
      <c r="BM277">
        <v>3.18323193911989</v>
      </c>
      <c r="BN277">
        <v>541.14942965038131</v>
      </c>
      <c r="BO277">
        <v>1933.4886603260541</v>
      </c>
    </row>
    <row r="278" spans="1:67" x14ac:dyDescent="0.25">
      <c r="A278" s="1">
        <v>276</v>
      </c>
      <c r="B278" t="s">
        <v>70</v>
      </c>
      <c r="C278" t="s">
        <v>82</v>
      </c>
      <c r="D278">
        <v>1</v>
      </c>
      <c r="E278">
        <v>0</v>
      </c>
      <c r="F278">
        <v>1</v>
      </c>
      <c r="G278">
        <v>28.009699999999999</v>
      </c>
      <c r="H278">
        <v>2</v>
      </c>
      <c r="I278" t="s">
        <v>89</v>
      </c>
      <c r="J278">
        <v>4</v>
      </c>
      <c r="K278">
        <v>300</v>
      </c>
      <c r="L278">
        <v>33.333333333333329</v>
      </c>
      <c r="N278" t="s">
        <v>91</v>
      </c>
      <c r="O278">
        <v>66.666666666666671</v>
      </c>
      <c r="P278">
        <v>0.1666666666666666</v>
      </c>
      <c r="Q278">
        <v>3.2500000000000001E-2</v>
      </c>
      <c r="R278">
        <v>77.5</v>
      </c>
      <c r="S278">
        <v>170</v>
      </c>
      <c r="T278">
        <v>20</v>
      </c>
      <c r="U278">
        <v>1812.1301775147931</v>
      </c>
      <c r="V278">
        <v>20</v>
      </c>
      <c r="W278">
        <v>0.95</v>
      </c>
      <c r="X278">
        <v>1</v>
      </c>
      <c r="Y278">
        <v>209864.50338054029</v>
      </c>
      <c r="Z278">
        <v>629593510.14162076</v>
      </c>
      <c r="AA278">
        <v>2518374040.566483</v>
      </c>
      <c r="AB278">
        <v>2518374.040566483</v>
      </c>
      <c r="AC278">
        <v>0</v>
      </c>
      <c r="AD278">
        <v>6525.2768604130588</v>
      </c>
      <c r="AE278">
        <v>11745498.34874351</v>
      </c>
      <c r="AF278">
        <v>3915166.1162478342</v>
      </c>
      <c r="AG278">
        <v>109.662628366267</v>
      </c>
      <c r="AH278">
        <v>861.53230388033614</v>
      </c>
      <c r="AI278">
        <v>172.30646077606721</v>
      </c>
      <c r="AJ278">
        <v>81847.156318410707</v>
      </c>
      <c r="AK278">
        <v>854.70085470085473</v>
      </c>
      <c r="AL278" t="s">
        <v>93</v>
      </c>
      <c r="AM278">
        <v>66768.753550726047</v>
      </c>
      <c r="AN278">
        <v>2342.0412446476689</v>
      </c>
      <c r="AO278">
        <v>29292.098331931429</v>
      </c>
      <c r="AP278">
        <v>151812.6519684853</v>
      </c>
      <c r="AQ278">
        <v>122520.5536365538</v>
      </c>
      <c r="AR278">
        <v>2.0905155461666668E-2</v>
      </c>
      <c r="AS278">
        <v>652.27304660158029</v>
      </c>
      <c r="AT278">
        <v>532.10716480965493</v>
      </c>
      <c r="AU278">
        <v>18.664672624298159</v>
      </c>
      <c r="AV278">
        <v>233.44056262617119</v>
      </c>
      <c r="AW278">
        <v>1209.856340358584</v>
      </c>
      <c r="AX278">
        <v>976.41577773241249</v>
      </c>
      <c r="AY278">
        <v>1.5712413913751311</v>
      </c>
      <c r="AZ278" t="s">
        <v>110</v>
      </c>
      <c r="BA278" t="str">
        <f>VLOOKUP($AZ278,Sheet1!$A$2:$B$58,2)</f>
        <v>Acrylate (PW1)</v>
      </c>
      <c r="BB278" t="s">
        <v>163</v>
      </c>
      <c r="BC278">
        <v>71.053619999999995</v>
      </c>
      <c r="BD278">
        <v>3.666666666666667</v>
      </c>
      <c r="BE278">
        <v>80</v>
      </c>
      <c r="BF278" t="s">
        <v>203</v>
      </c>
      <c r="BG278">
        <v>0</v>
      </c>
      <c r="BH278">
        <v>0.100869565217391</v>
      </c>
      <c r="BI278">
        <v>0.22797192053888601</v>
      </c>
      <c r="BJ278">
        <v>80</v>
      </c>
      <c r="BK278">
        <v>6633.801311465757</v>
      </c>
      <c r="BL278">
        <v>5353.816028221454</v>
      </c>
      <c r="BM278">
        <v>8.6153230388033606</v>
      </c>
      <c r="BN278">
        <v>1464.604916596571</v>
      </c>
      <c r="BO278">
        <v>5169.1963948691846</v>
      </c>
    </row>
    <row r="279" spans="1:67" x14ac:dyDescent="0.25">
      <c r="A279" s="1">
        <v>277</v>
      </c>
      <c r="B279" t="s">
        <v>70</v>
      </c>
      <c r="C279" t="s">
        <v>82</v>
      </c>
      <c r="D279">
        <v>1</v>
      </c>
      <c r="E279">
        <v>0</v>
      </c>
      <c r="F279">
        <v>1</v>
      </c>
      <c r="G279">
        <v>28.009699999999999</v>
      </c>
      <c r="H279">
        <v>2</v>
      </c>
      <c r="I279" t="s">
        <v>89</v>
      </c>
      <c r="J279">
        <v>4</v>
      </c>
      <c r="K279">
        <v>300</v>
      </c>
      <c r="L279">
        <v>33.333333333333329</v>
      </c>
      <c r="N279" t="s">
        <v>91</v>
      </c>
      <c r="O279">
        <v>66.666666666666671</v>
      </c>
      <c r="P279">
        <v>0.1666666666666666</v>
      </c>
      <c r="Q279">
        <v>3.2500000000000001E-2</v>
      </c>
      <c r="R279">
        <v>77.5</v>
      </c>
      <c r="S279">
        <v>170</v>
      </c>
      <c r="T279">
        <v>20</v>
      </c>
      <c r="U279">
        <v>1812.1301775147931</v>
      </c>
      <c r="V279">
        <v>20</v>
      </c>
      <c r="W279">
        <v>0.95</v>
      </c>
      <c r="X279">
        <v>1</v>
      </c>
      <c r="Y279">
        <v>88939.101849360159</v>
      </c>
      <c r="Z279">
        <v>266817305.5480805</v>
      </c>
      <c r="AA279">
        <v>1067269222.192322</v>
      </c>
      <c r="AB279">
        <v>1067269.2221923219</v>
      </c>
      <c r="AC279">
        <v>0</v>
      </c>
      <c r="AD279">
        <v>2765.366481396889</v>
      </c>
      <c r="AE279">
        <v>4977659.6665144004</v>
      </c>
      <c r="AF279">
        <v>1659219.8888381331</v>
      </c>
      <c r="AG279">
        <v>46.474251320389463</v>
      </c>
      <c r="AH279">
        <v>365.1113365388311</v>
      </c>
      <c r="AI279">
        <v>73.022267307766228</v>
      </c>
      <c r="AJ279">
        <v>34686.24972125046</v>
      </c>
      <c r="AK279">
        <v>854.70085470085473</v>
      </c>
      <c r="AL279" t="s">
        <v>93</v>
      </c>
      <c r="AM279">
        <v>28296.128581759411</v>
      </c>
      <c r="AN279">
        <v>992.54062234345361</v>
      </c>
      <c r="AO279">
        <v>12413.785442320261</v>
      </c>
      <c r="AP279">
        <v>64829.619780054178</v>
      </c>
      <c r="AQ279">
        <v>52415.834337733919</v>
      </c>
      <c r="AR279">
        <v>2.0905155461666668E-2</v>
      </c>
      <c r="AS279">
        <v>652.27304660158029</v>
      </c>
      <c r="AT279">
        <v>532.10716480965493</v>
      </c>
      <c r="AU279">
        <v>18.664672624298149</v>
      </c>
      <c r="AV279">
        <v>233.44056262617119</v>
      </c>
      <c r="AW279">
        <v>1219.11748729789</v>
      </c>
      <c r="AX279">
        <v>985.67692467171912</v>
      </c>
      <c r="AY279">
        <v>1.5712413913751311</v>
      </c>
      <c r="AZ279" t="s">
        <v>111</v>
      </c>
      <c r="BA279" t="str">
        <f>VLOOKUP($AZ279,Sheet1!$A$2:$B$58,2)</f>
        <v>Acrylate (PW2)</v>
      </c>
      <c r="BB279" t="s">
        <v>163</v>
      </c>
      <c r="BC279">
        <v>71.053619999999995</v>
      </c>
      <c r="BD279">
        <v>3.666666666666667</v>
      </c>
      <c r="BE279">
        <v>80</v>
      </c>
      <c r="BF279" t="s">
        <v>203</v>
      </c>
      <c r="BG279">
        <v>0</v>
      </c>
      <c r="BH279">
        <v>0.23200000000000001</v>
      </c>
      <c r="BI279">
        <v>0.53793228055794096</v>
      </c>
      <c r="BJ279">
        <v>80</v>
      </c>
      <c r="BK279">
        <v>2832.8786246881918</v>
      </c>
      <c r="BL279">
        <v>2290.4298558951032</v>
      </c>
      <c r="BM279">
        <v>3.6511133653883121</v>
      </c>
      <c r="BN279">
        <v>620.68927211601294</v>
      </c>
      <c r="BO279">
        <v>2212.1893525721789</v>
      </c>
    </row>
    <row r="280" spans="1:67" x14ac:dyDescent="0.25">
      <c r="A280" s="1">
        <v>278</v>
      </c>
      <c r="B280" t="s">
        <v>70</v>
      </c>
      <c r="C280" t="s">
        <v>82</v>
      </c>
      <c r="D280">
        <v>1</v>
      </c>
      <c r="E280">
        <v>0</v>
      </c>
      <c r="F280">
        <v>1</v>
      </c>
      <c r="G280">
        <v>28.009699999999999</v>
      </c>
      <c r="H280">
        <v>2</v>
      </c>
      <c r="I280" t="s">
        <v>89</v>
      </c>
      <c r="J280">
        <v>4</v>
      </c>
      <c r="K280">
        <v>300</v>
      </c>
      <c r="L280">
        <v>33.333333333333329</v>
      </c>
      <c r="N280" t="s">
        <v>91</v>
      </c>
      <c r="O280">
        <v>66.666666666666671</v>
      </c>
      <c r="P280">
        <v>0.1666666666666666</v>
      </c>
      <c r="Q280">
        <v>3.2500000000000001E-2</v>
      </c>
      <c r="R280">
        <v>77.5</v>
      </c>
      <c r="S280">
        <v>170</v>
      </c>
      <c r="T280">
        <v>20</v>
      </c>
      <c r="U280">
        <v>1812.1301775147931</v>
      </c>
      <c r="V280">
        <v>20</v>
      </c>
      <c r="W280">
        <v>0.95</v>
      </c>
      <c r="X280">
        <v>1</v>
      </c>
      <c r="Y280">
        <v>303546.12893835752</v>
      </c>
      <c r="Z280">
        <v>910638386.81507242</v>
      </c>
      <c r="AA280">
        <v>3642553547.2602901</v>
      </c>
      <c r="AB280">
        <v>3642553.54726029</v>
      </c>
      <c r="AC280">
        <v>0</v>
      </c>
      <c r="AD280">
        <v>9438.1017243199294</v>
      </c>
      <c r="AE280">
        <v>16988583.10377587</v>
      </c>
      <c r="AF280">
        <v>5662861.0345919561</v>
      </c>
      <c r="AG280">
        <v>158.6150387206103</v>
      </c>
      <c r="AH280">
        <v>1246.11257066196</v>
      </c>
      <c r="AI280">
        <v>249.22251413239201</v>
      </c>
      <c r="AJ280">
        <v>118382.9902859594</v>
      </c>
      <c r="AK280">
        <v>854.70085470085473</v>
      </c>
      <c r="AL280" t="s">
        <v>93</v>
      </c>
      <c r="AM280">
        <v>96573.7242263019</v>
      </c>
      <c r="AN280">
        <v>3387.5073782138829</v>
      </c>
      <c r="AO280">
        <v>42367.827402506642</v>
      </c>
      <c r="AP280">
        <v>219198.9227451761</v>
      </c>
      <c r="AQ280">
        <v>176831.0953426694</v>
      </c>
      <c r="AR280">
        <v>2.0905155461666668E-2</v>
      </c>
      <c r="AS280">
        <v>652.27304660158029</v>
      </c>
      <c r="AT280">
        <v>532.10716480965493</v>
      </c>
      <c r="AU280">
        <v>18.664672624298159</v>
      </c>
      <c r="AV280">
        <v>233.44056262617119</v>
      </c>
      <c r="AW280">
        <v>1207.7541613487861</v>
      </c>
      <c r="AX280">
        <v>974.31359872261521</v>
      </c>
      <c r="AY280">
        <v>1.5712413913751311</v>
      </c>
      <c r="AZ280" t="s">
        <v>113</v>
      </c>
      <c r="BA280" t="str">
        <f>VLOOKUP($AZ280,Sheet1!$A$2:$B$58,2)</f>
        <v>Benzoate (PW1)</v>
      </c>
      <c r="BB280" t="s">
        <v>165</v>
      </c>
      <c r="BC280">
        <v>121.1121</v>
      </c>
      <c r="BD280">
        <v>4.1428571428571432</v>
      </c>
      <c r="BE280">
        <v>249.2</v>
      </c>
      <c r="BF280" t="s">
        <v>203</v>
      </c>
      <c r="BG280">
        <v>0</v>
      </c>
      <c r="BH280">
        <v>4.1061946902655001E-2</v>
      </c>
      <c r="BI280">
        <v>0.15761431073402701</v>
      </c>
      <c r="BJ280">
        <v>80</v>
      </c>
      <c r="BK280">
        <v>9578.3986533657971</v>
      </c>
      <c r="BL280">
        <v>7727.0394593702385</v>
      </c>
      <c r="BM280">
        <v>12.461125706619599</v>
      </c>
      <c r="BN280">
        <v>2118.3913701253318</v>
      </c>
      <c r="BO280">
        <v>7460.0072832404658</v>
      </c>
    </row>
    <row r="281" spans="1:67" x14ac:dyDescent="0.25">
      <c r="A281" s="1">
        <v>279</v>
      </c>
      <c r="B281" t="s">
        <v>70</v>
      </c>
      <c r="C281" t="s">
        <v>82</v>
      </c>
      <c r="D281">
        <v>1</v>
      </c>
      <c r="E281">
        <v>0</v>
      </c>
      <c r="F281">
        <v>1</v>
      </c>
      <c r="G281">
        <v>28.009699999999999</v>
      </c>
      <c r="H281">
        <v>2</v>
      </c>
      <c r="I281" t="s">
        <v>89</v>
      </c>
      <c r="J281">
        <v>4</v>
      </c>
      <c r="K281">
        <v>300</v>
      </c>
      <c r="L281">
        <v>33.333333333333329</v>
      </c>
      <c r="N281" t="s">
        <v>91</v>
      </c>
      <c r="O281">
        <v>66.666666666666671</v>
      </c>
      <c r="P281">
        <v>0.1666666666666666</v>
      </c>
      <c r="Q281">
        <v>3.2500000000000001E-2</v>
      </c>
      <c r="R281">
        <v>77.5</v>
      </c>
      <c r="S281">
        <v>170</v>
      </c>
      <c r="T281">
        <v>20</v>
      </c>
      <c r="U281">
        <v>1812.1301775147931</v>
      </c>
      <c r="V281">
        <v>20</v>
      </c>
      <c r="W281">
        <v>0.95</v>
      </c>
      <c r="X281">
        <v>1</v>
      </c>
      <c r="Y281">
        <v>325375.07921536459</v>
      </c>
      <c r="Z281">
        <v>976125237.64609396</v>
      </c>
      <c r="AA281">
        <v>3904500950.5843759</v>
      </c>
      <c r="AB281">
        <v>3904500.9505843762</v>
      </c>
      <c r="AC281">
        <v>0</v>
      </c>
      <c r="AD281">
        <v>10116.82509980845</v>
      </c>
      <c r="AE281">
        <v>18210285.179655209</v>
      </c>
      <c r="AF281">
        <v>6070095.0598850688</v>
      </c>
      <c r="AG281">
        <v>170.0215415988628</v>
      </c>
      <c r="AH281">
        <v>1335.7244179277091</v>
      </c>
      <c r="AI281">
        <v>267.14488358554189</v>
      </c>
      <c r="AJ281">
        <v>126896.2808939922</v>
      </c>
      <c r="AK281">
        <v>854.70085470085473</v>
      </c>
      <c r="AL281" t="s">
        <v>93</v>
      </c>
      <c r="AM281">
        <v>103518.6423893975</v>
      </c>
      <c r="AN281">
        <v>3631.1136148694068</v>
      </c>
      <c r="AO281">
        <v>45414.63020954212</v>
      </c>
      <c r="AP281">
        <v>234900.73775295989</v>
      </c>
      <c r="AQ281">
        <v>189486.10754341781</v>
      </c>
      <c r="AR281">
        <v>2.0905155461666668E-2</v>
      </c>
      <c r="AS281">
        <v>652.27304660158029</v>
      </c>
      <c r="AT281">
        <v>532.10716480965493</v>
      </c>
      <c r="AU281">
        <v>18.664672624298149</v>
      </c>
      <c r="AV281">
        <v>233.44056262617119</v>
      </c>
      <c r="AW281">
        <v>1207.438222646414</v>
      </c>
      <c r="AX281">
        <v>973.99766002024262</v>
      </c>
      <c r="AY281">
        <v>1.5712413913751311</v>
      </c>
      <c r="AZ281" t="s">
        <v>114</v>
      </c>
      <c r="BA281" t="str">
        <f>VLOOKUP($AZ281,Sheet1!$A$2:$B$58,2)</f>
        <v>Benzoate (PW2)</v>
      </c>
      <c r="BB281" t="s">
        <v>165</v>
      </c>
      <c r="BC281">
        <v>121.1121</v>
      </c>
      <c r="BD281">
        <v>4.1428571428571432</v>
      </c>
      <c r="BE281">
        <v>249.2</v>
      </c>
      <c r="BF281" t="s">
        <v>203</v>
      </c>
      <c r="BG281">
        <v>0</v>
      </c>
      <c r="BH281">
        <v>3.8347107438017003E-2</v>
      </c>
      <c r="BI281">
        <v>0.14704019128930901</v>
      </c>
      <c r="BJ281">
        <v>80</v>
      </c>
      <c r="BK281">
        <v>10264.525399986711</v>
      </c>
      <c r="BL281">
        <v>8280.0291835163371</v>
      </c>
      <c r="BM281">
        <v>13.357244179277091</v>
      </c>
      <c r="BN281">
        <v>2270.731510477106</v>
      </c>
      <c r="BO281">
        <v>7993.7938895096049</v>
      </c>
    </row>
    <row r="282" spans="1:67" x14ac:dyDescent="0.25">
      <c r="A282" s="1">
        <v>280</v>
      </c>
      <c r="B282" t="s">
        <v>70</v>
      </c>
      <c r="C282" t="s">
        <v>82</v>
      </c>
      <c r="D282">
        <v>1</v>
      </c>
      <c r="E282">
        <v>0</v>
      </c>
      <c r="F282">
        <v>1</v>
      </c>
      <c r="G282">
        <v>28.009699999999999</v>
      </c>
      <c r="H282">
        <v>2</v>
      </c>
      <c r="I282" t="s">
        <v>89</v>
      </c>
      <c r="J282">
        <v>4</v>
      </c>
      <c r="K282">
        <v>300</v>
      </c>
      <c r="L282">
        <v>33.333333333333329</v>
      </c>
      <c r="N282" t="s">
        <v>91</v>
      </c>
      <c r="O282">
        <v>66.666666666666671</v>
      </c>
      <c r="P282">
        <v>0.1666666666666666</v>
      </c>
      <c r="Q282">
        <v>3.2500000000000001E-2</v>
      </c>
      <c r="R282">
        <v>77.5</v>
      </c>
      <c r="S282">
        <v>170</v>
      </c>
      <c r="T282">
        <v>20</v>
      </c>
      <c r="U282">
        <v>1812.1301775147931</v>
      </c>
      <c r="V282">
        <v>20</v>
      </c>
      <c r="W282">
        <v>0.95</v>
      </c>
      <c r="X282">
        <v>1</v>
      </c>
      <c r="Y282">
        <v>193319.09075497609</v>
      </c>
      <c r="Z282">
        <v>579957272.26492834</v>
      </c>
      <c r="AA282">
        <v>2319829089.0597129</v>
      </c>
      <c r="AB282">
        <v>2319829.0890597128</v>
      </c>
      <c r="AC282">
        <v>66773.504273504266</v>
      </c>
      <c r="AD282">
        <v>6010.8335104778234</v>
      </c>
      <c r="AE282">
        <v>10819500.31886008</v>
      </c>
      <c r="AF282">
        <v>3606500.1062866929</v>
      </c>
      <c r="AG282">
        <v>101.01698602705839</v>
      </c>
      <c r="AH282">
        <v>793.61034838838657</v>
      </c>
      <c r="AI282">
        <v>158.7220696776773</v>
      </c>
      <c r="AJ282">
        <v>75394.445394440685</v>
      </c>
      <c r="AK282">
        <v>2170.1388888888891</v>
      </c>
      <c r="AL282" t="s">
        <v>95</v>
      </c>
      <c r="AM282">
        <v>61504.80200009996</v>
      </c>
      <c r="AN282">
        <v>2157.3981146538299</v>
      </c>
      <c r="AO282">
        <v>26982.751845205141</v>
      </c>
      <c r="AP282">
        <v>141226.78439808331</v>
      </c>
      <c r="AQ282">
        <v>114244.0325528782</v>
      </c>
      <c r="AR282">
        <v>2.0905155461666668E-2</v>
      </c>
      <c r="AS282">
        <v>652.27304660158029</v>
      </c>
      <c r="AT282">
        <v>532.10716480965493</v>
      </c>
      <c r="AU282">
        <v>18.664672624298159</v>
      </c>
      <c r="AV282">
        <v>233.44056262617119</v>
      </c>
      <c r="AW282">
        <v>1221.8197831305331</v>
      </c>
      <c r="AX282">
        <v>988.37922050436214</v>
      </c>
      <c r="AY282">
        <v>1.57124139137513</v>
      </c>
      <c r="AZ282" t="s">
        <v>117</v>
      </c>
      <c r="BA282" t="str">
        <f>VLOOKUP($AZ282,Sheet1!$A$2:$B$58,2)</f>
        <v>Butane</v>
      </c>
      <c r="BB282" t="s">
        <v>168</v>
      </c>
      <c r="BC282">
        <v>58.121200000000002</v>
      </c>
      <c r="BD282">
        <v>6.5</v>
      </c>
      <c r="BE282">
        <v>-1</v>
      </c>
      <c r="BF282" t="s">
        <v>203</v>
      </c>
      <c r="BG282">
        <v>0</v>
      </c>
      <c r="BH282">
        <v>0.13647058823529401</v>
      </c>
      <c r="BI282">
        <v>0.24748313113701001</v>
      </c>
      <c r="BJ282">
        <v>80</v>
      </c>
      <c r="BK282">
        <v>6171.2275980040304</v>
      </c>
      <c r="BL282">
        <v>4992.1544953562006</v>
      </c>
      <c r="BM282">
        <v>7.9361034838838664</v>
      </c>
      <c r="BN282">
        <v>1349.137592260257</v>
      </c>
      <c r="BO282">
        <v>4822.090005743773</v>
      </c>
    </row>
    <row r="283" spans="1:67" x14ac:dyDescent="0.25">
      <c r="A283" s="1">
        <v>281</v>
      </c>
      <c r="B283" t="s">
        <v>70</v>
      </c>
      <c r="C283" t="s">
        <v>82</v>
      </c>
      <c r="D283">
        <v>1</v>
      </c>
      <c r="E283">
        <v>0</v>
      </c>
      <c r="F283">
        <v>1</v>
      </c>
      <c r="G283">
        <v>28.009699999999999</v>
      </c>
      <c r="H283">
        <v>2</v>
      </c>
      <c r="I283" t="s">
        <v>89</v>
      </c>
      <c r="J283">
        <v>4</v>
      </c>
      <c r="K283">
        <v>300</v>
      </c>
      <c r="L283">
        <v>33.333333333333329</v>
      </c>
      <c r="N283" t="s">
        <v>91</v>
      </c>
      <c r="O283">
        <v>66.666666666666671</v>
      </c>
      <c r="P283">
        <v>0.1666666666666666</v>
      </c>
      <c r="Q283">
        <v>3.2500000000000001E-2</v>
      </c>
      <c r="R283">
        <v>77.5</v>
      </c>
      <c r="S283">
        <v>170</v>
      </c>
      <c r="T283">
        <v>20</v>
      </c>
      <c r="U283">
        <v>1812.1301775147931</v>
      </c>
      <c r="V283">
        <v>20</v>
      </c>
      <c r="W283">
        <v>0.95</v>
      </c>
      <c r="X283">
        <v>1</v>
      </c>
      <c r="Y283">
        <v>82750.721402784751</v>
      </c>
      <c r="Z283">
        <v>248252164.20835429</v>
      </c>
      <c r="AA283">
        <v>993008656.83341706</v>
      </c>
      <c r="AB283">
        <v>993008.65683341702</v>
      </c>
      <c r="AC283">
        <v>0</v>
      </c>
      <c r="AD283">
        <v>2572.952351894246</v>
      </c>
      <c r="AE283">
        <v>4631314.2334096432</v>
      </c>
      <c r="AF283">
        <v>1543771.4111365471</v>
      </c>
      <c r="AG283">
        <v>43.240574094511352</v>
      </c>
      <c r="AH283">
        <v>339.70689902059718</v>
      </c>
      <c r="AI283">
        <v>67.941379804119435</v>
      </c>
      <c r="AJ283">
        <v>32272.781347086049</v>
      </c>
      <c r="AK283">
        <v>854.70085470085473</v>
      </c>
      <c r="AL283" t="s">
        <v>93</v>
      </c>
      <c r="AM283">
        <v>26327.284674096281</v>
      </c>
      <c r="AN283">
        <v>923.47967106304418</v>
      </c>
      <c r="AO283">
        <v>11550.0345667003</v>
      </c>
      <c r="AP283">
        <v>60378.246546946233</v>
      </c>
      <c r="AQ283">
        <v>48828.211980245927</v>
      </c>
      <c r="AR283">
        <v>2.0905155461666668E-2</v>
      </c>
      <c r="AS283">
        <v>652.27304660158029</v>
      </c>
      <c r="AT283">
        <v>532.10716480965493</v>
      </c>
      <c r="AU283">
        <v>18.664672624298149</v>
      </c>
      <c r="AV283">
        <v>233.44056262617119</v>
      </c>
      <c r="AW283">
        <v>1220.3194512453731</v>
      </c>
      <c r="AX283">
        <v>986.87888861920192</v>
      </c>
      <c r="AY283">
        <v>1.57124139137513</v>
      </c>
      <c r="AZ283" t="s">
        <v>118</v>
      </c>
      <c r="BA283" t="str">
        <f>VLOOKUP($AZ283,Sheet1!$A$2:$B$58,2)</f>
        <v>Butanol (PW1)</v>
      </c>
      <c r="BB283" t="s">
        <v>169</v>
      </c>
      <c r="BC283">
        <v>74.120199999999997</v>
      </c>
      <c r="BD283">
        <v>6</v>
      </c>
      <c r="BE283">
        <v>117.7</v>
      </c>
      <c r="BF283" t="s">
        <v>203</v>
      </c>
      <c r="BG283">
        <v>-1.408396753353213E-15</v>
      </c>
      <c r="BH283">
        <v>0.25</v>
      </c>
      <c r="BI283">
        <v>0.57816068642745699</v>
      </c>
      <c r="BJ283">
        <v>80</v>
      </c>
      <c r="BK283">
        <v>2638.3656825274488</v>
      </c>
      <c r="BL283">
        <v>2133.6604852823812</v>
      </c>
      <c r="BM283">
        <v>3.3970689902059732</v>
      </c>
      <c r="BN283">
        <v>577.5017283350154</v>
      </c>
      <c r="BO283">
        <v>2060.863954192434</v>
      </c>
    </row>
    <row r="284" spans="1:67" x14ac:dyDescent="0.25">
      <c r="A284" s="1">
        <v>282</v>
      </c>
      <c r="B284" t="s">
        <v>70</v>
      </c>
      <c r="C284" t="s">
        <v>82</v>
      </c>
      <c r="D284">
        <v>1</v>
      </c>
      <c r="E284">
        <v>0</v>
      </c>
      <c r="F284">
        <v>1</v>
      </c>
      <c r="G284">
        <v>28.009699999999999</v>
      </c>
      <c r="H284">
        <v>2</v>
      </c>
      <c r="I284" t="s">
        <v>89</v>
      </c>
      <c r="J284">
        <v>4</v>
      </c>
      <c r="K284">
        <v>300</v>
      </c>
      <c r="L284">
        <v>33.333333333333329</v>
      </c>
      <c r="N284" t="s">
        <v>91</v>
      </c>
      <c r="O284">
        <v>66.666666666666671</v>
      </c>
      <c r="P284">
        <v>0.1666666666666666</v>
      </c>
      <c r="Q284">
        <v>3.2500000000000001E-2</v>
      </c>
      <c r="R284">
        <v>77.5</v>
      </c>
      <c r="S284">
        <v>170</v>
      </c>
      <c r="T284">
        <v>20</v>
      </c>
      <c r="U284">
        <v>1812.1301775147931</v>
      </c>
      <c r="V284">
        <v>20</v>
      </c>
      <c r="W284">
        <v>0.95</v>
      </c>
      <c r="X284">
        <v>1</v>
      </c>
      <c r="Y284">
        <v>82750.721402784751</v>
      </c>
      <c r="Z284">
        <v>248252164.20835429</v>
      </c>
      <c r="AA284">
        <v>993008656.83341706</v>
      </c>
      <c r="AB284">
        <v>993008.65683341702</v>
      </c>
      <c r="AC284">
        <v>0</v>
      </c>
      <c r="AD284">
        <v>2572.952351894246</v>
      </c>
      <c r="AE284">
        <v>4631314.2334096432</v>
      </c>
      <c r="AF284">
        <v>1543771.4111365471</v>
      </c>
      <c r="AG284">
        <v>43.240574094511352</v>
      </c>
      <c r="AH284">
        <v>339.70689902059718</v>
      </c>
      <c r="AI284">
        <v>67.941379804119435</v>
      </c>
      <c r="AJ284">
        <v>32272.781347086049</v>
      </c>
      <c r="AK284">
        <v>854.70085470085473</v>
      </c>
      <c r="AL284" t="s">
        <v>93</v>
      </c>
      <c r="AM284">
        <v>26327.284674096281</v>
      </c>
      <c r="AN284">
        <v>923.47967106304418</v>
      </c>
      <c r="AO284">
        <v>11550.0345667003</v>
      </c>
      <c r="AP284">
        <v>60378.246546946233</v>
      </c>
      <c r="AQ284">
        <v>48828.211980245927</v>
      </c>
      <c r="AR284">
        <v>2.0905155461666668E-2</v>
      </c>
      <c r="AS284">
        <v>652.27304660158029</v>
      </c>
      <c r="AT284">
        <v>532.10716480965493</v>
      </c>
      <c r="AU284">
        <v>18.664672624298149</v>
      </c>
      <c r="AV284">
        <v>233.44056262617119</v>
      </c>
      <c r="AW284">
        <v>1220.3194512453731</v>
      </c>
      <c r="AX284">
        <v>986.87888861920192</v>
      </c>
      <c r="AY284">
        <v>1.57124139137513</v>
      </c>
      <c r="AZ284" t="s">
        <v>119</v>
      </c>
      <c r="BA284" t="str">
        <f>VLOOKUP($AZ284,Sheet1!$A$2:$B$58,2)</f>
        <v>Butanol (PW2)</v>
      </c>
      <c r="BB284" t="s">
        <v>169</v>
      </c>
      <c r="BC284">
        <v>74.120199999999997</v>
      </c>
      <c r="BD284">
        <v>6</v>
      </c>
      <c r="BE284">
        <v>117.7</v>
      </c>
      <c r="BF284" t="s">
        <v>203</v>
      </c>
      <c r="BG284">
        <v>0</v>
      </c>
      <c r="BH284">
        <v>0.25</v>
      </c>
      <c r="BI284">
        <v>0.57816068642745699</v>
      </c>
      <c r="BJ284">
        <v>80</v>
      </c>
      <c r="BK284">
        <v>2638.3656825274488</v>
      </c>
      <c r="BL284">
        <v>2133.6604852823812</v>
      </c>
      <c r="BM284">
        <v>3.3970689902059719</v>
      </c>
      <c r="BN284">
        <v>577.50172833501517</v>
      </c>
      <c r="BO284">
        <v>2060.863954192434</v>
      </c>
    </row>
    <row r="285" spans="1:67" x14ac:dyDescent="0.25">
      <c r="A285" s="1">
        <v>283</v>
      </c>
      <c r="B285" t="s">
        <v>70</v>
      </c>
      <c r="C285" t="s">
        <v>82</v>
      </c>
      <c r="D285">
        <v>1</v>
      </c>
      <c r="E285">
        <v>0</v>
      </c>
      <c r="F285">
        <v>1</v>
      </c>
      <c r="G285">
        <v>28.009699999999999</v>
      </c>
      <c r="H285">
        <v>2</v>
      </c>
      <c r="I285" t="s">
        <v>89</v>
      </c>
      <c r="J285">
        <v>4</v>
      </c>
      <c r="K285">
        <v>300</v>
      </c>
      <c r="L285">
        <v>33.333333333333329</v>
      </c>
      <c r="N285" t="s">
        <v>91</v>
      </c>
      <c r="O285">
        <v>66.666666666666671</v>
      </c>
      <c r="P285">
        <v>0.1666666666666666</v>
      </c>
      <c r="Q285">
        <v>3.2500000000000001E-2</v>
      </c>
      <c r="R285">
        <v>77.5</v>
      </c>
      <c r="S285">
        <v>170</v>
      </c>
      <c r="T285">
        <v>20</v>
      </c>
      <c r="U285">
        <v>1812.1301775147931</v>
      </c>
      <c r="V285">
        <v>20</v>
      </c>
      <c r="W285">
        <v>0.95</v>
      </c>
      <c r="X285">
        <v>1</v>
      </c>
      <c r="Y285">
        <v>68203.307401799218</v>
      </c>
      <c r="Z285">
        <v>204609922.20539761</v>
      </c>
      <c r="AA285">
        <v>818439688.82159054</v>
      </c>
      <c r="AB285">
        <v>818439.68882159051</v>
      </c>
      <c r="AC285">
        <v>0</v>
      </c>
      <c r="AD285">
        <v>2120.632391012849</v>
      </c>
      <c r="AE285">
        <v>3817138.3038231269</v>
      </c>
      <c r="AF285">
        <v>1272379.4346077091</v>
      </c>
      <c r="AG285">
        <v>35.638966249531542</v>
      </c>
      <c r="AH285">
        <v>279.98709458542629</v>
      </c>
      <c r="AI285">
        <v>55.997418917085263</v>
      </c>
      <c r="AJ285">
        <v>26599.289886701688</v>
      </c>
      <c r="AK285">
        <v>854.70085470085473</v>
      </c>
      <c r="AL285" t="s">
        <v>93</v>
      </c>
      <c r="AM285">
        <v>21698.99983037054</v>
      </c>
      <c r="AN285">
        <v>761.13376194332102</v>
      </c>
      <c r="AO285">
        <v>9519.561215904494</v>
      </c>
      <c r="AP285">
        <v>49914.124333716398</v>
      </c>
      <c r="AQ285">
        <v>40394.563117811907</v>
      </c>
      <c r="AR285">
        <v>2.0905155461666668E-2</v>
      </c>
      <c r="AS285">
        <v>652.27304660158029</v>
      </c>
      <c r="AT285">
        <v>532.10716480965493</v>
      </c>
      <c r="AU285">
        <v>18.664672624298159</v>
      </c>
      <c r="AV285">
        <v>233.44056262617119</v>
      </c>
      <c r="AW285">
        <v>1224.0040274112901</v>
      </c>
      <c r="AX285">
        <v>990.56346478511864</v>
      </c>
      <c r="AY285">
        <v>1.5712413913751311</v>
      </c>
      <c r="AZ285" t="s">
        <v>120</v>
      </c>
      <c r="BA285" t="str">
        <f>VLOOKUP($AZ285,Sheet1!$A$2:$B$58,2)</f>
        <v>Butyrate</v>
      </c>
      <c r="BB285" t="s">
        <v>170</v>
      </c>
      <c r="BC285">
        <v>87.095680000000002</v>
      </c>
      <c r="BD285">
        <v>4.75</v>
      </c>
      <c r="BE285">
        <v>163.5</v>
      </c>
      <c r="BF285" t="s">
        <v>203</v>
      </c>
      <c r="BG285">
        <v>0</v>
      </c>
      <c r="BH285">
        <v>0.25</v>
      </c>
      <c r="BI285">
        <v>0.70147938144329902</v>
      </c>
      <c r="BJ285">
        <v>80</v>
      </c>
      <c r="BK285">
        <v>2181.111911110082</v>
      </c>
      <c r="BL285">
        <v>1765.1328944747941</v>
      </c>
      <c r="BM285">
        <v>2.7998709458542641</v>
      </c>
      <c r="BN285">
        <v>475.97806079522479</v>
      </c>
      <c r="BO285">
        <v>1705.133850314857</v>
      </c>
    </row>
    <row r="286" spans="1:67" x14ac:dyDescent="0.25">
      <c r="A286" s="1">
        <v>284</v>
      </c>
      <c r="B286" t="s">
        <v>70</v>
      </c>
      <c r="C286" t="s">
        <v>82</v>
      </c>
      <c r="D286">
        <v>1</v>
      </c>
      <c r="E286">
        <v>0</v>
      </c>
      <c r="F286">
        <v>1</v>
      </c>
      <c r="G286">
        <v>28.009699999999999</v>
      </c>
      <c r="H286">
        <v>2</v>
      </c>
      <c r="I286" t="s">
        <v>89</v>
      </c>
      <c r="J286">
        <v>4</v>
      </c>
      <c r="K286">
        <v>300</v>
      </c>
      <c r="L286">
        <v>33.333333333333329</v>
      </c>
      <c r="N286" t="s">
        <v>91</v>
      </c>
      <c r="O286">
        <v>66.666666666666671</v>
      </c>
      <c r="P286">
        <v>0.1666666666666666</v>
      </c>
      <c r="Q286">
        <v>3.2500000000000001E-2</v>
      </c>
      <c r="R286">
        <v>77.5</v>
      </c>
      <c r="S286">
        <v>170</v>
      </c>
      <c r="T286">
        <v>20</v>
      </c>
      <c r="U286">
        <v>1812.1301775147931</v>
      </c>
      <c r="V286">
        <v>20</v>
      </c>
      <c r="W286">
        <v>0.95</v>
      </c>
      <c r="X286">
        <v>1</v>
      </c>
      <c r="Y286">
        <v>214704.98180197229</v>
      </c>
      <c r="Z286">
        <v>644114945.40591705</v>
      </c>
      <c r="AA286">
        <v>2576459781.6236682</v>
      </c>
      <c r="AB286">
        <v>2576459.781623668</v>
      </c>
      <c r="AC286">
        <v>0</v>
      </c>
      <c r="AD286">
        <v>6675.7809300766494</v>
      </c>
      <c r="AE286">
        <v>12016405.67413797</v>
      </c>
      <c r="AF286">
        <v>4005468.558045988</v>
      </c>
      <c r="AG286">
        <v>112.1919726703007</v>
      </c>
      <c r="AH286">
        <v>881.40335619801965</v>
      </c>
      <c r="AI286">
        <v>176.28067123960389</v>
      </c>
      <c r="AJ286">
        <v>83734.942902769209</v>
      </c>
      <c r="AK286">
        <v>854.70085470085473</v>
      </c>
      <c r="AL286" t="s">
        <v>93</v>
      </c>
      <c r="AM286">
        <v>68308.760105346519</v>
      </c>
      <c r="AN286">
        <v>2396.0599087104738</v>
      </c>
      <c r="AO286">
        <v>29967.714110732672</v>
      </c>
      <c r="AP286">
        <v>155294.46377152711</v>
      </c>
      <c r="AQ286">
        <v>125326.7496607944</v>
      </c>
      <c r="AR286">
        <v>2.0905155461666668E-2</v>
      </c>
      <c r="AS286">
        <v>652.27304660158029</v>
      </c>
      <c r="AT286">
        <v>532.10716480965493</v>
      </c>
      <c r="AU286">
        <v>18.664672624298149</v>
      </c>
      <c r="AV286">
        <v>233.44056262617119</v>
      </c>
      <c r="AW286">
        <v>1209.7027775158699</v>
      </c>
      <c r="AX286">
        <v>976.26221488969873</v>
      </c>
      <c r="AY286">
        <v>1.57124139137513</v>
      </c>
      <c r="AZ286" t="s">
        <v>121</v>
      </c>
      <c r="BA286" t="str">
        <f>VLOOKUP($AZ286,Sheet1!$A$2:$B$58,2)</f>
        <v>Catechol</v>
      </c>
      <c r="BB286" t="s">
        <v>171</v>
      </c>
      <c r="BC286">
        <v>110.10924</v>
      </c>
      <c r="BD286">
        <v>4.333333333333333</v>
      </c>
      <c r="BE286">
        <v>245</v>
      </c>
      <c r="BF286" t="s">
        <v>203</v>
      </c>
      <c r="BG286">
        <v>0</v>
      </c>
      <c r="BH286">
        <v>6.3561643835616397E-2</v>
      </c>
      <c r="BI286">
        <v>0.22283234178854899</v>
      </c>
      <c r="BJ286">
        <v>80</v>
      </c>
      <c r="BK286">
        <v>6785.9470477123677</v>
      </c>
      <c r="BL286">
        <v>5476.4391865976158</v>
      </c>
      <c r="BM286">
        <v>8.8140335619801959</v>
      </c>
      <c r="BN286">
        <v>1498.3857055366329</v>
      </c>
      <c r="BO286">
        <v>5287.5613421757344</v>
      </c>
    </row>
    <row r="287" spans="1:67" x14ac:dyDescent="0.25">
      <c r="A287" s="1">
        <v>285</v>
      </c>
      <c r="B287" t="s">
        <v>70</v>
      </c>
      <c r="C287" t="s">
        <v>82</v>
      </c>
      <c r="D287">
        <v>1</v>
      </c>
      <c r="E287">
        <v>0</v>
      </c>
      <c r="F287">
        <v>1</v>
      </c>
      <c r="G287">
        <v>28.009699999999999</v>
      </c>
      <c r="H287">
        <v>2</v>
      </c>
      <c r="I287" t="s">
        <v>89</v>
      </c>
      <c r="J287">
        <v>4</v>
      </c>
      <c r="K287">
        <v>300</v>
      </c>
      <c r="L287">
        <v>33.333333333333329</v>
      </c>
      <c r="N287" t="s">
        <v>91</v>
      </c>
      <c r="O287">
        <v>66.666666666666671</v>
      </c>
      <c r="P287">
        <v>0.1666666666666666</v>
      </c>
      <c r="Q287">
        <v>3.2500000000000001E-2</v>
      </c>
      <c r="R287">
        <v>77.5</v>
      </c>
      <c r="S287">
        <v>170</v>
      </c>
      <c r="T287">
        <v>20</v>
      </c>
      <c r="U287">
        <v>1812.1301775147931</v>
      </c>
      <c r="V287">
        <v>20</v>
      </c>
      <c r="W287">
        <v>0.95</v>
      </c>
      <c r="X287">
        <v>1</v>
      </c>
      <c r="Y287">
        <v>74043.208497116866</v>
      </c>
      <c r="Z287">
        <v>222129625.49135059</v>
      </c>
      <c r="AA287">
        <v>888518501.96540236</v>
      </c>
      <c r="AB287">
        <v>888518.50196540239</v>
      </c>
      <c r="AC287">
        <v>0</v>
      </c>
      <c r="AD287">
        <v>2302.2113187044888</v>
      </c>
      <c r="AE287">
        <v>4143980.3736680802</v>
      </c>
      <c r="AF287">
        <v>1381326.7912226929</v>
      </c>
      <c r="AG287">
        <v>38.690549024110268</v>
      </c>
      <c r="AH287">
        <v>303.9609604085536</v>
      </c>
      <c r="AI287">
        <v>60.792192081710724</v>
      </c>
      <c r="AJ287">
        <v>28876.851313875581</v>
      </c>
      <c r="AK287">
        <v>854.70085470085473</v>
      </c>
      <c r="AL287" t="s">
        <v>93</v>
      </c>
      <c r="AM287">
        <v>23556.9744316629</v>
      </c>
      <c r="AN287">
        <v>826.30576106456556</v>
      </c>
      <c r="AO287">
        <v>10334.672653890821</v>
      </c>
      <c r="AP287">
        <v>54114.832361303903</v>
      </c>
      <c r="AQ287">
        <v>43780.15970741307</v>
      </c>
      <c r="AR287">
        <v>2.0905155461666668E-2</v>
      </c>
      <c r="AS287">
        <v>652.27304660158029</v>
      </c>
      <c r="AT287">
        <v>532.10716480965493</v>
      </c>
      <c r="AU287">
        <v>18.664672624298149</v>
      </c>
      <c r="AV287">
        <v>233.44056262617119</v>
      </c>
      <c r="AW287">
        <v>1222.3509477184809</v>
      </c>
      <c r="AX287">
        <v>988.91038509230998</v>
      </c>
      <c r="AY287">
        <v>1.5712413913751311</v>
      </c>
      <c r="AZ287" t="s">
        <v>123</v>
      </c>
      <c r="BA287" t="str">
        <f>VLOOKUP($AZ287,Sheet1!$A$2:$B$58,2)</f>
        <v>Citrate</v>
      </c>
      <c r="BB287" t="s">
        <v>173</v>
      </c>
      <c r="BC287">
        <v>189.09639999999999</v>
      </c>
      <c r="BD287">
        <v>2.5</v>
      </c>
      <c r="BF287" t="s">
        <v>203</v>
      </c>
      <c r="BG287">
        <v>0</v>
      </c>
      <c r="BH287">
        <v>0.103111111111111</v>
      </c>
      <c r="BI287">
        <v>0.64615262979135002</v>
      </c>
      <c r="BJ287">
        <v>80</v>
      </c>
      <c r="BK287">
        <v>2364.6714633684769</v>
      </c>
      <c r="BL287">
        <v>1913.0742867432889</v>
      </c>
      <c r="BM287">
        <v>3.0396096040855358</v>
      </c>
      <c r="BN287">
        <v>516.73363269454114</v>
      </c>
      <c r="BO287">
        <v>1847.9378306739361</v>
      </c>
    </row>
    <row r="288" spans="1:67" x14ac:dyDescent="0.25">
      <c r="A288" s="1">
        <v>286</v>
      </c>
      <c r="B288" t="s">
        <v>70</v>
      </c>
      <c r="C288" t="s">
        <v>82</v>
      </c>
      <c r="D288">
        <v>1</v>
      </c>
      <c r="E288">
        <v>0</v>
      </c>
      <c r="F288">
        <v>1</v>
      </c>
      <c r="G288">
        <v>28.009699999999999</v>
      </c>
      <c r="H288">
        <v>2</v>
      </c>
      <c r="I288" t="s">
        <v>89</v>
      </c>
      <c r="J288">
        <v>4</v>
      </c>
      <c r="K288">
        <v>300</v>
      </c>
      <c r="L288">
        <v>33.333333333333329</v>
      </c>
      <c r="N288" t="s">
        <v>91</v>
      </c>
      <c r="O288">
        <v>66.666666666666671</v>
      </c>
      <c r="P288">
        <v>0.1666666666666666</v>
      </c>
      <c r="Q288">
        <v>3.2500000000000001E-2</v>
      </c>
      <c r="R288">
        <v>77.5</v>
      </c>
      <c r="S288">
        <v>170</v>
      </c>
      <c r="T288">
        <v>20</v>
      </c>
      <c r="U288">
        <v>1812.1301775147931</v>
      </c>
      <c r="V288">
        <v>20</v>
      </c>
      <c r="W288">
        <v>0.95</v>
      </c>
      <c r="X288">
        <v>1</v>
      </c>
      <c r="Y288">
        <v>228202.11687740911</v>
      </c>
      <c r="Z288">
        <v>684606350.63222718</v>
      </c>
      <c r="AA288">
        <v>2738425402.5289092</v>
      </c>
      <c r="AB288">
        <v>2738425.402528909</v>
      </c>
      <c r="AC288">
        <v>0</v>
      </c>
      <c r="AD288">
        <v>7095.4447692248896</v>
      </c>
      <c r="AE288">
        <v>12771800.5846048</v>
      </c>
      <c r="AF288">
        <v>4257266.8615349336</v>
      </c>
      <c r="AG288">
        <v>119.244767611535</v>
      </c>
      <c r="AH288">
        <v>936.81157288076201</v>
      </c>
      <c r="AI288">
        <v>187.36231457615239</v>
      </c>
      <c r="AJ288">
        <v>88998.825582189529</v>
      </c>
      <c r="AK288">
        <v>854.70085470085473</v>
      </c>
      <c r="AL288" t="s">
        <v>93</v>
      </c>
      <c r="AM288">
        <v>72602.89689825906</v>
      </c>
      <c r="AN288">
        <v>2546.684938298898</v>
      </c>
      <c r="AO288">
        <v>31851.593477945909</v>
      </c>
      <c r="AP288">
        <v>165003.10827344831</v>
      </c>
      <c r="AQ288">
        <v>133151.51479550239</v>
      </c>
      <c r="AR288">
        <v>2.0905155461666668E-2</v>
      </c>
      <c r="AS288">
        <v>652.27304660158029</v>
      </c>
      <c r="AT288">
        <v>532.10716480965493</v>
      </c>
      <c r="AU288">
        <v>18.664672624298149</v>
      </c>
      <c r="AV288">
        <v>233.44056262617119</v>
      </c>
      <c r="AW288">
        <v>1209.308992879462</v>
      </c>
      <c r="AX288">
        <v>975.86843025329097</v>
      </c>
      <c r="AY288">
        <v>1.57124139137513</v>
      </c>
      <c r="AZ288" t="s">
        <v>124</v>
      </c>
      <c r="BA288" t="str">
        <f>VLOOKUP($AZ288,Sheet1!$A$2:$B$58,2)</f>
        <v>Coumaric Acid</v>
      </c>
      <c r="BB288" t="s">
        <v>174</v>
      </c>
      <c r="BC288">
        <v>163.14818</v>
      </c>
      <c r="BD288">
        <v>4.1111111111111107</v>
      </c>
      <c r="BE288">
        <v>346</v>
      </c>
      <c r="BF288" t="s">
        <v>203</v>
      </c>
      <c r="BG288">
        <v>0</v>
      </c>
      <c r="BH288">
        <v>4.0347826086956501E-2</v>
      </c>
      <c r="BI288">
        <v>0.20965280490497301</v>
      </c>
      <c r="BJ288">
        <v>80</v>
      </c>
      <c r="BK288">
        <v>7210.1884913225476</v>
      </c>
      <c r="BL288">
        <v>5818.3602092493584</v>
      </c>
      <c r="BM288">
        <v>9.36811572880762</v>
      </c>
      <c r="BN288">
        <v>1592.5796738972949</v>
      </c>
      <c r="BO288">
        <v>5617.6088174252527</v>
      </c>
    </row>
    <row r="289" spans="1:67" x14ac:dyDescent="0.25">
      <c r="A289" s="1">
        <v>287</v>
      </c>
      <c r="B289" t="s">
        <v>70</v>
      </c>
      <c r="C289" t="s">
        <v>82</v>
      </c>
      <c r="D289">
        <v>1</v>
      </c>
      <c r="E289">
        <v>0</v>
      </c>
      <c r="F289">
        <v>1</v>
      </c>
      <c r="G289">
        <v>28.009699999999999</v>
      </c>
      <c r="H289">
        <v>2</v>
      </c>
      <c r="I289" t="s">
        <v>89</v>
      </c>
      <c r="J289">
        <v>4</v>
      </c>
      <c r="K289">
        <v>300</v>
      </c>
      <c r="L289">
        <v>33.333333333333329</v>
      </c>
      <c r="N289" t="s">
        <v>91</v>
      </c>
      <c r="O289">
        <v>66.666666666666671</v>
      </c>
      <c r="P289">
        <v>0.1666666666666666</v>
      </c>
      <c r="Q289">
        <v>3.2500000000000001E-2</v>
      </c>
      <c r="R289">
        <v>77.5</v>
      </c>
      <c r="S289">
        <v>170</v>
      </c>
      <c r="T289">
        <v>20</v>
      </c>
      <c r="U289">
        <v>1812.1301775147931</v>
      </c>
      <c r="V289">
        <v>20</v>
      </c>
      <c r="W289">
        <v>0.95</v>
      </c>
      <c r="X289">
        <v>1</v>
      </c>
      <c r="Y289">
        <v>67423.111317331437</v>
      </c>
      <c r="Z289">
        <v>202269333.9519943</v>
      </c>
      <c r="AA289">
        <v>809077335.8079772</v>
      </c>
      <c r="AB289">
        <v>809077.33580797724</v>
      </c>
      <c r="AC289">
        <v>0</v>
      </c>
      <c r="AD289">
        <v>2096.3739033955731</v>
      </c>
      <c r="AE289">
        <v>3773473.0261120321</v>
      </c>
      <c r="AF289">
        <v>1257824.3420373439</v>
      </c>
      <c r="AG289">
        <v>35.23128247316339</v>
      </c>
      <c r="AH289">
        <v>276.78424646531738</v>
      </c>
      <c r="AI289">
        <v>55.356849293063483</v>
      </c>
      <c r="AJ289">
        <v>26295.013413759261</v>
      </c>
      <c r="AK289">
        <v>854.70085470085473</v>
      </c>
      <c r="AL289" t="s">
        <v>93</v>
      </c>
      <c r="AM289">
        <v>21450.7791010621</v>
      </c>
      <c r="AN289">
        <v>752.42694693028909</v>
      </c>
      <c r="AO289">
        <v>9410.6643798207915</v>
      </c>
      <c r="AP289">
        <v>49352.920316452502</v>
      </c>
      <c r="AQ289">
        <v>39942.2559366317</v>
      </c>
      <c r="AR289">
        <v>2.0905155461666668E-2</v>
      </c>
      <c r="AS289">
        <v>652.27304660158029</v>
      </c>
      <c r="AT289">
        <v>532.10716480965482</v>
      </c>
      <c r="AU289">
        <v>18.664672624298149</v>
      </c>
      <c r="AV289">
        <v>233.44056262617119</v>
      </c>
      <c r="AW289">
        <v>1224.246559108153</v>
      </c>
      <c r="AX289">
        <v>990.80599648198154</v>
      </c>
      <c r="AY289">
        <v>1.57124139137513</v>
      </c>
      <c r="AZ289" t="s">
        <v>125</v>
      </c>
      <c r="BA289" t="str">
        <f>VLOOKUP($AZ289,Sheet1!$A$2:$B$58,2)</f>
        <v>Ethyl Acetate</v>
      </c>
      <c r="BB289" t="s">
        <v>175</v>
      </c>
      <c r="BC289">
        <v>88.103520000000003</v>
      </c>
      <c r="BD289">
        <v>5</v>
      </c>
      <c r="BE289">
        <v>77.099999999999994</v>
      </c>
      <c r="BF289" t="s">
        <v>203</v>
      </c>
      <c r="BG289">
        <v>0</v>
      </c>
      <c r="BH289">
        <v>0.25</v>
      </c>
      <c r="BI289">
        <v>0.70959664948453605</v>
      </c>
      <c r="BJ289">
        <v>80</v>
      </c>
      <c r="BK289">
        <v>2156.588817036883</v>
      </c>
      <c r="BL289">
        <v>1745.368296908041</v>
      </c>
      <c r="BM289">
        <v>2.767842464653175</v>
      </c>
      <c r="BN289">
        <v>470.53321899103969</v>
      </c>
      <c r="BO289">
        <v>1686.055598045843</v>
      </c>
    </row>
    <row r="290" spans="1:67" x14ac:dyDescent="0.25">
      <c r="A290" s="1">
        <v>288</v>
      </c>
      <c r="B290" t="s">
        <v>70</v>
      </c>
      <c r="C290" t="s">
        <v>82</v>
      </c>
      <c r="D290">
        <v>1</v>
      </c>
      <c r="E290">
        <v>0</v>
      </c>
      <c r="F290">
        <v>1</v>
      </c>
      <c r="G290">
        <v>28.009699999999999</v>
      </c>
      <c r="H290">
        <v>2</v>
      </c>
      <c r="I290" t="s">
        <v>89</v>
      </c>
      <c r="J290">
        <v>4</v>
      </c>
      <c r="K290">
        <v>300</v>
      </c>
      <c r="L290">
        <v>33.333333333333329</v>
      </c>
      <c r="N290" t="s">
        <v>91</v>
      </c>
      <c r="O290">
        <v>66.666666666666671</v>
      </c>
      <c r="P290">
        <v>0.1666666666666666</v>
      </c>
      <c r="Q290">
        <v>3.2500000000000001E-2</v>
      </c>
      <c r="R290">
        <v>77.5</v>
      </c>
      <c r="S290">
        <v>170</v>
      </c>
      <c r="T290">
        <v>20</v>
      </c>
      <c r="U290">
        <v>1812.1301775147931</v>
      </c>
      <c r="V290">
        <v>20</v>
      </c>
      <c r="W290">
        <v>0.95</v>
      </c>
      <c r="X290">
        <v>1</v>
      </c>
      <c r="Y290">
        <v>228220.88865579409</v>
      </c>
      <c r="Z290">
        <v>684662665.96738243</v>
      </c>
      <c r="AA290">
        <v>2738650663.8695302</v>
      </c>
      <c r="AB290">
        <v>2738650.663869529</v>
      </c>
      <c r="AC290">
        <v>0</v>
      </c>
      <c r="AD290">
        <v>7096.0284365395237</v>
      </c>
      <c r="AE290">
        <v>12772851.185771139</v>
      </c>
      <c r="AF290">
        <v>4257617.0619237134</v>
      </c>
      <c r="AG290">
        <v>119.2545766193647</v>
      </c>
      <c r="AH290">
        <v>936.8886344763132</v>
      </c>
      <c r="AI290">
        <v>187.37772689526261</v>
      </c>
      <c r="AJ290">
        <v>89006.146575759718</v>
      </c>
      <c r="AK290">
        <v>1835.336538461539</v>
      </c>
      <c r="AL290" t="s">
        <v>94</v>
      </c>
      <c r="AM290">
        <v>72608.869171914266</v>
      </c>
      <c r="AN290">
        <v>2546.894427176268</v>
      </c>
      <c r="AO290">
        <v>31854.213572194651</v>
      </c>
      <c r="AP290">
        <v>165997.24671331179</v>
      </c>
      <c r="AQ290">
        <v>134143.03314111711</v>
      </c>
      <c r="AR290">
        <v>2.0905155461666668E-2</v>
      </c>
      <c r="AS290">
        <v>652.27304660158029</v>
      </c>
      <c r="AT290">
        <v>532.10716480965493</v>
      </c>
      <c r="AU290">
        <v>18.664672624298149</v>
      </c>
      <c r="AV290">
        <v>233.44056262617119</v>
      </c>
      <c r="AW290">
        <v>1216.4949726141069</v>
      </c>
      <c r="AX290">
        <v>983.0544099879362</v>
      </c>
      <c r="AY290">
        <v>1.5712413913751311</v>
      </c>
      <c r="AZ290" t="s">
        <v>126</v>
      </c>
      <c r="BA290" t="str">
        <f>VLOOKUP($AZ290,Sheet1!$A$2:$B$58,2)</f>
        <v>Farnesene</v>
      </c>
      <c r="BB290" t="s">
        <v>176</v>
      </c>
      <c r="BC290">
        <v>204.34866</v>
      </c>
      <c r="BD290">
        <v>5.6</v>
      </c>
      <c r="BE290" t="s">
        <v>198</v>
      </c>
      <c r="BF290" t="s">
        <v>203</v>
      </c>
      <c r="BG290">
        <v>0</v>
      </c>
      <c r="BH290">
        <v>3.2676056338028101E-2</v>
      </c>
      <c r="BI290">
        <v>0.20963556040112999</v>
      </c>
      <c r="BJ290">
        <v>80</v>
      </c>
      <c r="BK290">
        <v>7253.6296459340474</v>
      </c>
      <c r="BL290">
        <v>5861.6868728455311</v>
      </c>
      <c r="BM290">
        <v>9.3688863447631299</v>
      </c>
      <c r="BN290">
        <v>1592.710678609732</v>
      </c>
      <c r="BO290">
        <v>5660.9189673243154</v>
      </c>
    </row>
    <row r="291" spans="1:67" x14ac:dyDescent="0.25">
      <c r="A291" s="1">
        <v>289</v>
      </c>
      <c r="B291" t="s">
        <v>70</v>
      </c>
      <c r="C291" t="s">
        <v>82</v>
      </c>
      <c r="D291">
        <v>1</v>
      </c>
      <c r="E291">
        <v>0</v>
      </c>
      <c r="F291">
        <v>1</v>
      </c>
      <c r="G291">
        <v>28.009699999999999</v>
      </c>
      <c r="H291">
        <v>2</v>
      </c>
      <c r="I291" t="s">
        <v>89</v>
      </c>
      <c r="J291">
        <v>4</v>
      </c>
      <c r="K291">
        <v>300</v>
      </c>
      <c r="L291">
        <v>33.333333333333329</v>
      </c>
      <c r="N291" t="s">
        <v>91</v>
      </c>
      <c r="O291">
        <v>66.666666666666671</v>
      </c>
      <c r="P291">
        <v>0.1666666666666666</v>
      </c>
      <c r="Q291">
        <v>3.2500000000000001E-2</v>
      </c>
      <c r="R291">
        <v>77.5</v>
      </c>
      <c r="S291">
        <v>170</v>
      </c>
      <c r="T291">
        <v>20</v>
      </c>
      <c r="U291">
        <v>1812.1301775147931</v>
      </c>
      <c r="V291">
        <v>20</v>
      </c>
      <c r="W291">
        <v>0.95</v>
      </c>
      <c r="X291">
        <v>1</v>
      </c>
      <c r="Y291">
        <v>169375.41845147981</v>
      </c>
      <c r="Z291">
        <v>508126255.35443932</v>
      </c>
      <c r="AA291">
        <v>2032505021.417757</v>
      </c>
      <c r="AB291">
        <v>2032505.021417757</v>
      </c>
      <c r="AC291">
        <v>0</v>
      </c>
      <c r="AD291">
        <v>5266.3574875268878</v>
      </c>
      <c r="AE291">
        <v>9479443.4775483981</v>
      </c>
      <c r="AF291">
        <v>3159814.4925161321</v>
      </c>
      <c r="AG291">
        <v>88.505455991029109</v>
      </c>
      <c r="AH291">
        <v>695.31717907817472</v>
      </c>
      <c r="AI291">
        <v>139.06343581563499</v>
      </c>
      <c r="AJ291">
        <v>66056.413196077119</v>
      </c>
      <c r="AK291">
        <v>1835.336538461539</v>
      </c>
      <c r="AL291" t="s">
        <v>94</v>
      </c>
      <c r="AM291">
        <v>53887.081378558541</v>
      </c>
      <c r="AN291">
        <v>1890.1920498843449</v>
      </c>
      <c r="AO291">
        <v>23640.78408865794</v>
      </c>
      <c r="AP291">
        <v>123669.0231629815</v>
      </c>
      <c r="AQ291">
        <v>100028.2390743236</v>
      </c>
      <c r="AR291">
        <v>2.0905155461666668E-2</v>
      </c>
      <c r="AS291">
        <v>652.27304660158029</v>
      </c>
      <c r="AT291">
        <v>532.10716480965493</v>
      </c>
      <c r="AU291">
        <v>18.664672624298149</v>
      </c>
      <c r="AV291">
        <v>233.44056262617119</v>
      </c>
      <c r="AW291">
        <v>1221.167886747291</v>
      </c>
      <c r="AX291">
        <v>987.72732412111998</v>
      </c>
      <c r="AY291">
        <v>1.5712413913751311</v>
      </c>
      <c r="AZ291" t="s">
        <v>127</v>
      </c>
      <c r="BA291" t="str">
        <f>VLOOKUP($AZ291,Sheet1!$A$2:$B$58,2)</f>
        <v>Gamma Butyrolactone</v>
      </c>
      <c r="BB291" t="s">
        <v>177</v>
      </c>
      <c r="BC291">
        <v>86.08784</v>
      </c>
      <c r="BD291">
        <v>4.5</v>
      </c>
      <c r="BE291">
        <v>204</v>
      </c>
      <c r="BF291" t="s">
        <v>203</v>
      </c>
      <c r="BG291">
        <v>0</v>
      </c>
      <c r="BH291">
        <v>0.103111111111111</v>
      </c>
      <c r="BI291">
        <v>0.28246846163398098</v>
      </c>
      <c r="BJ291">
        <v>80</v>
      </c>
      <c r="BK291">
        <v>5404.0010329085198</v>
      </c>
      <c r="BL291">
        <v>4370.962860806937</v>
      </c>
      <c r="BM291">
        <v>6.9531717907817487</v>
      </c>
      <c r="BN291">
        <v>1182.0392044328969</v>
      </c>
      <c r="BO291">
        <v>4221.9618284756216</v>
      </c>
    </row>
    <row r="292" spans="1:67" x14ac:dyDescent="0.25">
      <c r="A292" s="1">
        <v>290</v>
      </c>
      <c r="B292" t="s">
        <v>70</v>
      </c>
      <c r="C292" t="s">
        <v>82</v>
      </c>
      <c r="D292">
        <v>1</v>
      </c>
      <c r="E292">
        <v>0</v>
      </c>
      <c r="F292">
        <v>1</v>
      </c>
      <c r="G292">
        <v>28.009699999999999</v>
      </c>
      <c r="H292">
        <v>2</v>
      </c>
      <c r="I292" t="s">
        <v>89</v>
      </c>
      <c r="J292">
        <v>4</v>
      </c>
      <c r="K292">
        <v>300</v>
      </c>
      <c r="L292">
        <v>33.333333333333329</v>
      </c>
      <c r="N292" t="s">
        <v>91</v>
      </c>
      <c r="O292">
        <v>66.666666666666671</v>
      </c>
      <c r="P292">
        <v>0.1666666666666666</v>
      </c>
      <c r="Q292">
        <v>3.2500000000000001E-2</v>
      </c>
      <c r="R292">
        <v>77.5</v>
      </c>
      <c r="S292">
        <v>170</v>
      </c>
      <c r="T292">
        <v>20</v>
      </c>
      <c r="U292">
        <v>1812.1301775147931</v>
      </c>
      <c r="V292">
        <v>20</v>
      </c>
      <c r="W292">
        <v>0.95</v>
      </c>
      <c r="X292">
        <v>1</v>
      </c>
      <c r="Y292">
        <v>79712.360579827058</v>
      </c>
      <c r="Z292">
        <v>239137081.73948121</v>
      </c>
      <c r="AA292">
        <v>956548326.95792472</v>
      </c>
      <c r="AB292">
        <v>956548.32695792476</v>
      </c>
      <c r="AC292">
        <v>0</v>
      </c>
      <c r="AD292">
        <v>2478.4811800082539</v>
      </c>
      <c r="AE292">
        <v>4461266.1240148572</v>
      </c>
      <c r="AF292">
        <v>1487088.7080049519</v>
      </c>
      <c r="AG292">
        <v>41.652908584606323</v>
      </c>
      <c r="AH292">
        <v>327.23387019648959</v>
      </c>
      <c r="AI292">
        <v>65.446774039297921</v>
      </c>
      <c r="AJ292">
        <v>31087.82062613255</v>
      </c>
      <c r="AK292">
        <v>854.70085470085473</v>
      </c>
      <c r="AL292" t="s">
        <v>93</v>
      </c>
      <c r="AM292">
        <v>25360.624940227939</v>
      </c>
      <c r="AN292">
        <v>889.57223913023472</v>
      </c>
      <c r="AO292">
        <v>11125.951586680651</v>
      </c>
      <c r="AP292">
        <v>58192.718660191582</v>
      </c>
      <c r="AQ292">
        <v>47066.767073510942</v>
      </c>
      <c r="AR292">
        <v>2.0905155461666668E-2</v>
      </c>
      <c r="AS292">
        <v>652.27304660158029</v>
      </c>
      <c r="AT292">
        <v>532.10716480965482</v>
      </c>
      <c r="AU292">
        <v>18.664672624298149</v>
      </c>
      <c r="AV292">
        <v>233.4405626261711</v>
      </c>
      <c r="AW292">
        <v>1220.9778982899991</v>
      </c>
      <c r="AX292">
        <v>987.53733566382732</v>
      </c>
      <c r="AY292">
        <v>1.57124139137513</v>
      </c>
      <c r="AZ292" t="s">
        <v>128</v>
      </c>
      <c r="BA292" t="str">
        <f>VLOOKUP($AZ292,Sheet1!$A$2:$B$58,2)</f>
        <v>L-Glutamate</v>
      </c>
      <c r="BB292" t="s">
        <v>178</v>
      </c>
      <c r="BC292">
        <v>146.11892</v>
      </c>
      <c r="BD292">
        <v>3.4</v>
      </c>
      <c r="BE292">
        <v>333.8</v>
      </c>
      <c r="BF292" t="s">
        <v>203</v>
      </c>
      <c r="BG292">
        <v>0</v>
      </c>
      <c r="BH292">
        <v>0.12540540540540501</v>
      </c>
      <c r="BI292">
        <v>0.60019818182011098</v>
      </c>
      <c r="BJ292">
        <v>80</v>
      </c>
      <c r="BK292">
        <v>2542.864039064902</v>
      </c>
      <c r="BL292">
        <v>2056.6901183145542</v>
      </c>
      <c r="BM292">
        <v>3.272338701964896</v>
      </c>
      <c r="BN292">
        <v>556.29757933403232</v>
      </c>
      <c r="BO292">
        <v>1986.5664597308701</v>
      </c>
    </row>
    <row r="293" spans="1:67" x14ac:dyDescent="0.25">
      <c r="A293" s="1">
        <v>291</v>
      </c>
      <c r="B293" t="s">
        <v>70</v>
      </c>
      <c r="C293" t="s">
        <v>82</v>
      </c>
      <c r="D293">
        <v>1</v>
      </c>
      <c r="E293">
        <v>0</v>
      </c>
      <c r="F293">
        <v>1</v>
      </c>
      <c r="G293">
        <v>28.009699999999999</v>
      </c>
      <c r="H293">
        <v>2</v>
      </c>
      <c r="I293" t="s">
        <v>89</v>
      </c>
      <c r="J293">
        <v>4</v>
      </c>
      <c r="K293">
        <v>300</v>
      </c>
      <c r="L293">
        <v>33.333333333333329</v>
      </c>
      <c r="N293" t="s">
        <v>91</v>
      </c>
      <c r="O293">
        <v>66.666666666666671</v>
      </c>
      <c r="P293">
        <v>0.1666666666666666</v>
      </c>
      <c r="Q293">
        <v>3.2500000000000001E-2</v>
      </c>
      <c r="R293">
        <v>77.5</v>
      </c>
      <c r="S293">
        <v>170</v>
      </c>
      <c r="T293">
        <v>20</v>
      </c>
      <c r="U293">
        <v>1812.1301775147931</v>
      </c>
      <c r="V293">
        <v>20</v>
      </c>
      <c r="W293">
        <v>0.95</v>
      </c>
      <c r="X293">
        <v>1</v>
      </c>
      <c r="Y293">
        <v>157041.1072314035</v>
      </c>
      <c r="Z293">
        <v>471123321.69421053</v>
      </c>
      <c r="AA293">
        <v>1884493286.7768421</v>
      </c>
      <c r="AB293">
        <v>1884493.2867768421</v>
      </c>
      <c r="AC293">
        <v>0</v>
      </c>
      <c r="AD293">
        <v>4882.8491080866715</v>
      </c>
      <c r="AE293">
        <v>8789128.3945560083</v>
      </c>
      <c r="AF293">
        <v>2929709.464852002</v>
      </c>
      <c r="AG293">
        <v>82.060283197665129</v>
      </c>
      <c r="AH293">
        <v>644.682567740683</v>
      </c>
      <c r="AI293">
        <v>128.93651354813659</v>
      </c>
      <c r="AJ293">
        <v>61246.031820247372</v>
      </c>
      <c r="AK293">
        <v>854.70085470085473</v>
      </c>
      <c r="AL293" t="s">
        <v>93</v>
      </c>
      <c r="AM293">
        <v>49962.898999902929</v>
      </c>
      <c r="AN293">
        <v>1752.5438762465269</v>
      </c>
      <c r="AO293">
        <v>21919.20730318323</v>
      </c>
      <c r="AP293">
        <v>113816.17555109769</v>
      </c>
      <c r="AQ293">
        <v>91896.968247914454</v>
      </c>
      <c r="AR293">
        <v>2.0905155461666668E-2</v>
      </c>
      <c r="AS293">
        <v>652.27304660158029</v>
      </c>
      <c r="AT293">
        <v>532.10716480965493</v>
      </c>
      <c r="AU293">
        <v>18.664672624298159</v>
      </c>
      <c r="AV293">
        <v>233.44056262617119</v>
      </c>
      <c r="AW293">
        <v>1212.1474873203449</v>
      </c>
      <c r="AX293">
        <v>978.70692469417429</v>
      </c>
      <c r="AY293">
        <v>1.5712413913751311</v>
      </c>
      <c r="AZ293" t="s">
        <v>130</v>
      </c>
      <c r="BA293" t="str">
        <f>VLOOKUP($AZ293,Sheet1!$A$2:$B$58,2)</f>
        <v>Glycolate</v>
      </c>
      <c r="BB293" t="s">
        <v>180</v>
      </c>
      <c r="BC293">
        <v>75.041920000000005</v>
      </c>
      <c r="BD293">
        <v>2.5</v>
      </c>
      <c r="BE293">
        <v>112</v>
      </c>
      <c r="BF293" t="s">
        <v>203</v>
      </c>
      <c r="BG293">
        <v>0</v>
      </c>
      <c r="BH293">
        <v>0.12210526315789499</v>
      </c>
      <c r="BI293">
        <v>0.30465407899922198</v>
      </c>
      <c r="BJ293">
        <v>80</v>
      </c>
      <c r="BK293">
        <v>4973.4583043422872</v>
      </c>
      <c r="BL293">
        <v>4015.648370395993</v>
      </c>
      <c r="BM293">
        <v>6.4468256774068307</v>
      </c>
      <c r="BN293">
        <v>1095.960365159161</v>
      </c>
      <c r="BO293">
        <v>3877.4979391831262</v>
      </c>
    </row>
    <row r="294" spans="1:67" x14ac:dyDescent="0.25">
      <c r="A294" s="1">
        <v>292</v>
      </c>
      <c r="B294" t="s">
        <v>70</v>
      </c>
      <c r="C294" t="s">
        <v>82</v>
      </c>
      <c r="D294">
        <v>1</v>
      </c>
      <c r="E294">
        <v>0</v>
      </c>
      <c r="F294">
        <v>1</v>
      </c>
      <c r="G294">
        <v>28.009699999999999</v>
      </c>
      <c r="H294">
        <v>2</v>
      </c>
      <c r="I294" t="s">
        <v>89</v>
      </c>
      <c r="J294">
        <v>4</v>
      </c>
      <c r="K294">
        <v>300</v>
      </c>
      <c r="L294">
        <v>33.333333333333329</v>
      </c>
      <c r="N294" t="s">
        <v>91</v>
      </c>
      <c r="O294">
        <v>66.666666666666671</v>
      </c>
      <c r="P294">
        <v>0.1666666666666666</v>
      </c>
      <c r="Q294">
        <v>3.2500000000000001E-2</v>
      </c>
      <c r="R294">
        <v>77.5</v>
      </c>
      <c r="S294">
        <v>170</v>
      </c>
      <c r="T294">
        <v>20</v>
      </c>
      <c r="U294">
        <v>1812.1301775147931</v>
      </c>
      <c r="V294">
        <v>20</v>
      </c>
      <c r="W294">
        <v>0.95</v>
      </c>
      <c r="X294">
        <v>1</v>
      </c>
      <c r="Y294">
        <v>112222.67347214209</v>
      </c>
      <c r="Z294">
        <v>336668020.41642642</v>
      </c>
      <c r="AA294">
        <v>1346672081.665705</v>
      </c>
      <c r="AB294">
        <v>1346672.081665705</v>
      </c>
      <c r="AC294">
        <v>0</v>
      </c>
      <c r="AD294">
        <v>3489.318120147424</v>
      </c>
      <c r="AE294">
        <v>6280772.6162653621</v>
      </c>
      <c r="AF294">
        <v>2093590.872088453</v>
      </c>
      <c r="AG294">
        <v>58.640852249935961</v>
      </c>
      <c r="AH294">
        <v>460.69467140306432</v>
      </c>
      <c r="AI294">
        <v>92.138934280612858</v>
      </c>
      <c r="AJ294">
        <v>43766.842654135427</v>
      </c>
      <c r="AK294">
        <v>854.70085470085473</v>
      </c>
      <c r="AL294" t="s">
        <v>93</v>
      </c>
      <c r="AM294">
        <v>35703.83703373748</v>
      </c>
      <c r="AN294">
        <v>1252.380110131362</v>
      </c>
      <c r="AO294">
        <v>15663.618827704189</v>
      </c>
      <c r="AP294">
        <v>81577.760652705125</v>
      </c>
      <c r="AQ294">
        <v>65914.141825000945</v>
      </c>
      <c r="AR294">
        <v>2.0905155461666668E-2</v>
      </c>
      <c r="AS294">
        <v>652.27304660158029</v>
      </c>
      <c r="AT294">
        <v>532.10716480965493</v>
      </c>
      <c r="AU294">
        <v>18.664672624298149</v>
      </c>
      <c r="AV294">
        <v>233.44056262617119</v>
      </c>
      <c r="AW294">
        <v>1215.7827992384709</v>
      </c>
      <c r="AX294">
        <v>982.34223661230021</v>
      </c>
      <c r="AY294">
        <v>1.5712413913751311</v>
      </c>
      <c r="AZ294" t="s">
        <v>131</v>
      </c>
      <c r="BA294" t="str">
        <f>VLOOKUP($AZ294,Sheet1!$A$2:$B$58,2)</f>
        <v>Heptane</v>
      </c>
      <c r="BB294" t="s">
        <v>181</v>
      </c>
      <c r="BC294">
        <v>100.20034</v>
      </c>
      <c r="BD294">
        <v>6.2857142857142856</v>
      </c>
      <c r="BE294">
        <v>98</v>
      </c>
      <c r="BF294" t="s">
        <v>203</v>
      </c>
      <c r="BG294">
        <v>0.14640668883958061</v>
      </c>
      <c r="BH294">
        <v>0.13636363636363599</v>
      </c>
      <c r="BI294">
        <v>0.42632395404906998</v>
      </c>
      <c r="BJ294">
        <v>80</v>
      </c>
      <c r="BK294">
        <v>3564.7269749078382</v>
      </c>
      <c r="BL294">
        <v>2880.2692978026771</v>
      </c>
      <c r="BM294">
        <v>4.4605400251910634</v>
      </c>
      <c r="BN294">
        <v>758.2918042824806</v>
      </c>
      <c r="BO294">
        <v>2806.4351706253569</v>
      </c>
    </row>
    <row r="295" spans="1:67" x14ac:dyDescent="0.25">
      <c r="A295" s="1">
        <v>293</v>
      </c>
      <c r="B295" t="s">
        <v>70</v>
      </c>
      <c r="C295" t="s">
        <v>82</v>
      </c>
      <c r="D295">
        <v>1</v>
      </c>
      <c r="E295">
        <v>0</v>
      </c>
      <c r="F295">
        <v>1</v>
      </c>
      <c r="G295">
        <v>28.009699999999999</v>
      </c>
      <c r="H295">
        <v>2</v>
      </c>
      <c r="I295" t="s">
        <v>89</v>
      </c>
      <c r="J295">
        <v>4</v>
      </c>
      <c r="K295">
        <v>300</v>
      </c>
      <c r="L295">
        <v>33.333333333333329</v>
      </c>
      <c r="N295" t="s">
        <v>91</v>
      </c>
      <c r="O295">
        <v>66.666666666666671</v>
      </c>
      <c r="P295">
        <v>0.1666666666666666</v>
      </c>
      <c r="Q295">
        <v>3.2500000000000001E-2</v>
      </c>
      <c r="R295">
        <v>77.5</v>
      </c>
      <c r="S295">
        <v>170</v>
      </c>
      <c r="T295">
        <v>20</v>
      </c>
      <c r="U295">
        <v>1812.1301775147931</v>
      </c>
      <c r="V295">
        <v>20</v>
      </c>
      <c r="W295">
        <v>0.95</v>
      </c>
      <c r="X295">
        <v>1</v>
      </c>
      <c r="Y295">
        <v>112695.00708204581</v>
      </c>
      <c r="Z295">
        <v>338085021.2461375</v>
      </c>
      <c r="AA295">
        <v>1352340084.98455</v>
      </c>
      <c r="AB295">
        <v>1352340.08498455</v>
      </c>
      <c r="AC295">
        <v>0</v>
      </c>
      <c r="AD295">
        <v>3504.004298731476</v>
      </c>
      <c r="AE295">
        <v>6307207.7377166571</v>
      </c>
      <c r="AF295">
        <v>2102402.5792388851</v>
      </c>
      <c r="AG295">
        <v>58.887665523707398</v>
      </c>
      <c r="AH295">
        <v>462.63368756151658</v>
      </c>
      <c r="AI295">
        <v>92.526737512303328</v>
      </c>
      <c r="AJ295">
        <v>43951.052761997867</v>
      </c>
      <c r="AK295">
        <v>854.70085470085473</v>
      </c>
      <c r="AL295" t="s">
        <v>93</v>
      </c>
      <c r="AM295">
        <v>35854.11078601754</v>
      </c>
      <c r="AN295">
        <v>1257.651248307702</v>
      </c>
      <c r="AO295">
        <v>15729.54537709157</v>
      </c>
      <c r="AP295">
        <v>81917.515651023961</v>
      </c>
      <c r="AQ295">
        <v>66187.970273932398</v>
      </c>
      <c r="AR295">
        <v>2.0905155461666668E-2</v>
      </c>
      <c r="AS295">
        <v>652.27304660158029</v>
      </c>
      <c r="AT295">
        <v>532.10716480965493</v>
      </c>
      <c r="AU295">
        <v>18.664672624298149</v>
      </c>
      <c r="AV295">
        <v>233.44056262617119</v>
      </c>
      <c r="AW295">
        <v>1215.7294113766111</v>
      </c>
      <c r="AX295">
        <v>982.28884875043934</v>
      </c>
      <c r="AY295">
        <v>1.5712413913751311</v>
      </c>
      <c r="AZ295" t="s">
        <v>132</v>
      </c>
      <c r="BA295" t="str">
        <f>VLOOKUP($AZ295,Sheet1!$A$2:$B$58,2)</f>
        <v>Hexane</v>
      </c>
      <c r="BB295" t="s">
        <v>182</v>
      </c>
      <c r="BC295">
        <v>86.173959999999994</v>
      </c>
      <c r="BD295">
        <v>6.333333333333333</v>
      </c>
      <c r="BE295">
        <v>69</v>
      </c>
      <c r="BF295" t="s">
        <v>203</v>
      </c>
      <c r="BG295">
        <v>0.1702370414450006</v>
      </c>
      <c r="BH295">
        <v>0.157894736842105</v>
      </c>
      <c r="BI295">
        <v>0.42453712127432403</v>
      </c>
      <c r="BJ295">
        <v>80</v>
      </c>
      <c r="BK295">
        <v>3579.5733472239758</v>
      </c>
      <c r="BL295">
        <v>2892.234858644174</v>
      </c>
      <c r="BM295">
        <v>4.4560998341701659</v>
      </c>
      <c r="BN295">
        <v>757.53697180892823</v>
      </c>
      <c r="BO295">
        <v>2822.036375415048</v>
      </c>
    </row>
    <row r="296" spans="1:67" x14ac:dyDescent="0.25">
      <c r="A296" s="1">
        <v>294</v>
      </c>
      <c r="B296" t="s">
        <v>70</v>
      </c>
      <c r="C296" t="s">
        <v>82</v>
      </c>
      <c r="D296">
        <v>1</v>
      </c>
      <c r="E296">
        <v>0</v>
      </c>
      <c r="F296">
        <v>1</v>
      </c>
      <c r="G296">
        <v>28.009699999999999</v>
      </c>
      <c r="H296">
        <v>2</v>
      </c>
      <c r="I296" t="s">
        <v>89</v>
      </c>
      <c r="J296">
        <v>4</v>
      </c>
      <c r="K296">
        <v>300</v>
      </c>
      <c r="L296">
        <v>33.333333333333329</v>
      </c>
      <c r="N296" t="s">
        <v>91</v>
      </c>
      <c r="O296">
        <v>66.666666666666671</v>
      </c>
      <c r="P296">
        <v>0.1666666666666666</v>
      </c>
      <c r="Q296">
        <v>3.2500000000000001E-2</v>
      </c>
      <c r="R296">
        <v>77.5</v>
      </c>
      <c r="S296">
        <v>170</v>
      </c>
      <c r="T296">
        <v>20</v>
      </c>
      <c r="U296">
        <v>1812.1301775147931</v>
      </c>
      <c r="V296">
        <v>20</v>
      </c>
      <c r="W296">
        <v>0.95</v>
      </c>
      <c r="X296">
        <v>1</v>
      </c>
      <c r="Y296">
        <v>71211.377339824408</v>
      </c>
      <c r="Z296">
        <v>213634132.0194732</v>
      </c>
      <c r="AA296">
        <v>854536528.0778929</v>
      </c>
      <c r="AB296">
        <v>854536.52807789284</v>
      </c>
      <c r="AC296">
        <v>0</v>
      </c>
      <c r="AD296">
        <v>2214.1617342077211</v>
      </c>
      <c r="AE296">
        <v>3985491.121573898</v>
      </c>
      <c r="AF296">
        <v>1328497.040524632</v>
      </c>
      <c r="AG296">
        <v>37.210803555982793</v>
      </c>
      <c r="AH296">
        <v>292.33577376744518</v>
      </c>
      <c r="AI296">
        <v>58.467154753489048</v>
      </c>
      <c r="AJ296">
        <v>27772.437162531522</v>
      </c>
      <c r="AK296">
        <v>854.70085470085473</v>
      </c>
      <c r="AL296" t="s">
        <v>93</v>
      </c>
      <c r="AM296">
        <v>22656.02246697701</v>
      </c>
      <c r="AN296">
        <v>794.70315432820303</v>
      </c>
      <c r="AO296">
        <v>9939.4163080931376</v>
      </c>
      <c r="AP296">
        <v>52077.863638537579</v>
      </c>
      <c r="AQ296">
        <v>42138.44733044444</v>
      </c>
      <c r="AR296">
        <v>2.0905155461666668E-2</v>
      </c>
      <c r="AS296">
        <v>652.27304660158029</v>
      </c>
      <c r="AT296">
        <v>532.10716480965493</v>
      </c>
      <c r="AU296">
        <v>18.664672624298149</v>
      </c>
      <c r="AV296">
        <v>233.4405626261711</v>
      </c>
      <c r="AW296">
        <v>1223.118683362761</v>
      </c>
      <c r="AX296">
        <v>989.67812073658979</v>
      </c>
      <c r="AY296">
        <v>1.57124139137513</v>
      </c>
      <c r="AZ296" t="s">
        <v>133</v>
      </c>
      <c r="BA296" t="str">
        <f>VLOOKUP($AZ296,Sheet1!$A$2:$B$58,2)</f>
        <v>Isobutanol</v>
      </c>
      <c r="BB296" t="s">
        <v>183</v>
      </c>
      <c r="BC296">
        <v>86.130899999999997</v>
      </c>
      <c r="BD296">
        <v>5.6</v>
      </c>
      <c r="BE296">
        <v>108</v>
      </c>
      <c r="BF296" t="s">
        <v>203</v>
      </c>
      <c r="BG296">
        <v>0</v>
      </c>
      <c r="BH296">
        <v>0.25</v>
      </c>
      <c r="BI296">
        <v>0.67184789391575706</v>
      </c>
      <c r="BJ296">
        <v>80</v>
      </c>
      <c r="BK296">
        <v>2275.6614526131998</v>
      </c>
      <c r="BL296">
        <v>1841.335906719173</v>
      </c>
      <c r="BM296">
        <v>2.923357737674452</v>
      </c>
      <c r="BN296">
        <v>496.97081540465678</v>
      </c>
      <c r="BO296">
        <v>1778.690637208543</v>
      </c>
    </row>
    <row r="297" spans="1:67" x14ac:dyDescent="0.25">
      <c r="A297" s="1">
        <v>295</v>
      </c>
      <c r="B297" t="s">
        <v>70</v>
      </c>
      <c r="C297" t="s">
        <v>82</v>
      </c>
      <c r="D297">
        <v>1</v>
      </c>
      <c r="E297">
        <v>0</v>
      </c>
      <c r="F297">
        <v>1</v>
      </c>
      <c r="G297">
        <v>28.009699999999999</v>
      </c>
      <c r="H297">
        <v>2</v>
      </c>
      <c r="I297" t="s">
        <v>89</v>
      </c>
      <c r="J297">
        <v>4</v>
      </c>
      <c r="K297">
        <v>300</v>
      </c>
      <c r="L297">
        <v>33.333333333333329</v>
      </c>
      <c r="N297" t="s">
        <v>91</v>
      </c>
      <c r="O297">
        <v>66.666666666666671</v>
      </c>
      <c r="P297">
        <v>0.1666666666666666</v>
      </c>
      <c r="Q297">
        <v>3.2500000000000001E-2</v>
      </c>
      <c r="R297">
        <v>77.5</v>
      </c>
      <c r="S297">
        <v>170</v>
      </c>
      <c r="T297">
        <v>20</v>
      </c>
      <c r="U297">
        <v>1812.1301775147931</v>
      </c>
      <c r="V297">
        <v>20</v>
      </c>
      <c r="W297">
        <v>0.95</v>
      </c>
      <c r="X297">
        <v>1</v>
      </c>
      <c r="Y297">
        <v>68203.307401799218</v>
      </c>
      <c r="Z297">
        <v>204609922.20539761</v>
      </c>
      <c r="AA297">
        <v>818439688.82159054</v>
      </c>
      <c r="AB297">
        <v>818439.68882159051</v>
      </c>
      <c r="AC297">
        <v>0</v>
      </c>
      <c r="AD297">
        <v>2120.632391012849</v>
      </c>
      <c r="AE297">
        <v>3817138.3038231269</v>
      </c>
      <c r="AF297">
        <v>1272379.4346077091</v>
      </c>
      <c r="AG297">
        <v>35.638966249531542</v>
      </c>
      <c r="AH297">
        <v>279.98709458542629</v>
      </c>
      <c r="AI297">
        <v>55.997418917085263</v>
      </c>
      <c r="AJ297">
        <v>26599.289886701688</v>
      </c>
      <c r="AK297">
        <v>854.70085470085473</v>
      </c>
      <c r="AL297" t="s">
        <v>93</v>
      </c>
      <c r="AM297">
        <v>21698.99983037054</v>
      </c>
      <c r="AN297">
        <v>761.13376194332102</v>
      </c>
      <c r="AO297">
        <v>9519.561215904494</v>
      </c>
      <c r="AP297">
        <v>49914.124333716398</v>
      </c>
      <c r="AQ297">
        <v>40394.563117811907</v>
      </c>
      <c r="AR297">
        <v>2.0905155461666668E-2</v>
      </c>
      <c r="AS297">
        <v>652.27304660158029</v>
      </c>
      <c r="AT297">
        <v>532.10716480965493</v>
      </c>
      <c r="AU297">
        <v>18.664672624298159</v>
      </c>
      <c r="AV297">
        <v>233.44056262617119</v>
      </c>
      <c r="AW297">
        <v>1224.0040274112901</v>
      </c>
      <c r="AX297">
        <v>990.56346478511864</v>
      </c>
      <c r="AY297">
        <v>1.5712413913751311</v>
      </c>
      <c r="AZ297" t="s">
        <v>134</v>
      </c>
      <c r="BA297" t="str">
        <f>VLOOKUP($AZ297,Sheet1!$A$2:$B$58,2)</f>
        <v>Isobutyrate</v>
      </c>
      <c r="BB297" t="s">
        <v>170</v>
      </c>
      <c r="BC297">
        <v>87.095680000000002</v>
      </c>
      <c r="BD297">
        <v>4.75</v>
      </c>
      <c r="BE297">
        <v>155</v>
      </c>
      <c r="BF297" t="s">
        <v>203</v>
      </c>
      <c r="BG297">
        <v>0</v>
      </c>
      <c r="BH297">
        <v>0.25</v>
      </c>
      <c r="BI297">
        <v>0.70147938144329902</v>
      </c>
      <c r="BJ297">
        <v>80</v>
      </c>
      <c r="BK297">
        <v>2181.111911110082</v>
      </c>
      <c r="BL297">
        <v>1765.1328944747941</v>
      </c>
      <c r="BM297">
        <v>2.7998709458542641</v>
      </c>
      <c r="BN297">
        <v>475.97806079522479</v>
      </c>
      <c r="BO297">
        <v>1705.133850314857</v>
      </c>
    </row>
    <row r="298" spans="1:67" x14ac:dyDescent="0.25">
      <c r="A298" s="1">
        <v>296</v>
      </c>
      <c r="B298" t="s">
        <v>70</v>
      </c>
      <c r="C298" t="s">
        <v>82</v>
      </c>
      <c r="D298">
        <v>1</v>
      </c>
      <c r="E298">
        <v>0</v>
      </c>
      <c r="F298">
        <v>1</v>
      </c>
      <c r="G298">
        <v>28.009699999999999</v>
      </c>
      <c r="H298">
        <v>2</v>
      </c>
      <c r="I298" t="s">
        <v>89</v>
      </c>
      <c r="J298">
        <v>4</v>
      </c>
      <c r="K298">
        <v>300</v>
      </c>
      <c r="L298">
        <v>33.333333333333329</v>
      </c>
      <c r="N298" t="s">
        <v>91</v>
      </c>
      <c r="O298">
        <v>66.666666666666671</v>
      </c>
      <c r="P298">
        <v>0.1666666666666666</v>
      </c>
      <c r="Q298">
        <v>3.2500000000000001E-2</v>
      </c>
      <c r="R298">
        <v>77.5</v>
      </c>
      <c r="S298">
        <v>170</v>
      </c>
      <c r="T298">
        <v>20</v>
      </c>
      <c r="U298">
        <v>1812.1301775147931</v>
      </c>
      <c r="V298">
        <v>20</v>
      </c>
      <c r="W298">
        <v>0.95</v>
      </c>
      <c r="X298">
        <v>1</v>
      </c>
      <c r="Y298">
        <v>231455.25046766549</v>
      </c>
      <c r="Z298">
        <v>694365751.40299654</v>
      </c>
      <c r="AA298">
        <v>2777463005.6119862</v>
      </c>
      <c r="AB298">
        <v>2777463.0056119859</v>
      </c>
      <c r="AC298">
        <v>66773.504273504266</v>
      </c>
      <c r="AD298">
        <v>7196.5938296824443</v>
      </c>
      <c r="AE298">
        <v>12953868.8934284</v>
      </c>
      <c r="AF298">
        <v>4317956.2978094658</v>
      </c>
      <c r="AG298">
        <v>120.94466051475381</v>
      </c>
      <c r="AH298">
        <v>950.16628333297285</v>
      </c>
      <c r="AI298">
        <v>190.03325666659461</v>
      </c>
      <c r="AJ298">
        <v>90267.547682389559</v>
      </c>
      <c r="AK298">
        <v>2170.1388888888891</v>
      </c>
      <c r="AL298" t="s">
        <v>95</v>
      </c>
      <c r="AM298">
        <v>73637.886958305389</v>
      </c>
      <c r="AN298">
        <v>2582.9891866115058</v>
      </c>
      <c r="AO298">
        <v>32305.653633321079</v>
      </c>
      <c r="AP298">
        <v>168658.5627161953</v>
      </c>
      <c r="AQ298">
        <v>136352.90908287419</v>
      </c>
      <c r="AR298">
        <v>2.0905155461666668E-2</v>
      </c>
      <c r="AS298">
        <v>652.27304660158029</v>
      </c>
      <c r="AT298">
        <v>532.10716480965493</v>
      </c>
      <c r="AU298">
        <v>18.664672624298149</v>
      </c>
      <c r="AV298">
        <v>233.44056262617119</v>
      </c>
      <c r="AW298">
        <v>1218.726301565393</v>
      </c>
      <c r="AX298">
        <v>985.28573893922214</v>
      </c>
      <c r="AY298">
        <v>1.5712413913751311</v>
      </c>
      <c r="AZ298" t="s">
        <v>135</v>
      </c>
      <c r="BA298" t="str">
        <f>VLOOKUP($AZ298,Sheet1!$A$2:$B$58,2)</f>
        <v>Isoprene</v>
      </c>
      <c r="BB298" t="s">
        <v>184</v>
      </c>
      <c r="BC298">
        <v>68.116219999999998</v>
      </c>
      <c r="BD298">
        <v>5.6</v>
      </c>
      <c r="BE298">
        <v>34.07</v>
      </c>
      <c r="BF298" t="s">
        <v>203</v>
      </c>
      <c r="BG298">
        <v>0</v>
      </c>
      <c r="BH298">
        <v>9.6666666666666706E-2</v>
      </c>
      <c r="BI298">
        <v>0.20670610751724999</v>
      </c>
      <c r="BJ298">
        <v>80</v>
      </c>
      <c r="BK298">
        <v>7369.9219401613964</v>
      </c>
      <c r="BL298">
        <v>5958.2524603016282</v>
      </c>
      <c r="BM298">
        <v>9.5016628333297284</v>
      </c>
      <c r="BN298">
        <v>1615.282681666054</v>
      </c>
      <c r="BO298">
        <v>5754.6392584953428</v>
      </c>
    </row>
    <row r="299" spans="1:67" x14ac:dyDescent="0.25">
      <c r="A299" s="1">
        <v>297</v>
      </c>
      <c r="B299" t="s">
        <v>70</v>
      </c>
      <c r="C299" t="s">
        <v>82</v>
      </c>
      <c r="D299">
        <v>1</v>
      </c>
      <c r="E299">
        <v>0</v>
      </c>
      <c r="F299">
        <v>1</v>
      </c>
      <c r="G299">
        <v>28.009699999999999</v>
      </c>
      <c r="H299">
        <v>2</v>
      </c>
      <c r="I299" t="s">
        <v>89</v>
      </c>
      <c r="J299">
        <v>4</v>
      </c>
      <c r="K299">
        <v>300</v>
      </c>
      <c r="L299">
        <v>33.333333333333329</v>
      </c>
      <c r="N299" t="s">
        <v>91</v>
      </c>
      <c r="O299">
        <v>66.666666666666671</v>
      </c>
      <c r="P299">
        <v>0.1666666666666666</v>
      </c>
      <c r="Q299">
        <v>3.2500000000000001E-2</v>
      </c>
      <c r="R299">
        <v>77.5</v>
      </c>
      <c r="S299">
        <v>170</v>
      </c>
      <c r="T299">
        <v>20</v>
      </c>
      <c r="U299">
        <v>1812.1301775147931</v>
      </c>
      <c r="V299">
        <v>20</v>
      </c>
      <c r="W299">
        <v>0.95</v>
      </c>
      <c r="X299">
        <v>1</v>
      </c>
      <c r="Y299">
        <v>76549.05305385837</v>
      </c>
      <c r="Z299">
        <v>229647159.16157511</v>
      </c>
      <c r="AA299">
        <v>918588636.64630055</v>
      </c>
      <c r="AB299">
        <v>918588.63664630055</v>
      </c>
      <c r="AC299">
        <v>0</v>
      </c>
      <c r="AD299">
        <v>2380.125064185534</v>
      </c>
      <c r="AE299">
        <v>4284225.1155339619</v>
      </c>
      <c r="AF299">
        <v>1428075.03851132</v>
      </c>
      <c r="AG299">
        <v>39.999953406190528</v>
      </c>
      <c r="AH299">
        <v>314.24791222441598</v>
      </c>
      <c r="AI299">
        <v>62.849582444883197</v>
      </c>
      <c r="AJ299">
        <v>29854.130691004772</v>
      </c>
      <c r="AK299">
        <v>854.70085470085473</v>
      </c>
      <c r="AL299" t="s">
        <v>93</v>
      </c>
      <c r="AM299">
        <v>24354.213197392241</v>
      </c>
      <c r="AN299">
        <v>854.270429743779</v>
      </c>
      <c r="AO299">
        <v>10684.429015630139</v>
      </c>
      <c r="AP299">
        <v>55917.315172841641</v>
      </c>
      <c r="AQ299">
        <v>45232.886157211498</v>
      </c>
      <c r="AR299">
        <v>2.0905155461666668E-2</v>
      </c>
      <c r="AS299">
        <v>652.27304660158029</v>
      </c>
      <c r="AT299">
        <v>532.10716480965493</v>
      </c>
      <c r="AU299">
        <v>18.664672624298149</v>
      </c>
      <c r="AV299">
        <v>233.44056262617119</v>
      </c>
      <c r="AW299">
        <v>1221.7189608726351</v>
      </c>
      <c r="AX299">
        <v>988.27839824646378</v>
      </c>
      <c r="AY299">
        <v>1.5712413913751311</v>
      </c>
      <c r="AZ299" t="s">
        <v>136</v>
      </c>
      <c r="BA299" t="str">
        <f>VLOOKUP($AZ299,Sheet1!$A$2:$B$58,2)</f>
        <v>Isopropanol</v>
      </c>
      <c r="BB299" t="s">
        <v>156</v>
      </c>
      <c r="BC299">
        <v>60.093820000000001</v>
      </c>
      <c r="BD299">
        <v>6</v>
      </c>
      <c r="BE299">
        <v>82.5</v>
      </c>
      <c r="BF299" t="s">
        <v>203</v>
      </c>
      <c r="BG299">
        <v>0</v>
      </c>
      <c r="BH299">
        <v>0.33333333333333298</v>
      </c>
      <c r="BI299">
        <v>0.62500072802912099</v>
      </c>
      <c r="BJ299">
        <v>80</v>
      </c>
      <c r="BK299">
        <v>2443.435075518245</v>
      </c>
      <c r="BL299">
        <v>1976.554494110158</v>
      </c>
      <c r="BM299">
        <v>3.1424791222441599</v>
      </c>
      <c r="BN299">
        <v>534.22145078150731</v>
      </c>
      <c r="BO299">
        <v>1909.213624736738</v>
      </c>
    </row>
    <row r="300" spans="1:67" x14ac:dyDescent="0.25">
      <c r="A300" s="1">
        <v>298</v>
      </c>
      <c r="B300" t="s">
        <v>70</v>
      </c>
      <c r="C300" t="s">
        <v>82</v>
      </c>
      <c r="D300">
        <v>1</v>
      </c>
      <c r="E300">
        <v>0</v>
      </c>
      <c r="F300">
        <v>1</v>
      </c>
      <c r="G300">
        <v>28.009699999999999</v>
      </c>
      <c r="H300">
        <v>2</v>
      </c>
      <c r="I300" t="s">
        <v>89</v>
      </c>
      <c r="J300">
        <v>4</v>
      </c>
      <c r="K300">
        <v>300</v>
      </c>
      <c r="L300">
        <v>33.333333333333329</v>
      </c>
      <c r="N300" t="s">
        <v>91</v>
      </c>
      <c r="O300">
        <v>66.666666666666671</v>
      </c>
      <c r="P300">
        <v>0.1666666666666666</v>
      </c>
      <c r="Q300">
        <v>3.2500000000000001E-2</v>
      </c>
      <c r="R300">
        <v>77.5</v>
      </c>
      <c r="S300">
        <v>170</v>
      </c>
      <c r="T300">
        <v>20</v>
      </c>
      <c r="U300">
        <v>1812.1301775147931</v>
      </c>
      <c r="V300">
        <v>20</v>
      </c>
      <c r="W300">
        <v>0.95</v>
      </c>
      <c r="X300">
        <v>1</v>
      </c>
      <c r="Y300">
        <v>85778.207113566823</v>
      </c>
      <c r="Z300">
        <v>257334621.34070051</v>
      </c>
      <c r="AA300">
        <v>1029338485.362802</v>
      </c>
      <c r="AB300">
        <v>1029338.4853628021</v>
      </c>
      <c r="AC300">
        <v>0</v>
      </c>
      <c r="AD300">
        <v>2667.08538599757</v>
      </c>
      <c r="AE300">
        <v>4800753.6947956253</v>
      </c>
      <c r="AF300">
        <v>1600251.2315985409</v>
      </c>
      <c r="AG300">
        <v>44.822556921705669</v>
      </c>
      <c r="AH300">
        <v>352.13528351325903</v>
      </c>
      <c r="AI300">
        <v>70.427056702651797</v>
      </c>
      <c r="AJ300">
        <v>33453.500774291068</v>
      </c>
      <c r="AK300">
        <v>854.70085470085473</v>
      </c>
      <c r="AL300" t="s">
        <v>93</v>
      </c>
      <c r="AM300">
        <v>27290.484472277571</v>
      </c>
      <c r="AN300">
        <v>957.26573915944903</v>
      </c>
      <c r="AO300">
        <v>11972.599639450809</v>
      </c>
      <c r="AP300">
        <v>62555.951840428941</v>
      </c>
      <c r="AQ300">
        <v>50583.352200978137</v>
      </c>
      <c r="AR300">
        <v>2.0905155461666668E-2</v>
      </c>
      <c r="AS300">
        <v>652.27304660158029</v>
      </c>
      <c r="AT300">
        <v>532.10716480965493</v>
      </c>
      <c r="AU300">
        <v>18.664672624298149</v>
      </c>
      <c r="AV300">
        <v>233.44056262617119</v>
      </c>
      <c r="AW300">
        <v>1219.7097566953521</v>
      </c>
      <c r="AX300">
        <v>986.26919406918068</v>
      </c>
      <c r="AY300">
        <v>1.57124139137513</v>
      </c>
      <c r="AZ300" t="s">
        <v>137</v>
      </c>
      <c r="BA300" t="str">
        <f>VLOOKUP($AZ300,Sheet1!$A$2:$B$58,2)</f>
        <v>Itaconate</v>
      </c>
      <c r="BB300" t="s">
        <v>185</v>
      </c>
      <c r="BC300">
        <v>128.08086</v>
      </c>
      <c r="BD300">
        <v>3.2</v>
      </c>
      <c r="BE300">
        <v>381</v>
      </c>
      <c r="BF300" t="s">
        <v>203</v>
      </c>
      <c r="BG300">
        <v>0</v>
      </c>
      <c r="BH300">
        <v>0.13257142857142901</v>
      </c>
      <c r="BI300">
        <v>0.55775488318680799</v>
      </c>
      <c r="BJ300">
        <v>80</v>
      </c>
      <c r="BK300">
        <v>2733.5254998718592</v>
      </c>
      <c r="BL300">
        <v>2210.3553545645309</v>
      </c>
      <c r="BM300">
        <v>3.52135283513259</v>
      </c>
      <c r="BN300">
        <v>598.62998197254035</v>
      </c>
      <c r="BO300">
        <v>2134.8955178993178</v>
      </c>
    </row>
    <row r="301" spans="1:67" x14ac:dyDescent="0.25">
      <c r="A301" s="1">
        <v>299</v>
      </c>
      <c r="B301" t="s">
        <v>70</v>
      </c>
      <c r="C301" t="s">
        <v>82</v>
      </c>
      <c r="D301">
        <v>1</v>
      </c>
      <c r="E301">
        <v>0</v>
      </c>
      <c r="F301">
        <v>1</v>
      </c>
      <c r="G301">
        <v>28.009699999999999</v>
      </c>
      <c r="H301">
        <v>2</v>
      </c>
      <c r="I301" t="s">
        <v>89</v>
      </c>
      <c r="J301">
        <v>4</v>
      </c>
      <c r="K301">
        <v>300</v>
      </c>
      <c r="L301">
        <v>33.333333333333329</v>
      </c>
      <c r="N301" t="s">
        <v>91</v>
      </c>
      <c r="O301">
        <v>66.666666666666671</v>
      </c>
      <c r="P301">
        <v>0.1666666666666666</v>
      </c>
      <c r="Q301">
        <v>3.2500000000000001E-2</v>
      </c>
      <c r="R301">
        <v>77.5</v>
      </c>
      <c r="S301">
        <v>170</v>
      </c>
      <c r="T301">
        <v>20</v>
      </c>
      <c r="U301">
        <v>1812.1301775147931</v>
      </c>
      <c r="V301">
        <v>20</v>
      </c>
      <c r="W301">
        <v>0.95</v>
      </c>
      <c r="X301">
        <v>1</v>
      </c>
      <c r="Y301">
        <v>226603.70774985969</v>
      </c>
      <c r="Z301">
        <v>679811123.24957895</v>
      </c>
      <c r="AA301">
        <v>2719244492.9983158</v>
      </c>
      <c r="AB301">
        <v>2719244.492998316</v>
      </c>
      <c r="AC301">
        <v>0</v>
      </c>
      <c r="AD301">
        <v>7045.7457399680998</v>
      </c>
      <c r="AE301">
        <v>12682342.331942581</v>
      </c>
      <c r="AF301">
        <v>4227447.4439808587</v>
      </c>
      <c r="AG301">
        <v>118.4095346716707</v>
      </c>
      <c r="AH301">
        <v>930.24981004798815</v>
      </c>
      <c r="AI301">
        <v>186.04996200959761</v>
      </c>
      <c r="AJ301">
        <v>88375.446022445278</v>
      </c>
      <c r="AK301">
        <v>854.70085470085473</v>
      </c>
      <c r="AL301" t="s">
        <v>93</v>
      </c>
      <c r="AM301">
        <v>72094.360278719076</v>
      </c>
      <c r="AN301">
        <v>2528.8470474586629</v>
      </c>
      <c r="AO301">
        <v>31628.4935416316</v>
      </c>
      <c r="AP301">
        <v>163853.35420332389</v>
      </c>
      <c r="AQ301">
        <v>132224.86066169231</v>
      </c>
      <c r="AR301">
        <v>2.0905155461666679E-2</v>
      </c>
      <c r="AS301">
        <v>652.2730466015804</v>
      </c>
      <c r="AT301">
        <v>532.10716480965493</v>
      </c>
      <c r="AU301">
        <v>18.664672624298159</v>
      </c>
      <c r="AV301">
        <v>233.44056262617119</v>
      </c>
      <c r="AW301">
        <v>1209.353178426343</v>
      </c>
      <c r="AX301">
        <v>975.91261580017226</v>
      </c>
      <c r="AY301">
        <v>1.5712413913751311</v>
      </c>
      <c r="AZ301" t="s">
        <v>138</v>
      </c>
      <c r="BA301" t="str">
        <f>VLOOKUP($AZ301,Sheet1!$A$2:$B$58,2)</f>
        <v>Limonene</v>
      </c>
      <c r="BB301" t="s">
        <v>186</v>
      </c>
      <c r="BC301">
        <v>136.23244</v>
      </c>
      <c r="BD301">
        <v>5.6</v>
      </c>
      <c r="BE301">
        <v>176</v>
      </c>
      <c r="BF301" t="s">
        <v>203</v>
      </c>
      <c r="BG301">
        <v>0</v>
      </c>
      <c r="BH301">
        <v>4.9361702127659397E-2</v>
      </c>
      <c r="BI301">
        <v>0.21113164636041101</v>
      </c>
      <c r="BJ301">
        <v>80</v>
      </c>
      <c r="BK301">
        <v>7159.9473555584618</v>
      </c>
      <c r="BL301">
        <v>5777.8679358555664</v>
      </c>
      <c r="BM301">
        <v>9.3024981004798821</v>
      </c>
      <c r="BN301">
        <v>1581.4246770815801</v>
      </c>
      <c r="BO301">
        <v>5578.522678476882</v>
      </c>
    </row>
    <row r="302" spans="1:67" x14ac:dyDescent="0.25">
      <c r="A302" s="1">
        <v>300</v>
      </c>
      <c r="B302" t="s">
        <v>70</v>
      </c>
      <c r="C302" t="s">
        <v>82</v>
      </c>
      <c r="D302">
        <v>1</v>
      </c>
      <c r="E302">
        <v>0</v>
      </c>
      <c r="F302">
        <v>1</v>
      </c>
      <c r="G302">
        <v>28.009699999999999</v>
      </c>
      <c r="H302">
        <v>2</v>
      </c>
      <c r="I302" t="s">
        <v>89</v>
      </c>
      <c r="J302">
        <v>4</v>
      </c>
      <c r="K302">
        <v>300</v>
      </c>
      <c r="L302">
        <v>33.333333333333329</v>
      </c>
      <c r="N302" t="s">
        <v>91</v>
      </c>
      <c r="O302">
        <v>66.666666666666671</v>
      </c>
      <c r="P302">
        <v>0.1666666666666666</v>
      </c>
      <c r="Q302">
        <v>3.2500000000000001E-2</v>
      </c>
      <c r="R302">
        <v>77.5</v>
      </c>
      <c r="S302">
        <v>170</v>
      </c>
      <c r="T302">
        <v>20</v>
      </c>
      <c r="U302">
        <v>1812.1301775147931</v>
      </c>
      <c r="V302">
        <v>20</v>
      </c>
      <c r="W302">
        <v>0.95</v>
      </c>
      <c r="X302">
        <v>1</v>
      </c>
      <c r="Y302">
        <v>91669.413928174195</v>
      </c>
      <c r="Z302">
        <v>275008241.78452259</v>
      </c>
      <c r="AA302">
        <v>1100032967.1380899</v>
      </c>
      <c r="AB302">
        <v>1100032.9671380899</v>
      </c>
      <c r="AC302">
        <v>0</v>
      </c>
      <c r="AD302">
        <v>2850.2595526052501</v>
      </c>
      <c r="AE302">
        <v>5130467.1946894499</v>
      </c>
      <c r="AF302">
        <v>1710155.73156315</v>
      </c>
      <c r="AG302">
        <v>47.900948994364363</v>
      </c>
      <c r="AH302">
        <v>376.31976873047108</v>
      </c>
      <c r="AI302">
        <v>75.263953746094217</v>
      </c>
      <c r="AJ302">
        <v>35751.071431987941</v>
      </c>
      <c r="AK302">
        <v>854.70085470085473</v>
      </c>
      <c r="AL302" t="s">
        <v>93</v>
      </c>
      <c r="AM302">
        <v>29164.782076611511</v>
      </c>
      <c r="AN302">
        <v>1023.010298712436</v>
      </c>
      <c r="AO302">
        <v>12794.87213683602</v>
      </c>
      <c r="AP302">
        <v>66793.564662012752</v>
      </c>
      <c r="AQ302">
        <v>53998.692525176739</v>
      </c>
      <c r="AR302">
        <v>2.0905155461666668E-2</v>
      </c>
      <c r="AS302">
        <v>652.27304660158029</v>
      </c>
      <c r="AT302">
        <v>532.10716480965493</v>
      </c>
      <c r="AU302">
        <v>18.664672624298149</v>
      </c>
      <c r="AV302">
        <v>233.44056262617119</v>
      </c>
      <c r="AW302">
        <v>1218.6387755777571</v>
      </c>
      <c r="AX302">
        <v>985.1982129515859</v>
      </c>
      <c r="AY302">
        <v>1.5712413913751311</v>
      </c>
      <c r="AZ302" t="s">
        <v>139</v>
      </c>
      <c r="BA302" t="str">
        <f>VLOOKUP($AZ302,Sheet1!$A$2:$B$58,2)</f>
        <v>L-Lysine</v>
      </c>
      <c r="BB302" t="s">
        <v>187</v>
      </c>
      <c r="BC302">
        <v>147.19319999999999</v>
      </c>
      <c r="BD302">
        <v>4.833333333333333</v>
      </c>
      <c r="BF302" t="s">
        <v>203</v>
      </c>
      <c r="BG302">
        <v>0</v>
      </c>
      <c r="BH302">
        <v>0.11047619047619001</v>
      </c>
      <c r="BI302">
        <v>0.52191032797578396</v>
      </c>
      <c r="BJ302">
        <v>80</v>
      </c>
      <c r="BK302">
        <v>2918.697691575238</v>
      </c>
      <c r="BL302">
        <v>2359.5964673966409</v>
      </c>
      <c r="BM302">
        <v>3.7631976873047108</v>
      </c>
      <c r="BN302">
        <v>639.74360684180078</v>
      </c>
      <c r="BO302">
        <v>2278.954084733437</v>
      </c>
    </row>
    <row r="303" spans="1:67" x14ac:dyDescent="0.25">
      <c r="A303" s="1">
        <v>301</v>
      </c>
      <c r="B303" t="s">
        <v>70</v>
      </c>
      <c r="C303" t="s">
        <v>82</v>
      </c>
      <c r="D303">
        <v>1</v>
      </c>
      <c r="E303">
        <v>0</v>
      </c>
      <c r="F303">
        <v>1</v>
      </c>
      <c r="G303">
        <v>28.009699999999999</v>
      </c>
      <c r="H303">
        <v>2</v>
      </c>
      <c r="I303" t="s">
        <v>89</v>
      </c>
      <c r="J303">
        <v>4</v>
      </c>
      <c r="K303">
        <v>300</v>
      </c>
      <c r="L303">
        <v>33.333333333333329</v>
      </c>
      <c r="N303" t="s">
        <v>91</v>
      </c>
      <c r="O303">
        <v>66.666666666666671</v>
      </c>
      <c r="P303">
        <v>0.1666666666666666</v>
      </c>
      <c r="Q303">
        <v>3.2500000000000001E-2</v>
      </c>
      <c r="R303">
        <v>77.5</v>
      </c>
      <c r="S303">
        <v>170</v>
      </c>
      <c r="T303">
        <v>20</v>
      </c>
      <c r="U303">
        <v>1812.1301775147931</v>
      </c>
      <c r="V303">
        <v>20</v>
      </c>
      <c r="W303">
        <v>0.95</v>
      </c>
      <c r="X303">
        <v>1</v>
      </c>
      <c r="Y303">
        <v>70676.627161376018</v>
      </c>
      <c r="Z303">
        <v>212029881.48412809</v>
      </c>
      <c r="AA303">
        <v>848119525.93651223</v>
      </c>
      <c r="AB303">
        <v>848119.52593651228</v>
      </c>
      <c r="AC303">
        <v>0</v>
      </c>
      <c r="AD303">
        <v>2197.534849197044</v>
      </c>
      <c r="AE303">
        <v>3955562.72855468</v>
      </c>
      <c r="AF303">
        <v>1318520.909518226</v>
      </c>
      <c r="AG303">
        <v>36.931375119332657</v>
      </c>
      <c r="AH303">
        <v>290.14052613948547</v>
      </c>
      <c r="AI303">
        <v>58.028105227897107</v>
      </c>
      <c r="AJ303">
        <v>27563.884592936651</v>
      </c>
      <c r="AK303">
        <v>854.70085470085473</v>
      </c>
      <c r="AL303" t="s">
        <v>93</v>
      </c>
      <c r="AM303">
        <v>22485.89077581013</v>
      </c>
      <c r="AN303">
        <v>788.73546111027042</v>
      </c>
      <c r="AO303">
        <v>9864.7778887425102</v>
      </c>
      <c r="AP303">
        <v>51693.2116845579</v>
      </c>
      <c r="AQ303">
        <v>41828.433795815392</v>
      </c>
      <c r="AR303">
        <v>2.0905155461666668E-2</v>
      </c>
      <c r="AS303">
        <v>652.27304660158029</v>
      </c>
      <c r="AT303">
        <v>532.10716480965459</v>
      </c>
      <c r="AU303">
        <v>18.664672624298149</v>
      </c>
      <c r="AV303">
        <v>233.4405626261711</v>
      </c>
      <c r="AW303">
        <v>1223.2705648008471</v>
      </c>
      <c r="AX303">
        <v>989.83000217467622</v>
      </c>
      <c r="AY303">
        <v>1.57124139137513</v>
      </c>
      <c r="AZ303" t="s">
        <v>140</v>
      </c>
      <c r="BA303" t="str">
        <f>VLOOKUP($AZ303,Sheet1!$A$2:$B$58,2)</f>
        <v>L-Malate</v>
      </c>
      <c r="BB303" t="s">
        <v>188</v>
      </c>
      <c r="BC303">
        <v>132.06916000000001</v>
      </c>
      <c r="BD303">
        <v>2.5</v>
      </c>
      <c r="BF303" t="s">
        <v>203</v>
      </c>
      <c r="BG303">
        <v>0</v>
      </c>
      <c r="BH303">
        <v>0.15466666666666701</v>
      </c>
      <c r="BI303">
        <v>0.67693119791017797</v>
      </c>
      <c r="BJ303">
        <v>80</v>
      </c>
      <c r="BK303">
        <v>2258.8532050549011</v>
      </c>
      <c r="BL303">
        <v>1827.789155734142</v>
      </c>
      <c r="BM303">
        <v>2.901405261394856</v>
      </c>
      <c r="BN303">
        <v>493.23889443712551</v>
      </c>
      <c r="BO303">
        <v>1765.614310617776</v>
      </c>
    </row>
    <row r="304" spans="1:67" x14ac:dyDescent="0.25">
      <c r="A304" s="1">
        <v>302</v>
      </c>
      <c r="B304" t="s">
        <v>70</v>
      </c>
      <c r="C304" t="s">
        <v>82</v>
      </c>
      <c r="D304">
        <v>1</v>
      </c>
      <c r="E304">
        <v>0</v>
      </c>
      <c r="F304">
        <v>1</v>
      </c>
      <c r="G304">
        <v>28.009699999999999</v>
      </c>
      <c r="H304">
        <v>2</v>
      </c>
      <c r="I304" t="s">
        <v>89</v>
      </c>
      <c r="J304">
        <v>4</v>
      </c>
      <c r="K304">
        <v>300</v>
      </c>
      <c r="L304">
        <v>33.333333333333329</v>
      </c>
      <c r="N304" t="s">
        <v>91</v>
      </c>
      <c r="O304">
        <v>66.666666666666671</v>
      </c>
      <c r="P304">
        <v>0.1666666666666666</v>
      </c>
      <c r="Q304">
        <v>3.2500000000000001E-2</v>
      </c>
      <c r="R304">
        <v>77.5</v>
      </c>
      <c r="S304">
        <v>170</v>
      </c>
      <c r="T304">
        <v>20</v>
      </c>
      <c r="U304">
        <v>1812.1301775147931</v>
      </c>
      <c r="V304">
        <v>20</v>
      </c>
      <c r="W304">
        <v>0.95</v>
      </c>
      <c r="X304">
        <v>1</v>
      </c>
      <c r="Y304">
        <v>79465.608471863728</v>
      </c>
      <c r="Z304">
        <v>238396825.41559121</v>
      </c>
      <c r="AA304">
        <v>953587301.6623646</v>
      </c>
      <c r="AB304">
        <v>953587.30166236463</v>
      </c>
      <c r="AC304">
        <v>0</v>
      </c>
      <c r="AD304">
        <v>2470.8089639144641</v>
      </c>
      <c r="AE304">
        <v>4447456.1350460351</v>
      </c>
      <c r="AF304">
        <v>1482485.3783486779</v>
      </c>
      <c r="AG304">
        <v>41.523970701932967</v>
      </c>
      <c r="AH304">
        <v>326.2209075056266</v>
      </c>
      <c r="AI304">
        <v>65.244181501125325</v>
      </c>
      <c r="AJ304">
        <v>30991.587304026849</v>
      </c>
      <c r="AK304">
        <v>854.70085470085473</v>
      </c>
      <c r="AL304" t="s">
        <v>93</v>
      </c>
      <c r="AM304">
        <v>25282.120331686059</v>
      </c>
      <c r="AN304">
        <v>886.81854041156225</v>
      </c>
      <c r="AO304">
        <v>11091.510855191311</v>
      </c>
      <c r="AP304">
        <v>58015.227030825328</v>
      </c>
      <c r="AQ304">
        <v>46923.716175634021</v>
      </c>
      <c r="AR304">
        <v>2.0905155461666679E-2</v>
      </c>
      <c r="AS304">
        <v>652.2730466015804</v>
      </c>
      <c r="AT304">
        <v>532.10716480965493</v>
      </c>
      <c r="AU304">
        <v>18.66467262429817</v>
      </c>
      <c r="AV304">
        <v>233.44056262617119</v>
      </c>
      <c r="AW304">
        <v>1221.0335828704681</v>
      </c>
      <c r="AX304">
        <v>987.59302024429633</v>
      </c>
      <c r="AY304">
        <v>1.5712413913751311</v>
      </c>
      <c r="AZ304" t="s">
        <v>141</v>
      </c>
      <c r="BA304" t="str">
        <f>VLOOKUP($AZ304,Sheet1!$A$2:$B$58,2)</f>
        <v>Malonate</v>
      </c>
      <c r="BB304" t="s">
        <v>189</v>
      </c>
      <c r="BC304">
        <v>102.04378</v>
      </c>
      <c r="BD304">
        <v>2</v>
      </c>
      <c r="BE304">
        <v>199</v>
      </c>
      <c r="BF304" t="s">
        <v>203</v>
      </c>
      <c r="BG304">
        <v>0</v>
      </c>
      <c r="BH304">
        <v>0.17846153846153801</v>
      </c>
      <c r="BI304">
        <v>0.60206188323016596</v>
      </c>
      <c r="BJ304">
        <v>80</v>
      </c>
      <c r="BK304">
        <v>2535.1081360594771</v>
      </c>
      <c r="BL304">
        <v>2050.4391819028829</v>
      </c>
      <c r="BM304">
        <v>3.262209075056266</v>
      </c>
      <c r="BN304">
        <v>554.57554275956534</v>
      </c>
      <c r="BO304">
        <v>1980.532593299911</v>
      </c>
    </row>
    <row r="305" spans="1:67" x14ac:dyDescent="0.25">
      <c r="A305" s="1">
        <v>303</v>
      </c>
      <c r="B305" t="s">
        <v>70</v>
      </c>
      <c r="C305" t="s">
        <v>82</v>
      </c>
      <c r="D305">
        <v>1</v>
      </c>
      <c r="E305">
        <v>0</v>
      </c>
      <c r="F305">
        <v>1</v>
      </c>
      <c r="G305">
        <v>28.009699999999999</v>
      </c>
      <c r="H305">
        <v>2</v>
      </c>
      <c r="I305" t="s">
        <v>89</v>
      </c>
      <c r="J305">
        <v>4</v>
      </c>
      <c r="K305">
        <v>300</v>
      </c>
      <c r="L305">
        <v>33.333333333333329</v>
      </c>
      <c r="N305" t="s">
        <v>91</v>
      </c>
      <c r="O305">
        <v>66.666666666666671</v>
      </c>
      <c r="P305">
        <v>0.1666666666666666</v>
      </c>
      <c r="Q305">
        <v>3.2500000000000001E-2</v>
      </c>
      <c r="R305">
        <v>77.5</v>
      </c>
      <c r="S305">
        <v>170</v>
      </c>
      <c r="T305">
        <v>20</v>
      </c>
      <c r="U305">
        <v>1812.1301775147931</v>
      </c>
      <c r="V305">
        <v>20</v>
      </c>
      <c r="W305">
        <v>0.95</v>
      </c>
      <c r="X305">
        <v>1</v>
      </c>
      <c r="Y305">
        <v>111587.946395658</v>
      </c>
      <c r="Z305">
        <v>334763839.18697393</v>
      </c>
      <c r="AA305">
        <v>1339055356.747896</v>
      </c>
      <c r="AB305">
        <v>1339055.3567478959</v>
      </c>
      <c r="AC305">
        <v>0</v>
      </c>
      <c r="AD305">
        <v>3469.582672569853</v>
      </c>
      <c r="AE305">
        <v>6245248.8106257357</v>
      </c>
      <c r="AF305">
        <v>2081749.603541912</v>
      </c>
      <c r="AG305">
        <v>58.309181870327883</v>
      </c>
      <c r="AH305">
        <v>458.08900025939761</v>
      </c>
      <c r="AI305">
        <v>91.617800051879513</v>
      </c>
      <c r="AJ305">
        <v>43519.299094306611</v>
      </c>
      <c r="AK305">
        <v>854.70085470085473</v>
      </c>
      <c r="AL305" t="s">
        <v>93</v>
      </c>
      <c r="AM305">
        <v>35501.89752010331</v>
      </c>
      <c r="AN305">
        <v>1245.2966969372551</v>
      </c>
      <c r="AO305">
        <v>15575.026008819519</v>
      </c>
      <c r="AP305">
        <v>81121.194166048022</v>
      </c>
      <c r="AQ305">
        <v>65546.168157228502</v>
      </c>
      <c r="AR305">
        <v>2.0905155461666661E-2</v>
      </c>
      <c r="AS305">
        <v>652.27304660158018</v>
      </c>
      <c r="AT305">
        <v>532.10716480965493</v>
      </c>
      <c r="AU305">
        <v>18.664672624298149</v>
      </c>
      <c r="AV305">
        <v>233.44056262617119</v>
      </c>
      <c r="AW305">
        <v>1215.8552541938529</v>
      </c>
      <c r="AX305">
        <v>982.41469156768187</v>
      </c>
      <c r="AY305">
        <v>1.57124139137513</v>
      </c>
      <c r="AZ305" t="s">
        <v>142</v>
      </c>
      <c r="BA305" t="str">
        <f>VLOOKUP($AZ305,Sheet1!$A$2:$B$58,2)</f>
        <v>Nonane</v>
      </c>
      <c r="BB305" t="s">
        <v>190</v>
      </c>
      <c r="BC305">
        <v>128.25309999999999</v>
      </c>
      <c r="BD305">
        <v>6.2222222222222223</v>
      </c>
      <c r="BE305">
        <v>151</v>
      </c>
      <c r="BF305" t="s">
        <v>203</v>
      </c>
      <c r="BG305">
        <v>0.11438320009418849</v>
      </c>
      <c r="BH305">
        <v>0.107142857142857</v>
      </c>
      <c r="BI305">
        <v>0.42874894138622599</v>
      </c>
      <c r="BJ305">
        <v>80</v>
      </c>
      <c r="BK305">
        <v>3544.7762572391548</v>
      </c>
      <c r="BL305">
        <v>2864.189846135102</v>
      </c>
      <c r="BM305">
        <v>4.4665068024997874</v>
      </c>
      <c r="BN305">
        <v>759.30615642496389</v>
      </c>
      <c r="BO305">
        <v>2785.470100814191</v>
      </c>
    </row>
    <row r="306" spans="1:67" x14ac:dyDescent="0.25">
      <c r="A306" s="1">
        <v>304</v>
      </c>
      <c r="B306" t="s">
        <v>70</v>
      </c>
      <c r="C306" t="s">
        <v>82</v>
      </c>
      <c r="D306">
        <v>1</v>
      </c>
      <c r="E306">
        <v>0</v>
      </c>
      <c r="F306">
        <v>1</v>
      </c>
      <c r="G306">
        <v>28.009699999999999</v>
      </c>
      <c r="H306">
        <v>2</v>
      </c>
      <c r="I306" t="s">
        <v>89</v>
      </c>
      <c r="J306">
        <v>4</v>
      </c>
      <c r="K306">
        <v>300</v>
      </c>
      <c r="L306">
        <v>33.333333333333329</v>
      </c>
      <c r="N306" t="s">
        <v>91</v>
      </c>
      <c r="O306">
        <v>66.666666666666671</v>
      </c>
      <c r="P306">
        <v>0.1666666666666666</v>
      </c>
      <c r="Q306">
        <v>3.2500000000000001E-2</v>
      </c>
      <c r="R306">
        <v>77.5</v>
      </c>
      <c r="S306">
        <v>170</v>
      </c>
      <c r="T306">
        <v>20</v>
      </c>
      <c r="U306">
        <v>1812.1301775147931</v>
      </c>
      <c r="V306">
        <v>20</v>
      </c>
      <c r="W306">
        <v>0.95</v>
      </c>
      <c r="X306">
        <v>1</v>
      </c>
      <c r="Y306">
        <v>111866.3395285032</v>
      </c>
      <c r="Z306">
        <v>335599018.58550972</v>
      </c>
      <c r="AA306">
        <v>1342396074.3420391</v>
      </c>
      <c r="AB306">
        <v>1342396.0743420389</v>
      </c>
      <c r="AC306">
        <v>0</v>
      </c>
      <c r="AD306">
        <v>3478.238696997953</v>
      </c>
      <c r="AE306">
        <v>6260829.6545963157</v>
      </c>
      <c r="AF306">
        <v>2086943.2181987721</v>
      </c>
      <c r="AG306">
        <v>58.45465345878214</v>
      </c>
      <c r="AH306">
        <v>459.23185516463963</v>
      </c>
      <c r="AI306">
        <v>91.846371032927934</v>
      </c>
      <c r="AJ306">
        <v>43627.872416116268</v>
      </c>
      <c r="AK306">
        <v>854.70085470085473</v>
      </c>
      <c r="AL306" t="s">
        <v>93</v>
      </c>
      <c r="AM306">
        <v>35590.468775259571</v>
      </c>
      <c r="AN306">
        <v>1248.403502465811</v>
      </c>
      <c r="AO306">
        <v>15613.883075597751</v>
      </c>
      <c r="AP306">
        <v>81321.445548542499</v>
      </c>
      <c r="AQ306">
        <v>65707.562472944745</v>
      </c>
      <c r="AR306">
        <v>2.0905155461666668E-2</v>
      </c>
      <c r="AS306">
        <v>652.27304660158029</v>
      </c>
      <c r="AT306">
        <v>532.10716480965493</v>
      </c>
      <c r="AU306">
        <v>18.664672624298149</v>
      </c>
      <c r="AV306">
        <v>233.44056262617119</v>
      </c>
      <c r="AW306">
        <v>1215.8233740134849</v>
      </c>
      <c r="AX306">
        <v>982.38281138731406</v>
      </c>
      <c r="AY306">
        <v>1.57124139137513</v>
      </c>
      <c r="AZ306" t="s">
        <v>143</v>
      </c>
      <c r="BA306" t="str">
        <f>VLOOKUP($AZ306,Sheet1!$A$2:$B$58,2)</f>
        <v>Octane</v>
      </c>
      <c r="BB306" t="s">
        <v>191</v>
      </c>
      <c r="BC306">
        <v>114.22672</v>
      </c>
      <c r="BD306">
        <v>6.25</v>
      </c>
      <c r="BE306">
        <v>126</v>
      </c>
      <c r="BF306" t="s">
        <v>203</v>
      </c>
      <c r="BG306">
        <v>0.12842879494394199</v>
      </c>
      <c r="BH306">
        <v>0.12</v>
      </c>
      <c r="BI306">
        <v>0.42768194695787798</v>
      </c>
      <c r="BJ306">
        <v>80</v>
      </c>
      <c r="BK306">
        <v>3553.5266997522772</v>
      </c>
      <c r="BL306">
        <v>2871.2423401754791</v>
      </c>
      <c r="BM306">
        <v>4.4638897567024536</v>
      </c>
      <c r="BN306">
        <v>758.86125863941709</v>
      </c>
      <c r="BO306">
        <v>2794.6654411128602</v>
      </c>
    </row>
    <row r="307" spans="1:67" x14ac:dyDescent="0.25">
      <c r="A307" s="1">
        <v>305</v>
      </c>
      <c r="B307" t="s">
        <v>70</v>
      </c>
      <c r="C307" t="s">
        <v>82</v>
      </c>
      <c r="D307">
        <v>1</v>
      </c>
      <c r="E307">
        <v>0</v>
      </c>
      <c r="F307">
        <v>1</v>
      </c>
      <c r="G307">
        <v>28.009699999999999</v>
      </c>
      <c r="H307">
        <v>2</v>
      </c>
      <c r="I307" t="s">
        <v>89</v>
      </c>
      <c r="J307">
        <v>4</v>
      </c>
      <c r="K307">
        <v>300</v>
      </c>
      <c r="L307">
        <v>33.333333333333329</v>
      </c>
      <c r="N307" t="s">
        <v>91</v>
      </c>
      <c r="O307">
        <v>66.666666666666671</v>
      </c>
      <c r="P307">
        <v>0.1666666666666666</v>
      </c>
      <c r="Q307">
        <v>3.2500000000000001E-2</v>
      </c>
      <c r="R307">
        <v>77.5</v>
      </c>
      <c r="S307">
        <v>170</v>
      </c>
      <c r="T307">
        <v>20</v>
      </c>
      <c r="U307">
        <v>1812.1301775147931</v>
      </c>
      <c r="V307">
        <v>20</v>
      </c>
      <c r="W307">
        <v>0.95</v>
      </c>
      <c r="X307">
        <v>1</v>
      </c>
      <c r="Y307">
        <v>113350.9956585967</v>
      </c>
      <c r="Z307">
        <v>340052986.97579002</v>
      </c>
      <c r="AA307">
        <v>1360211947.9031601</v>
      </c>
      <c r="AB307">
        <v>1360211.94790316</v>
      </c>
      <c r="AC307">
        <v>66773.504273504266</v>
      </c>
      <c r="AD307">
        <v>3524.4008260636879</v>
      </c>
      <c r="AE307">
        <v>6343921.4869146394</v>
      </c>
      <c r="AF307">
        <v>2114640.4956382131</v>
      </c>
      <c r="AG307">
        <v>59.23044589067765</v>
      </c>
      <c r="AH307">
        <v>465.32664106518848</v>
      </c>
      <c r="AI307">
        <v>93.065328213037716</v>
      </c>
      <c r="AJ307">
        <v>44206.888306852692</v>
      </c>
      <c r="AK307">
        <v>2170.1388888888891</v>
      </c>
      <c r="AL307" t="s">
        <v>95</v>
      </c>
      <c r="AM307">
        <v>36062.814682552111</v>
      </c>
      <c r="AN307">
        <v>1264.971935120155</v>
      </c>
      <c r="AO307">
        <v>15821.10579621641</v>
      </c>
      <c r="AP307">
        <v>83704.813813413843</v>
      </c>
      <c r="AQ307">
        <v>67883.708017197438</v>
      </c>
      <c r="AR307">
        <v>2.0905155461666668E-2</v>
      </c>
      <c r="AS307">
        <v>652.27304660158029</v>
      </c>
      <c r="AT307">
        <v>532.10716480965482</v>
      </c>
      <c r="AU307">
        <v>18.664672624298149</v>
      </c>
      <c r="AV307">
        <v>233.44056262617119</v>
      </c>
      <c r="AW307">
        <v>1235.0653034502311</v>
      </c>
      <c r="AX307">
        <v>1001.62474082406</v>
      </c>
      <c r="AY307">
        <v>1.57124139137513</v>
      </c>
      <c r="AZ307" t="s">
        <v>144</v>
      </c>
      <c r="BA307" t="str">
        <f>VLOOKUP($AZ307,Sheet1!$A$2:$B$58,2)</f>
        <v>Pentane</v>
      </c>
      <c r="BB307" t="s">
        <v>192</v>
      </c>
      <c r="BC307">
        <v>72.147580000000005</v>
      </c>
      <c r="BD307">
        <v>6.4</v>
      </c>
      <c r="BE307">
        <v>36.1</v>
      </c>
      <c r="BF307" t="s">
        <v>203</v>
      </c>
      <c r="BG307">
        <v>0.20333322337353391</v>
      </c>
      <c r="BH307">
        <v>0.1875</v>
      </c>
      <c r="BI307">
        <v>0.422080226209048</v>
      </c>
      <c r="BJ307">
        <v>80</v>
      </c>
      <c r="BK307">
        <v>3657.673431373114</v>
      </c>
      <c r="BL307">
        <v>2966.3340007071752</v>
      </c>
      <c r="BM307">
        <v>4.4499331872783534</v>
      </c>
      <c r="BN307">
        <v>756.48864183731996</v>
      </c>
      <c r="BO307">
        <v>2901.1847895357942</v>
      </c>
    </row>
    <row r="308" spans="1:67" x14ac:dyDescent="0.25">
      <c r="A308" s="1">
        <v>306</v>
      </c>
      <c r="B308" t="s">
        <v>70</v>
      </c>
      <c r="C308" t="s">
        <v>82</v>
      </c>
      <c r="D308">
        <v>1</v>
      </c>
      <c r="E308">
        <v>0</v>
      </c>
      <c r="F308">
        <v>1</v>
      </c>
      <c r="G308">
        <v>28.009699999999999</v>
      </c>
      <c r="H308">
        <v>2</v>
      </c>
      <c r="I308" t="s">
        <v>89</v>
      </c>
      <c r="J308">
        <v>4</v>
      </c>
      <c r="K308">
        <v>300</v>
      </c>
      <c r="L308">
        <v>33.333333333333329</v>
      </c>
      <c r="N308" t="s">
        <v>91</v>
      </c>
      <c r="O308">
        <v>66.666666666666671</v>
      </c>
      <c r="P308">
        <v>0.1666666666666666</v>
      </c>
      <c r="Q308">
        <v>3.2500000000000001E-2</v>
      </c>
      <c r="R308">
        <v>77.5</v>
      </c>
      <c r="S308">
        <v>170</v>
      </c>
      <c r="T308">
        <v>20</v>
      </c>
      <c r="U308">
        <v>1812.1301775147931</v>
      </c>
      <c r="V308">
        <v>20</v>
      </c>
      <c r="W308">
        <v>0.95</v>
      </c>
      <c r="X308">
        <v>1</v>
      </c>
      <c r="Y308">
        <v>123719.70400306641</v>
      </c>
      <c r="Z308">
        <v>371159112.00919908</v>
      </c>
      <c r="AA308">
        <v>1484636448.036797</v>
      </c>
      <c r="AB308">
        <v>1484636.4480367971</v>
      </c>
      <c r="AC308">
        <v>0</v>
      </c>
      <c r="AD308">
        <v>3846.7930912761481</v>
      </c>
      <c r="AE308">
        <v>6924227.5642970661</v>
      </c>
      <c r="AF308">
        <v>2308075.8547656881</v>
      </c>
      <c r="AG308">
        <v>64.648512269230494</v>
      </c>
      <c r="AH308">
        <v>507.89209184118971</v>
      </c>
      <c r="AI308">
        <v>101.57841836823791</v>
      </c>
      <c r="AJ308">
        <v>48250.684561195892</v>
      </c>
      <c r="AK308">
        <v>854.70085470085473</v>
      </c>
      <c r="AL308" t="s">
        <v>93</v>
      </c>
      <c r="AM308">
        <v>39361.637117692197</v>
      </c>
      <c r="AN308">
        <v>1380.684417246955</v>
      </c>
      <c r="AO308">
        <v>17268.331122600452</v>
      </c>
      <c r="AP308">
        <v>89847.706950835898</v>
      </c>
      <c r="AQ308">
        <v>72579.375828235454</v>
      </c>
      <c r="AR308">
        <v>2.0905155461666668E-2</v>
      </c>
      <c r="AS308">
        <v>652.27304660158029</v>
      </c>
      <c r="AT308">
        <v>532.10716480965493</v>
      </c>
      <c r="AU308">
        <v>18.664672624298149</v>
      </c>
      <c r="AV308">
        <v>233.44056262617119</v>
      </c>
      <c r="AW308">
        <v>1214.5990896493749</v>
      </c>
      <c r="AX308">
        <v>981.15852702320433</v>
      </c>
      <c r="AY308">
        <v>1.5712413913751311</v>
      </c>
      <c r="AZ308" t="s">
        <v>145</v>
      </c>
      <c r="BA308" t="str">
        <f>VLOOKUP($AZ308,Sheet1!$A$2:$B$58,2)</f>
        <v>Pentanol (PW1)</v>
      </c>
      <c r="BB308" t="s">
        <v>157</v>
      </c>
      <c r="BC308">
        <v>88.14658</v>
      </c>
      <c r="BD308">
        <v>6</v>
      </c>
      <c r="BE308">
        <v>138</v>
      </c>
      <c r="BF308" t="s">
        <v>203</v>
      </c>
      <c r="BG308">
        <v>0</v>
      </c>
      <c r="BH308">
        <v>0.14060606060606001</v>
      </c>
      <c r="BI308">
        <v>0.3867065013946</v>
      </c>
      <c r="BJ308">
        <v>80</v>
      </c>
      <c r="BK308">
        <v>3926.1012074696919</v>
      </c>
      <c r="BL308">
        <v>3171.5219536159871</v>
      </c>
      <c r="BM308">
        <v>5.0789209184118977</v>
      </c>
      <c r="BN308">
        <v>863.41655613002263</v>
      </c>
      <c r="BO308">
        <v>3062.684651339669</v>
      </c>
    </row>
    <row r="309" spans="1:67" x14ac:dyDescent="0.25">
      <c r="A309" s="1">
        <v>307</v>
      </c>
      <c r="B309" t="s">
        <v>70</v>
      </c>
      <c r="C309" t="s">
        <v>82</v>
      </c>
      <c r="D309">
        <v>1</v>
      </c>
      <c r="E309">
        <v>0</v>
      </c>
      <c r="F309">
        <v>1</v>
      </c>
      <c r="G309">
        <v>28.009699999999999</v>
      </c>
      <c r="H309">
        <v>2</v>
      </c>
      <c r="I309" t="s">
        <v>89</v>
      </c>
      <c r="J309">
        <v>4</v>
      </c>
      <c r="K309">
        <v>300</v>
      </c>
      <c r="L309">
        <v>33.333333333333329</v>
      </c>
      <c r="N309" t="s">
        <v>91</v>
      </c>
      <c r="O309">
        <v>66.666666666666671</v>
      </c>
      <c r="P309">
        <v>0.1666666666666666</v>
      </c>
      <c r="Q309">
        <v>3.2500000000000001E-2</v>
      </c>
      <c r="R309">
        <v>77.5</v>
      </c>
      <c r="S309">
        <v>170</v>
      </c>
      <c r="T309">
        <v>20</v>
      </c>
      <c r="U309">
        <v>1812.1301775147931</v>
      </c>
      <c r="V309">
        <v>20</v>
      </c>
      <c r="W309">
        <v>0.95</v>
      </c>
      <c r="X309">
        <v>1</v>
      </c>
      <c r="Y309">
        <v>123719.7040030658</v>
      </c>
      <c r="Z309">
        <v>371159112.00919718</v>
      </c>
      <c r="AA309">
        <v>1484636448.0367889</v>
      </c>
      <c r="AB309">
        <v>1484636.448036789</v>
      </c>
      <c r="AC309">
        <v>0</v>
      </c>
      <c r="AD309">
        <v>3846.7930912761281</v>
      </c>
      <c r="AE309">
        <v>6924227.5642970297</v>
      </c>
      <c r="AF309">
        <v>2308075.854765676</v>
      </c>
      <c r="AG309">
        <v>64.648512269230153</v>
      </c>
      <c r="AH309">
        <v>507.89209184118693</v>
      </c>
      <c r="AI309">
        <v>101.57841836823739</v>
      </c>
      <c r="AJ309">
        <v>48250.684561195652</v>
      </c>
      <c r="AK309">
        <v>854.70085470085473</v>
      </c>
      <c r="AL309" t="s">
        <v>93</v>
      </c>
      <c r="AM309">
        <v>39361.637117691993</v>
      </c>
      <c r="AN309">
        <v>1380.684417246948</v>
      </c>
      <c r="AO309">
        <v>17268.331122600361</v>
      </c>
      <c r="AP309">
        <v>89847.706950835433</v>
      </c>
      <c r="AQ309">
        <v>72579.375828235075</v>
      </c>
      <c r="AR309">
        <v>2.0905155461666668E-2</v>
      </c>
      <c r="AS309">
        <v>652.27304660158029</v>
      </c>
      <c r="AT309">
        <v>532.10716480965493</v>
      </c>
      <c r="AU309">
        <v>18.664672624298159</v>
      </c>
      <c r="AV309">
        <v>233.44056262617119</v>
      </c>
      <c r="AW309">
        <v>1214.5990896493761</v>
      </c>
      <c r="AX309">
        <v>981.15852702320456</v>
      </c>
      <c r="AY309">
        <v>1.5712413913751311</v>
      </c>
      <c r="AZ309" t="s">
        <v>146</v>
      </c>
      <c r="BA309" t="str">
        <f>VLOOKUP($AZ309,Sheet1!$A$2:$B$58,2)</f>
        <v>Pentanol (PW2)</v>
      </c>
      <c r="BB309" t="s">
        <v>157</v>
      </c>
      <c r="BC309">
        <v>88.14658</v>
      </c>
      <c r="BD309">
        <v>6</v>
      </c>
      <c r="BE309">
        <v>138</v>
      </c>
      <c r="BF309" t="s">
        <v>203</v>
      </c>
      <c r="BG309">
        <v>0</v>
      </c>
      <c r="BH309">
        <v>0.14060606060606101</v>
      </c>
      <c r="BI309">
        <v>0.386706501394602</v>
      </c>
      <c r="BJ309">
        <v>80</v>
      </c>
      <c r="BK309">
        <v>3926.1012074696719</v>
      </c>
      <c r="BL309">
        <v>3171.5219536159721</v>
      </c>
      <c r="BM309">
        <v>5.0789209184118702</v>
      </c>
      <c r="BN309">
        <v>863.41655613001797</v>
      </c>
      <c r="BO309">
        <v>3062.684651339654</v>
      </c>
    </row>
    <row r="310" spans="1:67" x14ac:dyDescent="0.25">
      <c r="A310" s="1">
        <v>308</v>
      </c>
      <c r="B310" t="s">
        <v>70</v>
      </c>
      <c r="C310" t="s">
        <v>82</v>
      </c>
      <c r="D310">
        <v>1</v>
      </c>
      <c r="E310">
        <v>0</v>
      </c>
      <c r="F310">
        <v>1</v>
      </c>
      <c r="G310">
        <v>28.009699999999999</v>
      </c>
      <c r="H310">
        <v>2</v>
      </c>
      <c r="I310" t="s">
        <v>89</v>
      </c>
      <c r="J310">
        <v>4</v>
      </c>
      <c r="K310">
        <v>300</v>
      </c>
      <c r="L310">
        <v>33.333333333333329</v>
      </c>
      <c r="N310" t="s">
        <v>91</v>
      </c>
      <c r="O310">
        <v>66.666666666666671</v>
      </c>
      <c r="P310">
        <v>0.1666666666666666</v>
      </c>
      <c r="Q310">
        <v>3.2500000000000001E-2</v>
      </c>
      <c r="R310">
        <v>77.5</v>
      </c>
      <c r="S310">
        <v>170</v>
      </c>
      <c r="T310">
        <v>20</v>
      </c>
      <c r="U310">
        <v>1812.1301775147931</v>
      </c>
      <c r="V310">
        <v>20</v>
      </c>
      <c r="W310">
        <v>0.95</v>
      </c>
      <c r="X310">
        <v>1</v>
      </c>
      <c r="Y310">
        <v>340020.00675082969</v>
      </c>
      <c r="Z310">
        <v>1020060020.252489</v>
      </c>
      <c r="AA310">
        <v>4080240081.0099559</v>
      </c>
      <c r="AB310">
        <v>4080240.081009957</v>
      </c>
      <c r="AC310">
        <v>0</v>
      </c>
      <c r="AD310">
        <v>10572.177030364879</v>
      </c>
      <c r="AE310">
        <v>19029918.65465679</v>
      </c>
      <c r="AF310">
        <v>6343306.2182189291</v>
      </c>
      <c r="AG310">
        <v>177.6741041804467</v>
      </c>
      <c r="AH310">
        <v>1395.844533319075</v>
      </c>
      <c r="AI310">
        <v>279.16890666381499</v>
      </c>
      <c r="AJ310">
        <v>132607.80263282359</v>
      </c>
      <c r="AK310">
        <v>854.70085470085473</v>
      </c>
      <c r="AL310" t="s">
        <v>93</v>
      </c>
      <c r="AM310">
        <v>108177.9513322283</v>
      </c>
      <c r="AN310">
        <v>3794.547753375155</v>
      </c>
      <c r="AO310">
        <v>47458.714132848552</v>
      </c>
      <c r="AP310">
        <v>245435.00257312789</v>
      </c>
      <c r="AQ310">
        <v>197976.2884402794</v>
      </c>
      <c r="AR310">
        <v>2.0905155461666668E-2</v>
      </c>
      <c r="AS310">
        <v>652.27304660158029</v>
      </c>
      <c r="AT310">
        <v>532.10716480965482</v>
      </c>
      <c r="AU310">
        <v>18.664672624298149</v>
      </c>
      <c r="AV310">
        <v>233.44056262617119</v>
      </c>
      <c r="AW310">
        <v>1207.2489981175099</v>
      </c>
      <c r="AX310">
        <v>973.80843549133908</v>
      </c>
      <c r="AY310">
        <v>1.57124139137513</v>
      </c>
      <c r="AZ310" t="s">
        <v>147</v>
      </c>
      <c r="BA310" t="str">
        <f>VLOOKUP($AZ310,Sheet1!$A$2:$B$58,2)</f>
        <v>Phenol</v>
      </c>
      <c r="BB310" t="s">
        <v>193</v>
      </c>
      <c r="BC310">
        <v>94.11023999999999</v>
      </c>
      <c r="BD310">
        <v>4.666666666666667</v>
      </c>
      <c r="BE310">
        <v>181.7</v>
      </c>
      <c r="BF310" t="s">
        <v>203</v>
      </c>
      <c r="BG310">
        <v>0</v>
      </c>
      <c r="BH310">
        <v>4.73469387755103E-2</v>
      </c>
      <c r="BI310">
        <v>0.140707055287077</v>
      </c>
      <c r="BJ310">
        <v>80</v>
      </c>
      <c r="BK310">
        <v>10724.84421316352</v>
      </c>
      <c r="BL310">
        <v>8651.0270709643009</v>
      </c>
      <c r="BM310">
        <v>13.958445333190751</v>
      </c>
      <c r="BN310">
        <v>2372.9357066424282</v>
      </c>
      <c r="BO310">
        <v>8351.9085065210966</v>
      </c>
    </row>
    <row r="311" spans="1:67" x14ac:dyDescent="0.25">
      <c r="A311" s="1">
        <v>309</v>
      </c>
      <c r="B311" t="s">
        <v>70</v>
      </c>
      <c r="C311" t="s">
        <v>82</v>
      </c>
      <c r="D311">
        <v>1</v>
      </c>
      <c r="E311">
        <v>0</v>
      </c>
      <c r="F311">
        <v>1</v>
      </c>
      <c r="G311">
        <v>28.009699999999999</v>
      </c>
      <c r="H311">
        <v>2</v>
      </c>
      <c r="I311" t="s">
        <v>89</v>
      </c>
      <c r="J311">
        <v>4</v>
      </c>
      <c r="K311">
        <v>300</v>
      </c>
      <c r="L311">
        <v>33.333333333333329</v>
      </c>
      <c r="N311" t="s">
        <v>91</v>
      </c>
      <c r="O311">
        <v>66.666666666666671</v>
      </c>
      <c r="P311">
        <v>0.1666666666666666</v>
      </c>
      <c r="Q311">
        <v>3.2500000000000001E-2</v>
      </c>
      <c r="R311">
        <v>77.5</v>
      </c>
      <c r="S311">
        <v>170</v>
      </c>
      <c r="T311">
        <v>20</v>
      </c>
      <c r="U311">
        <v>1812.1301775147931</v>
      </c>
      <c r="V311">
        <v>20</v>
      </c>
      <c r="W311">
        <v>0.95</v>
      </c>
      <c r="X311">
        <v>1</v>
      </c>
      <c r="Y311">
        <v>115914.9763418673</v>
      </c>
      <c r="Z311">
        <v>347744929.02560198</v>
      </c>
      <c r="AA311">
        <v>1390979716.1024079</v>
      </c>
      <c r="AB311">
        <v>1390979.716102408</v>
      </c>
      <c r="AC311">
        <v>66773.504273504266</v>
      </c>
      <c r="AD311">
        <v>3604.1221870065401</v>
      </c>
      <c r="AE311">
        <v>6487419.9366117716</v>
      </c>
      <c r="AF311">
        <v>2162473.3122039228</v>
      </c>
      <c r="AG311">
        <v>60.570228732838238</v>
      </c>
      <c r="AH311">
        <v>475.85225235047318</v>
      </c>
      <c r="AI311">
        <v>95.17045047009465</v>
      </c>
      <c r="AJ311">
        <v>45206.840773328258</v>
      </c>
      <c r="AK311">
        <v>2170.1388888888891</v>
      </c>
      <c r="AL311" t="s">
        <v>95</v>
      </c>
      <c r="AM311">
        <v>36878.549557161678</v>
      </c>
      <c r="AN311">
        <v>1293.5853900587981</v>
      </c>
      <c r="AO311">
        <v>16178.97657991609</v>
      </c>
      <c r="AP311">
        <v>85549.114609437616</v>
      </c>
      <c r="AQ311">
        <v>69370.13802952152</v>
      </c>
      <c r="AR311">
        <v>2.0905155461666668E-2</v>
      </c>
      <c r="AS311">
        <v>652.27304660158029</v>
      </c>
      <c r="AT311">
        <v>532.10716480965493</v>
      </c>
      <c r="AU311">
        <v>18.664672624298149</v>
      </c>
      <c r="AV311">
        <v>233.44056262617119</v>
      </c>
      <c r="AW311">
        <v>1234.357027958655</v>
      </c>
      <c r="AX311">
        <v>1000.916465332484</v>
      </c>
      <c r="AY311">
        <v>1.57124139137513</v>
      </c>
      <c r="AZ311" t="s">
        <v>148</v>
      </c>
      <c r="BA311" t="str">
        <f>VLOOKUP($AZ311,Sheet1!$A$2:$B$58,2)</f>
        <v>Propane (PW1)</v>
      </c>
      <c r="BB311" t="s">
        <v>194</v>
      </c>
      <c r="BC311">
        <v>44.094819999999999</v>
      </c>
      <c r="BD311">
        <v>6.666666666666667</v>
      </c>
      <c r="BE311">
        <v>-42</v>
      </c>
      <c r="BF311" t="s">
        <v>203</v>
      </c>
      <c r="BG311">
        <v>0.33269213934879249</v>
      </c>
      <c r="BH311">
        <v>0.3</v>
      </c>
      <c r="BI311">
        <v>0.41274402496099899</v>
      </c>
      <c r="BJ311">
        <v>80</v>
      </c>
      <c r="BK311">
        <v>3738.264376072108</v>
      </c>
      <c r="BL311">
        <v>3031.2869623826259</v>
      </c>
      <c r="BM311">
        <v>4.4258303841559394</v>
      </c>
      <c r="BN311">
        <v>752.39116530650972</v>
      </c>
      <c r="BO311">
        <v>2985.8732107655978</v>
      </c>
    </row>
    <row r="312" spans="1:67" x14ac:dyDescent="0.25">
      <c r="A312" s="1">
        <v>310</v>
      </c>
      <c r="B312" t="s">
        <v>70</v>
      </c>
      <c r="C312" t="s">
        <v>82</v>
      </c>
      <c r="D312">
        <v>1</v>
      </c>
      <c r="E312">
        <v>0</v>
      </c>
      <c r="F312">
        <v>1</v>
      </c>
      <c r="G312">
        <v>28.009699999999999</v>
      </c>
      <c r="H312">
        <v>2</v>
      </c>
      <c r="I312" t="s">
        <v>89</v>
      </c>
      <c r="J312">
        <v>4</v>
      </c>
      <c r="K312">
        <v>300</v>
      </c>
      <c r="L312">
        <v>33.333333333333329</v>
      </c>
      <c r="N312" t="s">
        <v>91</v>
      </c>
      <c r="O312">
        <v>66.666666666666671</v>
      </c>
      <c r="P312">
        <v>0.1666666666666666</v>
      </c>
      <c r="Q312">
        <v>3.2500000000000001E-2</v>
      </c>
      <c r="R312">
        <v>77.5</v>
      </c>
      <c r="S312">
        <v>170</v>
      </c>
      <c r="T312">
        <v>20</v>
      </c>
      <c r="U312">
        <v>1812.1301775147931</v>
      </c>
      <c r="V312">
        <v>20</v>
      </c>
      <c r="W312">
        <v>0.95</v>
      </c>
      <c r="X312">
        <v>1</v>
      </c>
      <c r="Y312">
        <v>128543.8453596583</v>
      </c>
      <c r="Z312">
        <v>385631536.07897502</v>
      </c>
      <c r="AA312">
        <v>1542526144.3159001</v>
      </c>
      <c r="AB312">
        <v>1542526.1443159</v>
      </c>
      <c r="AC312">
        <v>66773.504273504266</v>
      </c>
      <c r="AD312">
        <v>3996.7891957076422</v>
      </c>
      <c r="AE312">
        <v>7194220.552273755</v>
      </c>
      <c r="AF312">
        <v>2398073.5174245839</v>
      </c>
      <c r="AG312">
        <v>67.16931980100739</v>
      </c>
      <c r="AH312">
        <v>527.69607750927969</v>
      </c>
      <c r="AI312">
        <v>105.53921550185591</v>
      </c>
      <c r="AJ312">
        <v>50132.099690266747</v>
      </c>
      <c r="AK312">
        <v>2170.1388888888891</v>
      </c>
      <c r="AL312" t="s">
        <v>95</v>
      </c>
      <c r="AM312">
        <v>40896.446006969178</v>
      </c>
      <c r="AN312">
        <v>1434.5207632947761</v>
      </c>
      <c r="AO312">
        <v>17941.666635315509</v>
      </c>
      <c r="AP312">
        <v>94633.205349419601</v>
      </c>
      <c r="AQ312">
        <v>76691.538714104085</v>
      </c>
      <c r="AR312">
        <v>2.0905155461666668E-2</v>
      </c>
      <c r="AS312">
        <v>652.27304660158029</v>
      </c>
      <c r="AT312">
        <v>532.10716480965493</v>
      </c>
      <c r="AU312">
        <v>18.664672624298149</v>
      </c>
      <c r="AV312">
        <v>233.44056262617119</v>
      </c>
      <c r="AW312">
        <v>1231.280747152173</v>
      </c>
      <c r="AX312">
        <v>997.84018452600219</v>
      </c>
      <c r="AY312">
        <v>1.57124139137513</v>
      </c>
      <c r="AZ312" t="s">
        <v>149</v>
      </c>
      <c r="BA312" t="str">
        <f>VLOOKUP($AZ312,Sheet1!$A$2:$B$58,2)</f>
        <v>Propane (PW2)</v>
      </c>
      <c r="BB312" t="s">
        <v>194</v>
      </c>
      <c r="BC312">
        <v>44.094819999999999</v>
      </c>
      <c r="BD312">
        <v>6.666666666666667</v>
      </c>
      <c r="BE312">
        <v>-42</v>
      </c>
      <c r="BF312" t="s">
        <v>203</v>
      </c>
      <c r="BG312">
        <v>0.15145906732999731</v>
      </c>
      <c r="BH312">
        <v>0.270526315789474</v>
      </c>
      <c r="BI312">
        <v>0.37219373478939199</v>
      </c>
      <c r="BJ312">
        <v>80</v>
      </c>
      <c r="BK312">
        <v>4135.2145135143819</v>
      </c>
      <c r="BL312">
        <v>3351.2123232361628</v>
      </c>
      <c r="BM312">
        <v>5.1255017077627993</v>
      </c>
      <c r="BN312">
        <v>871.33529031967589</v>
      </c>
      <c r="BO312">
        <v>3263.8792231947059</v>
      </c>
    </row>
    <row r="313" spans="1:67" x14ac:dyDescent="0.25">
      <c r="A313" s="1">
        <v>311</v>
      </c>
      <c r="B313" t="s">
        <v>70</v>
      </c>
      <c r="C313" t="s">
        <v>82</v>
      </c>
      <c r="D313">
        <v>1</v>
      </c>
      <c r="E313">
        <v>0</v>
      </c>
      <c r="F313">
        <v>1</v>
      </c>
      <c r="G313">
        <v>28.009699999999999</v>
      </c>
      <c r="H313">
        <v>2</v>
      </c>
      <c r="I313" t="s">
        <v>89</v>
      </c>
      <c r="J313">
        <v>4</v>
      </c>
      <c r="K313">
        <v>300</v>
      </c>
      <c r="L313">
        <v>33.333333333333329</v>
      </c>
      <c r="N313" t="s">
        <v>91</v>
      </c>
      <c r="O313">
        <v>66.666666666666671</v>
      </c>
      <c r="P313">
        <v>0.1666666666666666</v>
      </c>
      <c r="Q313">
        <v>3.2500000000000001E-2</v>
      </c>
      <c r="R313">
        <v>77.5</v>
      </c>
      <c r="S313">
        <v>170</v>
      </c>
      <c r="T313">
        <v>20</v>
      </c>
      <c r="U313">
        <v>1812.1301775147931</v>
      </c>
      <c r="V313">
        <v>20</v>
      </c>
      <c r="W313">
        <v>0.95</v>
      </c>
      <c r="X313">
        <v>1</v>
      </c>
      <c r="Y313">
        <v>144969.34767209651</v>
      </c>
      <c r="Z313">
        <v>434908043.01628947</v>
      </c>
      <c r="AA313">
        <v>1739632172.0651579</v>
      </c>
      <c r="AB313">
        <v>1739632.1720651579</v>
      </c>
      <c r="AC313">
        <v>0</v>
      </c>
      <c r="AD313">
        <v>4507.5041972134759</v>
      </c>
      <c r="AE313">
        <v>8113507.5549842566</v>
      </c>
      <c r="AF313">
        <v>2704502.5183280851</v>
      </c>
      <c r="AG313">
        <v>75.752304187614172</v>
      </c>
      <c r="AH313">
        <v>595.12577915809516</v>
      </c>
      <c r="AI313">
        <v>119.025155831619</v>
      </c>
      <c r="AJ313">
        <v>56538.045592117633</v>
      </c>
      <c r="AK313">
        <v>854.70085470085473</v>
      </c>
      <c r="AL313" t="s">
        <v>93</v>
      </c>
      <c r="AM313">
        <v>46122.247884752367</v>
      </c>
      <c r="AN313">
        <v>1617.8257208274511</v>
      </c>
      <c r="AO313">
        <v>20234.27649137524</v>
      </c>
      <c r="AP313">
        <v>105132.8200523983</v>
      </c>
      <c r="AQ313">
        <v>84898.543561023078</v>
      </c>
      <c r="AR313">
        <v>2.0905155461666668E-2</v>
      </c>
      <c r="AS313">
        <v>652.27304660158029</v>
      </c>
      <c r="AT313">
        <v>532.10716480965493</v>
      </c>
      <c r="AU313">
        <v>18.664672624298149</v>
      </c>
      <c r="AV313">
        <v>233.44056262617119</v>
      </c>
      <c r="AW313">
        <v>1212.905471266487</v>
      </c>
      <c r="AX313">
        <v>979.46490864031557</v>
      </c>
      <c r="AY313">
        <v>1.5712413913751311</v>
      </c>
      <c r="AZ313" t="s">
        <v>150</v>
      </c>
      <c r="BA313" t="str">
        <f>VLOOKUP($AZ313,Sheet1!$A$2:$B$58,2)</f>
        <v>Shikimate</v>
      </c>
      <c r="BB313" t="s">
        <v>195</v>
      </c>
      <c r="BC313">
        <v>173.14045999999999</v>
      </c>
      <c r="BD313">
        <v>3.8571428571428572</v>
      </c>
      <c r="BE313">
        <v>400.5</v>
      </c>
      <c r="BF313" t="s">
        <v>203</v>
      </c>
      <c r="BG313">
        <v>0</v>
      </c>
      <c r="BH313">
        <v>5.9487179487179499E-2</v>
      </c>
      <c r="BI313">
        <v>0.33002296455673502</v>
      </c>
      <c r="BJ313">
        <v>80</v>
      </c>
      <c r="BK313">
        <v>4594.0192105100195</v>
      </c>
      <c r="BL313">
        <v>3709.8361850207448</v>
      </c>
      <c r="BM313">
        <v>5.951257791580951</v>
      </c>
      <c r="BN313">
        <v>1011.713824568762</v>
      </c>
      <c r="BO313">
        <v>3582.3053859412589</v>
      </c>
    </row>
    <row r="314" spans="1:67" x14ac:dyDescent="0.25">
      <c r="A314" s="1">
        <v>312</v>
      </c>
      <c r="B314" t="s">
        <v>70</v>
      </c>
      <c r="C314" t="s">
        <v>82</v>
      </c>
      <c r="D314">
        <v>1</v>
      </c>
      <c r="E314">
        <v>0</v>
      </c>
      <c r="F314">
        <v>1</v>
      </c>
      <c r="G314">
        <v>28.009699999999999</v>
      </c>
      <c r="H314">
        <v>2</v>
      </c>
      <c r="I314" t="s">
        <v>89</v>
      </c>
      <c r="J314">
        <v>4</v>
      </c>
      <c r="K314">
        <v>300</v>
      </c>
      <c r="L314">
        <v>33.333333333333329</v>
      </c>
      <c r="N314" t="s">
        <v>91</v>
      </c>
      <c r="O314">
        <v>66.666666666666671</v>
      </c>
      <c r="P314">
        <v>0.1666666666666666</v>
      </c>
      <c r="Q314">
        <v>3.2500000000000001E-2</v>
      </c>
      <c r="R314">
        <v>77.5</v>
      </c>
      <c r="S314">
        <v>170</v>
      </c>
      <c r="T314">
        <v>20</v>
      </c>
      <c r="U314">
        <v>1812.1301775147931</v>
      </c>
      <c r="V314">
        <v>20</v>
      </c>
      <c r="W314">
        <v>0.95</v>
      </c>
      <c r="X314">
        <v>1</v>
      </c>
      <c r="Y314">
        <v>332632.48460432782</v>
      </c>
      <c r="Z314">
        <v>997897453.81298327</v>
      </c>
      <c r="AA314">
        <v>3991589815.2519331</v>
      </c>
      <c r="AB314">
        <v>3991589.8152519329</v>
      </c>
      <c r="AC314">
        <v>0</v>
      </c>
      <c r="AD314">
        <v>10342.478217360051</v>
      </c>
      <c r="AE314">
        <v>18616460.791248102</v>
      </c>
      <c r="AF314">
        <v>6205486.9304160317</v>
      </c>
      <c r="AG314">
        <v>173.81382727487389</v>
      </c>
      <c r="AH314">
        <v>1365.5173990380481</v>
      </c>
      <c r="AI314">
        <v>273.10347980760957</v>
      </c>
      <c r="AJ314">
        <v>129726.6689956878</v>
      </c>
      <c r="AK314">
        <v>854.70085470085473</v>
      </c>
      <c r="AL314" t="s">
        <v>93</v>
      </c>
      <c r="AM314">
        <v>105827.5984254487</v>
      </c>
      <c r="AN314">
        <v>3712.104647065355</v>
      </c>
      <c r="AO314">
        <v>46427.591567293617</v>
      </c>
      <c r="AP314">
        <v>240121.07292290279</v>
      </c>
      <c r="AQ314">
        <v>193693.48135560911</v>
      </c>
      <c r="AR314">
        <v>2.0905155461666668E-2</v>
      </c>
      <c r="AS314">
        <v>652.27304660158029</v>
      </c>
      <c r="AT314">
        <v>532.10716480965493</v>
      </c>
      <c r="AU314">
        <v>18.664672624298149</v>
      </c>
      <c r="AV314">
        <v>233.44056262617119</v>
      </c>
      <c r="AW314">
        <v>1207.342368390483</v>
      </c>
      <c r="AX314">
        <v>973.9018057643118</v>
      </c>
      <c r="AY314">
        <v>1.5712413913751311</v>
      </c>
      <c r="AZ314" t="s">
        <v>151</v>
      </c>
      <c r="BA314" t="str">
        <f>VLOOKUP($AZ314,Sheet1!$A$2:$B$58,2)</f>
        <v>Styrene</v>
      </c>
      <c r="BB314" t="s">
        <v>196</v>
      </c>
      <c r="BC314">
        <v>104.14832</v>
      </c>
      <c r="BD314">
        <v>5</v>
      </c>
      <c r="BE314">
        <v>145</v>
      </c>
      <c r="BF314" t="s">
        <v>203</v>
      </c>
      <c r="BG314">
        <v>0</v>
      </c>
      <c r="BH314">
        <v>4.3773584905660398E-2</v>
      </c>
      <c r="BI314">
        <v>0.14383205520504599</v>
      </c>
      <c r="BJ314">
        <v>80</v>
      </c>
      <c r="BK314">
        <v>10492.639894053031</v>
      </c>
      <c r="BL314">
        <v>8463.8800124902955</v>
      </c>
      <c r="BM314">
        <v>13.655173990380479</v>
      </c>
      <c r="BN314">
        <v>2321.379578364681</v>
      </c>
      <c r="BO314">
        <v>8171.2603156883497</v>
      </c>
    </row>
    <row r="315" spans="1:67" x14ac:dyDescent="0.25">
      <c r="A315" s="1">
        <v>313</v>
      </c>
      <c r="B315" t="s">
        <v>70</v>
      </c>
      <c r="C315" t="s">
        <v>82</v>
      </c>
      <c r="D315">
        <v>1</v>
      </c>
      <c r="E315">
        <v>0</v>
      </c>
      <c r="F315">
        <v>1</v>
      </c>
      <c r="G315">
        <v>28.009699999999999</v>
      </c>
      <c r="H315">
        <v>2</v>
      </c>
      <c r="I315" t="s">
        <v>89</v>
      </c>
      <c r="J315">
        <v>4</v>
      </c>
      <c r="K315">
        <v>300</v>
      </c>
      <c r="L315">
        <v>33.333333333333329</v>
      </c>
      <c r="N315" t="s">
        <v>91</v>
      </c>
      <c r="O315">
        <v>66.666666666666671</v>
      </c>
      <c r="P315">
        <v>0.1666666666666666</v>
      </c>
      <c r="Q315">
        <v>3.2500000000000001E-2</v>
      </c>
      <c r="R315">
        <v>77.5</v>
      </c>
      <c r="S315">
        <v>170</v>
      </c>
      <c r="T315">
        <v>20</v>
      </c>
      <c r="U315">
        <v>1812.1301775147931</v>
      </c>
      <c r="V315">
        <v>20</v>
      </c>
      <c r="W315">
        <v>0.95</v>
      </c>
      <c r="X315">
        <v>1</v>
      </c>
      <c r="Y315">
        <v>69862.668135108906</v>
      </c>
      <c r="Z315">
        <v>209588004.40532669</v>
      </c>
      <c r="AA315">
        <v>838352017.6213069</v>
      </c>
      <c r="AB315">
        <v>838352.01762130694</v>
      </c>
      <c r="AC315">
        <v>0</v>
      </c>
      <c r="AD315">
        <v>2172.2265768886282</v>
      </c>
      <c r="AE315">
        <v>3910007.8383995299</v>
      </c>
      <c r="AF315">
        <v>1303335.946133177</v>
      </c>
      <c r="AG315">
        <v>36.506048850406437</v>
      </c>
      <c r="AH315">
        <v>286.79907494660551</v>
      </c>
      <c r="AI315">
        <v>57.359814989321087</v>
      </c>
      <c r="AJ315">
        <v>27246.440572692482</v>
      </c>
      <c r="AK315">
        <v>854.70085470085473</v>
      </c>
      <c r="AL315" t="s">
        <v>93</v>
      </c>
      <c r="AM315">
        <v>22226.928308361919</v>
      </c>
      <c r="AN315">
        <v>779.65185916585699</v>
      </c>
      <c r="AO315">
        <v>9751.1685481845852</v>
      </c>
      <c r="AP315">
        <v>51107.721594921109</v>
      </c>
      <c r="AQ315">
        <v>41356.553046736517</v>
      </c>
      <c r="AR315">
        <v>2.0905155461666679E-2</v>
      </c>
      <c r="AS315">
        <v>652.2730466015804</v>
      </c>
      <c r="AT315">
        <v>532.10716480965493</v>
      </c>
      <c r="AU315">
        <v>18.664672624298149</v>
      </c>
      <c r="AV315">
        <v>233.44056262617119</v>
      </c>
      <c r="AW315">
        <v>1223.5062110459851</v>
      </c>
      <c r="AX315">
        <v>990.06564841981378</v>
      </c>
      <c r="AY315">
        <v>1.5712413913751311</v>
      </c>
      <c r="AZ315" t="s">
        <v>152</v>
      </c>
      <c r="BA315" t="str">
        <f>VLOOKUP($AZ315,Sheet1!$A$2:$B$58,2)</f>
        <v>Succinate</v>
      </c>
      <c r="BB315" t="s">
        <v>197</v>
      </c>
      <c r="BC315">
        <v>116.07016</v>
      </c>
      <c r="BD315">
        <v>3</v>
      </c>
      <c r="BE315">
        <v>235</v>
      </c>
      <c r="BF315" t="s">
        <v>203</v>
      </c>
      <c r="BG315">
        <v>0</v>
      </c>
      <c r="BH315">
        <v>0.17846153846153801</v>
      </c>
      <c r="BI315">
        <v>0.68481801748648197</v>
      </c>
      <c r="BJ315">
        <v>80</v>
      </c>
      <c r="BK315">
        <v>2233.2688754610208</v>
      </c>
      <c r="BL315">
        <v>1807.1692463161521</v>
      </c>
      <c r="BM315">
        <v>2.8679907494660548</v>
      </c>
      <c r="BN315">
        <v>487.5584274092293</v>
      </c>
      <c r="BO315">
        <v>1745.710448051791</v>
      </c>
    </row>
    <row r="316" spans="1:67" x14ac:dyDescent="0.25">
      <c r="A316" s="1">
        <v>314</v>
      </c>
      <c r="B316" t="s">
        <v>71</v>
      </c>
      <c r="C316" t="s">
        <v>83</v>
      </c>
      <c r="D316">
        <v>2</v>
      </c>
      <c r="E316">
        <v>6</v>
      </c>
      <c r="F316">
        <v>2</v>
      </c>
      <c r="G316">
        <v>62.06644</v>
      </c>
      <c r="H316">
        <v>10</v>
      </c>
      <c r="I316" t="s">
        <v>89</v>
      </c>
      <c r="J316">
        <v>2</v>
      </c>
      <c r="K316">
        <v>20</v>
      </c>
      <c r="L316">
        <v>60</v>
      </c>
      <c r="N316" t="s">
        <v>90</v>
      </c>
      <c r="O316">
        <v>40</v>
      </c>
      <c r="P316">
        <v>0.32</v>
      </c>
      <c r="Q316">
        <v>3.2500000000000001E-2</v>
      </c>
      <c r="R316">
        <v>77.5</v>
      </c>
      <c r="S316">
        <v>170</v>
      </c>
      <c r="T316">
        <v>50</v>
      </c>
      <c r="U316">
        <v>1812.1301775147931</v>
      </c>
      <c r="V316">
        <v>20</v>
      </c>
      <c r="W316">
        <v>0.95</v>
      </c>
      <c r="X316">
        <v>1</v>
      </c>
      <c r="Y316">
        <v>1826568.57285034</v>
      </c>
      <c r="Z316">
        <v>365313714.570068</v>
      </c>
      <c r="AA316">
        <v>730627429.140136</v>
      </c>
      <c r="AB316">
        <v>730627.429140136</v>
      </c>
      <c r="AC316">
        <v>0</v>
      </c>
      <c r="AD316">
        <v>3786.2098164566528</v>
      </c>
      <c r="AE316">
        <v>1363035.533924395</v>
      </c>
      <c r="AF316">
        <v>817821.32035463699</v>
      </c>
      <c r="AG316">
        <v>50.759257910511863</v>
      </c>
      <c r="AH316">
        <v>383.91804062728079</v>
      </c>
      <c r="AI316">
        <v>191.95902031364039</v>
      </c>
      <c r="AJ316">
        <v>23745.391447054419</v>
      </c>
      <c r="AK316">
        <v>854.70085470085473</v>
      </c>
      <c r="AL316" t="s">
        <v>93</v>
      </c>
      <c r="AM316">
        <v>29753.648148614258</v>
      </c>
      <c r="AN316">
        <v>20384.099573217271</v>
      </c>
      <c r="AO316">
        <v>32633.033453318869</v>
      </c>
      <c r="AP316">
        <v>74737.840023586818</v>
      </c>
      <c r="AQ316">
        <v>42104.806570267952</v>
      </c>
      <c r="AR316">
        <v>2.9034938141203701E-2</v>
      </c>
      <c r="AS316">
        <v>467.80414892820829</v>
      </c>
      <c r="AT316">
        <v>586.17185068130209</v>
      </c>
      <c r="AU316">
        <v>401.5838767610486</v>
      </c>
      <c r="AV316">
        <v>642.8981588117507</v>
      </c>
      <c r="AW316">
        <v>1472.39820084346</v>
      </c>
      <c r="AX316">
        <v>829.50004203170909</v>
      </c>
      <c r="AY316">
        <v>3.7817538753632398</v>
      </c>
      <c r="AZ316" t="s">
        <v>96</v>
      </c>
      <c r="BA316" t="str">
        <f>VLOOKUP($AZ316,Sheet1!$A$2:$B$58,2)</f>
        <v>1,3-Butanediol (PW1)</v>
      </c>
      <c r="BB316" t="s">
        <v>153</v>
      </c>
      <c r="BC316">
        <v>90.119200000000006</v>
      </c>
      <c r="BD316">
        <v>5.5</v>
      </c>
      <c r="BE316">
        <v>207</v>
      </c>
      <c r="BF316" t="s">
        <v>204</v>
      </c>
      <c r="BG316">
        <v>0.92597434713339066</v>
      </c>
      <c r="BH316">
        <v>0.33920634920634901</v>
      </c>
      <c r="BI316">
        <v>0.49252099083234802</v>
      </c>
      <c r="BJ316">
        <v>80</v>
      </c>
      <c r="BK316">
        <v>3736.8920011793412</v>
      </c>
      <c r="BL316">
        <v>2105.2403285133969</v>
      </c>
      <c r="BM316">
        <v>8.6719766685486306</v>
      </c>
      <c r="BN316">
        <v>1474.236033653267</v>
      </c>
      <c r="BO316">
        <v>2262.6559675260728</v>
      </c>
    </row>
    <row r="317" spans="1:67" x14ac:dyDescent="0.25">
      <c r="A317" s="1">
        <v>315</v>
      </c>
      <c r="B317" t="s">
        <v>71</v>
      </c>
      <c r="C317" t="s">
        <v>83</v>
      </c>
      <c r="D317">
        <v>2</v>
      </c>
      <c r="E317">
        <v>6</v>
      </c>
      <c r="F317">
        <v>2</v>
      </c>
      <c r="G317">
        <v>62.06644</v>
      </c>
      <c r="H317">
        <v>10</v>
      </c>
      <c r="I317" t="s">
        <v>89</v>
      </c>
      <c r="J317">
        <v>2</v>
      </c>
      <c r="K317">
        <v>20</v>
      </c>
      <c r="L317">
        <v>60</v>
      </c>
      <c r="N317" t="s">
        <v>90</v>
      </c>
      <c r="O317">
        <v>40</v>
      </c>
      <c r="P317">
        <v>0.32</v>
      </c>
      <c r="Q317">
        <v>3.2500000000000001E-2</v>
      </c>
      <c r="R317">
        <v>77.5</v>
      </c>
      <c r="S317">
        <v>170</v>
      </c>
      <c r="T317">
        <v>50</v>
      </c>
      <c r="U317">
        <v>1812.1301775147931</v>
      </c>
      <c r="V317">
        <v>20</v>
      </c>
      <c r="W317">
        <v>0.95</v>
      </c>
      <c r="X317">
        <v>1</v>
      </c>
      <c r="Y317">
        <v>1797575.4209003381</v>
      </c>
      <c r="Z317">
        <v>359515084.1800676</v>
      </c>
      <c r="AA317">
        <v>719030168.3601352</v>
      </c>
      <c r="AB317">
        <v>719030.16836013517</v>
      </c>
      <c r="AC317">
        <v>0</v>
      </c>
      <c r="AD317">
        <v>3726.1112479414751</v>
      </c>
      <c r="AE317">
        <v>1341400.0492589311</v>
      </c>
      <c r="AF317">
        <v>804840.02955535846</v>
      </c>
      <c r="AG317">
        <v>49.953555403995878</v>
      </c>
      <c r="AH317">
        <v>377.82410347446751</v>
      </c>
      <c r="AI317">
        <v>188.91205173723381</v>
      </c>
      <c r="AJ317">
        <v>23368.480471704399</v>
      </c>
      <c r="AK317">
        <v>854.70085470085473</v>
      </c>
      <c r="AL317" t="s">
        <v>93</v>
      </c>
      <c r="AM317">
        <v>29281.368019271231</v>
      </c>
      <c r="AN317">
        <v>20060.5424371345</v>
      </c>
      <c r="AO317">
        <v>32115.048795329742</v>
      </c>
      <c r="AP317">
        <v>73565.091782810981</v>
      </c>
      <c r="AQ317">
        <v>41450.04298748124</v>
      </c>
      <c r="AR317">
        <v>2.9034938141203701E-2</v>
      </c>
      <c r="AS317">
        <v>467.80414892820829</v>
      </c>
      <c r="AT317">
        <v>586.17185068130209</v>
      </c>
      <c r="AU317">
        <v>401.58387676104871</v>
      </c>
      <c r="AV317">
        <v>642.89815881175082</v>
      </c>
      <c r="AW317">
        <v>1472.6697867220551</v>
      </c>
      <c r="AX317">
        <v>829.77162791030423</v>
      </c>
      <c r="AY317">
        <v>3.7817538753632398</v>
      </c>
      <c r="AZ317" t="s">
        <v>97</v>
      </c>
      <c r="BA317" t="str">
        <f>VLOOKUP($AZ317,Sheet1!$A$2:$B$58,2)</f>
        <v>1,3-Butanediol (PW2)</v>
      </c>
      <c r="BB317" t="s">
        <v>153</v>
      </c>
      <c r="BC317">
        <v>90.119200000000006</v>
      </c>
      <c r="BD317">
        <v>5.5</v>
      </c>
      <c r="BE317">
        <v>207</v>
      </c>
      <c r="BF317" t="s">
        <v>204</v>
      </c>
      <c r="BG317">
        <v>0.88026978903203734</v>
      </c>
      <c r="BH317">
        <v>0.34467741935483898</v>
      </c>
      <c r="BI317">
        <v>0.50046487778125603</v>
      </c>
      <c r="BJ317">
        <v>80</v>
      </c>
      <c r="BK317">
        <v>3678.254589140548</v>
      </c>
      <c r="BL317">
        <v>2072.5021493740619</v>
      </c>
      <c r="BM317">
        <v>8.5653327978296492</v>
      </c>
      <c r="BN317">
        <v>1456.10657563104</v>
      </c>
      <c r="BO317">
        <v>2222.148013509508</v>
      </c>
    </row>
    <row r="318" spans="1:67" x14ac:dyDescent="0.25">
      <c r="A318" s="1">
        <v>316</v>
      </c>
      <c r="B318" t="s">
        <v>71</v>
      </c>
      <c r="C318" t="s">
        <v>83</v>
      </c>
      <c r="D318">
        <v>2</v>
      </c>
      <c r="E318">
        <v>6</v>
      </c>
      <c r="F318">
        <v>2</v>
      </c>
      <c r="G318">
        <v>62.06644</v>
      </c>
      <c r="H318">
        <v>10</v>
      </c>
      <c r="I318" t="s">
        <v>89</v>
      </c>
      <c r="J318">
        <v>2</v>
      </c>
      <c r="K318">
        <v>20</v>
      </c>
      <c r="L318">
        <v>60</v>
      </c>
      <c r="N318" t="s">
        <v>90</v>
      </c>
      <c r="O318">
        <v>40</v>
      </c>
      <c r="P318">
        <v>0.32</v>
      </c>
      <c r="Q318">
        <v>3.2500000000000001E-2</v>
      </c>
      <c r="R318">
        <v>77.5</v>
      </c>
      <c r="S318">
        <v>170</v>
      </c>
      <c r="T318">
        <v>50</v>
      </c>
      <c r="U318">
        <v>1812.1301775147931</v>
      </c>
      <c r="V318">
        <v>20</v>
      </c>
      <c r="W318">
        <v>0.95</v>
      </c>
      <c r="X318">
        <v>1</v>
      </c>
      <c r="Y318">
        <v>1625427.9216632571</v>
      </c>
      <c r="Z318">
        <v>325085584.33265138</v>
      </c>
      <c r="AA318">
        <v>650171168.66530287</v>
      </c>
      <c r="AB318">
        <v>650171.16866530292</v>
      </c>
      <c r="AC318">
        <v>0</v>
      </c>
      <c r="AD318">
        <v>3369.274630265088</v>
      </c>
      <c r="AE318">
        <v>1212938.8668954319</v>
      </c>
      <c r="AF318">
        <v>727763.32013725908</v>
      </c>
      <c r="AG318">
        <v>45.169678443499983</v>
      </c>
      <c r="AH318">
        <v>341.64121300523487</v>
      </c>
      <c r="AI318">
        <v>170.82060650261741</v>
      </c>
      <c r="AJ318">
        <v>21130.562981622341</v>
      </c>
      <c r="AK318">
        <v>854.70085470085473</v>
      </c>
      <c r="AL318" t="s">
        <v>93</v>
      </c>
      <c r="AM318">
        <v>26477.194007905699</v>
      </c>
      <c r="AN318">
        <v>18139.414581390691</v>
      </c>
      <c r="AO318">
        <v>29039.503105444961</v>
      </c>
      <c r="AP318">
        <v>66601.8724256196</v>
      </c>
      <c r="AQ318">
        <v>37562.369320174643</v>
      </c>
      <c r="AR318">
        <v>2.9034938141203701E-2</v>
      </c>
      <c r="AS318">
        <v>467.80414892820818</v>
      </c>
      <c r="AT318">
        <v>586.17185068130198</v>
      </c>
      <c r="AU318">
        <v>401.58387676104871</v>
      </c>
      <c r="AV318">
        <v>642.8981588117507</v>
      </c>
      <c r="AW318">
        <v>1474.4818807804411</v>
      </c>
      <c r="AX318">
        <v>831.58372196869016</v>
      </c>
      <c r="AY318">
        <v>3.7817538753632389</v>
      </c>
      <c r="AZ318" t="s">
        <v>98</v>
      </c>
      <c r="BA318" t="str">
        <f>VLOOKUP($AZ318,Sheet1!$A$2:$B$58,2)</f>
        <v>1,3-Diaminopropane</v>
      </c>
      <c r="BB318" t="s">
        <v>154</v>
      </c>
      <c r="BC318">
        <v>76.139580000000009</v>
      </c>
      <c r="BD318">
        <v>6</v>
      </c>
      <c r="BE318">
        <v>139.30000000000001</v>
      </c>
      <c r="BF318" t="s">
        <v>204</v>
      </c>
      <c r="BG318">
        <v>0.82825863038257663</v>
      </c>
      <c r="BH318">
        <v>0.451168831168831</v>
      </c>
      <c r="BI318">
        <v>0.55346862898904603</v>
      </c>
      <c r="BJ318">
        <v>80</v>
      </c>
      <c r="BK318">
        <v>3330.0936212809788</v>
      </c>
      <c r="BL318">
        <v>1878.118466008731</v>
      </c>
      <c r="BM318">
        <v>7.7127716947482936</v>
      </c>
      <c r="BN318">
        <v>1311.1711881072099</v>
      </c>
      <c r="BO318">
        <v>2018.9224331737689</v>
      </c>
    </row>
    <row r="319" spans="1:67" x14ac:dyDescent="0.25">
      <c r="A319" s="1">
        <v>317</v>
      </c>
      <c r="B319" t="s">
        <v>71</v>
      </c>
      <c r="C319" t="s">
        <v>83</v>
      </c>
      <c r="D319">
        <v>2</v>
      </c>
      <c r="E319">
        <v>6</v>
      </c>
      <c r="F319">
        <v>2</v>
      </c>
      <c r="G319">
        <v>62.06644</v>
      </c>
      <c r="H319">
        <v>10</v>
      </c>
      <c r="I319" t="s">
        <v>89</v>
      </c>
      <c r="J319">
        <v>2</v>
      </c>
      <c r="K319">
        <v>20</v>
      </c>
      <c r="L319">
        <v>60</v>
      </c>
      <c r="N319" t="s">
        <v>90</v>
      </c>
      <c r="O319">
        <v>40</v>
      </c>
      <c r="P319">
        <v>0.32</v>
      </c>
      <c r="Q319">
        <v>3.2500000000000001E-2</v>
      </c>
      <c r="R319">
        <v>77.5</v>
      </c>
      <c r="S319">
        <v>170</v>
      </c>
      <c r="T319">
        <v>50</v>
      </c>
      <c r="U319">
        <v>1812.1301775147931</v>
      </c>
      <c r="V319">
        <v>20</v>
      </c>
      <c r="W319">
        <v>0.95</v>
      </c>
      <c r="X319">
        <v>1</v>
      </c>
      <c r="Y319">
        <v>1503289.247124542</v>
      </c>
      <c r="Z319">
        <v>300657849.4249084</v>
      </c>
      <c r="AA319">
        <v>601315698.8498168</v>
      </c>
      <c r="AB319">
        <v>601315.69884981681</v>
      </c>
      <c r="AC319">
        <v>0</v>
      </c>
      <c r="AD319">
        <v>3116.0990006275701</v>
      </c>
      <c r="AE319">
        <v>1121795.640225925</v>
      </c>
      <c r="AF319">
        <v>673077.38413555513</v>
      </c>
      <c r="AG319">
        <v>41.775517077806377</v>
      </c>
      <c r="AH319">
        <v>315.96944720859511</v>
      </c>
      <c r="AI319">
        <v>157.9847236042975</v>
      </c>
      <c r="AJ319">
        <v>19542.76021261905</v>
      </c>
      <c r="AK319">
        <v>854.70085470085473</v>
      </c>
      <c r="AL319" t="s">
        <v>93</v>
      </c>
      <c r="AM319">
        <v>24487.632158666122</v>
      </c>
      <c r="AN319">
        <v>16776.374101802881</v>
      </c>
      <c r="AO319">
        <v>26857.403012730581</v>
      </c>
      <c r="AP319">
        <v>61661.467327788901</v>
      </c>
      <c r="AQ319">
        <v>34804.06431505832</v>
      </c>
      <c r="AR319">
        <v>2.9034938141203701E-2</v>
      </c>
      <c r="AS319">
        <v>467.80414892820829</v>
      </c>
      <c r="AT319">
        <v>586.1718506813022</v>
      </c>
      <c r="AU319">
        <v>401.5838767610486</v>
      </c>
      <c r="AV319">
        <v>642.89815881175093</v>
      </c>
      <c r="AW319">
        <v>1476.0192486174419</v>
      </c>
      <c r="AX319">
        <v>833.12108980569099</v>
      </c>
      <c r="AY319">
        <v>3.7817538753632398</v>
      </c>
      <c r="AZ319" t="s">
        <v>99</v>
      </c>
      <c r="BA319" t="str">
        <f>VLOOKUP($AZ319,Sheet1!$A$2:$B$58,2)</f>
        <v>1,3-Propanediol</v>
      </c>
      <c r="BB319" t="s">
        <v>155</v>
      </c>
      <c r="BC319">
        <v>76.092820000000003</v>
      </c>
      <c r="BD319">
        <v>5.333333333333333</v>
      </c>
      <c r="BE319">
        <v>213</v>
      </c>
      <c r="BF319" t="s">
        <v>204</v>
      </c>
      <c r="BG319">
        <v>0.63465466587045538</v>
      </c>
      <c r="BH319">
        <v>0.48812500000000097</v>
      </c>
      <c r="BI319">
        <v>0.59843663822132498</v>
      </c>
      <c r="BJ319">
        <v>80</v>
      </c>
      <c r="BK319">
        <v>3083.0733663894439</v>
      </c>
      <c r="BL319">
        <v>1740.203215752915</v>
      </c>
      <c r="BM319">
        <v>7.2645815143444201</v>
      </c>
      <c r="BN319">
        <v>1234.9788574385509</v>
      </c>
      <c r="BO319">
        <v>1848.094508950893</v>
      </c>
    </row>
    <row r="320" spans="1:67" x14ac:dyDescent="0.25">
      <c r="A320" s="1">
        <v>318</v>
      </c>
      <c r="B320" t="s">
        <v>71</v>
      </c>
      <c r="C320" t="s">
        <v>83</v>
      </c>
      <c r="D320">
        <v>2</v>
      </c>
      <c r="E320">
        <v>6</v>
      </c>
      <c r="F320">
        <v>2</v>
      </c>
      <c r="G320">
        <v>62.06644</v>
      </c>
      <c r="H320">
        <v>10</v>
      </c>
      <c r="I320" t="s">
        <v>89</v>
      </c>
      <c r="J320">
        <v>2</v>
      </c>
      <c r="K320">
        <v>20</v>
      </c>
      <c r="L320">
        <v>60</v>
      </c>
      <c r="N320" t="s">
        <v>90</v>
      </c>
      <c r="O320">
        <v>40</v>
      </c>
      <c r="P320">
        <v>0.32</v>
      </c>
      <c r="Q320">
        <v>3.2500000000000001E-2</v>
      </c>
      <c r="R320">
        <v>77.5</v>
      </c>
      <c r="S320">
        <v>170</v>
      </c>
      <c r="T320">
        <v>50</v>
      </c>
      <c r="U320">
        <v>1812.1301775147931</v>
      </c>
      <c r="V320">
        <v>20</v>
      </c>
      <c r="W320">
        <v>0.95</v>
      </c>
      <c r="X320">
        <v>1</v>
      </c>
      <c r="Y320">
        <v>1658643.6418238441</v>
      </c>
      <c r="Z320">
        <v>331728728.3647688</v>
      </c>
      <c r="AA320">
        <v>663457456.72953761</v>
      </c>
      <c r="AB320">
        <v>663457.45672953757</v>
      </c>
      <c r="AC320">
        <v>0</v>
      </c>
      <c r="AD320">
        <v>3438.1259658251001</v>
      </c>
      <c r="AE320">
        <v>1237725.3476970361</v>
      </c>
      <c r="AF320">
        <v>742635.20861822146</v>
      </c>
      <c r="AG320">
        <v>46.092723617590323</v>
      </c>
      <c r="AH320">
        <v>348.62267233373802</v>
      </c>
      <c r="AI320">
        <v>174.31133616686901</v>
      </c>
      <c r="AJ320">
        <v>21562.367343709971</v>
      </c>
      <c r="AK320">
        <v>854.70085470085473</v>
      </c>
      <c r="AL320" t="s">
        <v>93</v>
      </c>
      <c r="AM320">
        <v>27018.25710586469</v>
      </c>
      <c r="AN320">
        <v>18510.094640827479</v>
      </c>
      <c r="AO320">
        <v>29632.927148367729</v>
      </c>
      <c r="AP320">
        <v>67945.419945103</v>
      </c>
      <c r="AQ320">
        <v>38312.492796735271</v>
      </c>
      <c r="AR320">
        <v>2.9034938141203712E-2</v>
      </c>
      <c r="AS320">
        <v>467.80414892820829</v>
      </c>
      <c r="AT320">
        <v>586.17185068130243</v>
      </c>
      <c r="AU320">
        <v>401.58387676104883</v>
      </c>
      <c r="AV320">
        <v>642.89815881175093</v>
      </c>
      <c r="AW320">
        <v>1474.102951884862</v>
      </c>
      <c r="AX320">
        <v>831.20479307311109</v>
      </c>
      <c r="AY320">
        <v>3.7817538753632411</v>
      </c>
      <c r="AZ320" t="s">
        <v>100</v>
      </c>
      <c r="BA320" t="str">
        <f>VLOOKUP($AZ320,Sheet1!$A$2:$B$58,2)</f>
        <v>1,4-Butanediol</v>
      </c>
      <c r="BB320" t="s">
        <v>153</v>
      </c>
      <c r="BC320">
        <v>90.119200000000006</v>
      </c>
      <c r="BD320">
        <v>5.5</v>
      </c>
      <c r="BE320">
        <v>230</v>
      </c>
      <c r="BF320" t="s">
        <v>204</v>
      </c>
      <c r="BG320">
        <v>0.66125891433048234</v>
      </c>
      <c r="BH320">
        <v>0.37354838709677401</v>
      </c>
      <c r="BI320">
        <v>0.54238495879335002</v>
      </c>
      <c r="BJ320">
        <v>80</v>
      </c>
      <c r="BK320">
        <v>3397.2709972551488</v>
      </c>
      <c r="BL320">
        <v>1915.624639836763</v>
      </c>
      <c r="BM320">
        <v>8.0543078940129682</v>
      </c>
      <c r="BN320">
        <v>1369.2323419822051</v>
      </c>
      <c r="BO320">
        <v>2028.0386552729451</v>
      </c>
    </row>
    <row r="321" spans="1:67" x14ac:dyDescent="0.25">
      <c r="A321" s="1">
        <v>319</v>
      </c>
      <c r="B321" t="s">
        <v>71</v>
      </c>
      <c r="C321" t="s">
        <v>83</v>
      </c>
      <c r="D321">
        <v>2</v>
      </c>
      <c r="E321">
        <v>6</v>
      </c>
      <c r="F321">
        <v>2</v>
      </c>
      <c r="G321">
        <v>62.06644</v>
      </c>
      <c r="H321">
        <v>10</v>
      </c>
      <c r="I321" t="s">
        <v>89</v>
      </c>
      <c r="J321">
        <v>2</v>
      </c>
      <c r="K321">
        <v>20</v>
      </c>
      <c r="L321">
        <v>60</v>
      </c>
      <c r="N321" t="s">
        <v>90</v>
      </c>
      <c r="O321">
        <v>40</v>
      </c>
      <c r="P321">
        <v>0.32</v>
      </c>
      <c r="Q321">
        <v>3.2500000000000001E-2</v>
      </c>
      <c r="R321">
        <v>77.5</v>
      </c>
      <c r="S321">
        <v>170</v>
      </c>
      <c r="T321">
        <v>50</v>
      </c>
      <c r="U321">
        <v>1812.1301775147931</v>
      </c>
      <c r="V321">
        <v>20</v>
      </c>
      <c r="W321">
        <v>0.95</v>
      </c>
      <c r="X321">
        <v>1</v>
      </c>
      <c r="Y321">
        <v>2110622.3152309139</v>
      </c>
      <c r="Z321">
        <v>422124463.04618281</v>
      </c>
      <c r="AA321">
        <v>844248926.09236562</v>
      </c>
      <c r="AB321">
        <v>844248.92609236564</v>
      </c>
      <c r="AC321">
        <v>0</v>
      </c>
      <c r="AD321">
        <v>4375.0117282974397</v>
      </c>
      <c r="AE321">
        <v>1575004.2221870781</v>
      </c>
      <c r="AF321">
        <v>945002.53331224702</v>
      </c>
      <c r="AG321">
        <v>58.652943033672578</v>
      </c>
      <c r="AH321">
        <v>443.62198923810121</v>
      </c>
      <c r="AI321">
        <v>221.8109946190506</v>
      </c>
      <c r="AJ321">
        <v>27438.090098001889</v>
      </c>
      <c r="AK321">
        <v>854.70085470085473</v>
      </c>
      <c r="AL321" t="s">
        <v>93</v>
      </c>
      <c r="AM321">
        <v>34380.70416595284</v>
      </c>
      <c r="AN321">
        <v>23554.076246907181</v>
      </c>
      <c r="AO321">
        <v>37707.869085238613</v>
      </c>
      <c r="AP321">
        <v>86227.571365562762</v>
      </c>
      <c r="AQ321">
        <v>48519.702280324163</v>
      </c>
      <c r="AR321">
        <v>2.9034938141203701E-2</v>
      </c>
      <c r="AS321">
        <v>467.80414892820829</v>
      </c>
      <c r="AT321">
        <v>586.17185068130198</v>
      </c>
      <c r="AU321">
        <v>401.58387676104871</v>
      </c>
      <c r="AV321">
        <v>642.8981588117507</v>
      </c>
      <c r="AW321">
        <v>1470.132049743175</v>
      </c>
      <c r="AX321">
        <v>827.23389093142475</v>
      </c>
      <c r="AY321">
        <v>3.7817538753632398</v>
      </c>
      <c r="AZ321" t="s">
        <v>101</v>
      </c>
      <c r="BA321" t="str">
        <f>VLOOKUP($AZ321,Sheet1!$A$2:$B$58,2)</f>
        <v>1-Propanol (PW1)</v>
      </c>
      <c r="BB321" t="s">
        <v>156</v>
      </c>
      <c r="BC321">
        <v>60.093820000000001</v>
      </c>
      <c r="BD321">
        <v>6</v>
      </c>
      <c r="BE321">
        <v>97</v>
      </c>
      <c r="BF321" t="s">
        <v>204</v>
      </c>
      <c r="BG321">
        <v>1.130102540107158</v>
      </c>
      <c r="BH321">
        <v>0.44022727272727302</v>
      </c>
      <c r="BI321">
        <v>0.42623607114902201</v>
      </c>
      <c r="BJ321">
        <v>80</v>
      </c>
      <c r="BK321">
        <v>4311.3785682781381</v>
      </c>
      <c r="BL321">
        <v>2425.9851140162091</v>
      </c>
      <c r="BM321">
        <v>9.9604471908453736</v>
      </c>
      <c r="BN321">
        <v>1693.2760224437141</v>
      </c>
      <c r="BO321">
        <v>2618.1025458344252</v>
      </c>
    </row>
    <row r="322" spans="1:67" x14ac:dyDescent="0.25">
      <c r="A322" s="1">
        <v>320</v>
      </c>
      <c r="B322" t="s">
        <v>71</v>
      </c>
      <c r="C322" t="s">
        <v>83</v>
      </c>
      <c r="D322">
        <v>2</v>
      </c>
      <c r="E322">
        <v>6</v>
      </c>
      <c r="F322">
        <v>2</v>
      </c>
      <c r="G322">
        <v>62.06644</v>
      </c>
      <c r="H322">
        <v>10</v>
      </c>
      <c r="I322" t="s">
        <v>89</v>
      </c>
      <c r="J322">
        <v>2</v>
      </c>
      <c r="K322">
        <v>20</v>
      </c>
      <c r="L322">
        <v>60</v>
      </c>
      <c r="N322" t="s">
        <v>90</v>
      </c>
      <c r="O322">
        <v>40</v>
      </c>
      <c r="P322">
        <v>0.32</v>
      </c>
      <c r="Q322">
        <v>3.2500000000000001E-2</v>
      </c>
      <c r="R322">
        <v>77.5</v>
      </c>
      <c r="S322">
        <v>170</v>
      </c>
      <c r="T322">
        <v>50</v>
      </c>
      <c r="U322">
        <v>1812.1301775147931</v>
      </c>
      <c r="V322">
        <v>20</v>
      </c>
      <c r="W322">
        <v>0.95</v>
      </c>
      <c r="X322">
        <v>1</v>
      </c>
      <c r="Y322">
        <v>2353641.580081908</v>
      </c>
      <c r="Z322">
        <v>470728316.01638162</v>
      </c>
      <c r="AA322">
        <v>941456632.03276312</v>
      </c>
      <c r="AB322">
        <v>941456.6320327631</v>
      </c>
      <c r="AC322">
        <v>0</v>
      </c>
      <c r="AD322">
        <v>4878.7551627588527</v>
      </c>
      <c r="AE322">
        <v>1756351.8585931871</v>
      </c>
      <c r="AF322">
        <v>1053811.115155912</v>
      </c>
      <c r="AG322">
        <v>65.406304350157512</v>
      </c>
      <c r="AH322">
        <v>494.70108989879151</v>
      </c>
      <c r="AI322">
        <v>247.3505449493957</v>
      </c>
      <c r="AJ322">
        <v>30597.340541064801</v>
      </c>
      <c r="AK322">
        <v>854.70085470085473</v>
      </c>
      <c r="AL322" t="s">
        <v>93</v>
      </c>
      <c r="AM322">
        <v>38339.334467156339</v>
      </c>
      <c r="AN322">
        <v>26266.117265549299</v>
      </c>
      <c r="AO322">
        <v>42049.59264139727</v>
      </c>
      <c r="AP322">
        <v>96057.493128471295</v>
      </c>
      <c r="AQ322">
        <v>54007.900487074017</v>
      </c>
      <c r="AR322">
        <v>2.9034938141203701E-2</v>
      </c>
      <c r="AS322">
        <v>467.80414892820818</v>
      </c>
      <c r="AT322">
        <v>586.17185068130209</v>
      </c>
      <c r="AU322">
        <v>401.5838767610486</v>
      </c>
      <c r="AV322">
        <v>642.8981588117507</v>
      </c>
      <c r="AW322">
        <v>1468.627437107903</v>
      </c>
      <c r="AX322">
        <v>825.72927829615185</v>
      </c>
      <c r="AY322">
        <v>3.7817538753632398</v>
      </c>
      <c r="AZ322" t="s">
        <v>102</v>
      </c>
      <c r="BA322" t="str">
        <f>VLOOKUP($AZ322,Sheet1!$A$2:$B$58,2)</f>
        <v>1-Propanol (PW2)</v>
      </c>
      <c r="BB322" t="s">
        <v>156</v>
      </c>
      <c r="BC322">
        <v>60.093820000000001</v>
      </c>
      <c r="BD322">
        <v>6</v>
      </c>
      <c r="BE322">
        <v>97</v>
      </c>
      <c r="BF322" t="s">
        <v>204</v>
      </c>
      <c r="BG322">
        <v>1.5131960419548649</v>
      </c>
      <c r="BH322">
        <v>0.394772727272728</v>
      </c>
      <c r="BI322">
        <v>0.382226151567296</v>
      </c>
      <c r="BJ322">
        <v>80</v>
      </c>
      <c r="BK322">
        <v>4802.8746564235644</v>
      </c>
      <c r="BL322">
        <v>2700.395024353701</v>
      </c>
      <c r="BM322">
        <v>10.854331205514921</v>
      </c>
      <c r="BN322">
        <v>1845.2363049375369</v>
      </c>
      <c r="BO322">
        <v>2957.6383514860272</v>
      </c>
    </row>
    <row r="323" spans="1:67" x14ac:dyDescent="0.25">
      <c r="A323" s="1">
        <v>321</v>
      </c>
      <c r="B323" t="s">
        <v>71</v>
      </c>
      <c r="C323" t="s">
        <v>83</v>
      </c>
      <c r="D323">
        <v>2</v>
      </c>
      <c r="E323">
        <v>6</v>
      </c>
      <c r="F323">
        <v>2</v>
      </c>
      <c r="G323">
        <v>62.06644</v>
      </c>
      <c r="H323">
        <v>10</v>
      </c>
      <c r="I323" t="s">
        <v>89</v>
      </c>
      <c r="J323">
        <v>2</v>
      </c>
      <c r="K323">
        <v>20</v>
      </c>
      <c r="L323">
        <v>60</v>
      </c>
      <c r="N323" t="s">
        <v>90</v>
      </c>
      <c r="O323">
        <v>40</v>
      </c>
      <c r="P323">
        <v>0.32</v>
      </c>
      <c r="Q323">
        <v>3.2500000000000001E-2</v>
      </c>
      <c r="R323">
        <v>77.5</v>
      </c>
      <c r="S323">
        <v>170</v>
      </c>
      <c r="T323">
        <v>50</v>
      </c>
      <c r="U323">
        <v>1812.1301775147931</v>
      </c>
      <c r="V323">
        <v>20</v>
      </c>
      <c r="W323">
        <v>0.95</v>
      </c>
      <c r="X323">
        <v>1</v>
      </c>
      <c r="Y323">
        <v>1828007.213827735</v>
      </c>
      <c r="Z323">
        <v>365601442.76554698</v>
      </c>
      <c r="AA323">
        <v>731202885.53109407</v>
      </c>
      <c r="AB323">
        <v>731202.88553109404</v>
      </c>
      <c r="AC323">
        <v>0</v>
      </c>
      <c r="AD323">
        <v>3789.1919090383021</v>
      </c>
      <c r="AE323">
        <v>1364109.087253789</v>
      </c>
      <c r="AF323">
        <v>818465.45235227316</v>
      </c>
      <c r="AG323">
        <v>50.799236890495223</v>
      </c>
      <c r="AH323">
        <v>384.22042195225112</v>
      </c>
      <c r="AI323">
        <v>192.1102109761255</v>
      </c>
      <c r="AJ323">
        <v>23764.093779760558</v>
      </c>
      <c r="AK323">
        <v>854.70085470085473</v>
      </c>
      <c r="AL323" t="s">
        <v>93</v>
      </c>
      <c r="AM323">
        <v>29777.08270129946</v>
      </c>
      <c r="AN323">
        <v>20400.154486987951</v>
      </c>
      <c r="AO323">
        <v>32658.73586594134</v>
      </c>
      <c r="AP323">
        <v>74796.031822748817</v>
      </c>
      <c r="AQ323">
        <v>42137.295956807473</v>
      </c>
      <c r="AR323">
        <v>2.9034938141203701E-2</v>
      </c>
      <c r="AS323">
        <v>467.80414892820829</v>
      </c>
      <c r="AT323">
        <v>586.17185068130198</v>
      </c>
      <c r="AU323">
        <v>401.5838767610486</v>
      </c>
      <c r="AV323">
        <v>642.8981588117507</v>
      </c>
      <c r="AW323">
        <v>1472.3849490885459</v>
      </c>
      <c r="AX323">
        <v>829.48679027679566</v>
      </c>
      <c r="AY323">
        <v>3.7817538753632398</v>
      </c>
      <c r="AZ323" t="s">
        <v>103</v>
      </c>
      <c r="BA323" t="str">
        <f>VLOOKUP($AZ323,Sheet1!$A$2:$B$58,2)</f>
        <v>2,3-Butanediol</v>
      </c>
      <c r="BB323" t="s">
        <v>153</v>
      </c>
      <c r="BC323">
        <v>90.119200000000006</v>
      </c>
      <c r="BD323">
        <v>5.5</v>
      </c>
      <c r="BE323">
        <v>177</v>
      </c>
      <c r="BF323" t="s">
        <v>204</v>
      </c>
      <c r="BG323">
        <v>0.92824220853225292</v>
      </c>
      <c r="BH323">
        <v>0.33893939393939498</v>
      </c>
      <c r="BI323">
        <v>0.49213337700113402</v>
      </c>
      <c r="BJ323">
        <v>80</v>
      </c>
      <c r="BK323">
        <v>3739.8015911374409</v>
      </c>
      <c r="BL323">
        <v>2106.8647978403728</v>
      </c>
      <c r="BM323">
        <v>8.6772683402740238</v>
      </c>
      <c r="BN323">
        <v>1475.135617846584</v>
      </c>
      <c r="BO323">
        <v>2264.665973290857</v>
      </c>
    </row>
    <row r="324" spans="1:67" x14ac:dyDescent="0.25">
      <c r="A324" s="1">
        <v>322</v>
      </c>
      <c r="B324" t="s">
        <v>71</v>
      </c>
      <c r="C324" t="s">
        <v>83</v>
      </c>
      <c r="D324">
        <v>2</v>
      </c>
      <c r="E324">
        <v>6</v>
      </c>
      <c r="F324">
        <v>2</v>
      </c>
      <c r="G324">
        <v>62.06644</v>
      </c>
      <c r="H324">
        <v>10</v>
      </c>
      <c r="I324" t="s">
        <v>89</v>
      </c>
      <c r="J324">
        <v>2</v>
      </c>
      <c r="K324">
        <v>20</v>
      </c>
      <c r="L324">
        <v>60</v>
      </c>
      <c r="N324" t="s">
        <v>90</v>
      </c>
      <c r="O324">
        <v>40</v>
      </c>
      <c r="P324">
        <v>0.32</v>
      </c>
      <c r="Q324">
        <v>3.2500000000000001E-2</v>
      </c>
      <c r="R324">
        <v>77.5</v>
      </c>
      <c r="S324">
        <v>170</v>
      </c>
      <c r="T324">
        <v>50</v>
      </c>
      <c r="U324">
        <v>1812.1301775147931</v>
      </c>
      <c r="V324">
        <v>20</v>
      </c>
      <c r="W324">
        <v>0.95</v>
      </c>
      <c r="X324">
        <v>1</v>
      </c>
      <c r="Y324">
        <v>2552760.2953195302</v>
      </c>
      <c r="Z324">
        <v>510552059.06390601</v>
      </c>
      <c r="AA324">
        <v>1021104118.127812</v>
      </c>
      <c r="AB324">
        <v>1021104.118127812</v>
      </c>
      <c r="AC324">
        <v>0</v>
      </c>
      <c r="AD324">
        <v>5291.499171102575</v>
      </c>
      <c r="AE324">
        <v>1904939.7015969269</v>
      </c>
      <c r="AF324">
        <v>1142963.8209581559</v>
      </c>
      <c r="AG324">
        <v>70.939695415670144</v>
      </c>
      <c r="AH324">
        <v>536.55293611059676</v>
      </c>
      <c r="AI324">
        <v>268.27646805529838</v>
      </c>
      <c r="AJ324">
        <v>33185.883839153888</v>
      </c>
      <c r="AK324">
        <v>854.70085470085473</v>
      </c>
      <c r="AL324" t="s">
        <v>93</v>
      </c>
      <c r="AM324">
        <v>41582.852548571253</v>
      </c>
      <c r="AN324">
        <v>28488.237901272809</v>
      </c>
      <c r="AO324">
        <v>45606.999569400723</v>
      </c>
      <c r="AP324">
        <v>104111.6751436988</v>
      </c>
      <c r="AQ324">
        <v>58504.675574298068</v>
      </c>
      <c r="AR324">
        <v>2.9034938141203701E-2</v>
      </c>
      <c r="AS324">
        <v>467.80414892820829</v>
      </c>
      <c r="AT324">
        <v>586.17185068130209</v>
      </c>
      <c r="AU324">
        <v>401.58387676104871</v>
      </c>
      <c r="AV324">
        <v>642.8981588117507</v>
      </c>
      <c r="AW324">
        <v>1467.6081499033501</v>
      </c>
      <c r="AX324">
        <v>824.70999109159914</v>
      </c>
      <c r="AY324">
        <v>3.7817538753632389</v>
      </c>
      <c r="AZ324" t="s">
        <v>104</v>
      </c>
      <c r="BA324" t="str">
        <f>VLOOKUP($AZ324,Sheet1!$A$2:$B$58,2)</f>
        <v>2-Methyl-1-Butanol</v>
      </c>
      <c r="BB324" t="s">
        <v>157</v>
      </c>
      <c r="BC324">
        <v>88.14658</v>
      </c>
      <c r="BD324">
        <v>6</v>
      </c>
      <c r="BE324">
        <v>129</v>
      </c>
      <c r="BF324" t="s">
        <v>204</v>
      </c>
      <c r="BG324">
        <v>1.5277396571340121</v>
      </c>
      <c r="BH324">
        <v>0.248142857142857</v>
      </c>
      <c r="BI324">
        <v>0.35241200083412899</v>
      </c>
      <c r="BJ324">
        <v>80</v>
      </c>
      <c r="BK324">
        <v>5205.5837571849388</v>
      </c>
      <c r="BL324">
        <v>2925.233778714904</v>
      </c>
      <c r="BM324">
        <v>11.886083745630909</v>
      </c>
      <c r="BN324">
        <v>2020.634236757254</v>
      </c>
      <c r="BO324">
        <v>3184.949520427685</v>
      </c>
    </row>
    <row r="325" spans="1:67" x14ac:dyDescent="0.25">
      <c r="A325" s="1">
        <v>323</v>
      </c>
      <c r="B325" t="s">
        <v>71</v>
      </c>
      <c r="C325" t="s">
        <v>83</v>
      </c>
      <c r="D325">
        <v>2</v>
      </c>
      <c r="E325">
        <v>6</v>
      </c>
      <c r="F325">
        <v>2</v>
      </c>
      <c r="G325">
        <v>62.06644</v>
      </c>
      <c r="H325">
        <v>10</v>
      </c>
      <c r="I325" t="s">
        <v>89</v>
      </c>
      <c r="J325">
        <v>2</v>
      </c>
      <c r="K325">
        <v>20</v>
      </c>
      <c r="L325">
        <v>60</v>
      </c>
      <c r="N325" t="s">
        <v>90</v>
      </c>
      <c r="O325">
        <v>40</v>
      </c>
      <c r="P325">
        <v>0.32</v>
      </c>
      <c r="Q325">
        <v>3.2500000000000001E-2</v>
      </c>
      <c r="R325">
        <v>77.5</v>
      </c>
      <c r="S325">
        <v>170</v>
      </c>
      <c r="T325">
        <v>50</v>
      </c>
      <c r="U325">
        <v>1812.1301775147931</v>
      </c>
      <c r="V325">
        <v>20</v>
      </c>
      <c r="W325">
        <v>0.95</v>
      </c>
      <c r="X325">
        <v>1</v>
      </c>
      <c r="Y325">
        <v>1142967.3790764541</v>
      </c>
      <c r="Z325">
        <v>228593475.81529081</v>
      </c>
      <c r="AA325">
        <v>457186951.63058168</v>
      </c>
      <c r="AB325">
        <v>457186.95163058169</v>
      </c>
      <c r="AC325">
        <v>0</v>
      </c>
      <c r="AD325">
        <v>2369.204405940241</v>
      </c>
      <c r="AE325">
        <v>852913.58613848663</v>
      </c>
      <c r="AF325">
        <v>511748.15168309188</v>
      </c>
      <c r="AG325">
        <v>31.762385951549529</v>
      </c>
      <c r="AH325">
        <v>240.23505232611069</v>
      </c>
      <c r="AI325">
        <v>120.1175261630554</v>
      </c>
      <c r="AJ325">
        <v>14858.575927993899</v>
      </c>
      <c r="AK325">
        <v>1835.336538461539</v>
      </c>
      <c r="AL325" t="s">
        <v>94</v>
      </c>
      <c r="AM325">
        <v>18618.216555273579</v>
      </c>
      <c r="AN325">
        <v>12755.26208560393</v>
      </c>
      <c r="AO325">
        <v>20419.979447719408</v>
      </c>
      <c r="AP325">
        <v>48067.391107332958</v>
      </c>
      <c r="AQ325">
        <v>27647.41165961355</v>
      </c>
      <c r="AR325">
        <v>2.9034938141203701E-2</v>
      </c>
      <c r="AS325">
        <v>467.80414892820829</v>
      </c>
      <c r="AT325">
        <v>586.1718506813022</v>
      </c>
      <c r="AU325">
        <v>401.5838767610486</v>
      </c>
      <c r="AV325">
        <v>642.89815881175082</v>
      </c>
      <c r="AW325">
        <v>1513.3432098160119</v>
      </c>
      <c r="AX325">
        <v>870.4450510042609</v>
      </c>
      <c r="AY325">
        <v>3.7817538753632398</v>
      </c>
      <c r="AZ325" t="s">
        <v>105</v>
      </c>
      <c r="BA325" t="str">
        <f>VLOOKUP($AZ325,Sheet1!$A$2:$B$58,2)</f>
        <v>2-Pyrone-4,6-Dicarboxylate</v>
      </c>
      <c r="BB325" t="s">
        <v>158</v>
      </c>
      <c r="BC325">
        <v>182.08457999999999</v>
      </c>
      <c r="BD325">
        <v>2.5714285714285721</v>
      </c>
      <c r="BE325">
        <v>355.5</v>
      </c>
      <c r="BF325" t="s">
        <v>204</v>
      </c>
      <c r="BG325">
        <v>0.10985801743508571</v>
      </c>
      <c r="BH325">
        <v>0.26829357798165199</v>
      </c>
      <c r="BI325">
        <v>0.78709452237420396</v>
      </c>
      <c r="BJ325">
        <v>80</v>
      </c>
      <c r="BK325">
        <v>2403.369555366648</v>
      </c>
      <c r="BL325">
        <v>1382.370582980677</v>
      </c>
      <c r="BM325">
        <v>5.8960182907176826</v>
      </c>
      <c r="BN325">
        <v>1002.323109422006</v>
      </c>
      <c r="BO325">
        <v>1401.0464459446421</v>
      </c>
    </row>
    <row r="326" spans="1:67" x14ac:dyDescent="0.25">
      <c r="A326" s="1">
        <v>324</v>
      </c>
      <c r="B326" t="s">
        <v>71</v>
      </c>
      <c r="C326" t="s">
        <v>83</v>
      </c>
      <c r="D326">
        <v>2</v>
      </c>
      <c r="E326">
        <v>6</v>
      </c>
      <c r="F326">
        <v>2</v>
      </c>
      <c r="G326">
        <v>62.06644</v>
      </c>
      <c r="H326">
        <v>10</v>
      </c>
      <c r="I326" t="s">
        <v>89</v>
      </c>
      <c r="J326">
        <v>2</v>
      </c>
      <c r="K326">
        <v>20</v>
      </c>
      <c r="L326">
        <v>60</v>
      </c>
      <c r="N326" t="s">
        <v>90</v>
      </c>
      <c r="O326">
        <v>40</v>
      </c>
      <c r="P326">
        <v>0.32</v>
      </c>
      <c r="Q326">
        <v>3.2500000000000001E-2</v>
      </c>
      <c r="R326">
        <v>77.5</v>
      </c>
      <c r="S326">
        <v>170</v>
      </c>
      <c r="T326">
        <v>50</v>
      </c>
      <c r="U326">
        <v>1812.1301775147931</v>
      </c>
      <c r="V326">
        <v>20</v>
      </c>
      <c r="W326">
        <v>0.95</v>
      </c>
      <c r="X326">
        <v>1</v>
      </c>
      <c r="Y326">
        <v>2800211.9414355382</v>
      </c>
      <c r="Z326">
        <v>560042388.28710759</v>
      </c>
      <c r="AA326">
        <v>1120084776.5742149</v>
      </c>
      <c r="AB326">
        <v>1120084.7765742149</v>
      </c>
      <c r="AC326">
        <v>0</v>
      </c>
      <c r="AD326">
        <v>5804.4302844200229</v>
      </c>
      <c r="AE326">
        <v>2089594.9023912081</v>
      </c>
      <c r="AF326">
        <v>1253756.941434725</v>
      </c>
      <c r="AG326">
        <v>77.81622998014187</v>
      </c>
      <c r="AH326">
        <v>588.56365858711729</v>
      </c>
      <c r="AI326">
        <v>294.28182929355859</v>
      </c>
      <c r="AJ326">
        <v>36402.755238661986</v>
      </c>
      <c r="AK326">
        <v>854.70085470085473</v>
      </c>
      <c r="AL326" t="s">
        <v>93</v>
      </c>
      <c r="AM326">
        <v>45613.683540501588</v>
      </c>
      <c r="AN326">
        <v>31249.743310354708</v>
      </c>
      <c r="AO326">
        <v>50027.910979904969</v>
      </c>
      <c r="AP326">
        <v>114120.88294421911</v>
      </c>
      <c r="AQ326">
        <v>64092.97196431418</v>
      </c>
      <c r="AR326">
        <v>2.9034938141203701E-2</v>
      </c>
      <c r="AS326">
        <v>467.80414892820829</v>
      </c>
      <c r="AT326">
        <v>586.17185068130209</v>
      </c>
      <c r="AU326">
        <v>401.58387676104871</v>
      </c>
      <c r="AV326">
        <v>642.8981588117507</v>
      </c>
      <c r="AW326">
        <v>1466.543457236902</v>
      </c>
      <c r="AX326">
        <v>823.64529842515174</v>
      </c>
      <c r="AY326">
        <v>3.7817538753632398</v>
      </c>
      <c r="AZ326" t="s">
        <v>106</v>
      </c>
      <c r="BA326" t="str">
        <f>VLOOKUP($AZ326,Sheet1!$A$2:$B$58,2)</f>
        <v>3-Methyl-1-Pentanol</v>
      </c>
      <c r="BB326" t="s">
        <v>159</v>
      </c>
      <c r="BC326">
        <v>102.17296</v>
      </c>
      <c r="BD326">
        <v>6</v>
      </c>
      <c r="BE326">
        <v>153</v>
      </c>
      <c r="BF326" t="s">
        <v>204</v>
      </c>
      <c r="BG326">
        <v>1.829789156181691</v>
      </c>
      <c r="BH326">
        <v>0.19515981735159799</v>
      </c>
      <c r="BI326">
        <v>0.32126974034054101</v>
      </c>
      <c r="BJ326">
        <v>80</v>
      </c>
      <c r="BK326">
        <v>5706.0441472109569</v>
      </c>
      <c r="BL326">
        <v>3204.6485982157092</v>
      </c>
      <c r="BM326">
        <v>12.88430230849624</v>
      </c>
      <c r="BN326">
        <v>2190.331392444361</v>
      </c>
      <c r="BO326">
        <v>3515.7127547665959</v>
      </c>
    </row>
    <row r="327" spans="1:67" x14ac:dyDescent="0.25">
      <c r="A327" s="1">
        <v>325</v>
      </c>
      <c r="B327" t="s">
        <v>71</v>
      </c>
      <c r="C327" t="s">
        <v>83</v>
      </c>
      <c r="D327">
        <v>2</v>
      </c>
      <c r="E327">
        <v>6</v>
      </c>
      <c r="F327">
        <v>2</v>
      </c>
      <c r="G327">
        <v>62.06644</v>
      </c>
      <c r="H327">
        <v>10</v>
      </c>
      <c r="I327" t="s">
        <v>89</v>
      </c>
      <c r="J327">
        <v>2</v>
      </c>
      <c r="K327">
        <v>20</v>
      </c>
      <c r="L327">
        <v>60</v>
      </c>
      <c r="N327" t="s">
        <v>90</v>
      </c>
      <c r="O327">
        <v>40</v>
      </c>
      <c r="P327">
        <v>0.32</v>
      </c>
      <c r="Q327">
        <v>3.2500000000000001E-2</v>
      </c>
      <c r="R327">
        <v>77.5</v>
      </c>
      <c r="S327">
        <v>170</v>
      </c>
      <c r="T327">
        <v>50</v>
      </c>
      <c r="U327">
        <v>1812.1301775147931</v>
      </c>
      <c r="V327">
        <v>20</v>
      </c>
      <c r="W327">
        <v>0.95</v>
      </c>
      <c r="X327">
        <v>1</v>
      </c>
      <c r="Y327">
        <v>2657068.1375835738</v>
      </c>
      <c r="Z327">
        <v>531413627.51671481</v>
      </c>
      <c r="AA327">
        <v>1062827255.03343</v>
      </c>
      <c r="AB327">
        <v>1062827.2550334299</v>
      </c>
      <c r="AC327">
        <v>0</v>
      </c>
      <c r="AD327">
        <v>5507.7140902595656</v>
      </c>
      <c r="AE327">
        <v>1982777.072493444</v>
      </c>
      <c r="AF327">
        <v>1189666.243496066</v>
      </c>
      <c r="AG327">
        <v>73.838348521973984</v>
      </c>
      <c r="AH327">
        <v>558.47692134679335</v>
      </c>
      <c r="AI327">
        <v>279.23846067339667</v>
      </c>
      <c r="AJ327">
        <v>34541.885788586464</v>
      </c>
      <c r="AK327">
        <v>854.70085470085473</v>
      </c>
      <c r="AL327" t="s">
        <v>93</v>
      </c>
      <c r="AM327">
        <v>43281.961404376481</v>
      </c>
      <c r="AN327">
        <v>29652.290253087762</v>
      </c>
      <c r="AO327">
        <v>47470.538314477431</v>
      </c>
      <c r="AP327">
        <v>108330.83830075159</v>
      </c>
      <c r="AQ327">
        <v>60860.299986274127</v>
      </c>
      <c r="AR327">
        <v>2.9034938141203701E-2</v>
      </c>
      <c r="AS327">
        <v>467.80414892820818</v>
      </c>
      <c r="AT327">
        <v>586.17185068130209</v>
      </c>
      <c r="AU327">
        <v>401.58387676104871</v>
      </c>
      <c r="AV327">
        <v>642.8981588117507</v>
      </c>
      <c r="AW327">
        <v>1467.1351739199961</v>
      </c>
      <c r="AX327">
        <v>824.23701510824515</v>
      </c>
      <c r="AY327">
        <v>3.7817538753632398</v>
      </c>
      <c r="AZ327" t="s">
        <v>107</v>
      </c>
      <c r="BA327" t="str">
        <f>VLOOKUP($AZ327,Sheet1!$A$2:$B$58,2)</f>
        <v>4-Hydroxystyrene</v>
      </c>
      <c r="BB327" t="s">
        <v>160</v>
      </c>
      <c r="BC327">
        <v>120.14731999999999</v>
      </c>
      <c r="BD327">
        <v>4.75</v>
      </c>
      <c r="BE327">
        <v>229</v>
      </c>
      <c r="BF327" t="s">
        <v>204</v>
      </c>
      <c r="BG327">
        <v>1.2581771669163551</v>
      </c>
      <c r="BH327">
        <v>0.17490430622009601</v>
      </c>
      <c r="BI327">
        <v>0.33857745332102201</v>
      </c>
      <c r="BJ327">
        <v>80</v>
      </c>
      <c r="BK327">
        <v>5416.5419150375783</v>
      </c>
      <c r="BL327">
        <v>3043.014999313707</v>
      </c>
      <c r="BM327">
        <v>12.703745866753479</v>
      </c>
      <c r="BN327">
        <v>2159.636797348091</v>
      </c>
      <c r="BO327">
        <v>3256.9051176894868</v>
      </c>
    </row>
    <row r="328" spans="1:67" x14ac:dyDescent="0.25">
      <c r="A328" s="1">
        <v>326</v>
      </c>
      <c r="B328" t="s">
        <v>71</v>
      </c>
      <c r="C328" t="s">
        <v>83</v>
      </c>
      <c r="D328">
        <v>2</v>
      </c>
      <c r="E328">
        <v>6</v>
      </c>
      <c r="F328">
        <v>2</v>
      </c>
      <c r="G328">
        <v>62.06644</v>
      </c>
      <c r="H328">
        <v>10</v>
      </c>
      <c r="I328" t="s">
        <v>89</v>
      </c>
      <c r="J328">
        <v>2</v>
      </c>
      <c r="K328">
        <v>20</v>
      </c>
      <c r="L328">
        <v>60</v>
      </c>
      <c r="N328" t="s">
        <v>90</v>
      </c>
      <c r="O328">
        <v>40</v>
      </c>
      <c r="P328">
        <v>0.32</v>
      </c>
      <c r="Q328">
        <v>3.2500000000000001E-2</v>
      </c>
      <c r="R328">
        <v>77.5</v>
      </c>
      <c r="S328">
        <v>170</v>
      </c>
      <c r="T328">
        <v>50</v>
      </c>
      <c r="U328">
        <v>1812.1301775147931</v>
      </c>
      <c r="V328">
        <v>20</v>
      </c>
      <c r="W328">
        <v>0.95</v>
      </c>
      <c r="X328">
        <v>1</v>
      </c>
      <c r="Y328">
        <v>1853740.206002085</v>
      </c>
      <c r="Z328">
        <v>370748041.20041698</v>
      </c>
      <c r="AA328">
        <v>741496082.40083396</v>
      </c>
      <c r="AB328">
        <v>741496.08240083396</v>
      </c>
      <c r="AC328">
        <v>0</v>
      </c>
      <c r="AD328">
        <v>3842.5326426004071</v>
      </c>
      <c r="AE328">
        <v>1383311.7513361471</v>
      </c>
      <c r="AF328">
        <v>829987.05080168799</v>
      </c>
      <c r="AG328">
        <v>51.514341489359921</v>
      </c>
      <c r="AH328">
        <v>389.62912112834448</v>
      </c>
      <c r="AI328">
        <v>194.81456056417221</v>
      </c>
      <c r="AJ328">
        <v>24098.622678027099</v>
      </c>
      <c r="AK328">
        <v>854.70085470085473</v>
      </c>
      <c r="AL328" t="s">
        <v>93</v>
      </c>
      <c r="AM328">
        <v>30196.2568874467</v>
      </c>
      <c r="AN328">
        <v>20687.32896408968</v>
      </c>
      <c r="AO328">
        <v>33118.47529590928</v>
      </c>
      <c r="AP328">
        <v>75836.909384264334</v>
      </c>
      <c r="AQ328">
        <v>42718.434088355047</v>
      </c>
      <c r="AR328">
        <v>2.9034938141203701E-2</v>
      </c>
      <c r="AS328">
        <v>467.80414892820818</v>
      </c>
      <c r="AT328">
        <v>586.1718506813022</v>
      </c>
      <c r="AU328">
        <v>401.58387676104849</v>
      </c>
      <c r="AV328">
        <v>642.89815881175082</v>
      </c>
      <c r="AW328">
        <v>1472.151389141374</v>
      </c>
      <c r="AX328">
        <v>829.25323032962342</v>
      </c>
      <c r="AY328">
        <v>3.7817538753632398</v>
      </c>
      <c r="AZ328" t="s">
        <v>108</v>
      </c>
      <c r="BA328" t="str">
        <f>VLOOKUP($AZ328,Sheet1!$A$2:$B$58,2)</f>
        <v>5-Aminopentanoate</v>
      </c>
      <c r="BB328" t="s">
        <v>161</v>
      </c>
      <c r="BC328">
        <v>117.14444</v>
      </c>
      <c r="BD328">
        <v>4.8</v>
      </c>
      <c r="BE328">
        <v>247.5</v>
      </c>
      <c r="BF328" t="s">
        <v>204</v>
      </c>
      <c r="BG328">
        <v>1.0437700639777501</v>
      </c>
      <c r="BH328">
        <v>0.25712643678160901</v>
      </c>
      <c r="BI328">
        <v>0.485301748546347</v>
      </c>
      <c r="BJ328">
        <v>80</v>
      </c>
      <c r="BK328">
        <v>3791.8454692132168</v>
      </c>
      <c r="BL328">
        <v>2135.9217044177531</v>
      </c>
      <c r="BM328">
        <v>8.6969579642308634</v>
      </c>
      <c r="BN328">
        <v>1478.482853919247</v>
      </c>
      <c r="BO328">
        <v>2313.362615293971</v>
      </c>
    </row>
    <row r="329" spans="1:67" x14ac:dyDescent="0.25">
      <c r="A329" s="1">
        <v>327</v>
      </c>
      <c r="B329" t="s">
        <v>71</v>
      </c>
      <c r="C329" t="s">
        <v>83</v>
      </c>
      <c r="D329">
        <v>2</v>
      </c>
      <c r="E329">
        <v>6</v>
      </c>
      <c r="F329">
        <v>2</v>
      </c>
      <c r="G329">
        <v>62.06644</v>
      </c>
      <c r="H329">
        <v>10</v>
      </c>
      <c r="I329" t="s">
        <v>89</v>
      </c>
      <c r="J329">
        <v>2</v>
      </c>
      <c r="K329">
        <v>20</v>
      </c>
      <c r="L329">
        <v>60</v>
      </c>
      <c r="N329" t="s">
        <v>90</v>
      </c>
      <c r="O329">
        <v>40</v>
      </c>
      <c r="P329">
        <v>0.32</v>
      </c>
      <c r="Q329">
        <v>3.2500000000000001E-2</v>
      </c>
      <c r="R329">
        <v>77.5</v>
      </c>
      <c r="S329">
        <v>170</v>
      </c>
      <c r="T329">
        <v>50</v>
      </c>
      <c r="U329">
        <v>1812.1301775147931</v>
      </c>
      <c r="V329">
        <v>20</v>
      </c>
      <c r="W329">
        <v>0.95</v>
      </c>
      <c r="X329">
        <v>1</v>
      </c>
      <c r="Y329">
        <v>2226923.2990422882</v>
      </c>
      <c r="Z329">
        <v>445384659.80845761</v>
      </c>
      <c r="AA329">
        <v>890769319.61691523</v>
      </c>
      <c r="AB329">
        <v>890769.31961691519</v>
      </c>
      <c r="AC329">
        <v>0</v>
      </c>
      <c r="AD329">
        <v>4616.0866778587624</v>
      </c>
      <c r="AE329">
        <v>1661791.204029154</v>
      </c>
      <c r="AF329">
        <v>997074.72241749242</v>
      </c>
      <c r="AG329">
        <v>61.884878434441937</v>
      </c>
      <c r="AH329">
        <v>468.0667576916677</v>
      </c>
      <c r="AI329">
        <v>234.03337884583391</v>
      </c>
      <c r="AJ329">
        <v>28950.002887549741</v>
      </c>
      <c r="AK329">
        <v>854.70085470085473</v>
      </c>
      <c r="AL329" t="s">
        <v>93</v>
      </c>
      <c r="AM329">
        <v>36275.173721104249</v>
      </c>
      <c r="AN329">
        <v>24851.969394589411</v>
      </c>
      <c r="AO329">
        <v>39785.674403791752</v>
      </c>
      <c r="AP329">
        <v>90931.846857944271</v>
      </c>
      <c r="AQ329">
        <v>51146.172454152518</v>
      </c>
      <c r="AR329">
        <v>2.9034938141203701E-2</v>
      </c>
      <c r="AS329">
        <v>467.80414892820818</v>
      </c>
      <c r="AT329">
        <v>586.1718506813022</v>
      </c>
      <c r="AU329">
        <v>401.58387676104871</v>
      </c>
      <c r="AV329">
        <v>642.89815881175082</v>
      </c>
      <c r="AW329">
        <v>1469.371018548148</v>
      </c>
      <c r="AX329">
        <v>826.47285973639691</v>
      </c>
      <c r="AY329">
        <v>3.7817538753632411</v>
      </c>
      <c r="AZ329" t="s">
        <v>109</v>
      </c>
      <c r="BA329" t="str">
        <f>VLOOKUP($AZ329,Sheet1!$A$2:$B$58,2)</f>
        <v>Acetone</v>
      </c>
      <c r="BB329" t="s">
        <v>162</v>
      </c>
      <c r="BC329">
        <v>58.078139999999998</v>
      </c>
      <c r="BD329">
        <v>5.333333333333333</v>
      </c>
      <c r="BE329">
        <v>56</v>
      </c>
      <c r="BF329" t="s">
        <v>204</v>
      </c>
      <c r="BG329">
        <v>1.237186340956236</v>
      </c>
      <c r="BH329">
        <v>0.431717171717172</v>
      </c>
      <c r="BI329">
        <v>0.40397590869446198</v>
      </c>
      <c r="BJ329">
        <v>80</v>
      </c>
      <c r="BK329">
        <v>4546.5923428972128</v>
      </c>
      <c r="BL329">
        <v>2557.308622707626</v>
      </c>
      <c r="BM329">
        <v>10.46448260133546</v>
      </c>
      <c r="BN329">
        <v>1778.962042227028</v>
      </c>
      <c r="BO329">
        <v>2767.6303006701851</v>
      </c>
    </row>
    <row r="330" spans="1:67" x14ac:dyDescent="0.25">
      <c r="A330" s="1">
        <v>328</v>
      </c>
      <c r="B330" t="s">
        <v>71</v>
      </c>
      <c r="C330" t="s">
        <v>83</v>
      </c>
      <c r="D330">
        <v>2</v>
      </c>
      <c r="E330">
        <v>6</v>
      </c>
      <c r="F330">
        <v>2</v>
      </c>
      <c r="G330">
        <v>62.06644</v>
      </c>
      <c r="H330">
        <v>10</v>
      </c>
      <c r="I330" t="s">
        <v>89</v>
      </c>
      <c r="J330">
        <v>2</v>
      </c>
      <c r="K330">
        <v>20</v>
      </c>
      <c r="L330">
        <v>60</v>
      </c>
      <c r="N330" t="s">
        <v>90</v>
      </c>
      <c r="O330">
        <v>40</v>
      </c>
      <c r="P330">
        <v>0.32</v>
      </c>
      <c r="Q330">
        <v>3.2500000000000001E-2</v>
      </c>
      <c r="R330">
        <v>77.5</v>
      </c>
      <c r="S330">
        <v>170</v>
      </c>
      <c r="T330">
        <v>50</v>
      </c>
      <c r="U330">
        <v>1812.1301775147931</v>
      </c>
      <c r="V330">
        <v>20</v>
      </c>
      <c r="W330">
        <v>0.95</v>
      </c>
      <c r="X330">
        <v>1</v>
      </c>
      <c r="Y330">
        <v>1483314.953951034</v>
      </c>
      <c r="Z330">
        <v>296662990.79020667</v>
      </c>
      <c r="AA330">
        <v>593325981.58041346</v>
      </c>
      <c r="AB330">
        <v>593325.98158041341</v>
      </c>
      <c r="AC330">
        <v>0</v>
      </c>
      <c r="AD330">
        <v>3074.6952088321682</v>
      </c>
      <c r="AE330">
        <v>1106890.275179581</v>
      </c>
      <c r="AF330">
        <v>664134.16510774824</v>
      </c>
      <c r="AG330">
        <v>41.22044331061015</v>
      </c>
      <c r="AH330">
        <v>311.77114246818138</v>
      </c>
      <c r="AI330">
        <v>155.88557123409069</v>
      </c>
      <c r="AJ330">
        <v>19283.09440136344</v>
      </c>
      <c r="AK330">
        <v>854.70085470085473</v>
      </c>
      <c r="AL330" t="s">
        <v>93</v>
      </c>
      <c r="AM330">
        <v>24162.263541284061</v>
      </c>
      <c r="AN330">
        <v>16553.465426483861</v>
      </c>
      <c r="AO330">
        <v>26500.547109795421</v>
      </c>
      <c r="AP330">
        <v>60853.524223832203</v>
      </c>
      <c r="AQ330">
        <v>34352.977114036781</v>
      </c>
      <c r="AR330">
        <v>2.9034938141203701E-2</v>
      </c>
      <c r="AS330">
        <v>467.80414892820818</v>
      </c>
      <c r="AT330">
        <v>586.1718506813022</v>
      </c>
      <c r="AU330">
        <v>401.58387676104871</v>
      </c>
      <c r="AV330">
        <v>642.89815881175082</v>
      </c>
      <c r="AW330">
        <v>1476.2947541655501</v>
      </c>
      <c r="AX330">
        <v>833.39659535379928</v>
      </c>
      <c r="AY330">
        <v>3.7817538753632398</v>
      </c>
      <c r="AZ330" t="s">
        <v>110</v>
      </c>
      <c r="BA330" t="str">
        <f>VLOOKUP($AZ330,Sheet1!$A$2:$B$58,2)</f>
        <v>Acrylate (PW1)</v>
      </c>
      <c r="BB330" t="s">
        <v>163</v>
      </c>
      <c r="BC330">
        <v>71.053619999999995</v>
      </c>
      <c r="BD330">
        <v>3.666666666666667</v>
      </c>
      <c r="BE330">
        <v>80</v>
      </c>
      <c r="BF330" t="s">
        <v>204</v>
      </c>
      <c r="BG330">
        <v>0.48011092473457823</v>
      </c>
      <c r="BH330">
        <v>0.52978260869565197</v>
      </c>
      <c r="BI330">
        <v>0.60649517550348597</v>
      </c>
      <c r="BJ330">
        <v>80</v>
      </c>
      <c r="BK330">
        <v>3042.67621119161</v>
      </c>
      <c r="BL330">
        <v>1717.648855701839</v>
      </c>
      <c r="BM330">
        <v>7.3141676369699562</v>
      </c>
      <c r="BN330">
        <v>1243.4084982848931</v>
      </c>
      <c r="BO330">
        <v>1799.2677129067181</v>
      </c>
    </row>
    <row r="331" spans="1:67" x14ac:dyDescent="0.25">
      <c r="A331" s="1">
        <v>329</v>
      </c>
      <c r="B331" t="s">
        <v>71</v>
      </c>
      <c r="C331" t="s">
        <v>83</v>
      </c>
      <c r="D331">
        <v>2</v>
      </c>
      <c r="E331">
        <v>6</v>
      </c>
      <c r="F331">
        <v>2</v>
      </c>
      <c r="G331">
        <v>62.06644</v>
      </c>
      <c r="H331">
        <v>10</v>
      </c>
      <c r="I331" t="s">
        <v>89</v>
      </c>
      <c r="J331">
        <v>2</v>
      </c>
      <c r="K331">
        <v>20</v>
      </c>
      <c r="L331">
        <v>60</v>
      </c>
      <c r="N331" t="s">
        <v>90</v>
      </c>
      <c r="O331">
        <v>40</v>
      </c>
      <c r="P331">
        <v>0.32</v>
      </c>
      <c r="Q331">
        <v>3.2500000000000001E-2</v>
      </c>
      <c r="R331">
        <v>77.5</v>
      </c>
      <c r="S331">
        <v>170</v>
      </c>
      <c r="T331">
        <v>50</v>
      </c>
      <c r="U331">
        <v>1812.1301775147931</v>
      </c>
      <c r="V331">
        <v>20</v>
      </c>
      <c r="W331">
        <v>0.95</v>
      </c>
      <c r="X331">
        <v>1</v>
      </c>
      <c r="Y331">
        <v>1299770.909047547</v>
      </c>
      <c r="Z331">
        <v>259954181.80950949</v>
      </c>
      <c r="AA331">
        <v>519908363.61901891</v>
      </c>
      <c r="AB331">
        <v>519908.36361901893</v>
      </c>
      <c r="AC331">
        <v>0</v>
      </c>
      <c r="AD331">
        <v>2694.235216858639</v>
      </c>
      <c r="AE331">
        <v>969924.67806911003</v>
      </c>
      <c r="AF331">
        <v>581954.80684146599</v>
      </c>
      <c r="AG331">
        <v>36.119863101537433</v>
      </c>
      <c r="AH331">
        <v>273.19286452365782</v>
      </c>
      <c r="AI331">
        <v>136.59643226182891</v>
      </c>
      <c r="AJ331">
        <v>16897.021817618119</v>
      </c>
      <c r="AK331">
        <v>854.70085470085473</v>
      </c>
      <c r="AL331" t="s">
        <v>93</v>
      </c>
      <c r="AM331">
        <v>21172.447000583481</v>
      </c>
      <c r="AN331">
        <v>14505.15465239376</v>
      </c>
      <c r="AO331">
        <v>23221.393484510911</v>
      </c>
      <c r="AP331">
        <v>53429.324325296213</v>
      </c>
      <c r="AQ331">
        <v>30207.930840785291</v>
      </c>
      <c r="AR331">
        <v>2.9034938141203701E-2</v>
      </c>
      <c r="AS331">
        <v>467.80414892820829</v>
      </c>
      <c r="AT331">
        <v>586.17185068130209</v>
      </c>
      <c r="AU331">
        <v>401.5838767610486</v>
      </c>
      <c r="AV331">
        <v>642.89815881175082</v>
      </c>
      <c r="AW331">
        <v>1479.222780415854</v>
      </c>
      <c r="AX331">
        <v>836.32462160410273</v>
      </c>
      <c r="AY331">
        <v>3.7817538753632411</v>
      </c>
      <c r="AZ331" t="s">
        <v>111</v>
      </c>
      <c r="BA331" t="str">
        <f>VLOOKUP($AZ331,Sheet1!$A$2:$B$58,2)</f>
        <v>Acrylate (PW2)</v>
      </c>
      <c r="BB331" t="s">
        <v>163</v>
      </c>
      <c r="BC331">
        <v>71.053619999999995</v>
      </c>
      <c r="BD331">
        <v>3.666666666666667</v>
      </c>
      <c r="BE331">
        <v>80</v>
      </c>
      <c r="BF331" t="s">
        <v>204</v>
      </c>
      <c r="BG331">
        <v>0.19077365368126811</v>
      </c>
      <c r="BH331">
        <v>0.60459459459459497</v>
      </c>
      <c r="BI331">
        <v>0.69213994332486495</v>
      </c>
      <c r="BJ331">
        <v>80</v>
      </c>
      <c r="BK331">
        <v>2671.4662162648101</v>
      </c>
      <c r="BL331">
        <v>1510.396542039264</v>
      </c>
      <c r="BM331">
        <v>6.6390479594101768</v>
      </c>
      <c r="BN331">
        <v>1128.6381530997301</v>
      </c>
      <c r="BO331">
        <v>1542.82806316508</v>
      </c>
    </row>
    <row r="332" spans="1:67" x14ac:dyDescent="0.25">
      <c r="A332" s="1">
        <v>330</v>
      </c>
      <c r="B332" t="s">
        <v>71</v>
      </c>
      <c r="C332" t="s">
        <v>83</v>
      </c>
      <c r="D332">
        <v>2</v>
      </c>
      <c r="E332">
        <v>6</v>
      </c>
      <c r="F332">
        <v>2</v>
      </c>
      <c r="G332">
        <v>62.06644</v>
      </c>
      <c r="H332">
        <v>10</v>
      </c>
      <c r="I332" t="s">
        <v>89</v>
      </c>
      <c r="J332">
        <v>2</v>
      </c>
      <c r="K332">
        <v>20</v>
      </c>
      <c r="L332">
        <v>60</v>
      </c>
      <c r="N332" t="s">
        <v>90</v>
      </c>
      <c r="O332">
        <v>40</v>
      </c>
      <c r="P332">
        <v>0.32</v>
      </c>
      <c r="Q332">
        <v>3.2500000000000001E-2</v>
      </c>
      <c r="R332">
        <v>77.5</v>
      </c>
      <c r="S332">
        <v>170</v>
      </c>
      <c r="T332">
        <v>50</v>
      </c>
      <c r="U332">
        <v>1812.1301775147931</v>
      </c>
      <c r="V332">
        <v>20</v>
      </c>
      <c r="W332">
        <v>0.95</v>
      </c>
      <c r="X332">
        <v>1</v>
      </c>
      <c r="Y332">
        <v>1626843.665410233</v>
      </c>
      <c r="Z332">
        <v>325368733.08204669</v>
      </c>
      <c r="AA332">
        <v>650737466.16409338</v>
      </c>
      <c r="AB332">
        <v>650737.46616409335</v>
      </c>
      <c r="AC332">
        <v>0</v>
      </c>
      <c r="AD332">
        <v>3372.2092602330308</v>
      </c>
      <c r="AE332">
        <v>1213995.333683891</v>
      </c>
      <c r="AF332">
        <v>728397.2002103345</v>
      </c>
      <c r="AG332">
        <v>45.209021123022723</v>
      </c>
      <c r="AH332">
        <v>341.93878166673949</v>
      </c>
      <c r="AI332">
        <v>170.9693908333698</v>
      </c>
      <c r="AJ332">
        <v>21148.96765033303</v>
      </c>
      <c r="AK332">
        <v>854.70085470085473</v>
      </c>
      <c r="AL332" t="s">
        <v>93</v>
      </c>
      <c r="AM332">
        <v>26500.25557917231</v>
      </c>
      <c r="AN332">
        <v>18155.2139671556</v>
      </c>
      <c r="AO332">
        <v>29064.796441672861</v>
      </c>
      <c r="AP332">
        <v>66659.138051361806</v>
      </c>
      <c r="AQ332">
        <v>37594.341609688941</v>
      </c>
      <c r="AR332">
        <v>2.9034938141203712E-2</v>
      </c>
      <c r="AS332">
        <v>467.80414892820829</v>
      </c>
      <c r="AT332">
        <v>586.17185068130243</v>
      </c>
      <c r="AU332">
        <v>401.58387676104883</v>
      </c>
      <c r="AV332">
        <v>642.89815881175093</v>
      </c>
      <c r="AW332">
        <v>1474.465414103284</v>
      </c>
      <c r="AX332">
        <v>831.56725529153334</v>
      </c>
      <c r="AY332">
        <v>3.7817538753632411</v>
      </c>
      <c r="AZ332" t="s">
        <v>112</v>
      </c>
      <c r="BA332" t="str">
        <f>VLOOKUP($AZ332,Sheet1!$A$2:$B$58,2)</f>
        <v>Adipate</v>
      </c>
      <c r="BB332" t="s">
        <v>164</v>
      </c>
      <c r="BC332">
        <v>144.12291999999999</v>
      </c>
      <c r="BD332">
        <v>4</v>
      </c>
      <c r="BE332">
        <v>337.5</v>
      </c>
      <c r="BF332" t="s">
        <v>204</v>
      </c>
      <c r="BG332">
        <v>0.73235648962208943</v>
      </c>
      <c r="BH332">
        <v>0.23814332247556999</v>
      </c>
      <c r="BI332">
        <v>0.55298697868219804</v>
      </c>
      <c r="BJ332">
        <v>80</v>
      </c>
      <c r="BK332">
        <v>3332.9569025680898</v>
      </c>
      <c r="BL332">
        <v>1879.717080484447</v>
      </c>
      <c r="BM332">
        <v>7.8161130520463971</v>
      </c>
      <c r="BN332">
        <v>1328.739218847888</v>
      </c>
      <c r="BO332">
        <v>2004.217683720203</v>
      </c>
    </row>
    <row r="333" spans="1:67" x14ac:dyDescent="0.25">
      <c r="A333" s="1">
        <v>331</v>
      </c>
      <c r="B333" t="s">
        <v>71</v>
      </c>
      <c r="C333" t="s">
        <v>83</v>
      </c>
      <c r="D333">
        <v>2</v>
      </c>
      <c r="E333">
        <v>6</v>
      </c>
      <c r="F333">
        <v>2</v>
      </c>
      <c r="G333">
        <v>62.06644</v>
      </c>
      <c r="H333">
        <v>10</v>
      </c>
      <c r="I333" t="s">
        <v>89</v>
      </c>
      <c r="J333">
        <v>2</v>
      </c>
      <c r="K333">
        <v>20</v>
      </c>
      <c r="L333">
        <v>60</v>
      </c>
      <c r="N333" t="s">
        <v>90</v>
      </c>
      <c r="O333">
        <v>40</v>
      </c>
      <c r="P333">
        <v>0.32</v>
      </c>
      <c r="Q333">
        <v>3.2500000000000001E-2</v>
      </c>
      <c r="R333">
        <v>77.5</v>
      </c>
      <c r="S333">
        <v>170</v>
      </c>
      <c r="T333">
        <v>50</v>
      </c>
      <c r="U333">
        <v>1812.1301775147931</v>
      </c>
      <c r="V333">
        <v>20</v>
      </c>
      <c r="W333">
        <v>0.95</v>
      </c>
      <c r="X333">
        <v>1</v>
      </c>
      <c r="Y333">
        <v>2134576.068759996</v>
      </c>
      <c r="Z333">
        <v>426915213.75199932</v>
      </c>
      <c r="AA333">
        <v>853830427.50399852</v>
      </c>
      <c r="AB333">
        <v>853830.42750399851</v>
      </c>
      <c r="AC333">
        <v>0</v>
      </c>
      <c r="AD333">
        <v>4424.6643600687548</v>
      </c>
      <c r="AE333">
        <v>1592879.1696247519</v>
      </c>
      <c r="AF333">
        <v>955727.50177485112</v>
      </c>
      <c r="AG333">
        <v>59.31860364525869</v>
      </c>
      <c r="AH333">
        <v>448.65671843318597</v>
      </c>
      <c r="AI333">
        <v>224.32835921659299</v>
      </c>
      <c r="AJ333">
        <v>27749.488893879949</v>
      </c>
      <c r="AK333">
        <v>854.70085470085473</v>
      </c>
      <c r="AL333" t="s">
        <v>93</v>
      </c>
      <c r="AM333">
        <v>34770.89567857192</v>
      </c>
      <c r="AN333">
        <v>23821.39481591506</v>
      </c>
      <c r="AO333">
        <v>38135.821066820812</v>
      </c>
      <c r="AP333">
        <v>87196.480243067796</v>
      </c>
      <c r="AQ333">
        <v>49060.659176246983</v>
      </c>
      <c r="AR333">
        <v>2.9034938141203701E-2</v>
      </c>
      <c r="AS333">
        <v>467.80414892820818</v>
      </c>
      <c r="AT333">
        <v>586.17185068130209</v>
      </c>
      <c r="AU333">
        <v>401.58387676104871</v>
      </c>
      <c r="AV333">
        <v>642.89815881175059</v>
      </c>
      <c r="AW333">
        <v>1469.968523947839</v>
      </c>
      <c r="AX333">
        <v>827.07036513608796</v>
      </c>
      <c r="AY333">
        <v>3.7817538753632389</v>
      </c>
      <c r="AZ333" t="s">
        <v>113</v>
      </c>
      <c r="BA333" t="str">
        <f>VLOOKUP($AZ333,Sheet1!$A$2:$B$58,2)</f>
        <v>Benzoate (PW1)</v>
      </c>
      <c r="BB333" t="s">
        <v>165</v>
      </c>
      <c r="BC333">
        <v>121.1121</v>
      </c>
      <c r="BD333">
        <v>4.1428571428571432</v>
      </c>
      <c r="BE333">
        <v>249.2</v>
      </c>
      <c r="BF333" t="s">
        <v>204</v>
      </c>
      <c r="BG333">
        <v>0.82125107860807034</v>
      </c>
      <c r="BH333">
        <v>0.215982274741507</v>
      </c>
      <c r="BI333">
        <v>0.42145294163542302</v>
      </c>
      <c r="BJ333">
        <v>80</v>
      </c>
      <c r="BK333">
        <v>4359.824012153389</v>
      </c>
      <c r="BL333">
        <v>2453.0329588123491</v>
      </c>
      <c r="BM333">
        <v>10.395166882221581</v>
      </c>
      <c r="BN333">
        <v>1767.178369977669</v>
      </c>
      <c r="BO333">
        <v>2592.6456421757198</v>
      </c>
    </row>
    <row r="334" spans="1:67" x14ac:dyDescent="0.25">
      <c r="A334" s="1">
        <v>332</v>
      </c>
      <c r="B334" t="s">
        <v>71</v>
      </c>
      <c r="C334" t="s">
        <v>83</v>
      </c>
      <c r="D334">
        <v>2</v>
      </c>
      <c r="E334">
        <v>6</v>
      </c>
      <c r="F334">
        <v>2</v>
      </c>
      <c r="G334">
        <v>62.06644</v>
      </c>
      <c r="H334">
        <v>10</v>
      </c>
      <c r="I334" t="s">
        <v>89</v>
      </c>
      <c r="J334">
        <v>2</v>
      </c>
      <c r="K334">
        <v>20</v>
      </c>
      <c r="L334">
        <v>60</v>
      </c>
      <c r="N334" t="s">
        <v>90</v>
      </c>
      <c r="O334">
        <v>40</v>
      </c>
      <c r="P334">
        <v>0.32</v>
      </c>
      <c r="Q334">
        <v>3.2500000000000001E-2</v>
      </c>
      <c r="R334">
        <v>77.5</v>
      </c>
      <c r="S334">
        <v>170</v>
      </c>
      <c r="T334">
        <v>50</v>
      </c>
      <c r="U334">
        <v>1812.1301775147931</v>
      </c>
      <c r="V334">
        <v>20</v>
      </c>
      <c r="W334">
        <v>0.95</v>
      </c>
      <c r="X334">
        <v>1</v>
      </c>
      <c r="Y334">
        <v>2134576.068760002</v>
      </c>
      <c r="Z334">
        <v>426915213.75200027</v>
      </c>
      <c r="AA334">
        <v>853830427.50400066</v>
      </c>
      <c r="AB334">
        <v>853830.42750400072</v>
      </c>
      <c r="AC334">
        <v>0</v>
      </c>
      <c r="AD334">
        <v>4424.6643600687657</v>
      </c>
      <c r="AE334">
        <v>1592879.1696247561</v>
      </c>
      <c r="AF334">
        <v>955727.50177485333</v>
      </c>
      <c r="AG334">
        <v>59.318603645258833</v>
      </c>
      <c r="AH334">
        <v>448.65671843318722</v>
      </c>
      <c r="AI334">
        <v>224.32835921659361</v>
      </c>
      <c r="AJ334">
        <v>27749.488893880021</v>
      </c>
      <c r="AK334">
        <v>854.70085470085473</v>
      </c>
      <c r="AL334" t="s">
        <v>93</v>
      </c>
      <c r="AM334">
        <v>34770.895678572007</v>
      </c>
      <c r="AN334">
        <v>23821.394815915119</v>
      </c>
      <c r="AO334">
        <v>38135.821066820907</v>
      </c>
      <c r="AP334">
        <v>87196.480243068014</v>
      </c>
      <c r="AQ334">
        <v>49060.659176247107</v>
      </c>
      <c r="AR334">
        <v>2.9034938141203712E-2</v>
      </c>
      <c r="AS334">
        <v>467.80414892820829</v>
      </c>
      <c r="AT334">
        <v>586.1718506813022</v>
      </c>
      <c r="AU334">
        <v>401.58387676104871</v>
      </c>
      <c r="AV334">
        <v>642.8981588117507</v>
      </c>
      <c r="AW334">
        <v>1469.968523947839</v>
      </c>
      <c r="AX334">
        <v>827.07036513608807</v>
      </c>
      <c r="AY334">
        <v>3.7817538753632398</v>
      </c>
      <c r="AZ334" t="s">
        <v>114</v>
      </c>
      <c r="BA334" t="str">
        <f>VLOOKUP($AZ334,Sheet1!$A$2:$B$58,2)</f>
        <v>Benzoate (PW2)</v>
      </c>
      <c r="BB334" t="s">
        <v>165</v>
      </c>
      <c r="BC334">
        <v>121.1121</v>
      </c>
      <c r="BD334">
        <v>4.1428571428571432</v>
      </c>
      <c r="BE334">
        <v>249.2</v>
      </c>
      <c r="BF334" t="s">
        <v>204</v>
      </c>
      <c r="BG334">
        <v>0.82125107860807212</v>
      </c>
      <c r="BH334">
        <v>0.215982274741506</v>
      </c>
      <c r="BI334">
        <v>0.42145294163542202</v>
      </c>
      <c r="BJ334">
        <v>80</v>
      </c>
      <c r="BK334">
        <v>4359.8240121534</v>
      </c>
      <c r="BL334">
        <v>2453.032958812355</v>
      </c>
      <c r="BM334">
        <v>10.395166882221609</v>
      </c>
      <c r="BN334">
        <v>1767.178369977674</v>
      </c>
      <c r="BO334">
        <v>2592.6456421757271</v>
      </c>
    </row>
    <row r="335" spans="1:67" x14ac:dyDescent="0.25">
      <c r="A335" s="1">
        <v>333</v>
      </c>
      <c r="B335" t="s">
        <v>71</v>
      </c>
      <c r="C335" t="s">
        <v>83</v>
      </c>
      <c r="D335">
        <v>2</v>
      </c>
      <c r="E335">
        <v>6</v>
      </c>
      <c r="F335">
        <v>2</v>
      </c>
      <c r="G335">
        <v>62.06644</v>
      </c>
      <c r="H335">
        <v>10</v>
      </c>
      <c r="I335" t="s">
        <v>89</v>
      </c>
      <c r="J335">
        <v>2</v>
      </c>
      <c r="K335">
        <v>20</v>
      </c>
      <c r="L335">
        <v>60</v>
      </c>
      <c r="N335" t="s">
        <v>90</v>
      </c>
      <c r="O335">
        <v>40</v>
      </c>
      <c r="P335">
        <v>0.32</v>
      </c>
      <c r="Q335">
        <v>3.2500000000000001E-2</v>
      </c>
      <c r="R335">
        <v>77.5</v>
      </c>
      <c r="S335">
        <v>170</v>
      </c>
      <c r="T335">
        <v>50</v>
      </c>
      <c r="U335">
        <v>1812.1301775147931</v>
      </c>
      <c r="V335">
        <v>20</v>
      </c>
      <c r="W335">
        <v>0.95</v>
      </c>
      <c r="X335">
        <v>1</v>
      </c>
      <c r="Y335">
        <v>2930999.8996945941</v>
      </c>
      <c r="Z335">
        <v>586199979.93891871</v>
      </c>
      <c r="AA335">
        <v>1172399959.8778369</v>
      </c>
      <c r="AB335">
        <v>1172399.959877837</v>
      </c>
      <c r="AC335">
        <v>0</v>
      </c>
      <c r="AD335">
        <v>6075.534615675444</v>
      </c>
      <c r="AE335">
        <v>2187192.4616431599</v>
      </c>
      <c r="AF335">
        <v>1312315.476985896</v>
      </c>
      <c r="AG335">
        <v>81.450749813416479</v>
      </c>
      <c r="AH335">
        <v>616.05337751625893</v>
      </c>
      <c r="AI335">
        <v>308.02668875812952</v>
      </c>
      <c r="AJ335">
        <v>38102.998696029717</v>
      </c>
      <c r="AK335">
        <v>854.70085470085473</v>
      </c>
      <c r="AL335" t="s">
        <v>93</v>
      </c>
      <c r="AM335">
        <v>47744.136757510067</v>
      </c>
      <c r="AN335">
        <v>32709.307875166051</v>
      </c>
      <c r="AO335">
        <v>52364.537088882011</v>
      </c>
      <c r="AP335">
        <v>119411.14418340669</v>
      </c>
      <c r="AQ335">
        <v>67046.60709452469</v>
      </c>
      <c r="AR335">
        <v>2.9034938141203701E-2</v>
      </c>
      <c r="AS335">
        <v>467.80414892820829</v>
      </c>
      <c r="AT335">
        <v>586.17185068130209</v>
      </c>
      <c r="AU335">
        <v>401.58387676104871</v>
      </c>
      <c r="AV335">
        <v>642.89815881175082</v>
      </c>
      <c r="AW335">
        <v>1466.053344591033</v>
      </c>
      <c r="AX335">
        <v>823.15518577928219</v>
      </c>
      <c r="AY335">
        <v>3.7817538753632398</v>
      </c>
      <c r="AZ335" t="s">
        <v>115</v>
      </c>
      <c r="BA335" t="str">
        <f>VLOOKUP($AZ335,Sheet1!$A$2:$B$58,2)</f>
        <v>Benzyl Alcohol</v>
      </c>
      <c r="BB335" t="s">
        <v>166</v>
      </c>
      <c r="BC335">
        <v>108.13661999999999</v>
      </c>
      <c r="BD335">
        <v>4.8571428571428568</v>
      </c>
      <c r="BE335">
        <v>205</v>
      </c>
      <c r="BF335" t="s">
        <v>204</v>
      </c>
      <c r="BG335">
        <v>1.7715071627114991</v>
      </c>
      <c r="BH335">
        <v>0.17616867469879499</v>
      </c>
      <c r="BI335">
        <v>0.30693394544886099</v>
      </c>
      <c r="BJ335">
        <v>80</v>
      </c>
      <c r="BK335">
        <v>5970.5572091703343</v>
      </c>
      <c r="BL335">
        <v>3352.330354726234</v>
      </c>
      <c r="BM335">
        <v>13.62982727519497</v>
      </c>
      <c r="BN335">
        <v>2317.0706367831458</v>
      </c>
      <c r="BO335">
        <v>3653.486572387189</v>
      </c>
    </row>
    <row r="336" spans="1:67" x14ac:dyDescent="0.25">
      <c r="A336" s="1">
        <v>334</v>
      </c>
      <c r="B336" t="s">
        <v>71</v>
      </c>
      <c r="C336" t="s">
        <v>83</v>
      </c>
      <c r="D336">
        <v>2</v>
      </c>
      <c r="E336">
        <v>6</v>
      </c>
      <c r="F336">
        <v>2</v>
      </c>
      <c r="G336">
        <v>62.06644</v>
      </c>
      <c r="H336">
        <v>10</v>
      </c>
      <c r="I336" t="s">
        <v>89</v>
      </c>
      <c r="J336">
        <v>2</v>
      </c>
      <c r="K336">
        <v>20</v>
      </c>
      <c r="L336">
        <v>60</v>
      </c>
      <c r="N336" t="s">
        <v>90</v>
      </c>
      <c r="O336">
        <v>40</v>
      </c>
      <c r="P336">
        <v>0.32</v>
      </c>
      <c r="Q336">
        <v>3.2500000000000001E-2</v>
      </c>
      <c r="R336">
        <v>77.5</v>
      </c>
      <c r="S336">
        <v>170</v>
      </c>
      <c r="T336">
        <v>50</v>
      </c>
      <c r="U336">
        <v>1812.1301775147931</v>
      </c>
      <c r="V336">
        <v>20</v>
      </c>
      <c r="W336">
        <v>0.95</v>
      </c>
      <c r="X336">
        <v>1</v>
      </c>
      <c r="Y336">
        <v>3196734.9773294502</v>
      </c>
      <c r="Z336">
        <v>639346995.46589005</v>
      </c>
      <c r="AA336">
        <v>1278693990.9317801</v>
      </c>
      <c r="AB336">
        <v>1278693.9909317801</v>
      </c>
      <c r="AC336">
        <v>0</v>
      </c>
      <c r="AD336">
        <v>6626.364611588443</v>
      </c>
      <c r="AE336">
        <v>2385491.26017184</v>
      </c>
      <c r="AF336">
        <v>1431294.756103104</v>
      </c>
      <c r="AG336">
        <v>88.835370101987934</v>
      </c>
      <c r="AH336">
        <v>671.9070103050409</v>
      </c>
      <c r="AI336">
        <v>335.95350515252039</v>
      </c>
      <c r="AJ336">
        <v>41557.554705282862</v>
      </c>
      <c r="AK336">
        <v>854.70085470085473</v>
      </c>
      <c r="AL336" t="s">
        <v>93</v>
      </c>
      <c r="AM336">
        <v>52072.793298640667</v>
      </c>
      <c r="AN336">
        <v>35674.85231905886</v>
      </c>
      <c r="AO336">
        <v>57112.095875928477</v>
      </c>
      <c r="AP336">
        <v>130159.9011776832</v>
      </c>
      <c r="AQ336">
        <v>73047.805301754765</v>
      </c>
      <c r="AR336">
        <v>2.9034938141203701E-2</v>
      </c>
      <c r="AS336">
        <v>467.80414892820818</v>
      </c>
      <c r="AT336">
        <v>586.17185068130198</v>
      </c>
      <c r="AU336">
        <v>401.5838767610486</v>
      </c>
      <c r="AV336">
        <v>642.89815881175059</v>
      </c>
      <c r="AW336">
        <v>1465.181053765549</v>
      </c>
      <c r="AX336">
        <v>822.28289495379886</v>
      </c>
      <c r="AY336">
        <v>3.781753875363238</v>
      </c>
      <c r="AZ336" t="s">
        <v>116</v>
      </c>
      <c r="BA336" t="str">
        <f>VLOOKUP($AZ336,Sheet1!$A$2:$B$58,2)</f>
        <v>Beta Carotene</v>
      </c>
      <c r="BB336" t="s">
        <v>167</v>
      </c>
      <c r="BC336">
        <v>536.86703999999997</v>
      </c>
      <c r="BD336">
        <v>5.4</v>
      </c>
      <c r="BE336">
        <v>633</v>
      </c>
      <c r="BF336" t="s">
        <v>204</v>
      </c>
      <c r="BG336">
        <v>1.760281655412836</v>
      </c>
      <c r="BH336">
        <v>3.2534482758620697E-2</v>
      </c>
      <c r="BI336">
        <v>0.28141943880346998</v>
      </c>
      <c r="BJ336">
        <v>80</v>
      </c>
      <c r="BK336">
        <v>6507.995058884163</v>
      </c>
      <c r="BL336">
        <v>3652.390265087739</v>
      </c>
      <c r="BM336">
        <v>15.037393602213189</v>
      </c>
      <c r="BN336">
        <v>2556.3569123762418</v>
      </c>
      <c r="BO336">
        <v>3951.6381465079212</v>
      </c>
    </row>
    <row r="337" spans="1:67" x14ac:dyDescent="0.25">
      <c r="A337" s="1">
        <v>335</v>
      </c>
      <c r="B337" t="s">
        <v>71</v>
      </c>
      <c r="C337" t="s">
        <v>83</v>
      </c>
      <c r="D337">
        <v>2</v>
      </c>
      <c r="E337">
        <v>6</v>
      </c>
      <c r="F337">
        <v>2</v>
      </c>
      <c r="G337">
        <v>62.06644</v>
      </c>
      <c r="H337">
        <v>10</v>
      </c>
      <c r="I337" t="s">
        <v>89</v>
      </c>
      <c r="J337">
        <v>2</v>
      </c>
      <c r="K337">
        <v>20</v>
      </c>
      <c r="L337">
        <v>60</v>
      </c>
      <c r="N337" t="s">
        <v>90</v>
      </c>
      <c r="O337">
        <v>40</v>
      </c>
      <c r="P337">
        <v>0.32</v>
      </c>
      <c r="Q337">
        <v>3.2500000000000001E-2</v>
      </c>
      <c r="R337">
        <v>77.5</v>
      </c>
      <c r="S337">
        <v>170</v>
      </c>
      <c r="T337">
        <v>50</v>
      </c>
      <c r="U337">
        <v>1812.1301775147931</v>
      </c>
      <c r="V337">
        <v>20</v>
      </c>
      <c r="W337">
        <v>0.95</v>
      </c>
      <c r="X337">
        <v>1</v>
      </c>
      <c r="Y337">
        <v>3406371.2596382201</v>
      </c>
      <c r="Z337">
        <v>681274251.92764401</v>
      </c>
      <c r="AA337">
        <v>1362548503.855288</v>
      </c>
      <c r="AB337">
        <v>1362548.503855288</v>
      </c>
      <c r="AC337">
        <v>66773.504273504266</v>
      </c>
      <c r="AD337">
        <v>7060.9100000073076</v>
      </c>
      <c r="AE337">
        <v>2541927.6000026311</v>
      </c>
      <c r="AF337">
        <v>1525156.5600015779</v>
      </c>
      <c r="AG337">
        <v>94.661038121944372</v>
      </c>
      <c r="AH337">
        <v>715.96949552714102</v>
      </c>
      <c r="AI337">
        <v>357.98474776357051</v>
      </c>
      <c r="AJ337">
        <v>44282.826375296863</v>
      </c>
      <c r="AK337">
        <v>2170.1388888888891</v>
      </c>
      <c r="AL337" t="s">
        <v>95</v>
      </c>
      <c r="AM337">
        <v>55487.635903353432</v>
      </c>
      <c r="AN337">
        <v>38014.346667235834</v>
      </c>
      <c r="AO337">
        <v>60857.407119806987</v>
      </c>
      <c r="AP337">
        <v>139954.947834775</v>
      </c>
      <c r="AQ337">
        <v>79097.54071496801</v>
      </c>
      <c r="AR337">
        <v>2.9034938141203701E-2</v>
      </c>
      <c r="AS337">
        <v>467.80414892820829</v>
      </c>
      <c r="AT337">
        <v>586.1718506813022</v>
      </c>
      <c r="AU337">
        <v>401.58387676104871</v>
      </c>
      <c r="AV337">
        <v>642.89815881175082</v>
      </c>
      <c r="AW337">
        <v>1478.48524177901</v>
      </c>
      <c r="AX337">
        <v>835.58708296725899</v>
      </c>
      <c r="AY337">
        <v>3.7817538753632398</v>
      </c>
      <c r="AZ337" t="s">
        <v>117</v>
      </c>
      <c r="BA337" t="str">
        <f>VLOOKUP($AZ337,Sheet1!$A$2:$B$58,2)</f>
        <v>Butane</v>
      </c>
      <c r="BB337" t="s">
        <v>168</v>
      </c>
      <c r="BC337">
        <v>58.121200000000002</v>
      </c>
      <c r="BD337">
        <v>6.5</v>
      </c>
      <c r="BE337">
        <v>-1</v>
      </c>
      <c r="BF337" t="s">
        <v>204</v>
      </c>
      <c r="BG337">
        <v>2.340931501131843</v>
      </c>
      <c r="BH337">
        <v>0.28202702702702698</v>
      </c>
      <c r="BI337">
        <v>0.26410020950535601</v>
      </c>
      <c r="BJ337">
        <v>80</v>
      </c>
      <c r="BK337">
        <v>6997.7473917387488</v>
      </c>
      <c r="BL337">
        <v>3954.8770357484</v>
      </c>
      <c r="BM337">
        <v>15.55830588704668</v>
      </c>
      <c r="BN337">
        <v>2644.9120007979359</v>
      </c>
      <c r="BO337">
        <v>4352.8353909408124</v>
      </c>
    </row>
    <row r="338" spans="1:67" x14ac:dyDescent="0.25">
      <c r="A338" s="1">
        <v>336</v>
      </c>
      <c r="B338" t="s">
        <v>71</v>
      </c>
      <c r="C338" t="s">
        <v>83</v>
      </c>
      <c r="D338">
        <v>2</v>
      </c>
      <c r="E338">
        <v>6</v>
      </c>
      <c r="F338">
        <v>2</v>
      </c>
      <c r="G338">
        <v>62.06644</v>
      </c>
      <c r="H338">
        <v>10</v>
      </c>
      <c r="I338" t="s">
        <v>89</v>
      </c>
      <c r="J338">
        <v>2</v>
      </c>
      <c r="K338">
        <v>20</v>
      </c>
      <c r="L338">
        <v>60</v>
      </c>
      <c r="N338" t="s">
        <v>90</v>
      </c>
      <c r="O338">
        <v>40</v>
      </c>
      <c r="P338">
        <v>0.32</v>
      </c>
      <c r="Q338">
        <v>3.2500000000000001E-2</v>
      </c>
      <c r="R338">
        <v>77.5</v>
      </c>
      <c r="S338">
        <v>170</v>
      </c>
      <c r="T338">
        <v>50</v>
      </c>
      <c r="U338">
        <v>1812.1301775147931</v>
      </c>
      <c r="V338">
        <v>20</v>
      </c>
      <c r="W338">
        <v>0.95</v>
      </c>
      <c r="X338">
        <v>1</v>
      </c>
      <c r="Y338">
        <v>2308965.6757327551</v>
      </c>
      <c r="Z338">
        <v>461793135.14655107</v>
      </c>
      <c r="AA338">
        <v>923586270.29310215</v>
      </c>
      <c r="AB338">
        <v>923586.27029310213</v>
      </c>
      <c r="AC338">
        <v>0</v>
      </c>
      <c r="AD338">
        <v>4786.1485395419213</v>
      </c>
      <c r="AE338">
        <v>1723013.4742350921</v>
      </c>
      <c r="AF338">
        <v>1033808.084541055</v>
      </c>
      <c r="AG338">
        <v>64.164787450682311</v>
      </c>
      <c r="AH338">
        <v>485.31086720695288</v>
      </c>
      <c r="AI338">
        <v>242.65543360347641</v>
      </c>
      <c r="AJ338">
        <v>30016.553784525819</v>
      </c>
      <c r="AK338">
        <v>854.70085470085473</v>
      </c>
      <c r="AL338" t="s">
        <v>93</v>
      </c>
      <c r="AM338">
        <v>37611.592208538837</v>
      </c>
      <c r="AN338">
        <v>25767.54409599369</v>
      </c>
      <c r="AO338">
        <v>41251.423712590993</v>
      </c>
      <c r="AP338">
        <v>94250.390943759208</v>
      </c>
      <c r="AQ338">
        <v>52998.967231168222</v>
      </c>
      <c r="AR338">
        <v>2.9034938141203701E-2</v>
      </c>
      <c r="AS338">
        <v>467.80414892820829</v>
      </c>
      <c r="AT338">
        <v>586.17185068130209</v>
      </c>
      <c r="AU338">
        <v>401.58387676104871</v>
      </c>
      <c r="AV338">
        <v>642.89815881175082</v>
      </c>
      <c r="AW338">
        <v>1468.880279798339</v>
      </c>
      <c r="AX338">
        <v>825.9821209865886</v>
      </c>
      <c r="AY338">
        <v>3.7817538753632398</v>
      </c>
      <c r="AZ338" t="s">
        <v>118</v>
      </c>
      <c r="BA338" t="str">
        <f>VLOOKUP($AZ338,Sheet1!$A$2:$B$58,2)</f>
        <v>Butanol (PW1)</v>
      </c>
      <c r="BB338" t="s">
        <v>169</v>
      </c>
      <c r="BC338">
        <v>74.120199999999997</v>
      </c>
      <c r="BD338">
        <v>6</v>
      </c>
      <c r="BE338">
        <v>117.7</v>
      </c>
      <c r="BF338" t="s">
        <v>204</v>
      </c>
      <c r="BG338">
        <v>1.264772800333811</v>
      </c>
      <c r="BH338">
        <v>0.326259541984732</v>
      </c>
      <c r="BI338">
        <v>0.38962180026256998</v>
      </c>
      <c r="BJ338">
        <v>80</v>
      </c>
      <c r="BK338">
        <v>4712.5195471879606</v>
      </c>
      <c r="BL338">
        <v>2649.9483615584109</v>
      </c>
      <c r="BM338">
        <v>10.867998879840011</v>
      </c>
      <c r="BN338">
        <v>1847.5598095728019</v>
      </c>
      <c r="BO338">
        <v>2864.9597376151592</v>
      </c>
    </row>
    <row r="339" spans="1:67" x14ac:dyDescent="0.25">
      <c r="A339" s="1">
        <v>337</v>
      </c>
      <c r="B339" t="s">
        <v>71</v>
      </c>
      <c r="C339" t="s">
        <v>83</v>
      </c>
      <c r="D339">
        <v>2</v>
      </c>
      <c r="E339">
        <v>6</v>
      </c>
      <c r="F339">
        <v>2</v>
      </c>
      <c r="G339">
        <v>62.06644</v>
      </c>
      <c r="H339">
        <v>10</v>
      </c>
      <c r="I339" t="s">
        <v>89</v>
      </c>
      <c r="J339">
        <v>2</v>
      </c>
      <c r="K339">
        <v>20</v>
      </c>
      <c r="L339">
        <v>60</v>
      </c>
      <c r="N339" t="s">
        <v>90</v>
      </c>
      <c r="O339">
        <v>40</v>
      </c>
      <c r="P339">
        <v>0.32</v>
      </c>
      <c r="Q339">
        <v>3.2500000000000001E-2</v>
      </c>
      <c r="R339">
        <v>77.5</v>
      </c>
      <c r="S339">
        <v>170</v>
      </c>
      <c r="T339">
        <v>50</v>
      </c>
      <c r="U339">
        <v>1812.1301775147931</v>
      </c>
      <c r="V339">
        <v>20</v>
      </c>
      <c r="W339">
        <v>0.95</v>
      </c>
      <c r="X339">
        <v>1</v>
      </c>
      <c r="Y339">
        <v>2626228.1349937408</v>
      </c>
      <c r="Z339">
        <v>525245626.99874818</v>
      </c>
      <c r="AA339">
        <v>1050491253.997496</v>
      </c>
      <c r="AB339">
        <v>1050491.253997497</v>
      </c>
      <c r="AC339">
        <v>0</v>
      </c>
      <c r="AD339">
        <v>5443.7872701659953</v>
      </c>
      <c r="AE339">
        <v>1959763.4172597581</v>
      </c>
      <c r="AF339">
        <v>1175858.0503558549</v>
      </c>
      <c r="AG339">
        <v>72.981323130928644</v>
      </c>
      <c r="AH339">
        <v>551.99480315905248</v>
      </c>
      <c r="AI339">
        <v>275.99740157952618</v>
      </c>
      <c r="AJ339">
        <v>34140.965754918638</v>
      </c>
      <c r="AK339">
        <v>854.70085470085473</v>
      </c>
      <c r="AL339" t="s">
        <v>93</v>
      </c>
      <c r="AM339">
        <v>42779.597244826567</v>
      </c>
      <c r="AN339">
        <v>29308.12267406912</v>
      </c>
      <c r="AO339">
        <v>46919.55826851946</v>
      </c>
      <c r="AP339">
        <v>107083.3865285152</v>
      </c>
      <c r="AQ339">
        <v>60163.828259995717</v>
      </c>
      <c r="AR339">
        <v>2.9034938141203701E-2</v>
      </c>
      <c r="AS339">
        <v>467.80414892820829</v>
      </c>
      <c r="AT339">
        <v>586.17185068130209</v>
      </c>
      <c r="AU339">
        <v>401.58387676104871</v>
      </c>
      <c r="AV339">
        <v>642.8981588117507</v>
      </c>
      <c r="AW339">
        <v>1467.271103545319</v>
      </c>
      <c r="AX339">
        <v>824.37294473356803</v>
      </c>
      <c r="AY339">
        <v>3.7817538753632398</v>
      </c>
      <c r="AZ339" t="s">
        <v>119</v>
      </c>
      <c r="BA339" t="str">
        <f>VLOOKUP($AZ339,Sheet1!$A$2:$B$58,2)</f>
        <v>Butanol (PW2)</v>
      </c>
      <c r="BB339" t="s">
        <v>169</v>
      </c>
      <c r="BC339">
        <v>74.120199999999997</v>
      </c>
      <c r="BD339">
        <v>6</v>
      </c>
      <c r="BE339">
        <v>117.7</v>
      </c>
      <c r="BF339" t="s">
        <v>204</v>
      </c>
      <c r="BG339">
        <v>1.764902642293571</v>
      </c>
      <c r="BH339">
        <v>0.28684563758389298</v>
      </c>
      <c r="BI339">
        <v>0.34255339486172298</v>
      </c>
      <c r="BJ339">
        <v>80</v>
      </c>
      <c r="BK339">
        <v>5354.1693264257592</v>
      </c>
      <c r="BL339">
        <v>3008.1914129997858</v>
      </c>
      <c r="BM339">
        <v>12.03496743668274</v>
      </c>
      <c r="BN339">
        <v>2045.9444642360661</v>
      </c>
      <c r="BO339">
        <v>3308.2248621896929</v>
      </c>
    </row>
    <row r="340" spans="1:67" x14ac:dyDescent="0.25">
      <c r="A340" s="1">
        <v>338</v>
      </c>
      <c r="B340" t="s">
        <v>71</v>
      </c>
      <c r="C340" t="s">
        <v>83</v>
      </c>
      <c r="D340">
        <v>2</v>
      </c>
      <c r="E340">
        <v>6</v>
      </c>
      <c r="F340">
        <v>2</v>
      </c>
      <c r="G340">
        <v>62.06644</v>
      </c>
      <c r="H340">
        <v>10</v>
      </c>
      <c r="I340" t="s">
        <v>89</v>
      </c>
      <c r="J340">
        <v>2</v>
      </c>
      <c r="K340">
        <v>20</v>
      </c>
      <c r="L340">
        <v>60</v>
      </c>
      <c r="N340" t="s">
        <v>90</v>
      </c>
      <c r="O340">
        <v>40</v>
      </c>
      <c r="P340">
        <v>0.32</v>
      </c>
      <c r="Q340">
        <v>3.2500000000000001E-2</v>
      </c>
      <c r="R340">
        <v>77.5</v>
      </c>
      <c r="S340">
        <v>170</v>
      </c>
      <c r="T340">
        <v>50</v>
      </c>
      <c r="U340">
        <v>1812.1301775147931</v>
      </c>
      <c r="V340">
        <v>20</v>
      </c>
      <c r="W340">
        <v>0.95</v>
      </c>
      <c r="X340">
        <v>1</v>
      </c>
      <c r="Y340">
        <v>1709979.8816099339</v>
      </c>
      <c r="Z340">
        <v>341995976.32198679</v>
      </c>
      <c r="AA340">
        <v>683991952.64397359</v>
      </c>
      <c r="AB340">
        <v>683991.95264397364</v>
      </c>
      <c r="AC340">
        <v>0</v>
      </c>
      <c r="AD340">
        <v>3544.538491424812</v>
      </c>
      <c r="AE340">
        <v>1276033.8569129331</v>
      </c>
      <c r="AF340">
        <v>765620.31414775958</v>
      </c>
      <c r="AG340">
        <v>47.519327290833068</v>
      </c>
      <c r="AH340">
        <v>359.41280027352423</v>
      </c>
      <c r="AI340">
        <v>179.70640013676211</v>
      </c>
      <c r="AJ340">
        <v>22229.73846092914</v>
      </c>
      <c r="AK340">
        <v>854.70085470085473</v>
      </c>
      <c r="AL340" t="s">
        <v>93</v>
      </c>
      <c r="AM340">
        <v>27854.492021198119</v>
      </c>
      <c r="AN340">
        <v>19082.99567452984</v>
      </c>
      <c r="AO340">
        <v>30550.088023249551</v>
      </c>
      <c r="AP340">
        <v>70021.92701135797</v>
      </c>
      <c r="AQ340">
        <v>39471.838988108408</v>
      </c>
      <c r="AR340">
        <v>2.9034938141203701E-2</v>
      </c>
      <c r="AS340">
        <v>467.80414892820818</v>
      </c>
      <c r="AT340">
        <v>586.17185068130198</v>
      </c>
      <c r="AU340">
        <v>401.58387676104871</v>
      </c>
      <c r="AV340">
        <v>642.89815881175059</v>
      </c>
      <c r="AW340">
        <v>1473.546260089121</v>
      </c>
      <c r="AX340">
        <v>830.64810127737019</v>
      </c>
      <c r="AY340">
        <v>3.7817538753632389</v>
      </c>
      <c r="AZ340" t="s">
        <v>120</v>
      </c>
      <c r="BA340" t="str">
        <f>VLOOKUP($AZ340,Sheet1!$A$2:$B$58,2)</f>
        <v>Butyrate</v>
      </c>
      <c r="BB340" t="s">
        <v>170</v>
      </c>
      <c r="BC340">
        <v>87.095680000000002</v>
      </c>
      <c r="BD340">
        <v>4.75</v>
      </c>
      <c r="BE340">
        <v>163.5</v>
      </c>
      <c r="BF340" t="s">
        <v>204</v>
      </c>
      <c r="BG340">
        <v>0.67437234670536328</v>
      </c>
      <c r="BH340">
        <v>0.37491228070175497</v>
      </c>
      <c r="BI340">
        <v>0.52610172376793596</v>
      </c>
      <c r="BJ340">
        <v>80</v>
      </c>
      <c r="BK340">
        <v>3501.0963505678978</v>
      </c>
      <c r="BL340">
        <v>1973.5919494054201</v>
      </c>
      <c r="BM340">
        <v>8.3109476601327419</v>
      </c>
      <c r="BN340">
        <v>1412.8611022225659</v>
      </c>
      <c r="BO340">
        <v>2088.235248345331</v>
      </c>
    </row>
    <row r="341" spans="1:67" x14ac:dyDescent="0.25">
      <c r="A341" s="1">
        <v>339</v>
      </c>
      <c r="B341" t="s">
        <v>71</v>
      </c>
      <c r="C341" t="s">
        <v>83</v>
      </c>
      <c r="D341">
        <v>2</v>
      </c>
      <c r="E341">
        <v>6</v>
      </c>
      <c r="F341">
        <v>2</v>
      </c>
      <c r="G341">
        <v>62.06644</v>
      </c>
      <c r="H341">
        <v>10</v>
      </c>
      <c r="I341" t="s">
        <v>89</v>
      </c>
      <c r="J341">
        <v>2</v>
      </c>
      <c r="K341">
        <v>20</v>
      </c>
      <c r="L341">
        <v>60</v>
      </c>
      <c r="N341" t="s">
        <v>90</v>
      </c>
      <c r="O341">
        <v>40</v>
      </c>
      <c r="P341">
        <v>0.32</v>
      </c>
      <c r="Q341">
        <v>3.2500000000000001E-2</v>
      </c>
      <c r="R341">
        <v>77.5</v>
      </c>
      <c r="S341">
        <v>170</v>
      </c>
      <c r="T341">
        <v>50</v>
      </c>
      <c r="U341">
        <v>1812.1301775147931</v>
      </c>
      <c r="V341">
        <v>20</v>
      </c>
      <c r="W341">
        <v>0.95</v>
      </c>
      <c r="X341">
        <v>1</v>
      </c>
      <c r="Y341">
        <v>1962922.567846722</v>
      </c>
      <c r="Z341">
        <v>392584513.56934452</v>
      </c>
      <c r="AA341">
        <v>785169027.13868904</v>
      </c>
      <c r="AB341">
        <v>785169.02713868907</v>
      </c>
      <c r="AC341">
        <v>0</v>
      </c>
      <c r="AD341">
        <v>4068.8517287516611</v>
      </c>
      <c r="AE341">
        <v>1464786.622350598</v>
      </c>
      <c r="AF341">
        <v>878871.97341035877</v>
      </c>
      <c r="AG341">
        <v>54.54845460535563</v>
      </c>
      <c r="AH341">
        <v>412.57765919775892</v>
      </c>
      <c r="AI341">
        <v>206.2888295988794</v>
      </c>
      <c r="AJ341">
        <v>25517.9933820074</v>
      </c>
      <c r="AK341">
        <v>854.70085470085473</v>
      </c>
      <c r="AL341" t="s">
        <v>93</v>
      </c>
      <c r="AM341">
        <v>31974.768587826311</v>
      </c>
      <c r="AN341">
        <v>21905.77987174279</v>
      </c>
      <c r="AO341">
        <v>35069.101031809507</v>
      </c>
      <c r="AP341">
        <v>80253.242696277361</v>
      </c>
      <c r="AQ341">
        <v>45184.141664467847</v>
      </c>
      <c r="AR341">
        <v>2.9034938141203712E-2</v>
      </c>
      <c r="AS341">
        <v>467.80414892820829</v>
      </c>
      <c r="AT341">
        <v>586.17185068130209</v>
      </c>
      <c r="AU341">
        <v>401.58387676104871</v>
      </c>
      <c r="AV341">
        <v>642.89815881175093</v>
      </c>
      <c r="AW341">
        <v>1471.2285302469049</v>
      </c>
      <c r="AX341">
        <v>828.33037143515378</v>
      </c>
      <c r="AY341">
        <v>3.7817538753632398</v>
      </c>
      <c r="AZ341" t="s">
        <v>121</v>
      </c>
      <c r="BA341" t="str">
        <f>VLOOKUP($AZ341,Sheet1!$A$2:$B$58,2)</f>
        <v>Catechol</v>
      </c>
      <c r="BB341" t="s">
        <v>171</v>
      </c>
      <c r="BC341">
        <v>110.10924</v>
      </c>
      <c r="BD341">
        <v>4.333333333333333</v>
      </c>
      <c r="BE341">
        <v>245</v>
      </c>
      <c r="BF341" t="s">
        <v>204</v>
      </c>
      <c r="BG341">
        <v>0.69617057837321394</v>
      </c>
      <c r="BH341">
        <v>0.25833922261484099</v>
      </c>
      <c r="BI341">
        <v>0.45830812588310199</v>
      </c>
      <c r="BJ341">
        <v>80</v>
      </c>
      <c r="BK341">
        <v>4012.6621348138679</v>
      </c>
      <c r="BL341">
        <v>2259.2070832233921</v>
      </c>
      <c r="BM341">
        <v>9.6182709015707548</v>
      </c>
      <c r="BN341">
        <v>1635.1060532670281</v>
      </c>
      <c r="BO341">
        <v>2377.5560815468398</v>
      </c>
    </row>
    <row r="342" spans="1:67" x14ac:dyDescent="0.25">
      <c r="A342" s="1">
        <v>340</v>
      </c>
      <c r="B342" t="s">
        <v>71</v>
      </c>
      <c r="C342" t="s">
        <v>83</v>
      </c>
      <c r="D342">
        <v>2</v>
      </c>
      <c r="E342">
        <v>6</v>
      </c>
      <c r="F342">
        <v>2</v>
      </c>
      <c r="G342">
        <v>62.06644</v>
      </c>
      <c r="H342">
        <v>10</v>
      </c>
      <c r="I342" t="s">
        <v>89</v>
      </c>
      <c r="J342">
        <v>2</v>
      </c>
      <c r="K342">
        <v>20</v>
      </c>
      <c r="L342">
        <v>60</v>
      </c>
      <c r="N342" t="s">
        <v>90</v>
      </c>
      <c r="O342">
        <v>40</v>
      </c>
      <c r="P342">
        <v>0.32</v>
      </c>
      <c r="Q342">
        <v>3.2500000000000001E-2</v>
      </c>
      <c r="R342">
        <v>77.5</v>
      </c>
      <c r="S342">
        <v>170</v>
      </c>
      <c r="T342">
        <v>50</v>
      </c>
      <c r="U342">
        <v>1812.1301775147931</v>
      </c>
      <c r="V342">
        <v>20</v>
      </c>
      <c r="W342">
        <v>0.95</v>
      </c>
      <c r="X342">
        <v>1</v>
      </c>
      <c r="Y342">
        <v>1559173.9112563089</v>
      </c>
      <c r="Z342">
        <v>311834782.25126171</v>
      </c>
      <c r="AA342">
        <v>623669564.50252342</v>
      </c>
      <c r="AB342">
        <v>623669.5645025234</v>
      </c>
      <c r="AC342">
        <v>0</v>
      </c>
      <c r="AD342">
        <v>3231.939745437327</v>
      </c>
      <c r="AE342">
        <v>1163498.3083574381</v>
      </c>
      <c r="AF342">
        <v>698098.98501446249</v>
      </c>
      <c r="AG342">
        <v>43.328518767461041</v>
      </c>
      <c r="AH342">
        <v>327.71558752518928</v>
      </c>
      <c r="AI342">
        <v>163.8577937625947</v>
      </c>
      <c r="AJ342">
        <v>20269.26084633201</v>
      </c>
      <c r="AK342">
        <v>854.70085470085473</v>
      </c>
      <c r="AL342" t="s">
        <v>93</v>
      </c>
      <c r="AM342">
        <v>25397.958033202169</v>
      </c>
      <c r="AN342">
        <v>17400.034540950859</v>
      </c>
      <c r="AO342">
        <v>27855.82493964109</v>
      </c>
      <c r="AP342">
        <v>63921.95427518589</v>
      </c>
      <c r="AQ342">
        <v>36066.1293355448</v>
      </c>
      <c r="AR342">
        <v>2.9034938141203701E-2</v>
      </c>
      <c r="AS342">
        <v>467.80414892820829</v>
      </c>
      <c r="AT342">
        <v>586.1718506813022</v>
      </c>
      <c r="AU342">
        <v>401.58387676104871</v>
      </c>
      <c r="AV342">
        <v>642.89815881175082</v>
      </c>
      <c r="AW342">
        <v>1475.28593391912</v>
      </c>
      <c r="AX342">
        <v>832.38777510736963</v>
      </c>
      <c r="AY342">
        <v>3.7817538753632398</v>
      </c>
      <c r="AZ342" t="s">
        <v>122</v>
      </c>
      <c r="BA342" t="str">
        <f>VLOOKUP($AZ342,Sheet1!$A$2:$B$58,2)</f>
        <v>cis,cis-Muconate</v>
      </c>
      <c r="BB342" t="s">
        <v>172</v>
      </c>
      <c r="BC342">
        <v>140.09155999999999</v>
      </c>
      <c r="BD342">
        <v>3.333333333333333</v>
      </c>
      <c r="BE342">
        <v>345.4</v>
      </c>
      <c r="BF342" t="s">
        <v>204</v>
      </c>
      <c r="BG342">
        <v>0.57295836454256066</v>
      </c>
      <c r="BH342">
        <v>0.25562937062937102</v>
      </c>
      <c r="BI342">
        <v>0.57698718329541798</v>
      </c>
      <c r="BJ342">
        <v>80</v>
      </c>
      <c r="BK342">
        <v>3196.097713759294</v>
      </c>
      <c r="BL342">
        <v>1803.3064667772401</v>
      </c>
      <c r="BM342">
        <v>7.6199313235871733</v>
      </c>
      <c r="BN342">
        <v>1295.388325009819</v>
      </c>
      <c r="BO342">
        <v>1900.709388749475</v>
      </c>
    </row>
    <row r="343" spans="1:67" x14ac:dyDescent="0.25">
      <c r="A343" s="1">
        <v>341</v>
      </c>
      <c r="B343" t="s">
        <v>71</v>
      </c>
      <c r="C343" t="s">
        <v>83</v>
      </c>
      <c r="D343">
        <v>2</v>
      </c>
      <c r="E343">
        <v>6</v>
      </c>
      <c r="F343">
        <v>2</v>
      </c>
      <c r="G343">
        <v>62.06644</v>
      </c>
      <c r="H343">
        <v>10</v>
      </c>
      <c r="I343" t="s">
        <v>89</v>
      </c>
      <c r="J343">
        <v>2</v>
      </c>
      <c r="K343">
        <v>20</v>
      </c>
      <c r="L343">
        <v>60</v>
      </c>
      <c r="N343" t="s">
        <v>90</v>
      </c>
      <c r="O343">
        <v>40</v>
      </c>
      <c r="P343">
        <v>0.32</v>
      </c>
      <c r="Q343">
        <v>3.2500000000000001E-2</v>
      </c>
      <c r="R343">
        <v>77.5</v>
      </c>
      <c r="S343">
        <v>170</v>
      </c>
      <c r="T343">
        <v>50</v>
      </c>
      <c r="U343">
        <v>1812.1301775147931</v>
      </c>
      <c r="V343">
        <v>20</v>
      </c>
      <c r="W343">
        <v>0.95</v>
      </c>
      <c r="X343">
        <v>1</v>
      </c>
      <c r="Y343">
        <v>829982.74377596774</v>
      </c>
      <c r="Z343">
        <v>165996548.75519359</v>
      </c>
      <c r="AA343">
        <v>331993097.51038712</v>
      </c>
      <c r="AB343">
        <v>331993.09751038707</v>
      </c>
      <c r="AC343">
        <v>0</v>
      </c>
      <c r="AD343">
        <v>1720.432979458514</v>
      </c>
      <c r="AE343">
        <v>619355.872605065</v>
      </c>
      <c r="AF343">
        <v>371613.52356303902</v>
      </c>
      <c r="AG343">
        <v>23.064728463413939</v>
      </c>
      <c r="AH343">
        <v>174.450252501433</v>
      </c>
      <c r="AI343">
        <v>87.225126250716514</v>
      </c>
      <c r="AJ343">
        <v>10789.775669087579</v>
      </c>
      <c r="AK343">
        <v>854.70085470085473</v>
      </c>
      <c r="AL343" t="s">
        <v>93</v>
      </c>
      <c r="AM343">
        <v>13519.89456886106</v>
      </c>
      <c r="AN343">
        <v>9262.423072778678</v>
      </c>
      <c r="AO343">
        <v>14828.271462621809</v>
      </c>
      <c r="AP343">
        <v>34426.794165428168</v>
      </c>
      <c r="AQ343">
        <v>19598.52270280636</v>
      </c>
      <c r="AR343">
        <v>2.9034938141203701E-2</v>
      </c>
      <c r="AS343">
        <v>467.80414892820829</v>
      </c>
      <c r="AT343">
        <v>586.1718506813022</v>
      </c>
      <c r="AU343">
        <v>401.58387676104871</v>
      </c>
      <c r="AV343">
        <v>642.89815881175082</v>
      </c>
      <c r="AW343">
        <v>1492.616495357277</v>
      </c>
      <c r="AX343">
        <v>849.71833654552665</v>
      </c>
      <c r="AY343">
        <v>3.7817538753632398</v>
      </c>
      <c r="AZ343" t="s">
        <v>123</v>
      </c>
      <c r="BA343" t="str">
        <f>VLOOKUP($AZ343,Sheet1!$A$2:$B$58,2)</f>
        <v>Citrate</v>
      </c>
      <c r="BB343" t="s">
        <v>173</v>
      </c>
      <c r="BC343">
        <v>189.09639999999999</v>
      </c>
      <c r="BD343">
        <v>2.5</v>
      </c>
      <c r="BF343" t="s">
        <v>204</v>
      </c>
      <c r="BG343">
        <v>-8.805286667795803E-2</v>
      </c>
      <c r="BH343">
        <v>0.35576642335766401</v>
      </c>
      <c r="BI343">
        <v>1.08390610536152</v>
      </c>
      <c r="BJ343">
        <v>80</v>
      </c>
      <c r="BK343">
        <v>1721.339708271408</v>
      </c>
      <c r="BL343">
        <v>979.92613514031768</v>
      </c>
      <c r="BM343">
        <v>4.4493091792137829</v>
      </c>
      <c r="BN343">
        <v>756.38256046634308</v>
      </c>
      <c r="BO343">
        <v>964.95714780506466</v>
      </c>
    </row>
    <row r="344" spans="1:67" x14ac:dyDescent="0.25">
      <c r="A344" s="1">
        <v>342</v>
      </c>
      <c r="B344" t="s">
        <v>71</v>
      </c>
      <c r="C344" t="s">
        <v>83</v>
      </c>
      <c r="D344">
        <v>2</v>
      </c>
      <c r="E344">
        <v>6</v>
      </c>
      <c r="F344">
        <v>2</v>
      </c>
      <c r="G344">
        <v>62.06644</v>
      </c>
      <c r="H344">
        <v>10</v>
      </c>
      <c r="I344" t="s">
        <v>89</v>
      </c>
      <c r="J344">
        <v>2</v>
      </c>
      <c r="K344">
        <v>20</v>
      </c>
      <c r="L344">
        <v>60</v>
      </c>
      <c r="N344" t="s">
        <v>90</v>
      </c>
      <c r="O344">
        <v>40</v>
      </c>
      <c r="P344">
        <v>0.32</v>
      </c>
      <c r="Q344">
        <v>3.2500000000000001E-2</v>
      </c>
      <c r="R344">
        <v>77.5</v>
      </c>
      <c r="S344">
        <v>170</v>
      </c>
      <c r="T344">
        <v>50</v>
      </c>
      <c r="U344">
        <v>1812.1301775147931</v>
      </c>
      <c r="V344">
        <v>20</v>
      </c>
      <c r="W344">
        <v>0.95</v>
      </c>
      <c r="X344">
        <v>1</v>
      </c>
      <c r="Y344">
        <v>1963768.228952552</v>
      </c>
      <c r="Z344">
        <v>392753645.79051048</v>
      </c>
      <c r="AA344">
        <v>785507291.58102095</v>
      </c>
      <c r="AB344">
        <v>785507.29158102092</v>
      </c>
      <c r="AC344">
        <v>0</v>
      </c>
      <c r="AD344">
        <v>4070.6046606852769</v>
      </c>
      <c r="AE344">
        <v>1465417.6778467</v>
      </c>
      <c r="AF344">
        <v>879250.60670801986</v>
      </c>
      <c r="AG344">
        <v>54.571955026206908</v>
      </c>
      <c r="AH344">
        <v>412.75540481301277</v>
      </c>
      <c r="AI344">
        <v>206.37770240650639</v>
      </c>
      <c r="AJ344">
        <v>25528.986976383181</v>
      </c>
      <c r="AK344">
        <v>854.70085470085473</v>
      </c>
      <c r="AL344" t="s">
        <v>93</v>
      </c>
      <c r="AM344">
        <v>31988.54387300849</v>
      </c>
      <c r="AN344">
        <v>21915.21726185377</v>
      </c>
      <c r="AO344">
        <v>35084.209409106094</v>
      </c>
      <c r="AP344">
        <v>80287.448965946285</v>
      </c>
      <c r="AQ344">
        <v>45203.239556840199</v>
      </c>
      <c r="AR344">
        <v>2.9034938141203701E-2</v>
      </c>
      <c r="AS344">
        <v>467.80414892820818</v>
      </c>
      <c r="AT344">
        <v>586.17185068130198</v>
      </c>
      <c r="AU344">
        <v>401.58387676104871</v>
      </c>
      <c r="AV344">
        <v>642.89815881175059</v>
      </c>
      <c r="AW344">
        <v>1471.221782825814</v>
      </c>
      <c r="AX344">
        <v>828.32362401406363</v>
      </c>
      <c r="AY344">
        <v>3.7817538753632389</v>
      </c>
      <c r="AZ344" t="s">
        <v>124</v>
      </c>
      <c r="BA344" t="str">
        <f>VLOOKUP($AZ344,Sheet1!$A$2:$B$58,2)</f>
        <v>Coumaric Acid</v>
      </c>
      <c r="BB344" t="s">
        <v>174</v>
      </c>
      <c r="BC344">
        <v>163.14818</v>
      </c>
      <c r="BD344">
        <v>4.1111111111111107</v>
      </c>
      <c r="BE344">
        <v>346</v>
      </c>
      <c r="BF344" t="s">
        <v>204</v>
      </c>
      <c r="BG344">
        <v>0.66787458857698123</v>
      </c>
      <c r="BH344">
        <v>0.17427890345649599</v>
      </c>
      <c r="BI344">
        <v>0.45811076381621901</v>
      </c>
      <c r="BJ344">
        <v>80</v>
      </c>
      <c r="BK344">
        <v>4014.3724482973139</v>
      </c>
      <c r="BL344">
        <v>2260.1619778420099</v>
      </c>
      <c r="BM344">
        <v>9.6510105317483372</v>
      </c>
      <c r="BN344">
        <v>1640.6717903972169</v>
      </c>
      <c r="BO344">
        <v>2373.7006579000958</v>
      </c>
    </row>
    <row r="345" spans="1:67" x14ac:dyDescent="0.25">
      <c r="A345" s="1">
        <v>343</v>
      </c>
      <c r="B345" t="s">
        <v>71</v>
      </c>
      <c r="C345" t="s">
        <v>83</v>
      </c>
      <c r="D345">
        <v>2</v>
      </c>
      <c r="E345">
        <v>6</v>
      </c>
      <c r="F345">
        <v>2</v>
      </c>
      <c r="G345">
        <v>62.06644</v>
      </c>
      <c r="H345">
        <v>10</v>
      </c>
      <c r="I345" t="s">
        <v>89</v>
      </c>
      <c r="J345">
        <v>2</v>
      </c>
      <c r="K345">
        <v>20</v>
      </c>
      <c r="L345">
        <v>60</v>
      </c>
      <c r="N345" t="s">
        <v>90</v>
      </c>
      <c r="O345">
        <v>40</v>
      </c>
      <c r="P345">
        <v>0.32</v>
      </c>
      <c r="Q345">
        <v>3.2500000000000001E-2</v>
      </c>
      <c r="R345">
        <v>77.5</v>
      </c>
      <c r="S345">
        <v>170</v>
      </c>
      <c r="T345">
        <v>50</v>
      </c>
      <c r="U345">
        <v>1812.1301775147931</v>
      </c>
      <c r="V345">
        <v>20</v>
      </c>
      <c r="W345">
        <v>0.95</v>
      </c>
      <c r="X345">
        <v>1</v>
      </c>
      <c r="Y345">
        <v>1734903.668592995</v>
      </c>
      <c r="Z345">
        <v>346980733.71859908</v>
      </c>
      <c r="AA345">
        <v>693961467.43719816</v>
      </c>
      <c r="AB345">
        <v>693961.46743719815</v>
      </c>
      <c r="AC345">
        <v>0</v>
      </c>
      <c r="AD345">
        <v>3596.2018608384678</v>
      </c>
      <c r="AE345">
        <v>1294632.669901849</v>
      </c>
      <c r="AF345">
        <v>776779.60194110905</v>
      </c>
      <c r="AG345">
        <v>48.211944557101717</v>
      </c>
      <c r="AH345">
        <v>364.65141633523427</v>
      </c>
      <c r="AI345">
        <v>182.32570816761719</v>
      </c>
      <c r="AJ345">
        <v>22553.747691708941</v>
      </c>
      <c r="AK345">
        <v>854.70085470085473</v>
      </c>
      <c r="AL345" t="s">
        <v>93</v>
      </c>
      <c r="AM345">
        <v>28260.484765980658</v>
      </c>
      <c r="AN345">
        <v>19361.139601429659</v>
      </c>
      <c r="AO345">
        <v>30995.370388494921</v>
      </c>
      <c r="AP345">
        <v>71030.072913820113</v>
      </c>
      <c r="AQ345">
        <v>40034.702525325192</v>
      </c>
      <c r="AR345">
        <v>2.9034938141203712E-2</v>
      </c>
      <c r="AS345">
        <v>467.80414892820829</v>
      </c>
      <c r="AT345">
        <v>586.17185068130243</v>
      </c>
      <c r="AU345">
        <v>401.58387676104871</v>
      </c>
      <c r="AV345">
        <v>642.89815881175093</v>
      </c>
      <c r="AW345">
        <v>1473.2878660327181</v>
      </c>
      <c r="AX345">
        <v>830.38970722096713</v>
      </c>
      <c r="AY345">
        <v>3.7817538753632411</v>
      </c>
      <c r="AZ345" t="s">
        <v>125</v>
      </c>
      <c r="BA345" t="str">
        <f>VLOOKUP($AZ345,Sheet1!$A$2:$B$58,2)</f>
        <v>Ethyl Acetate</v>
      </c>
      <c r="BB345" t="s">
        <v>175</v>
      </c>
      <c r="BC345">
        <v>88.103520000000003</v>
      </c>
      <c r="BD345">
        <v>5</v>
      </c>
      <c r="BE345">
        <v>77.099999999999994</v>
      </c>
      <c r="BF345" t="s">
        <v>204</v>
      </c>
      <c r="BG345">
        <v>0.73678333655874839</v>
      </c>
      <c r="BH345">
        <v>0.36529914529914498</v>
      </c>
      <c r="BI345">
        <v>0.51854369761813401</v>
      </c>
      <c r="BJ345">
        <v>80</v>
      </c>
      <c r="BK345">
        <v>3551.5036456910061</v>
      </c>
      <c r="BL345">
        <v>2001.7351262662601</v>
      </c>
      <c r="BM345">
        <v>8.3795020718221114</v>
      </c>
      <c r="BN345">
        <v>1424.5153522097589</v>
      </c>
      <c r="BO345">
        <v>2126.9882934812472</v>
      </c>
    </row>
    <row r="346" spans="1:67" x14ac:dyDescent="0.25">
      <c r="A346" s="1">
        <v>344</v>
      </c>
      <c r="B346" t="s">
        <v>71</v>
      </c>
      <c r="C346" t="s">
        <v>83</v>
      </c>
      <c r="D346">
        <v>2</v>
      </c>
      <c r="E346">
        <v>6</v>
      </c>
      <c r="F346">
        <v>2</v>
      </c>
      <c r="G346">
        <v>62.06644</v>
      </c>
      <c r="H346">
        <v>10</v>
      </c>
      <c r="I346" t="s">
        <v>89</v>
      </c>
      <c r="J346">
        <v>2</v>
      </c>
      <c r="K346">
        <v>20</v>
      </c>
      <c r="L346">
        <v>60</v>
      </c>
      <c r="N346" t="s">
        <v>90</v>
      </c>
      <c r="O346">
        <v>40</v>
      </c>
      <c r="P346">
        <v>0.32</v>
      </c>
      <c r="Q346">
        <v>3.2500000000000001E-2</v>
      </c>
      <c r="R346">
        <v>77.5</v>
      </c>
      <c r="S346">
        <v>170</v>
      </c>
      <c r="T346">
        <v>50</v>
      </c>
      <c r="U346">
        <v>1812.1301775147931</v>
      </c>
      <c r="V346">
        <v>20</v>
      </c>
      <c r="W346">
        <v>0.95</v>
      </c>
      <c r="X346">
        <v>1</v>
      </c>
      <c r="Y346">
        <v>3108617.5172497709</v>
      </c>
      <c r="Z346">
        <v>621723503.44995415</v>
      </c>
      <c r="AA346">
        <v>1243447006.8999081</v>
      </c>
      <c r="AB346">
        <v>1243447.006899908</v>
      </c>
      <c r="AC346">
        <v>0</v>
      </c>
      <c r="AD346">
        <v>6443.7099895206366</v>
      </c>
      <c r="AE346">
        <v>2319735.5962274289</v>
      </c>
      <c r="AF346">
        <v>1391841.3577364581</v>
      </c>
      <c r="AG346">
        <v>86.386638119468373</v>
      </c>
      <c r="AH346">
        <v>653.38600697580262</v>
      </c>
      <c r="AI346">
        <v>326.69300348790131</v>
      </c>
      <c r="AJ346">
        <v>40412.027724247033</v>
      </c>
      <c r="AK346">
        <v>1835.336538461539</v>
      </c>
      <c r="AL346" t="s">
        <v>94</v>
      </c>
      <c r="AM346">
        <v>50637.415540624701</v>
      </c>
      <c r="AN346">
        <v>34691.4810363699</v>
      </c>
      <c r="AO346">
        <v>55537.81059294322</v>
      </c>
      <c r="AP346">
        <v>127576.2608397031</v>
      </c>
      <c r="AQ346">
        <v>72038.450246759923</v>
      </c>
      <c r="AR346">
        <v>2.9034938141203712E-2</v>
      </c>
      <c r="AS346">
        <v>467.80414892820829</v>
      </c>
      <c r="AT346">
        <v>586.17185068130198</v>
      </c>
      <c r="AU346">
        <v>401.58387676104871</v>
      </c>
      <c r="AV346">
        <v>642.8981588117507</v>
      </c>
      <c r="AW346">
        <v>1476.805483080283</v>
      </c>
      <c r="AX346">
        <v>833.90732426853276</v>
      </c>
      <c r="AY346">
        <v>3.7817538753632398</v>
      </c>
      <c r="AZ346" t="s">
        <v>126</v>
      </c>
      <c r="BA346" t="str">
        <f>VLOOKUP($AZ346,Sheet1!$A$2:$B$58,2)</f>
        <v>Farnesene</v>
      </c>
      <c r="BB346" t="s">
        <v>176</v>
      </c>
      <c r="BC346">
        <v>204.34866</v>
      </c>
      <c r="BD346">
        <v>5.6</v>
      </c>
      <c r="BE346" t="s">
        <v>198</v>
      </c>
      <c r="BF346" t="s">
        <v>204</v>
      </c>
      <c r="BG346">
        <v>1.669890117108052</v>
      </c>
      <c r="BH346">
        <v>8.7897838899803502E-2</v>
      </c>
      <c r="BI346">
        <v>0.289396607440913</v>
      </c>
      <c r="BJ346">
        <v>80</v>
      </c>
      <c r="BK346">
        <v>6378.8130419851559</v>
      </c>
      <c r="BL346">
        <v>3601.9225123379952</v>
      </c>
      <c r="BM346">
        <v>14.66476005728701</v>
      </c>
      <c r="BN346">
        <v>2493.0092097387919</v>
      </c>
      <c r="BO346">
        <v>3885.803832246364</v>
      </c>
    </row>
    <row r="347" spans="1:67" x14ac:dyDescent="0.25">
      <c r="A347" s="1">
        <v>345</v>
      </c>
      <c r="B347" t="s">
        <v>71</v>
      </c>
      <c r="C347" t="s">
        <v>83</v>
      </c>
      <c r="D347">
        <v>2</v>
      </c>
      <c r="E347">
        <v>6</v>
      </c>
      <c r="F347">
        <v>2</v>
      </c>
      <c r="G347">
        <v>62.06644</v>
      </c>
      <c r="H347">
        <v>10</v>
      </c>
      <c r="I347" t="s">
        <v>89</v>
      </c>
      <c r="J347">
        <v>2</v>
      </c>
      <c r="K347">
        <v>20</v>
      </c>
      <c r="L347">
        <v>60</v>
      </c>
      <c r="N347" t="s">
        <v>90</v>
      </c>
      <c r="O347">
        <v>40</v>
      </c>
      <c r="P347">
        <v>0.32</v>
      </c>
      <c r="Q347">
        <v>3.2500000000000001E-2</v>
      </c>
      <c r="R347">
        <v>77.5</v>
      </c>
      <c r="S347">
        <v>170</v>
      </c>
      <c r="T347">
        <v>50</v>
      </c>
      <c r="U347">
        <v>1812.1301775147931</v>
      </c>
      <c r="V347">
        <v>20</v>
      </c>
      <c r="W347">
        <v>0.95</v>
      </c>
      <c r="X347">
        <v>1</v>
      </c>
      <c r="Y347">
        <v>1783178.190880822</v>
      </c>
      <c r="Z347">
        <v>356635638.17616439</v>
      </c>
      <c r="AA347">
        <v>713271276.3523289</v>
      </c>
      <c r="AB347">
        <v>713271.27635232895</v>
      </c>
      <c r="AC347">
        <v>0</v>
      </c>
      <c r="AD347">
        <v>3696.2678933366101</v>
      </c>
      <c r="AE347">
        <v>1330656.44160118</v>
      </c>
      <c r="AF347">
        <v>798393.86496070772</v>
      </c>
      <c r="AG347">
        <v>49.553464915951871</v>
      </c>
      <c r="AH347">
        <v>374.79801596715458</v>
      </c>
      <c r="AI347">
        <v>187.39900798357729</v>
      </c>
      <c r="AJ347">
        <v>23181.316481450689</v>
      </c>
      <c r="AK347">
        <v>1835.336538461539</v>
      </c>
      <c r="AL347" t="s">
        <v>94</v>
      </c>
      <c r="AM347">
        <v>29046.84623745448</v>
      </c>
      <c r="AN347">
        <v>19899.872547890562</v>
      </c>
      <c r="AO347">
        <v>31857.831357208139</v>
      </c>
      <c r="AP347">
        <v>73963.371805257266</v>
      </c>
      <c r="AQ347">
        <v>42105.540448049127</v>
      </c>
      <c r="AR347">
        <v>2.9034938141203701E-2</v>
      </c>
      <c r="AS347">
        <v>467.80414892820829</v>
      </c>
      <c r="AT347">
        <v>586.17185068130198</v>
      </c>
      <c r="AU347">
        <v>401.5838767610486</v>
      </c>
      <c r="AV347">
        <v>642.89815881175059</v>
      </c>
      <c r="AW347">
        <v>1492.5973780180111</v>
      </c>
      <c r="AX347">
        <v>849.69921920626052</v>
      </c>
      <c r="AY347">
        <v>3.7817538753632389</v>
      </c>
      <c r="AZ347" t="s">
        <v>127</v>
      </c>
      <c r="BA347" t="str">
        <f>VLOOKUP($AZ347,Sheet1!$A$2:$B$58,2)</f>
        <v>Gamma Butyrolactone</v>
      </c>
      <c r="BB347" t="s">
        <v>177</v>
      </c>
      <c r="BC347">
        <v>86.08784</v>
      </c>
      <c r="BD347">
        <v>4.5</v>
      </c>
      <c r="BE347">
        <v>204</v>
      </c>
      <c r="BF347" t="s">
        <v>204</v>
      </c>
      <c r="BG347">
        <v>0.76609882636555482</v>
      </c>
      <c r="BH347">
        <v>0.36373134328358198</v>
      </c>
      <c r="BI347">
        <v>0.50450558891094199</v>
      </c>
      <c r="BJ347">
        <v>80</v>
      </c>
      <c r="BK347">
        <v>3698.1685902628628</v>
      </c>
      <c r="BL347">
        <v>2105.2770224024562</v>
      </c>
      <c r="BM347">
        <v>8.6038515728133085</v>
      </c>
      <c r="BN347">
        <v>1462.654767378262</v>
      </c>
      <c r="BO347">
        <v>2235.5138228845999</v>
      </c>
    </row>
    <row r="348" spans="1:67" x14ac:dyDescent="0.25">
      <c r="A348" s="1">
        <v>346</v>
      </c>
      <c r="B348" t="s">
        <v>71</v>
      </c>
      <c r="C348" t="s">
        <v>83</v>
      </c>
      <c r="D348">
        <v>2</v>
      </c>
      <c r="E348">
        <v>6</v>
      </c>
      <c r="F348">
        <v>2</v>
      </c>
      <c r="G348">
        <v>62.06644</v>
      </c>
      <c r="H348">
        <v>10</v>
      </c>
      <c r="I348" t="s">
        <v>89</v>
      </c>
      <c r="J348">
        <v>2</v>
      </c>
      <c r="K348">
        <v>20</v>
      </c>
      <c r="L348">
        <v>60</v>
      </c>
      <c r="N348" t="s">
        <v>90</v>
      </c>
      <c r="O348">
        <v>40</v>
      </c>
      <c r="P348">
        <v>0.32</v>
      </c>
      <c r="Q348">
        <v>3.2500000000000001E-2</v>
      </c>
      <c r="R348">
        <v>77.5</v>
      </c>
      <c r="S348">
        <v>170</v>
      </c>
      <c r="T348">
        <v>50</v>
      </c>
      <c r="U348">
        <v>1812.1301775147931</v>
      </c>
      <c r="V348">
        <v>20</v>
      </c>
      <c r="W348">
        <v>0.95</v>
      </c>
      <c r="X348">
        <v>1</v>
      </c>
      <c r="Y348">
        <v>1050582.3529768609</v>
      </c>
      <c r="Z348">
        <v>210116470.59537211</v>
      </c>
      <c r="AA348">
        <v>420232941.19074428</v>
      </c>
      <c r="AB348">
        <v>420232.94119074428</v>
      </c>
      <c r="AC348">
        <v>0</v>
      </c>
      <c r="AD348">
        <v>2177.7037429423858</v>
      </c>
      <c r="AE348">
        <v>783973.34745925909</v>
      </c>
      <c r="AF348">
        <v>470384.00847555551</v>
      </c>
      <c r="AG348">
        <v>29.195060839007549</v>
      </c>
      <c r="AH348">
        <v>220.81706893876469</v>
      </c>
      <c r="AI348">
        <v>110.4085344693824</v>
      </c>
      <c r="AJ348">
        <v>13657.570588699189</v>
      </c>
      <c r="AK348">
        <v>854.70085470085473</v>
      </c>
      <c r="AL348" t="s">
        <v>93</v>
      </c>
      <c r="AM348">
        <v>17113.322842754271</v>
      </c>
      <c r="AN348">
        <v>11724.26571400333</v>
      </c>
      <c r="AO348">
        <v>18769.450859795001</v>
      </c>
      <c r="AP348">
        <v>43349.860000157627</v>
      </c>
      <c r="AQ348">
        <v>24580.40914036263</v>
      </c>
      <c r="AR348">
        <v>2.9034938141203701E-2</v>
      </c>
      <c r="AS348">
        <v>467.80414892820818</v>
      </c>
      <c r="AT348">
        <v>586.17185068130209</v>
      </c>
      <c r="AU348">
        <v>401.5838767610486</v>
      </c>
      <c r="AV348">
        <v>642.8981588117507</v>
      </c>
      <c r="AW348">
        <v>1484.8354055230409</v>
      </c>
      <c r="AX348">
        <v>841.93724671129019</v>
      </c>
      <c r="AY348">
        <v>3.7817538753632398</v>
      </c>
      <c r="AZ348" t="s">
        <v>128</v>
      </c>
      <c r="BA348" t="str">
        <f>VLOOKUP($AZ348,Sheet1!$A$2:$B$58,2)</f>
        <v>L-Glutamate</v>
      </c>
      <c r="BB348" t="s">
        <v>178</v>
      </c>
      <c r="BC348">
        <v>146.11892</v>
      </c>
      <c r="BD348">
        <v>3.4</v>
      </c>
      <c r="BE348">
        <v>333.8</v>
      </c>
      <c r="BF348" t="s">
        <v>204</v>
      </c>
      <c r="BG348">
        <v>0.1501639430974879</v>
      </c>
      <c r="BH348">
        <v>0.36373134328358198</v>
      </c>
      <c r="BI348">
        <v>0.85630922771010198</v>
      </c>
      <c r="BJ348">
        <v>80</v>
      </c>
      <c r="BK348">
        <v>2167.4930000078821</v>
      </c>
      <c r="BL348">
        <v>1229.020457018132</v>
      </c>
      <c r="BM348">
        <v>5.3702627803716307</v>
      </c>
      <c r="BN348">
        <v>912.94467266317724</v>
      </c>
      <c r="BO348">
        <v>1254.5483273447039</v>
      </c>
    </row>
    <row r="349" spans="1:67" x14ac:dyDescent="0.25">
      <c r="A349" s="1">
        <v>347</v>
      </c>
      <c r="B349" t="s">
        <v>71</v>
      </c>
      <c r="C349" t="s">
        <v>83</v>
      </c>
      <c r="D349">
        <v>2</v>
      </c>
      <c r="E349">
        <v>6</v>
      </c>
      <c r="F349">
        <v>2</v>
      </c>
      <c r="G349">
        <v>62.06644</v>
      </c>
      <c r="H349">
        <v>10</v>
      </c>
      <c r="I349" t="s">
        <v>89</v>
      </c>
      <c r="J349">
        <v>2</v>
      </c>
      <c r="K349">
        <v>20</v>
      </c>
      <c r="L349">
        <v>60</v>
      </c>
      <c r="N349" t="s">
        <v>90</v>
      </c>
      <c r="O349">
        <v>40</v>
      </c>
      <c r="P349">
        <v>0.32</v>
      </c>
      <c r="Q349">
        <v>3.2500000000000001E-2</v>
      </c>
      <c r="R349">
        <v>77.5</v>
      </c>
      <c r="S349">
        <v>170</v>
      </c>
      <c r="T349">
        <v>50</v>
      </c>
      <c r="U349">
        <v>1812.1301775147931</v>
      </c>
      <c r="V349">
        <v>20</v>
      </c>
      <c r="W349">
        <v>0.95</v>
      </c>
      <c r="X349">
        <v>1</v>
      </c>
      <c r="Y349">
        <v>1534883.9264020829</v>
      </c>
      <c r="Z349">
        <v>306976785.28041661</v>
      </c>
      <c r="AA349">
        <v>613953570.56083322</v>
      </c>
      <c r="AB349">
        <v>613953.57056083321</v>
      </c>
      <c r="AC349">
        <v>0</v>
      </c>
      <c r="AD349">
        <v>3181.5901552474879</v>
      </c>
      <c r="AE349">
        <v>1145372.455889096</v>
      </c>
      <c r="AF349">
        <v>687223.47353345749</v>
      </c>
      <c r="AG349">
        <v>42.653514486655929</v>
      </c>
      <c r="AH349">
        <v>322.61018741554631</v>
      </c>
      <c r="AI349">
        <v>161.30509370777321</v>
      </c>
      <c r="AJ349">
        <v>19953.491043227081</v>
      </c>
      <c r="AK349">
        <v>854.70085470085473</v>
      </c>
      <c r="AL349" t="s">
        <v>93</v>
      </c>
      <c r="AM349">
        <v>25002.28952470484</v>
      </c>
      <c r="AN349">
        <v>17128.963705034839</v>
      </c>
      <c r="AO349">
        <v>27421.865930321441</v>
      </c>
      <c r="AP349">
        <v>62939.445127667612</v>
      </c>
      <c r="AQ349">
        <v>35517.579197346167</v>
      </c>
      <c r="AR349">
        <v>2.9034938141203701E-2</v>
      </c>
      <c r="AS349">
        <v>467.80414892820829</v>
      </c>
      <c r="AT349">
        <v>586.1718506813022</v>
      </c>
      <c r="AU349">
        <v>401.58387676104871</v>
      </c>
      <c r="AV349">
        <v>642.89815881175082</v>
      </c>
      <c r="AW349">
        <v>1475.5981045209789</v>
      </c>
      <c r="AX349">
        <v>832.69994570922836</v>
      </c>
      <c r="AY349">
        <v>3.7817538753632398</v>
      </c>
      <c r="AZ349" t="s">
        <v>129</v>
      </c>
      <c r="BA349" t="str">
        <f>VLOOKUP($AZ349,Sheet1!$A$2:$B$58,2)</f>
        <v>Glutarate</v>
      </c>
      <c r="BB349" t="s">
        <v>179</v>
      </c>
      <c r="BC349">
        <v>130.09654</v>
      </c>
      <c r="BD349">
        <v>3.6</v>
      </c>
      <c r="BE349">
        <v>200</v>
      </c>
      <c r="BF349" t="s">
        <v>204</v>
      </c>
      <c r="BG349">
        <v>0.72814174383125063</v>
      </c>
      <c r="BH349">
        <v>0.27962500000000201</v>
      </c>
      <c r="BI349">
        <v>0.586118173399784</v>
      </c>
      <c r="BJ349">
        <v>80</v>
      </c>
      <c r="BK349">
        <v>3146.9722563833811</v>
      </c>
      <c r="BL349">
        <v>1775.878959867309</v>
      </c>
      <c r="BM349">
        <v>7.3371129415574066</v>
      </c>
      <c r="BN349">
        <v>1247.3092000647589</v>
      </c>
      <c r="BO349">
        <v>1899.663056318622</v>
      </c>
    </row>
    <row r="350" spans="1:67" x14ac:dyDescent="0.25">
      <c r="A350" s="1">
        <v>348</v>
      </c>
      <c r="B350" t="s">
        <v>71</v>
      </c>
      <c r="C350" t="s">
        <v>83</v>
      </c>
      <c r="D350">
        <v>2</v>
      </c>
      <c r="E350">
        <v>6</v>
      </c>
      <c r="F350">
        <v>2</v>
      </c>
      <c r="G350">
        <v>62.06644</v>
      </c>
      <c r="H350">
        <v>10</v>
      </c>
      <c r="I350" t="s">
        <v>89</v>
      </c>
      <c r="J350">
        <v>2</v>
      </c>
      <c r="K350">
        <v>20</v>
      </c>
      <c r="L350">
        <v>60</v>
      </c>
      <c r="N350" t="s">
        <v>90</v>
      </c>
      <c r="O350">
        <v>40</v>
      </c>
      <c r="P350">
        <v>0.32</v>
      </c>
      <c r="Q350">
        <v>3.2500000000000001E-2</v>
      </c>
      <c r="R350">
        <v>77.5</v>
      </c>
      <c r="S350">
        <v>170</v>
      </c>
      <c r="T350">
        <v>50</v>
      </c>
      <c r="U350">
        <v>1812.1301775147931</v>
      </c>
      <c r="V350">
        <v>20</v>
      </c>
      <c r="W350">
        <v>0.95</v>
      </c>
      <c r="X350">
        <v>1</v>
      </c>
      <c r="Y350">
        <v>602033.83783986105</v>
      </c>
      <c r="Z350">
        <v>120406767.5679722</v>
      </c>
      <c r="AA350">
        <v>240813535.13594449</v>
      </c>
      <c r="AB350">
        <v>240813.53513594449</v>
      </c>
      <c r="AC350">
        <v>0</v>
      </c>
      <c r="AD350">
        <v>1247.928197467744</v>
      </c>
      <c r="AE350">
        <v>449254.15108838788</v>
      </c>
      <c r="AF350">
        <v>269552.49065303273</v>
      </c>
      <c r="AG350">
        <v>16.730163487967019</v>
      </c>
      <c r="AH350">
        <v>126.5387212121597</v>
      </c>
      <c r="AI350">
        <v>63.269360606079843</v>
      </c>
      <c r="AJ350">
        <v>7826.4398919181949</v>
      </c>
      <c r="AK350">
        <v>854.70085470085473</v>
      </c>
      <c r="AL350" t="s">
        <v>93</v>
      </c>
      <c r="AM350">
        <v>9806.7508939423751</v>
      </c>
      <c r="AN350">
        <v>6718.5639123439423</v>
      </c>
      <c r="AO350">
        <v>10755.791303033569</v>
      </c>
      <c r="AP350">
        <v>25206.455552905369</v>
      </c>
      <c r="AQ350">
        <v>14450.664249871799</v>
      </c>
      <c r="AR350">
        <v>2.9034938141203701E-2</v>
      </c>
      <c r="AS350">
        <v>467.80414892820829</v>
      </c>
      <c r="AT350">
        <v>586.17185068130209</v>
      </c>
      <c r="AU350">
        <v>401.58387676104871</v>
      </c>
      <c r="AV350">
        <v>642.89815881175059</v>
      </c>
      <c r="AW350">
        <v>1506.6472943336651</v>
      </c>
      <c r="AX350">
        <v>863.74913552191401</v>
      </c>
      <c r="AY350">
        <v>3.7817538753632398</v>
      </c>
      <c r="AZ350" t="s">
        <v>130</v>
      </c>
      <c r="BA350" t="str">
        <f>VLOOKUP($AZ350,Sheet1!$A$2:$B$58,2)</f>
        <v>Glycolate</v>
      </c>
      <c r="BB350" t="s">
        <v>180</v>
      </c>
      <c r="BC350">
        <v>75.041920000000005</v>
      </c>
      <c r="BD350">
        <v>2.5</v>
      </c>
      <c r="BE350">
        <v>112</v>
      </c>
      <c r="BF350" t="s">
        <v>204</v>
      </c>
      <c r="BG350">
        <v>-0.22390338155512171</v>
      </c>
      <c r="BH350">
        <v>1.2359259259259301</v>
      </c>
      <c r="BI350">
        <v>1.49430697542083</v>
      </c>
      <c r="BJ350">
        <v>80</v>
      </c>
      <c r="BK350">
        <v>1260.3227776452691</v>
      </c>
      <c r="BL350">
        <v>722.5332124935901</v>
      </c>
      <c r="BM350">
        <v>3.3873714118591138</v>
      </c>
      <c r="BN350">
        <v>575.85314001604934</v>
      </c>
      <c r="BO350">
        <v>684.46963762921928</v>
      </c>
    </row>
    <row r="351" spans="1:67" x14ac:dyDescent="0.25">
      <c r="A351" s="1">
        <v>349</v>
      </c>
      <c r="B351" t="s">
        <v>71</v>
      </c>
      <c r="C351" t="s">
        <v>83</v>
      </c>
      <c r="D351">
        <v>2</v>
      </c>
      <c r="E351">
        <v>6</v>
      </c>
      <c r="F351">
        <v>2</v>
      </c>
      <c r="G351">
        <v>62.06644</v>
      </c>
      <c r="H351">
        <v>10</v>
      </c>
      <c r="I351" t="s">
        <v>89</v>
      </c>
      <c r="J351">
        <v>2</v>
      </c>
      <c r="K351">
        <v>20</v>
      </c>
      <c r="L351">
        <v>60</v>
      </c>
      <c r="N351" t="s">
        <v>90</v>
      </c>
      <c r="O351">
        <v>40</v>
      </c>
      <c r="P351">
        <v>0.32</v>
      </c>
      <c r="Q351">
        <v>3.2500000000000001E-2</v>
      </c>
      <c r="R351">
        <v>77.5</v>
      </c>
      <c r="S351">
        <v>170</v>
      </c>
      <c r="T351">
        <v>50</v>
      </c>
      <c r="U351">
        <v>1812.1301775147931</v>
      </c>
      <c r="V351">
        <v>20</v>
      </c>
      <c r="W351">
        <v>0.95</v>
      </c>
      <c r="X351">
        <v>1</v>
      </c>
      <c r="Y351">
        <v>3246481.3749335581</v>
      </c>
      <c r="Z351">
        <v>649296274.9867115</v>
      </c>
      <c r="AA351">
        <v>1298592549.973423</v>
      </c>
      <c r="AB351">
        <v>1298592.5499734229</v>
      </c>
      <c r="AC351">
        <v>0</v>
      </c>
      <c r="AD351">
        <v>6729.4816265976888</v>
      </c>
      <c r="AE351">
        <v>2422613.3855751678</v>
      </c>
      <c r="AF351">
        <v>1453568.0313451011</v>
      </c>
      <c r="AG351">
        <v>90.21779300339881</v>
      </c>
      <c r="AH351">
        <v>682.36297663464416</v>
      </c>
      <c r="AI351">
        <v>341.18148831732208</v>
      </c>
      <c r="AJ351">
        <v>42204.257874136238</v>
      </c>
      <c r="AK351">
        <v>854.70085470085473</v>
      </c>
      <c r="AL351" t="s">
        <v>93</v>
      </c>
      <c r="AM351">
        <v>52883.130689184924</v>
      </c>
      <c r="AN351">
        <v>36230.011067130712</v>
      </c>
      <c r="AO351">
        <v>58000.853013944747</v>
      </c>
      <c r="AP351">
        <v>132172.10048515271</v>
      </c>
      <c r="AQ351">
        <v>74171.247471207986</v>
      </c>
      <c r="AR351">
        <v>2.9034938141203701E-2</v>
      </c>
      <c r="AS351">
        <v>467.80414892820829</v>
      </c>
      <c r="AT351">
        <v>586.1718506813022</v>
      </c>
      <c r="AU351">
        <v>401.58387676104883</v>
      </c>
      <c r="AV351">
        <v>642.89815881175082</v>
      </c>
      <c r="AW351">
        <v>1465.033626794366</v>
      </c>
      <c r="AX351">
        <v>822.13546798261518</v>
      </c>
      <c r="AY351">
        <v>3.7817538753632398</v>
      </c>
      <c r="AZ351" t="s">
        <v>131</v>
      </c>
      <c r="BA351" t="str">
        <f>VLOOKUP($AZ351,Sheet1!$A$2:$B$58,2)</f>
        <v>Heptane</v>
      </c>
      <c r="BB351" t="s">
        <v>181</v>
      </c>
      <c r="BC351">
        <v>100.20034</v>
      </c>
      <c r="BD351">
        <v>6.2857142857142856</v>
      </c>
      <c r="BE351">
        <v>98</v>
      </c>
      <c r="BF351" t="s">
        <v>204</v>
      </c>
      <c r="BG351">
        <v>2.0431851573527142</v>
      </c>
      <c r="BH351">
        <v>0.17164658634538199</v>
      </c>
      <c r="BI351">
        <v>0.27710719989634602</v>
      </c>
      <c r="BJ351">
        <v>80</v>
      </c>
      <c r="BK351">
        <v>6608.6050242576366</v>
      </c>
      <c r="BL351">
        <v>3708.562373560399</v>
      </c>
      <c r="BM351">
        <v>15.01588925851339</v>
      </c>
      <c r="BN351">
        <v>2552.701173947275</v>
      </c>
      <c r="BO351">
        <v>4055.9038503103611</v>
      </c>
    </row>
    <row r="352" spans="1:67" x14ac:dyDescent="0.25">
      <c r="A352" s="1">
        <v>350</v>
      </c>
      <c r="B352" t="s">
        <v>71</v>
      </c>
      <c r="C352" t="s">
        <v>83</v>
      </c>
      <c r="D352">
        <v>2</v>
      </c>
      <c r="E352">
        <v>6</v>
      </c>
      <c r="F352">
        <v>2</v>
      </c>
      <c r="G352">
        <v>62.06644</v>
      </c>
      <c r="H352">
        <v>10</v>
      </c>
      <c r="I352" t="s">
        <v>89</v>
      </c>
      <c r="J352">
        <v>2</v>
      </c>
      <c r="K352">
        <v>20</v>
      </c>
      <c r="L352">
        <v>60</v>
      </c>
      <c r="N352" t="s">
        <v>90</v>
      </c>
      <c r="O352">
        <v>40</v>
      </c>
      <c r="P352">
        <v>0.32</v>
      </c>
      <c r="Q352">
        <v>3.2500000000000001E-2</v>
      </c>
      <c r="R352">
        <v>77.5</v>
      </c>
      <c r="S352">
        <v>170</v>
      </c>
      <c r="T352">
        <v>50</v>
      </c>
      <c r="U352">
        <v>1812.1301775147931</v>
      </c>
      <c r="V352">
        <v>20</v>
      </c>
      <c r="W352">
        <v>0.95</v>
      </c>
      <c r="X352">
        <v>1</v>
      </c>
      <c r="Y352">
        <v>3182311.1988297752</v>
      </c>
      <c r="Z352">
        <v>636462239.76595497</v>
      </c>
      <c r="AA352">
        <v>1272924479.5319099</v>
      </c>
      <c r="AB352">
        <v>1272924.47953191</v>
      </c>
      <c r="AC352">
        <v>0</v>
      </c>
      <c r="AD352">
        <v>6596.4662258625531</v>
      </c>
      <c r="AE352">
        <v>2374727.8413105188</v>
      </c>
      <c r="AF352">
        <v>1424836.7047863109</v>
      </c>
      <c r="AG352">
        <v>88.434541847417293</v>
      </c>
      <c r="AH352">
        <v>668.87534269488606</v>
      </c>
      <c r="AI352">
        <v>334.43767134744297</v>
      </c>
      <c r="AJ352">
        <v>41370.045584787083</v>
      </c>
      <c r="AK352">
        <v>854.70085470085473</v>
      </c>
      <c r="AL352" t="s">
        <v>93</v>
      </c>
      <c r="AM352">
        <v>51837.839058853671</v>
      </c>
      <c r="AN352">
        <v>35513.88615467304</v>
      </c>
      <c r="AO352">
        <v>56854.404129065311</v>
      </c>
      <c r="AP352">
        <v>129576.4716530146</v>
      </c>
      <c r="AQ352">
        <v>72722.067523949328</v>
      </c>
      <c r="AR352">
        <v>2.9034938141203712E-2</v>
      </c>
      <c r="AS352">
        <v>467.80414892820841</v>
      </c>
      <c r="AT352">
        <v>586.1718506813022</v>
      </c>
      <c r="AU352">
        <v>401.58387676104883</v>
      </c>
      <c r="AV352">
        <v>642.89815881175082</v>
      </c>
      <c r="AW352">
        <v>1465.224661609969</v>
      </c>
      <c r="AX352">
        <v>822.32650279821792</v>
      </c>
      <c r="AY352">
        <v>3.7817538753632411</v>
      </c>
      <c r="AZ352" t="s">
        <v>132</v>
      </c>
      <c r="BA352" t="str">
        <f>VLOOKUP($AZ352,Sheet1!$A$2:$B$58,2)</f>
        <v>Hexane</v>
      </c>
      <c r="BB352" t="s">
        <v>182</v>
      </c>
      <c r="BC352">
        <v>86.173959999999994</v>
      </c>
      <c r="BD352">
        <v>6.333333333333333</v>
      </c>
      <c r="BE352">
        <v>69</v>
      </c>
      <c r="BF352" t="s">
        <v>204</v>
      </c>
      <c r="BG352">
        <v>1.9523015572327249</v>
      </c>
      <c r="BH352">
        <v>0.20360975609756099</v>
      </c>
      <c r="BI352">
        <v>0.282694968252726</v>
      </c>
      <c r="BJ352">
        <v>80</v>
      </c>
      <c r="BK352">
        <v>6478.8235826507307</v>
      </c>
      <c r="BL352">
        <v>3636.1033761974659</v>
      </c>
      <c r="BM352">
        <v>14.76958201013943</v>
      </c>
      <c r="BN352">
        <v>2510.828941723702</v>
      </c>
      <c r="BO352">
        <v>3967.9946409270278</v>
      </c>
    </row>
    <row r="353" spans="1:67" x14ac:dyDescent="0.25">
      <c r="A353" s="1">
        <v>351</v>
      </c>
      <c r="B353" t="s">
        <v>71</v>
      </c>
      <c r="C353" t="s">
        <v>83</v>
      </c>
      <c r="D353">
        <v>2</v>
      </c>
      <c r="E353">
        <v>6</v>
      </c>
      <c r="F353">
        <v>2</v>
      </c>
      <c r="G353">
        <v>62.06644</v>
      </c>
      <c r="H353">
        <v>10</v>
      </c>
      <c r="I353" t="s">
        <v>89</v>
      </c>
      <c r="J353">
        <v>2</v>
      </c>
      <c r="K353">
        <v>20</v>
      </c>
      <c r="L353">
        <v>60</v>
      </c>
      <c r="N353" t="s">
        <v>90</v>
      </c>
      <c r="O353">
        <v>40</v>
      </c>
      <c r="P353">
        <v>0.32</v>
      </c>
      <c r="Q353">
        <v>3.2500000000000001E-2</v>
      </c>
      <c r="R353">
        <v>77.5</v>
      </c>
      <c r="S353">
        <v>170</v>
      </c>
      <c r="T353">
        <v>50</v>
      </c>
      <c r="U353">
        <v>1812.1301775147931</v>
      </c>
      <c r="V353">
        <v>20</v>
      </c>
      <c r="W353">
        <v>0.95</v>
      </c>
      <c r="X353">
        <v>1</v>
      </c>
      <c r="Y353">
        <v>2043061.449624958</v>
      </c>
      <c r="Z353">
        <v>408612289.92499173</v>
      </c>
      <c r="AA353">
        <v>817224579.84998333</v>
      </c>
      <c r="AB353">
        <v>817224.57984998333</v>
      </c>
      <c r="AC353">
        <v>0</v>
      </c>
      <c r="AD353">
        <v>4234.9679235546446</v>
      </c>
      <c r="AE353">
        <v>1524588.4524796719</v>
      </c>
      <c r="AF353">
        <v>914753.07148780336</v>
      </c>
      <c r="AG353">
        <v>56.775466626313452</v>
      </c>
      <c r="AH353">
        <v>429.42168187923443</v>
      </c>
      <c r="AI353">
        <v>214.71084093961721</v>
      </c>
      <c r="AJ353">
        <v>26559.79884512446</v>
      </c>
      <c r="AK353">
        <v>854.70085470085473</v>
      </c>
      <c r="AL353" t="s">
        <v>93</v>
      </c>
      <c r="AM353">
        <v>33280.180345640663</v>
      </c>
      <c r="AN353">
        <v>22800.111992712489</v>
      </c>
      <c r="AO353">
        <v>36500.842959734917</v>
      </c>
      <c r="AP353">
        <v>83494.792038178479</v>
      </c>
      <c r="AQ353">
        <v>46993.949078443547</v>
      </c>
      <c r="AR353">
        <v>2.9034938141203701E-2</v>
      </c>
      <c r="AS353">
        <v>467.80414892820829</v>
      </c>
      <c r="AT353">
        <v>586.17185068130198</v>
      </c>
      <c r="AU353">
        <v>401.5838767610486</v>
      </c>
      <c r="AV353">
        <v>642.8981588117507</v>
      </c>
      <c r="AW353">
        <v>1470.613928859927</v>
      </c>
      <c r="AX353">
        <v>827.71577004817584</v>
      </c>
      <c r="AY353">
        <v>3.7817538753632398</v>
      </c>
      <c r="AZ353" t="s">
        <v>133</v>
      </c>
      <c r="BA353" t="str">
        <f>VLOOKUP($AZ353,Sheet1!$A$2:$B$58,2)</f>
        <v>Isobutanol</v>
      </c>
      <c r="BB353" t="s">
        <v>183</v>
      </c>
      <c r="BC353">
        <v>86.130899999999997</v>
      </c>
      <c r="BD353">
        <v>5.6</v>
      </c>
      <c r="BE353">
        <v>108</v>
      </c>
      <c r="BF353" t="s">
        <v>204</v>
      </c>
      <c r="BG353">
        <v>1.1767988993920631</v>
      </c>
      <c r="BH353">
        <v>0.31730496453900697</v>
      </c>
      <c r="BI353">
        <v>0.44033103531399898</v>
      </c>
      <c r="BJ353">
        <v>80</v>
      </c>
      <c r="BK353">
        <v>4174.7396019089229</v>
      </c>
      <c r="BL353">
        <v>2349.6974539221769</v>
      </c>
      <c r="BM353">
        <v>9.5587431475887978</v>
      </c>
      <c r="BN353">
        <v>1624.986335090096</v>
      </c>
      <c r="BO353">
        <v>2549.7532668188269</v>
      </c>
    </row>
    <row r="354" spans="1:67" x14ac:dyDescent="0.25">
      <c r="A354" s="1">
        <v>352</v>
      </c>
      <c r="B354" t="s">
        <v>71</v>
      </c>
      <c r="C354" t="s">
        <v>83</v>
      </c>
      <c r="D354">
        <v>2</v>
      </c>
      <c r="E354">
        <v>6</v>
      </c>
      <c r="F354">
        <v>2</v>
      </c>
      <c r="G354">
        <v>62.06644</v>
      </c>
      <c r="H354">
        <v>10</v>
      </c>
      <c r="I354" t="s">
        <v>89</v>
      </c>
      <c r="J354">
        <v>2</v>
      </c>
      <c r="K354">
        <v>20</v>
      </c>
      <c r="L354">
        <v>60</v>
      </c>
      <c r="N354" t="s">
        <v>90</v>
      </c>
      <c r="O354">
        <v>40</v>
      </c>
      <c r="P354">
        <v>0.32</v>
      </c>
      <c r="Q354">
        <v>3.2500000000000001E-2</v>
      </c>
      <c r="R354">
        <v>77.5</v>
      </c>
      <c r="S354">
        <v>170</v>
      </c>
      <c r="T354">
        <v>50</v>
      </c>
      <c r="U354">
        <v>1812.1301775147931</v>
      </c>
      <c r="V354">
        <v>20</v>
      </c>
      <c r="W354">
        <v>0.95</v>
      </c>
      <c r="X354">
        <v>1</v>
      </c>
      <c r="Y354">
        <v>1805490.604122275</v>
      </c>
      <c r="Z354">
        <v>361098120.82445508</v>
      </c>
      <c r="AA354">
        <v>722196241.64891016</v>
      </c>
      <c r="AB354">
        <v>722196.24164891022</v>
      </c>
      <c r="AC354">
        <v>0</v>
      </c>
      <c r="AD354">
        <v>3742.5182664675772</v>
      </c>
      <c r="AE354">
        <v>1347306.5759283281</v>
      </c>
      <c r="AF354">
        <v>808383.94555699674</v>
      </c>
      <c r="AG354">
        <v>50.173513653876597</v>
      </c>
      <c r="AH354">
        <v>379.48775940227648</v>
      </c>
      <c r="AI354">
        <v>189.7438797011383</v>
      </c>
      <c r="AJ354">
        <v>23471.37785358958</v>
      </c>
      <c r="AK354">
        <v>854.70085470085473</v>
      </c>
      <c r="AL354" t="s">
        <v>93</v>
      </c>
      <c r="AM354">
        <v>29410.30135367643</v>
      </c>
      <c r="AN354">
        <v>20148.874123847181</v>
      </c>
      <c r="AO354">
        <v>32256.459549193511</v>
      </c>
      <c r="AP354">
        <v>73885.254185814047</v>
      </c>
      <c r="AQ354">
        <v>41628.794636620543</v>
      </c>
      <c r="AR354">
        <v>2.9034938141203701E-2</v>
      </c>
      <c r="AS354">
        <v>467.80414892820829</v>
      </c>
      <c r="AT354">
        <v>586.17185068130209</v>
      </c>
      <c r="AU354">
        <v>401.58387676104871</v>
      </c>
      <c r="AV354">
        <v>642.8981588117507</v>
      </c>
      <c r="AW354">
        <v>1472.594777705096</v>
      </c>
      <c r="AX354">
        <v>829.69661889334577</v>
      </c>
      <c r="AY354">
        <v>3.7817538753632398</v>
      </c>
      <c r="AZ354" t="s">
        <v>134</v>
      </c>
      <c r="BA354" t="str">
        <f>VLOOKUP($AZ354,Sheet1!$A$2:$B$58,2)</f>
        <v>Isobutyrate</v>
      </c>
      <c r="BB354" t="s">
        <v>170</v>
      </c>
      <c r="BC354">
        <v>87.095680000000002</v>
      </c>
      <c r="BD354">
        <v>4.75</v>
      </c>
      <c r="BE354">
        <v>155</v>
      </c>
      <c r="BF354" t="s">
        <v>204</v>
      </c>
      <c r="BG354">
        <v>0.82493463720398164</v>
      </c>
      <c r="BH354">
        <v>0.35507936507936499</v>
      </c>
      <c r="BI354">
        <v>0.49827086403521997</v>
      </c>
      <c r="BJ354">
        <v>80</v>
      </c>
      <c r="BK354">
        <v>3694.262709290701</v>
      </c>
      <c r="BL354">
        <v>2081.4397318310271</v>
      </c>
      <c r="BM354">
        <v>8.6622593478529328</v>
      </c>
      <c r="BN354">
        <v>1472.584089134999</v>
      </c>
      <c r="BO354">
        <v>2221.6786201557029</v>
      </c>
    </row>
    <row r="355" spans="1:67" x14ac:dyDescent="0.25">
      <c r="A355" s="1">
        <v>353</v>
      </c>
      <c r="B355" t="s">
        <v>71</v>
      </c>
      <c r="C355" t="s">
        <v>83</v>
      </c>
      <c r="D355">
        <v>2</v>
      </c>
      <c r="E355">
        <v>6</v>
      </c>
      <c r="F355">
        <v>2</v>
      </c>
      <c r="G355">
        <v>62.06644</v>
      </c>
      <c r="H355">
        <v>10</v>
      </c>
      <c r="I355" t="s">
        <v>89</v>
      </c>
      <c r="J355">
        <v>2</v>
      </c>
      <c r="K355">
        <v>20</v>
      </c>
      <c r="L355">
        <v>60</v>
      </c>
      <c r="N355" t="s">
        <v>90</v>
      </c>
      <c r="O355">
        <v>40</v>
      </c>
      <c r="P355">
        <v>0.32</v>
      </c>
      <c r="Q355">
        <v>3.2500000000000001E-2</v>
      </c>
      <c r="R355">
        <v>77.5</v>
      </c>
      <c r="S355">
        <v>170</v>
      </c>
      <c r="T355">
        <v>50</v>
      </c>
      <c r="U355">
        <v>1812.1301775147931</v>
      </c>
      <c r="V355">
        <v>20</v>
      </c>
      <c r="W355">
        <v>0.95</v>
      </c>
      <c r="X355">
        <v>1</v>
      </c>
      <c r="Y355">
        <v>3114724.8208200121</v>
      </c>
      <c r="Z355">
        <v>622944964.1640023</v>
      </c>
      <c r="AA355">
        <v>1245889928.3280051</v>
      </c>
      <c r="AB355">
        <v>1245889.9283280049</v>
      </c>
      <c r="AC355">
        <v>66773.504273504266</v>
      </c>
      <c r="AD355">
        <v>6456.3695376336555</v>
      </c>
      <c r="AE355">
        <v>2324293.0335481162</v>
      </c>
      <c r="AF355">
        <v>1394575.820128869</v>
      </c>
      <c r="AG355">
        <v>86.556356465479269</v>
      </c>
      <c r="AH355">
        <v>654.66967300129647</v>
      </c>
      <c r="AI355">
        <v>327.33483650064818</v>
      </c>
      <c r="AJ355">
        <v>40491.422670660148</v>
      </c>
      <c r="AK355">
        <v>2170.1388888888891</v>
      </c>
      <c r="AL355" t="s">
        <v>95</v>
      </c>
      <c r="AM355">
        <v>50736.899657600479</v>
      </c>
      <c r="AN355">
        <v>34759.637187718443</v>
      </c>
      <c r="AO355">
        <v>55646.922205110197</v>
      </c>
      <c r="AP355">
        <v>128158.098404868</v>
      </c>
      <c r="AQ355">
        <v>72511.176199757771</v>
      </c>
      <c r="AR355">
        <v>2.9034938141203712E-2</v>
      </c>
      <c r="AS355">
        <v>467.80414892820829</v>
      </c>
      <c r="AT355">
        <v>586.17185068130209</v>
      </c>
      <c r="AU355">
        <v>401.58387676104883</v>
      </c>
      <c r="AV355">
        <v>642.8981588117507</v>
      </c>
      <c r="AW355">
        <v>1480.631852335194</v>
      </c>
      <c r="AX355">
        <v>837.73369352344378</v>
      </c>
      <c r="AY355">
        <v>3.7817538753632398</v>
      </c>
      <c r="AZ355" t="s">
        <v>135</v>
      </c>
      <c r="BA355" t="str">
        <f>VLOOKUP($AZ355,Sheet1!$A$2:$B$58,2)</f>
        <v>Isoprene</v>
      </c>
      <c r="BB355" t="s">
        <v>184</v>
      </c>
      <c r="BC355">
        <v>68.116219999999998</v>
      </c>
      <c r="BD355">
        <v>5.6</v>
      </c>
      <c r="BE355">
        <v>34.07</v>
      </c>
      <c r="BF355" t="s">
        <v>204</v>
      </c>
      <c r="BG355">
        <v>1.679517618503894</v>
      </c>
      <c r="BH355">
        <v>0.26317647058823401</v>
      </c>
      <c r="BI355">
        <v>0.28882916311259699</v>
      </c>
      <c r="BJ355">
        <v>80</v>
      </c>
      <c r="BK355">
        <v>6407.9049202433971</v>
      </c>
      <c r="BL355">
        <v>3625.5588099878878</v>
      </c>
      <c r="BM355">
        <v>14.687224206528519</v>
      </c>
      <c r="BN355">
        <v>2496.8281151098481</v>
      </c>
      <c r="BO355">
        <v>3911.076805133549</v>
      </c>
    </row>
    <row r="356" spans="1:67" x14ac:dyDescent="0.25">
      <c r="A356" s="1">
        <v>354</v>
      </c>
      <c r="B356" t="s">
        <v>71</v>
      </c>
      <c r="C356" t="s">
        <v>83</v>
      </c>
      <c r="D356">
        <v>2</v>
      </c>
      <c r="E356">
        <v>6</v>
      </c>
      <c r="F356">
        <v>2</v>
      </c>
      <c r="G356">
        <v>62.06644</v>
      </c>
      <c r="H356">
        <v>10</v>
      </c>
      <c r="I356" t="s">
        <v>89</v>
      </c>
      <c r="J356">
        <v>2</v>
      </c>
      <c r="K356">
        <v>20</v>
      </c>
      <c r="L356">
        <v>60</v>
      </c>
      <c r="N356" t="s">
        <v>90</v>
      </c>
      <c r="O356">
        <v>40</v>
      </c>
      <c r="P356">
        <v>0.32</v>
      </c>
      <c r="Q356">
        <v>3.2500000000000001E-2</v>
      </c>
      <c r="R356">
        <v>77.5</v>
      </c>
      <c r="S356">
        <v>170</v>
      </c>
      <c r="T356">
        <v>50</v>
      </c>
      <c r="U356">
        <v>1812.1301775147931</v>
      </c>
      <c r="V356">
        <v>20</v>
      </c>
      <c r="W356">
        <v>0.95</v>
      </c>
      <c r="X356">
        <v>1</v>
      </c>
      <c r="Y356">
        <v>2347884.3847420248</v>
      </c>
      <c r="Z356">
        <v>469576876.94840509</v>
      </c>
      <c r="AA356">
        <v>939153753.89681017</v>
      </c>
      <c r="AB356">
        <v>939153.75389681023</v>
      </c>
      <c r="AC356">
        <v>0</v>
      </c>
      <c r="AD356">
        <v>4866.8213378616547</v>
      </c>
      <c r="AE356">
        <v>1752055.681630196</v>
      </c>
      <c r="AF356">
        <v>1051233.4089781169</v>
      </c>
      <c r="AG356">
        <v>65.246315304335795</v>
      </c>
      <c r="AH356">
        <v>493.49101151068737</v>
      </c>
      <c r="AI356">
        <v>246.74550575534369</v>
      </c>
      <c r="AJ356">
        <v>30522.49700164633</v>
      </c>
      <c r="AK356">
        <v>854.70085470085473</v>
      </c>
      <c r="AL356" t="s">
        <v>93</v>
      </c>
      <c r="AM356">
        <v>38245.553392078276</v>
      </c>
      <c r="AN356">
        <v>26201.8682442889</v>
      </c>
      <c r="AO356">
        <v>41946.735978408433</v>
      </c>
      <c r="AP356">
        <v>95824.619492714366</v>
      </c>
      <c r="AQ356">
        <v>53877.883514305933</v>
      </c>
      <c r="AR356">
        <v>2.9034938141203701E-2</v>
      </c>
      <c r="AS356">
        <v>467.80414892820829</v>
      </c>
      <c r="AT356">
        <v>586.17185068130209</v>
      </c>
      <c r="AU356">
        <v>401.58387676104871</v>
      </c>
      <c r="AV356">
        <v>642.89815881175082</v>
      </c>
      <c r="AW356">
        <v>1468.659479784395</v>
      </c>
      <c r="AX356">
        <v>825.76132097264372</v>
      </c>
      <c r="AY356">
        <v>3.7817538753632389</v>
      </c>
      <c r="AZ356" t="s">
        <v>136</v>
      </c>
      <c r="BA356" t="str">
        <f>VLOOKUP($AZ356,Sheet1!$A$2:$B$58,2)</f>
        <v>Isopropanol</v>
      </c>
      <c r="BB356" t="s">
        <v>156</v>
      </c>
      <c r="BC356">
        <v>60.093820000000001</v>
      </c>
      <c r="BD356">
        <v>6</v>
      </c>
      <c r="BE356">
        <v>82.5</v>
      </c>
      <c r="BF356" t="s">
        <v>204</v>
      </c>
      <c r="BG356">
        <v>1.5041204481951249</v>
      </c>
      <c r="BH356">
        <v>0.395740740740741</v>
      </c>
      <c r="BI356">
        <v>0.38316339985468401</v>
      </c>
      <c r="BJ356">
        <v>80</v>
      </c>
      <c r="BK356">
        <v>4791.2309746357187</v>
      </c>
      <c r="BL356">
        <v>2693.894175715297</v>
      </c>
      <c r="BM356">
        <v>10.83315483957206</v>
      </c>
      <c r="BN356">
        <v>1841.63632272725</v>
      </c>
      <c r="BO356">
        <v>2949.5946519084691</v>
      </c>
    </row>
    <row r="357" spans="1:67" x14ac:dyDescent="0.25">
      <c r="A357" s="1">
        <v>355</v>
      </c>
      <c r="B357" t="s">
        <v>71</v>
      </c>
      <c r="C357" t="s">
        <v>83</v>
      </c>
      <c r="D357">
        <v>2</v>
      </c>
      <c r="E357">
        <v>6</v>
      </c>
      <c r="F357">
        <v>2</v>
      </c>
      <c r="G357">
        <v>62.06644</v>
      </c>
      <c r="H357">
        <v>10</v>
      </c>
      <c r="I357" t="s">
        <v>89</v>
      </c>
      <c r="J357">
        <v>2</v>
      </c>
      <c r="K357">
        <v>20</v>
      </c>
      <c r="L357">
        <v>60</v>
      </c>
      <c r="N357" t="s">
        <v>90</v>
      </c>
      <c r="O357">
        <v>40</v>
      </c>
      <c r="P357">
        <v>0.32</v>
      </c>
      <c r="Q357">
        <v>3.2500000000000001E-2</v>
      </c>
      <c r="R357">
        <v>77.5</v>
      </c>
      <c r="S357">
        <v>170</v>
      </c>
      <c r="T357">
        <v>50</v>
      </c>
      <c r="U357">
        <v>1812.1301775147931</v>
      </c>
      <c r="V357">
        <v>20</v>
      </c>
      <c r="W357">
        <v>0.95</v>
      </c>
      <c r="X357">
        <v>1</v>
      </c>
      <c r="Y357">
        <v>1198539.413211605</v>
      </c>
      <c r="Z357">
        <v>239707882.6423209</v>
      </c>
      <c r="AA357">
        <v>479415765.28464192</v>
      </c>
      <c r="AB357">
        <v>479415.76528464188</v>
      </c>
      <c r="AC357">
        <v>0</v>
      </c>
      <c r="AD357">
        <v>2484.397114437701</v>
      </c>
      <c r="AE357">
        <v>894382.96119757229</v>
      </c>
      <c r="AF357">
        <v>536629.77671854338</v>
      </c>
      <c r="AG357">
        <v>33.306699838914867</v>
      </c>
      <c r="AH357">
        <v>251.91548238275291</v>
      </c>
      <c r="AI357">
        <v>125.9577411913765</v>
      </c>
      <c r="AJ357">
        <v>15581.01237175086</v>
      </c>
      <c r="AK357">
        <v>854.70085470085473</v>
      </c>
      <c r="AL357" t="s">
        <v>93</v>
      </c>
      <c r="AM357">
        <v>19523.449884663351</v>
      </c>
      <c r="AN357">
        <v>13375.43364342803</v>
      </c>
      <c r="AO357">
        <v>21412.816002534</v>
      </c>
      <c r="AP357">
        <v>49334.596754543098</v>
      </c>
      <c r="AQ357">
        <v>27921.780752009101</v>
      </c>
      <c r="AR357">
        <v>2.9034938141203701E-2</v>
      </c>
      <c r="AS357">
        <v>467.80414892820818</v>
      </c>
      <c r="AT357">
        <v>586.17185068130198</v>
      </c>
      <c r="AU357">
        <v>401.58387676104871</v>
      </c>
      <c r="AV357">
        <v>642.89815881175059</v>
      </c>
      <c r="AW357">
        <v>1481.2214056975281</v>
      </c>
      <c r="AX357">
        <v>838.32324688577705</v>
      </c>
      <c r="AY357">
        <v>3.781753875363238</v>
      </c>
      <c r="AZ357" t="s">
        <v>137</v>
      </c>
      <c r="BA357" t="str">
        <f>VLOOKUP($AZ357,Sheet1!$A$2:$B$58,2)</f>
        <v>Itaconate</v>
      </c>
      <c r="BB357" t="s">
        <v>185</v>
      </c>
      <c r="BC357">
        <v>128.08086</v>
      </c>
      <c r="BD357">
        <v>3.2</v>
      </c>
      <c r="BE357">
        <v>381</v>
      </c>
      <c r="BF357" t="s">
        <v>204</v>
      </c>
      <c r="BG357">
        <v>0.1713120382572883</v>
      </c>
      <c r="BH357">
        <v>0.36373134328358198</v>
      </c>
      <c r="BI357">
        <v>0.75059973281383197</v>
      </c>
      <c r="BJ357">
        <v>80</v>
      </c>
      <c r="BK357">
        <v>2466.729837727155</v>
      </c>
      <c r="BL357">
        <v>1396.089037600455</v>
      </c>
      <c r="BM357">
        <v>6.1265750213115346</v>
      </c>
      <c r="BN357">
        <v>1041.517753622961</v>
      </c>
      <c r="BO357">
        <v>1425.212084104194</v>
      </c>
    </row>
    <row r="358" spans="1:67" x14ac:dyDescent="0.25">
      <c r="A358" s="1">
        <v>356</v>
      </c>
      <c r="B358" t="s">
        <v>71</v>
      </c>
      <c r="C358" t="s">
        <v>83</v>
      </c>
      <c r="D358">
        <v>2</v>
      </c>
      <c r="E358">
        <v>6</v>
      </c>
      <c r="F358">
        <v>2</v>
      </c>
      <c r="G358">
        <v>62.06644</v>
      </c>
      <c r="H358">
        <v>10</v>
      </c>
      <c r="I358" t="s">
        <v>89</v>
      </c>
      <c r="J358">
        <v>2</v>
      </c>
      <c r="K358">
        <v>20</v>
      </c>
      <c r="L358">
        <v>60</v>
      </c>
      <c r="N358" t="s">
        <v>90</v>
      </c>
      <c r="O358">
        <v>40</v>
      </c>
      <c r="P358">
        <v>0.32</v>
      </c>
      <c r="Q358">
        <v>3.2500000000000001E-2</v>
      </c>
      <c r="R358">
        <v>77.5</v>
      </c>
      <c r="S358">
        <v>170</v>
      </c>
      <c r="T358">
        <v>50</v>
      </c>
      <c r="U358">
        <v>1812.1301775147931</v>
      </c>
      <c r="V358">
        <v>20</v>
      </c>
      <c r="W358">
        <v>0.95</v>
      </c>
      <c r="X358">
        <v>1</v>
      </c>
      <c r="Y358">
        <v>3105563.865464644</v>
      </c>
      <c r="Z358">
        <v>621112773.09292865</v>
      </c>
      <c r="AA358">
        <v>1242225546.1858571</v>
      </c>
      <c r="AB358">
        <v>1242225.5461858569</v>
      </c>
      <c r="AC358">
        <v>0</v>
      </c>
      <c r="AD358">
        <v>6437.3802154641126</v>
      </c>
      <c r="AE358">
        <v>2317456.8775670808</v>
      </c>
      <c r="AF358">
        <v>1390474.126540249</v>
      </c>
      <c r="AG358">
        <v>86.301778946462733</v>
      </c>
      <c r="AH358">
        <v>652.7441739630541</v>
      </c>
      <c r="AI358">
        <v>326.37208698152699</v>
      </c>
      <c r="AJ358">
        <v>40372.330251040366</v>
      </c>
      <c r="AK358">
        <v>854.70085470085473</v>
      </c>
      <c r="AL358" t="s">
        <v>93</v>
      </c>
      <c r="AM358">
        <v>50587.673482136692</v>
      </c>
      <c r="AN358">
        <v>34657.402960695559</v>
      </c>
      <c r="AO358">
        <v>55483.254786859601</v>
      </c>
      <c r="AP358">
        <v>126472.10754857351</v>
      </c>
      <c r="AQ358">
        <v>70988.852761713875</v>
      </c>
      <c r="AR358">
        <v>2.9034938141203701E-2</v>
      </c>
      <c r="AS358">
        <v>467.80414892820829</v>
      </c>
      <c r="AT358">
        <v>586.17185068130198</v>
      </c>
      <c r="AU358">
        <v>401.58387676104871</v>
      </c>
      <c r="AV358">
        <v>642.89815881175059</v>
      </c>
      <c r="AW358">
        <v>1465.463505995981</v>
      </c>
      <c r="AX358">
        <v>822.56534718423086</v>
      </c>
      <c r="AY358">
        <v>3.7817538753632389</v>
      </c>
      <c r="AZ358" t="s">
        <v>138</v>
      </c>
      <c r="BA358" t="str">
        <f>VLOOKUP($AZ358,Sheet1!$A$2:$B$58,2)</f>
        <v>Limonene</v>
      </c>
      <c r="BB358" t="s">
        <v>186</v>
      </c>
      <c r="BC358">
        <v>136.23244</v>
      </c>
      <c r="BD358">
        <v>5.6</v>
      </c>
      <c r="BE358">
        <v>176</v>
      </c>
      <c r="BF358" t="s">
        <v>204</v>
      </c>
      <c r="BG358">
        <v>1.6650763664101349</v>
      </c>
      <c r="BH358">
        <v>0.131976401179941</v>
      </c>
      <c r="BI358">
        <v>0.28968116654360898</v>
      </c>
      <c r="BJ358">
        <v>80</v>
      </c>
      <c r="BK358">
        <v>6323.6053774286729</v>
      </c>
      <c r="BL358">
        <v>3549.442638085693</v>
      </c>
      <c r="BM358">
        <v>14.653527982666221</v>
      </c>
      <c r="BN358">
        <v>2491.0997570532581</v>
      </c>
      <c r="BO358">
        <v>3832.5056203754152</v>
      </c>
    </row>
    <row r="359" spans="1:67" x14ac:dyDescent="0.25">
      <c r="A359" s="1">
        <v>357</v>
      </c>
      <c r="B359" t="s">
        <v>71</v>
      </c>
      <c r="C359" t="s">
        <v>83</v>
      </c>
      <c r="D359">
        <v>2</v>
      </c>
      <c r="E359">
        <v>6</v>
      </c>
      <c r="F359">
        <v>2</v>
      </c>
      <c r="G359">
        <v>62.06644</v>
      </c>
      <c r="H359">
        <v>10</v>
      </c>
      <c r="I359" t="s">
        <v>89</v>
      </c>
      <c r="J359">
        <v>2</v>
      </c>
      <c r="K359">
        <v>20</v>
      </c>
      <c r="L359">
        <v>60</v>
      </c>
      <c r="N359" t="s">
        <v>90</v>
      </c>
      <c r="O359">
        <v>40</v>
      </c>
      <c r="P359">
        <v>0.32</v>
      </c>
      <c r="Q359">
        <v>3.2500000000000001E-2</v>
      </c>
      <c r="R359">
        <v>77.5</v>
      </c>
      <c r="S359">
        <v>170</v>
      </c>
      <c r="T359">
        <v>50</v>
      </c>
      <c r="U359">
        <v>1812.1301775147931</v>
      </c>
      <c r="V359">
        <v>20</v>
      </c>
      <c r="W359">
        <v>0.95</v>
      </c>
      <c r="X359">
        <v>1</v>
      </c>
      <c r="Y359">
        <v>1492265.9262736349</v>
      </c>
      <c r="Z359">
        <v>298453185.25472701</v>
      </c>
      <c r="AA359">
        <v>596906370.50945401</v>
      </c>
      <c r="AB359">
        <v>596906.37050945405</v>
      </c>
      <c r="AC359">
        <v>0</v>
      </c>
      <c r="AD359">
        <v>3093.2492668502468</v>
      </c>
      <c r="AE359">
        <v>1113569.736066089</v>
      </c>
      <c r="AF359">
        <v>668141.84163965343</v>
      </c>
      <c r="AG359">
        <v>41.46918552561705</v>
      </c>
      <c r="AH359">
        <v>313.65250613931892</v>
      </c>
      <c r="AI359">
        <v>156.8262530696594</v>
      </c>
      <c r="AJ359">
        <v>19399.45704155726</v>
      </c>
      <c r="AK359">
        <v>854.70085470085473</v>
      </c>
      <c r="AL359" t="s">
        <v>93</v>
      </c>
      <c r="AM359">
        <v>24308.069225797211</v>
      </c>
      <c r="AN359">
        <v>16653.356289500462</v>
      </c>
      <c r="AO359">
        <v>26660.463021842101</v>
      </c>
      <c r="AP359">
        <v>61215.583411555774</v>
      </c>
      <c r="AQ359">
        <v>34555.120389713673</v>
      </c>
      <c r="AR359">
        <v>2.9034938141203701E-2</v>
      </c>
      <c r="AS359">
        <v>467.80414892820818</v>
      </c>
      <c r="AT359">
        <v>586.17185068130198</v>
      </c>
      <c r="AU359">
        <v>401.58387676104871</v>
      </c>
      <c r="AV359">
        <v>642.8981588117507</v>
      </c>
      <c r="AW359">
        <v>1476.1703813483541</v>
      </c>
      <c r="AX359">
        <v>833.27222253660341</v>
      </c>
      <c r="AY359">
        <v>3.7817538753632389</v>
      </c>
      <c r="AZ359" t="s">
        <v>139</v>
      </c>
      <c r="BA359" t="str">
        <f>VLOOKUP($AZ359,Sheet1!$A$2:$B$58,2)</f>
        <v>L-Lysine</v>
      </c>
      <c r="BB359" t="s">
        <v>187</v>
      </c>
      <c r="BC359">
        <v>147.19319999999999</v>
      </c>
      <c r="BD359">
        <v>4.833333333333333</v>
      </c>
      <c r="BF359" t="s">
        <v>204</v>
      </c>
      <c r="BG359">
        <v>0.55842656897338128</v>
      </c>
      <c r="BH359">
        <v>0.25420454545454502</v>
      </c>
      <c r="BI359">
        <v>0.60285727060051797</v>
      </c>
      <c r="BJ359">
        <v>80</v>
      </c>
      <c r="BK359">
        <v>3060.7791705777881</v>
      </c>
      <c r="BL359">
        <v>1727.7560194856831</v>
      </c>
      <c r="BM359">
        <v>7.28288608450959</v>
      </c>
      <c r="BN359">
        <v>1238.09063436663</v>
      </c>
      <c r="BO359">
        <v>1822.688536211158</v>
      </c>
    </row>
    <row r="360" spans="1:67" x14ac:dyDescent="0.25">
      <c r="A360" s="1">
        <v>358</v>
      </c>
      <c r="B360" t="s">
        <v>71</v>
      </c>
      <c r="C360" t="s">
        <v>83</v>
      </c>
      <c r="D360">
        <v>2</v>
      </c>
      <c r="E360">
        <v>6</v>
      </c>
      <c r="F360">
        <v>2</v>
      </c>
      <c r="G360">
        <v>62.06644</v>
      </c>
      <c r="H360">
        <v>10</v>
      </c>
      <c r="I360" t="s">
        <v>89</v>
      </c>
      <c r="J360">
        <v>2</v>
      </c>
      <c r="K360">
        <v>20</v>
      </c>
      <c r="L360">
        <v>60</v>
      </c>
      <c r="N360" t="s">
        <v>90</v>
      </c>
      <c r="O360">
        <v>40</v>
      </c>
      <c r="P360">
        <v>0.32</v>
      </c>
      <c r="Q360">
        <v>3.2500000000000001E-2</v>
      </c>
      <c r="R360">
        <v>77.5</v>
      </c>
      <c r="S360">
        <v>170</v>
      </c>
      <c r="T360">
        <v>50</v>
      </c>
      <c r="U360">
        <v>1812.1301775147931</v>
      </c>
      <c r="V360">
        <v>20</v>
      </c>
      <c r="W360">
        <v>0.95</v>
      </c>
      <c r="X360">
        <v>1</v>
      </c>
      <c r="Y360">
        <v>737308.54445307422</v>
      </c>
      <c r="Z360">
        <v>147461708.89061481</v>
      </c>
      <c r="AA360">
        <v>294923417.78122967</v>
      </c>
      <c r="AB360">
        <v>294923.41778122971</v>
      </c>
      <c r="AC360">
        <v>0</v>
      </c>
      <c r="AD360">
        <v>1528.332902612754</v>
      </c>
      <c r="AE360">
        <v>550199.84494059137</v>
      </c>
      <c r="AF360">
        <v>330119.9069643548</v>
      </c>
      <c r="AG360">
        <v>20.48936739840871</v>
      </c>
      <c r="AH360">
        <v>154.97148912534669</v>
      </c>
      <c r="AI360">
        <v>77.485744562673375</v>
      </c>
      <c r="AJ360">
        <v>9585.0110778899634</v>
      </c>
      <c r="AK360">
        <v>854.70085470085473</v>
      </c>
      <c r="AL360" t="s">
        <v>93</v>
      </c>
      <c r="AM360">
        <v>12010.29040721437</v>
      </c>
      <c r="AN360">
        <v>8228.1995922344122</v>
      </c>
      <c r="AO360">
        <v>13172.57657565447</v>
      </c>
      <c r="AP360">
        <v>30678.201932039599</v>
      </c>
      <c r="AQ360">
        <v>17505.625356385131</v>
      </c>
      <c r="AR360">
        <v>2.9034938141203701E-2</v>
      </c>
      <c r="AS360">
        <v>467.80414892820829</v>
      </c>
      <c r="AT360">
        <v>586.1718506813022</v>
      </c>
      <c r="AU360">
        <v>401.58387676104871</v>
      </c>
      <c r="AV360">
        <v>642.89815881175082</v>
      </c>
      <c r="AW360">
        <v>1497.274236705922</v>
      </c>
      <c r="AX360">
        <v>854.3760778941712</v>
      </c>
      <c r="AY360">
        <v>3.7817538753632398</v>
      </c>
      <c r="AZ360" t="s">
        <v>140</v>
      </c>
      <c r="BA360" t="str">
        <f>VLOOKUP($AZ360,Sheet1!$A$2:$B$58,2)</f>
        <v>L-Malate</v>
      </c>
      <c r="BB360" t="s">
        <v>188</v>
      </c>
      <c r="BC360">
        <v>132.06916000000001</v>
      </c>
      <c r="BD360">
        <v>2.5</v>
      </c>
      <c r="BF360" t="s">
        <v>204</v>
      </c>
      <c r="BG360">
        <v>-0.1706510674164598</v>
      </c>
      <c r="BH360">
        <v>0.57341176470588195</v>
      </c>
      <c r="BI360">
        <v>1.2201450398093601</v>
      </c>
      <c r="BJ360">
        <v>80</v>
      </c>
      <c r="BK360">
        <v>1533.9100966019801</v>
      </c>
      <c r="BL360">
        <v>875.28126781925664</v>
      </c>
      <c r="BM360">
        <v>4.0449382955501294</v>
      </c>
      <c r="BN360">
        <v>687.63951024352184</v>
      </c>
      <c r="BO360">
        <v>846.27058635845822</v>
      </c>
    </row>
    <row r="361" spans="1:67" x14ac:dyDescent="0.25">
      <c r="A361" s="1">
        <v>359</v>
      </c>
      <c r="B361" t="s">
        <v>71</v>
      </c>
      <c r="C361" t="s">
        <v>83</v>
      </c>
      <c r="D361">
        <v>2</v>
      </c>
      <c r="E361">
        <v>6</v>
      </c>
      <c r="F361">
        <v>2</v>
      </c>
      <c r="G361">
        <v>62.06644</v>
      </c>
      <c r="H361">
        <v>10</v>
      </c>
      <c r="I361" t="s">
        <v>89</v>
      </c>
      <c r="J361">
        <v>2</v>
      </c>
      <c r="K361">
        <v>20</v>
      </c>
      <c r="L361">
        <v>60</v>
      </c>
      <c r="N361" t="s">
        <v>90</v>
      </c>
      <c r="O361">
        <v>40</v>
      </c>
      <c r="P361">
        <v>0.32</v>
      </c>
      <c r="Q361">
        <v>3.2500000000000001E-2</v>
      </c>
      <c r="R361">
        <v>77.5</v>
      </c>
      <c r="S361">
        <v>170</v>
      </c>
      <c r="T361">
        <v>50</v>
      </c>
      <c r="U361">
        <v>1812.1301775147931</v>
      </c>
      <c r="V361">
        <v>20</v>
      </c>
      <c r="W361">
        <v>0.95</v>
      </c>
      <c r="X361">
        <v>1</v>
      </c>
      <c r="Y361">
        <v>752176.95183399809</v>
      </c>
      <c r="Z361">
        <v>150435390.36679959</v>
      </c>
      <c r="AA361">
        <v>300870780.73359919</v>
      </c>
      <c r="AB361">
        <v>300870.78073359933</v>
      </c>
      <c r="AC361">
        <v>0</v>
      </c>
      <c r="AD361">
        <v>1559.1529390556691</v>
      </c>
      <c r="AE361">
        <v>561295.05806004081</v>
      </c>
      <c r="AF361">
        <v>336777.03483602451</v>
      </c>
      <c r="AG361">
        <v>20.902551626028021</v>
      </c>
      <c r="AH361">
        <v>158.09661123342329</v>
      </c>
      <c r="AI361">
        <v>79.048305616711659</v>
      </c>
      <c r="AJ361">
        <v>9778.3003738419775</v>
      </c>
      <c r="AK361">
        <v>854.70085470085473</v>
      </c>
      <c r="AL361" t="s">
        <v>93</v>
      </c>
      <c r="AM361">
        <v>12252.48737059031</v>
      </c>
      <c r="AN361">
        <v>8394.1277161782964</v>
      </c>
      <c r="AO361">
        <v>13438.211954840979</v>
      </c>
      <c r="AP361">
        <v>31279.616315311439</v>
      </c>
      <c r="AQ361">
        <v>17841.404360470449</v>
      </c>
      <c r="AR361">
        <v>2.9034938141203712E-2</v>
      </c>
      <c r="AS361">
        <v>467.80414892820841</v>
      </c>
      <c r="AT361">
        <v>586.17185068130209</v>
      </c>
      <c r="AU361">
        <v>401.58387676104883</v>
      </c>
      <c r="AV361">
        <v>642.89815881175082</v>
      </c>
      <c r="AW361">
        <v>1496.449661981067</v>
      </c>
      <c r="AX361">
        <v>853.55150316931599</v>
      </c>
      <c r="AY361">
        <v>3.7817538753632398</v>
      </c>
      <c r="AZ361" t="s">
        <v>141</v>
      </c>
      <c r="BA361" t="str">
        <f>VLOOKUP($AZ361,Sheet1!$A$2:$B$58,2)</f>
        <v>Malonate</v>
      </c>
      <c r="BB361" t="s">
        <v>189</v>
      </c>
      <c r="BC361">
        <v>102.04378</v>
      </c>
      <c r="BD361">
        <v>2</v>
      </c>
      <c r="BE361">
        <v>199</v>
      </c>
      <c r="BF361" t="s">
        <v>204</v>
      </c>
      <c r="BG361">
        <v>-0.10813107281822359</v>
      </c>
      <c r="BH361">
        <v>0.72746268656716495</v>
      </c>
      <c r="BI361">
        <v>1.19602622910735</v>
      </c>
      <c r="BJ361">
        <v>80</v>
      </c>
      <c r="BK361">
        <v>1563.9808157655709</v>
      </c>
      <c r="BL361">
        <v>892.07021802352222</v>
      </c>
      <c r="BM361">
        <v>4.0605463536538062</v>
      </c>
      <c r="BN361">
        <v>690.29288012114705</v>
      </c>
      <c r="BO361">
        <v>873.6879356444241</v>
      </c>
    </row>
    <row r="362" spans="1:67" x14ac:dyDescent="0.25">
      <c r="A362" s="1">
        <v>360</v>
      </c>
      <c r="B362" t="s">
        <v>71</v>
      </c>
      <c r="C362" t="s">
        <v>83</v>
      </c>
      <c r="D362">
        <v>2</v>
      </c>
      <c r="E362">
        <v>6</v>
      </c>
      <c r="F362">
        <v>2</v>
      </c>
      <c r="G362">
        <v>62.06644</v>
      </c>
      <c r="H362">
        <v>10</v>
      </c>
      <c r="I362" t="s">
        <v>89</v>
      </c>
      <c r="J362">
        <v>2</v>
      </c>
      <c r="K362">
        <v>20</v>
      </c>
      <c r="L362">
        <v>60</v>
      </c>
      <c r="N362" t="s">
        <v>90</v>
      </c>
      <c r="O362">
        <v>40</v>
      </c>
      <c r="P362">
        <v>0.32</v>
      </c>
      <c r="Q362">
        <v>3.2500000000000001E-2</v>
      </c>
      <c r="R362">
        <v>77.5</v>
      </c>
      <c r="S362">
        <v>170</v>
      </c>
      <c r="T362">
        <v>50</v>
      </c>
      <c r="U362">
        <v>1812.1301775147931</v>
      </c>
      <c r="V362">
        <v>20</v>
      </c>
      <c r="W362">
        <v>0.95</v>
      </c>
      <c r="X362">
        <v>1</v>
      </c>
      <c r="Y362">
        <v>3208672.9001173298</v>
      </c>
      <c r="Z362">
        <v>641734580.02346599</v>
      </c>
      <c r="AA362">
        <v>1283469160.046932</v>
      </c>
      <c r="AB362">
        <v>1283469.1600469321</v>
      </c>
      <c r="AC362">
        <v>0</v>
      </c>
      <c r="AD362">
        <v>6651.1101815710899</v>
      </c>
      <c r="AE362">
        <v>2394399.665365593</v>
      </c>
      <c r="AF362">
        <v>1436639.799219355</v>
      </c>
      <c r="AG362">
        <v>89.167117899860173</v>
      </c>
      <c r="AH362">
        <v>674.41618734553424</v>
      </c>
      <c r="AI362">
        <v>337.20809367276712</v>
      </c>
      <c r="AJ362">
        <v>41712.747701525303</v>
      </c>
      <c r="AK362">
        <v>854.70085470085473</v>
      </c>
      <c r="AL362" t="s">
        <v>93</v>
      </c>
      <c r="AM362">
        <v>52267.254519278897</v>
      </c>
      <c r="AN362">
        <v>35808.076885835333</v>
      </c>
      <c r="AO362">
        <v>57325.375924370412</v>
      </c>
      <c r="AP362">
        <v>130642.77996134041</v>
      </c>
      <c r="AQ362">
        <v>73317.404036969965</v>
      </c>
      <c r="AR362">
        <v>2.9034938141203701E-2</v>
      </c>
      <c r="AS362">
        <v>467.80414892820829</v>
      </c>
      <c r="AT362">
        <v>586.17185068130209</v>
      </c>
      <c r="AU362">
        <v>401.58387676104849</v>
      </c>
      <c r="AV362">
        <v>642.89815881175082</v>
      </c>
      <c r="AW362">
        <v>1465.145258009346</v>
      </c>
      <c r="AX362">
        <v>822.24709919759471</v>
      </c>
      <c r="AY362">
        <v>3.7817538753632398</v>
      </c>
      <c r="AZ362" t="s">
        <v>142</v>
      </c>
      <c r="BA362" t="str">
        <f>VLOOKUP($AZ362,Sheet1!$A$2:$B$58,2)</f>
        <v>Nonane</v>
      </c>
      <c r="BB362" t="s">
        <v>190</v>
      </c>
      <c r="BC362">
        <v>128.25309999999999</v>
      </c>
      <c r="BD362">
        <v>6.2222222222222223</v>
      </c>
      <c r="BE362">
        <v>151</v>
      </c>
      <c r="BF362" t="s">
        <v>204</v>
      </c>
      <c r="BG362">
        <v>1.9697782623613771</v>
      </c>
      <c r="BH362">
        <v>0.13568253968253899</v>
      </c>
      <c r="BI362">
        <v>0.28037241293451298</v>
      </c>
      <c r="BJ362">
        <v>80</v>
      </c>
      <c r="BK362">
        <v>6532.1389980670174</v>
      </c>
      <c r="BL362">
        <v>3665.8702018484969</v>
      </c>
      <c r="BM362">
        <v>14.890626421276981</v>
      </c>
      <c r="BN362">
        <v>2531.406491617086</v>
      </c>
      <c r="BO362">
        <v>4000.732506449931</v>
      </c>
    </row>
    <row r="363" spans="1:67" x14ac:dyDescent="0.25">
      <c r="A363" s="1">
        <v>361</v>
      </c>
      <c r="B363" t="s">
        <v>71</v>
      </c>
      <c r="C363" t="s">
        <v>83</v>
      </c>
      <c r="D363">
        <v>2</v>
      </c>
      <c r="E363">
        <v>6</v>
      </c>
      <c r="F363">
        <v>2</v>
      </c>
      <c r="G363">
        <v>62.06644</v>
      </c>
      <c r="H363">
        <v>10</v>
      </c>
      <c r="I363" t="s">
        <v>89</v>
      </c>
      <c r="J363">
        <v>2</v>
      </c>
      <c r="K363">
        <v>20</v>
      </c>
      <c r="L363">
        <v>60</v>
      </c>
      <c r="N363" t="s">
        <v>90</v>
      </c>
      <c r="O363">
        <v>40</v>
      </c>
      <c r="P363">
        <v>0.32</v>
      </c>
      <c r="Q363">
        <v>3.2500000000000001E-2</v>
      </c>
      <c r="R363">
        <v>77.5</v>
      </c>
      <c r="S363">
        <v>170</v>
      </c>
      <c r="T363">
        <v>50</v>
      </c>
      <c r="U363">
        <v>1812.1301775147931</v>
      </c>
      <c r="V363">
        <v>20</v>
      </c>
      <c r="W363">
        <v>0.95</v>
      </c>
      <c r="X363">
        <v>1</v>
      </c>
      <c r="Y363">
        <v>3150281.8464051071</v>
      </c>
      <c r="Z363">
        <v>630056369.28102136</v>
      </c>
      <c r="AA363">
        <v>1260112738.562043</v>
      </c>
      <c r="AB363">
        <v>1260112.7385620431</v>
      </c>
      <c r="AC363">
        <v>0</v>
      </c>
      <c r="AD363">
        <v>6530.0740573080548</v>
      </c>
      <c r="AE363">
        <v>2350826.660630899</v>
      </c>
      <c r="AF363">
        <v>1410495.9963785401</v>
      </c>
      <c r="AG363">
        <v>87.544465129468847</v>
      </c>
      <c r="AH363">
        <v>662.14324053994164</v>
      </c>
      <c r="AI363">
        <v>331.07162026997082</v>
      </c>
      <c r="AJ363">
        <v>40953.664003266393</v>
      </c>
      <c r="AK363">
        <v>854.70085470085473</v>
      </c>
      <c r="AL363" t="s">
        <v>93</v>
      </c>
      <c r="AM363">
        <v>51316.10114184548</v>
      </c>
      <c r="AN363">
        <v>35156.445695664537</v>
      </c>
      <c r="AO363">
        <v>56282.175445895038</v>
      </c>
      <c r="AP363">
        <v>128280.91169547731</v>
      </c>
      <c r="AQ363">
        <v>71998.736249582231</v>
      </c>
      <c r="AR363">
        <v>2.9034938141203712E-2</v>
      </c>
      <c r="AS363">
        <v>467.80414892820841</v>
      </c>
      <c r="AT363">
        <v>586.17185068130209</v>
      </c>
      <c r="AU363">
        <v>401.58387676104871</v>
      </c>
      <c r="AV363">
        <v>642.8981588117507</v>
      </c>
      <c r="AW363">
        <v>1465.322924821844</v>
      </c>
      <c r="AX363">
        <v>822.42476601009378</v>
      </c>
      <c r="AY363">
        <v>3.7817538753632398</v>
      </c>
      <c r="AZ363" t="s">
        <v>143</v>
      </c>
      <c r="BA363" t="str">
        <f>VLOOKUP($AZ363,Sheet1!$A$2:$B$58,2)</f>
        <v>Octane</v>
      </c>
      <c r="BB363" t="s">
        <v>191</v>
      </c>
      <c r="BC363">
        <v>114.22672</v>
      </c>
      <c r="BD363">
        <v>6.25</v>
      </c>
      <c r="BE363">
        <v>126</v>
      </c>
      <c r="BF363" t="s">
        <v>204</v>
      </c>
      <c r="BG363">
        <v>1.8837864258860491</v>
      </c>
      <c r="BH363">
        <v>0.155167286245354</v>
      </c>
      <c r="BI363">
        <v>0.28556916720009301</v>
      </c>
      <c r="BJ363">
        <v>80</v>
      </c>
      <c r="BK363">
        <v>6414.0455847738631</v>
      </c>
      <c r="BL363">
        <v>3599.9368124791108</v>
      </c>
      <c r="BM363">
        <v>14.66979458761249</v>
      </c>
      <c r="BN363">
        <v>2493.865079894123</v>
      </c>
      <c r="BO363">
        <v>3920.1805048797401</v>
      </c>
    </row>
    <row r="364" spans="1:67" x14ac:dyDescent="0.25">
      <c r="A364" s="1">
        <v>362</v>
      </c>
      <c r="B364" t="s">
        <v>71</v>
      </c>
      <c r="C364" t="s">
        <v>83</v>
      </c>
      <c r="D364">
        <v>2</v>
      </c>
      <c r="E364">
        <v>6</v>
      </c>
      <c r="F364">
        <v>2</v>
      </c>
      <c r="G364">
        <v>62.06644</v>
      </c>
      <c r="H364">
        <v>10</v>
      </c>
      <c r="I364" t="s">
        <v>89</v>
      </c>
      <c r="J364">
        <v>2</v>
      </c>
      <c r="K364">
        <v>20</v>
      </c>
      <c r="L364">
        <v>60</v>
      </c>
      <c r="N364" t="s">
        <v>90</v>
      </c>
      <c r="O364">
        <v>40</v>
      </c>
      <c r="P364">
        <v>0.32</v>
      </c>
      <c r="Q364">
        <v>3.2500000000000001E-2</v>
      </c>
      <c r="R364">
        <v>77.5</v>
      </c>
      <c r="S364">
        <v>170</v>
      </c>
      <c r="T364">
        <v>50</v>
      </c>
      <c r="U364">
        <v>1812.1301775147931</v>
      </c>
      <c r="V364">
        <v>20</v>
      </c>
      <c r="W364">
        <v>0.95</v>
      </c>
      <c r="X364">
        <v>1</v>
      </c>
      <c r="Y364">
        <v>3337456.1901193429</v>
      </c>
      <c r="Z364">
        <v>667491238.02386868</v>
      </c>
      <c r="AA364">
        <v>1334982476.0477369</v>
      </c>
      <c r="AB364">
        <v>1334982.4760477371</v>
      </c>
      <c r="AC364">
        <v>66773.504273504266</v>
      </c>
      <c r="AD364">
        <v>6918.0591283824933</v>
      </c>
      <c r="AE364">
        <v>2490501.2862176979</v>
      </c>
      <c r="AF364">
        <v>1494300.771730619</v>
      </c>
      <c r="AG364">
        <v>92.745929190572141</v>
      </c>
      <c r="AH364">
        <v>701.48455428122168</v>
      </c>
      <c r="AI364">
        <v>350.74227714061078</v>
      </c>
      <c r="AJ364">
        <v>43386.930471551474</v>
      </c>
      <c r="AK364">
        <v>2170.1388888888891</v>
      </c>
      <c r="AL364" t="s">
        <v>95</v>
      </c>
      <c r="AM364">
        <v>54365.05295679468</v>
      </c>
      <c r="AN364">
        <v>37245.269798155663</v>
      </c>
      <c r="AO364">
        <v>59626.187113903841</v>
      </c>
      <c r="AP364">
        <v>137167.39211539071</v>
      </c>
      <c r="AQ364">
        <v>77541.205001486844</v>
      </c>
      <c r="AR364">
        <v>2.9034938141203701E-2</v>
      </c>
      <c r="AS364">
        <v>467.80414892820818</v>
      </c>
      <c r="AT364">
        <v>586.17185068130209</v>
      </c>
      <c r="AU364">
        <v>401.58387676104849</v>
      </c>
      <c r="AV364">
        <v>642.8981588117507</v>
      </c>
      <c r="AW364">
        <v>1478.9586272141651</v>
      </c>
      <c r="AX364">
        <v>836.0604684024139</v>
      </c>
      <c r="AY364">
        <v>3.7817538753632398</v>
      </c>
      <c r="AZ364" t="s">
        <v>144</v>
      </c>
      <c r="BA364" t="str">
        <f>VLOOKUP($AZ364,Sheet1!$A$2:$B$58,2)</f>
        <v>Pentane</v>
      </c>
      <c r="BB364" t="s">
        <v>192</v>
      </c>
      <c r="BC364">
        <v>72.147580000000005</v>
      </c>
      <c r="BD364">
        <v>6.4</v>
      </c>
      <c r="BE364">
        <v>36.1</v>
      </c>
      <c r="BF364" t="s">
        <v>204</v>
      </c>
      <c r="BG364">
        <v>2.211139197154945</v>
      </c>
      <c r="BH364">
        <v>0.23188888888888801</v>
      </c>
      <c r="BI364">
        <v>0.26955360971833697</v>
      </c>
      <c r="BJ364">
        <v>80</v>
      </c>
      <c r="BK364">
        <v>6858.3696057695352</v>
      </c>
      <c r="BL364">
        <v>3877.060250074343</v>
      </c>
      <c r="BM364">
        <v>15.3259746598756</v>
      </c>
      <c r="BN364">
        <v>2605.4156921788522</v>
      </c>
      <c r="BO364">
        <v>4252.9539135906834</v>
      </c>
    </row>
    <row r="365" spans="1:67" x14ac:dyDescent="0.25">
      <c r="A365" s="1">
        <v>363</v>
      </c>
      <c r="B365" t="s">
        <v>71</v>
      </c>
      <c r="C365" t="s">
        <v>83</v>
      </c>
      <c r="D365">
        <v>2</v>
      </c>
      <c r="E365">
        <v>6</v>
      </c>
      <c r="F365">
        <v>2</v>
      </c>
      <c r="G365">
        <v>62.06644</v>
      </c>
      <c r="H365">
        <v>10</v>
      </c>
      <c r="I365" t="s">
        <v>89</v>
      </c>
      <c r="J365">
        <v>2</v>
      </c>
      <c r="K365">
        <v>20</v>
      </c>
      <c r="L365">
        <v>60</v>
      </c>
      <c r="N365" t="s">
        <v>90</v>
      </c>
      <c r="O365">
        <v>40</v>
      </c>
      <c r="P365">
        <v>0.32</v>
      </c>
      <c r="Q365">
        <v>3.2500000000000001E-2</v>
      </c>
      <c r="R365">
        <v>77.5</v>
      </c>
      <c r="S365">
        <v>170</v>
      </c>
      <c r="T365">
        <v>50</v>
      </c>
      <c r="U365">
        <v>1812.1301775147931</v>
      </c>
      <c r="V365">
        <v>20</v>
      </c>
      <c r="W365">
        <v>0.95</v>
      </c>
      <c r="X365">
        <v>1</v>
      </c>
      <c r="Y365">
        <v>2415821.830249717</v>
      </c>
      <c r="Z365">
        <v>483164366.04994339</v>
      </c>
      <c r="AA365">
        <v>966328732.09988678</v>
      </c>
      <c r="AB365">
        <v>966328.73209988675</v>
      </c>
      <c r="AC365">
        <v>0</v>
      </c>
      <c r="AD365">
        <v>5007.6457377279094</v>
      </c>
      <c r="AE365">
        <v>1802752.4655820469</v>
      </c>
      <c r="AF365">
        <v>1081651.4793492281</v>
      </c>
      <c r="AG365">
        <v>67.13425664394012</v>
      </c>
      <c r="AH365">
        <v>507.77047046570169</v>
      </c>
      <c r="AI365">
        <v>253.8852352328509</v>
      </c>
      <c r="AJ365">
        <v>31405.68379324632</v>
      </c>
      <c r="AK365">
        <v>854.70085470085473</v>
      </c>
      <c r="AL365" t="s">
        <v>93</v>
      </c>
      <c r="AM365">
        <v>39352.211461091887</v>
      </c>
      <c r="AN365">
        <v>26960.035046544672</v>
      </c>
      <c r="AO365">
        <v>43160.489989584647</v>
      </c>
      <c r="AP365">
        <v>98572.631155583731</v>
      </c>
      <c r="AQ365">
        <v>55412.141165999077</v>
      </c>
      <c r="AR365">
        <v>2.9034938141203701E-2</v>
      </c>
      <c r="AS365">
        <v>467.80414892820829</v>
      </c>
      <c r="AT365">
        <v>586.17185068130209</v>
      </c>
      <c r="AU365">
        <v>401.58387676104883</v>
      </c>
      <c r="AV365">
        <v>642.8981588117507</v>
      </c>
      <c r="AW365">
        <v>1468.291094342241</v>
      </c>
      <c r="AX365">
        <v>825.39293553049072</v>
      </c>
      <c r="AY365">
        <v>3.7817538753632398</v>
      </c>
      <c r="AZ365" t="s">
        <v>145</v>
      </c>
      <c r="BA365" t="str">
        <f>VLOOKUP($AZ365,Sheet1!$A$2:$B$58,2)</f>
        <v>Pentanol (PW1)</v>
      </c>
      <c r="BB365" t="s">
        <v>157</v>
      </c>
      <c r="BC365">
        <v>88.14658</v>
      </c>
      <c r="BD365">
        <v>6</v>
      </c>
      <c r="BE365">
        <v>138</v>
      </c>
      <c r="BF365" t="s">
        <v>204</v>
      </c>
      <c r="BG365">
        <v>1.3118710256763171</v>
      </c>
      <c r="BH365">
        <v>0.26220858895705601</v>
      </c>
      <c r="BI365">
        <v>0.37238812567170398</v>
      </c>
      <c r="BJ365">
        <v>80</v>
      </c>
      <c r="BK365">
        <v>4928.6315577791856</v>
      </c>
      <c r="BL365">
        <v>2770.6070582999541</v>
      </c>
      <c r="BM365">
        <v>11.382390735966229</v>
      </c>
      <c r="BN365">
        <v>1935.006425114258</v>
      </c>
      <c r="BO365">
        <v>2993.6251326649272</v>
      </c>
    </row>
    <row r="366" spans="1:67" x14ac:dyDescent="0.25">
      <c r="A366" s="1">
        <v>364</v>
      </c>
      <c r="B366" t="s">
        <v>71</v>
      </c>
      <c r="C366" t="s">
        <v>83</v>
      </c>
      <c r="D366">
        <v>2</v>
      </c>
      <c r="E366">
        <v>6</v>
      </c>
      <c r="F366">
        <v>2</v>
      </c>
      <c r="G366">
        <v>62.06644</v>
      </c>
      <c r="H366">
        <v>10</v>
      </c>
      <c r="I366" t="s">
        <v>89</v>
      </c>
      <c r="J366">
        <v>2</v>
      </c>
      <c r="K366">
        <v>20</v>
      </c>
      <c r="L366">
        <v>60</v>
      </c>
      <c r="N366" t="s">
        <v>90</v>
      </c>
      <c r="O366">
        <v>40</v>
      </c>
      <c r="P366">
        <v>0.32</v>
      </c>
      <c r="Q366">
        <v>3.2500000000000001E-2</v>
      </c>
      <c r="R366">
        <v>77.5</v>
      </c>
      <c r="S366">
        <v>170</v>
      </c>
      <c r="T366">
        <v>50</v>
      </c>
      <c r="U366">
        <v>1812.1301775147931</v>
      </c>
      <c r="V366">
        <v>20</v>
      </c>
      <c r="W366">
        <v>0.95</v>
      </c>
      <c r="X366">
        <v>1</v>
      </c>
      <c r="Y366">
        <v>2875272.6077818791</v>
      </c>
      <c r="Z366">
        <v>575054521.55637586</v>
      </c>
      <c r="AA366">
        <v>1150109043.112752</v>
      </c>
      <c r="AB366">
        <v>1150109.043112752</v>
      </c>
      <c r="AC366">
        <v>0</v>
      </c>
      <c r="AD366">
        <v>5960.0200804859942</v>
      </c>
      <c r="AE366">
        <v>2145607.228974958</v>
      </c>
      <c r="AF366">
        <v>1287364.337384975</v>
      </c>
      <c r="AG366">
        <v>79.902121404444287</v>
      </c>
      <c r="AH366">
        <v>604.34031454200249</v>
      </c>
      <c r="AI366">
        <v>302.17015727100119</v>
      </c>
      <c r="AJ366">
        <v>37378.543901164427</v>
      </c>
      <c r="AK366">
        <v>854.70085470085473</v>
      </c>
      <c r="AL366" t="s">
        <v>93</v>
      </c>
      <c r="AM366">
        <v>46836.374377005202</v>
      </c>
      <c r="AN366">
        <v>32087.40367502869</v>
      </c>
      <c r="AO366">
        <v>51368.926736070207</v>
      </c>
      <c r="AP366">
        <v>117157.02280789919</v>
      </c>
      <c r="AQ366">
        <v>65788.096071828972</v>
      </c>
      <c r="AR366">
        <v>2.9034938141203701E-2</v>
      </c>
      <c r="AS366">
        <v>467.80414892820818</v>
      </c>
      <c r="AT366">
        <v>586.17185068130198</v>
      </c>
      <c r="AU366">
        <v>401.58387676104849</v>
      </c>
      <c r="AV366">
        <v>642.8981588117507</v>
      </c>
      <c r="AW366">
        <v>1466.256724460168</v>
      </c>
      <c r="AX366">
        <v>823.35856564841731</v>
      </c>
      <c r="AY366">
        <v>3.7817538753632398</v>
      </c>
      <c r="AZ366" t="s">
        <v>146</v>
      </c>
      <c r="BA366" t="str">
        <f>VLOOKUP($AZ366,Sheet1!$A$2:$B$58,2)</f>
        <v>Pentanol (PW2)</v>
      </c>
      <c r="BB366" t="s">
        <v>157</v>
      </c>
      <c r="BC366">
        <v>88.14658</v>
      </c>
      <c r="BD366">
        <v>6</v>
      </c>
      <c r="BE366">
        <v>138</v>
      </c>
      <c r="BF366" t="s">
        <v>204</v>
      </c>
      <c r="BG366">
        <v>2.036145323022104</v>
      </c>
      <c r="BH366">
        <v>0.220309278350515</v>
      </c>
      <c r="BI366">
        <v>0.31288280662106999</v>
      </c>
      <c r="BJ366">
        <v>80</v>
      </c>
      <c r="BK366">
        <v>5857.8511403949578</v>
      </c>
      <c r="BL366">
        <v>3289.404803591447</v>
      </c>
      <c r="BM366">
        <v>13.07236254052796</v>
      </c>
      <c r="BN366">
        <v>2222.301631889753</v>
      </c>
      <c r="BO366">
        <v>3635.5495085052048</v>
      </c>
    </row>
    <row r="367" spans="1:67" x14ac:dyDescent="0.25">
      <c r="A367" s="1">
        <v>365</v>
      </c>
      <c r="B367" t="s">
        <v>71</v>
      </c>
      <c r="C367" t="s">
        <v>83</v>
      </c>
      <c r="D367">
        <v>2</v>
      </c>
      <c r="E367">
        <v>6</v>
      </c>
      <c r="F367">
        <v>2</v>
      </c>
      <c r="G367">
        <v>62.06644</v>
      </c>
      <c r="H367">
        <v>10</v>
      </c>
      <c r="I367" t="s">
        <v>89</v>
      </c>
      <c r="J367">
        <v>2</v>
      </c>
      <c r="K367">
        <v>20</v>
      </c>
      <c r="L367">
        <v>60</v>
      </c>
      <c r="N367" t="s">
        <v>90</v>
      </c>
      <c r="O367">
        <v>40</v>
      </c>
      <c r="P367">
        <v>0.32</v>
      </c>
      <c r="Q367">
        <v>3.2500000000000001E-2</v>
      </c>
      <c r="R367">
        <v>77.5</v>
      </c>
      <c r="S367">
        <v>170</v>
      </c>
      <c r="T367">
        <v>50</v>
      </c>
      <c r="U367">
        <v>1812.1301775147931</v>
      </c>
      <c r="V367">
        <v>20</v>
      </c>
      <c r="W367">
        <v>0.95</v>
      </c>
      <c r="X367">
        <v>1</v>
      </c>
      <c r="Y367">
        <v>2576602.0402672431</v>
      </c>
      <c r="Z367">
        <v>515320408.05344868</v>
      </c>
      <c r="AA367">
        <v>1030640816.106897</v>
      </c>
      <c r="AB367">
        <v>1030640.816106897</v>
      </c>
      <c r="AC367">
        <v>0</v>
      </c>
      <c r="AD367">
        <v>5340.9196254475346</v>
      </c>
      <c r="AE367">
        <v>1922731.065161112</v>
      </c>
      <c r="AF367">
        <v>1153638.6390966671</v>
      </c>
      <c r="AG367">
        <v>71.60224337517495</v>
      </c>
      <c r="AH367">
        <v>541.56412273753961</v>
      </c>
      <c r="AI367">
        <v>270.7820613687698</v>
      </c>
      <c r="AJ367">
        <v>33495.826523474163</v>
      </c>
      <c r="AK367">
        <v>854.70085470085473</v>
      </c>
      <c r="AL367" t="s">
        <v>93</v>
      </c>
      <c r="AM367">
        <v>41971.219512159318</v>
      </c>
      <c r="AN367">
        <v>28754.306479390871</v>
      </c>
      <c r="AO367">
        <v>46032.950432690857</v>
      </c>
      <c r="AP367">
        <v>105076.0533697252</v>
      </c>
      <c r="AQ367">
        <v>59043.102937034353</v>
      </c>
      <c r="AR367">
        <v>2.9034938141203712E-2</v>
      </c>
      <c r="AS367">
        <v>467.80414892820829</v>
      </c>
      <c r="AT367">
        <v>586.1718506813022</v>
      </c>
      <c r="AU367">
        <v>401.58387676104871</v>
      </c>
      <c r="AV367">
        <v>642.89815881175082</v>
      </c>
      <c r="AW367">
        <v>1467.496665141583</v>
      </c>
      <c r="AX367">
        <v>824.59850632983171</v>
      </c>
      <c r="AY367">
        <v>3.7817538753632411</v>
      </c>
      <c r="AZ367" t="s">
        <v>147</v>
      </c>
      <c r="BA367" t="str">
        <f>VLOOKUP($AZ367,Sheet1!$A$2:$B$58,2)</f>
        <v>Phenol</v>
      </c>
      <c r="BB367" t="s">
        <v>193</v>
      </c>
      <c r="BC367">
        <v>94.11023999999999</v>
      </c>
      <c r="BD367">
        <v>4.666666666666667</v>
      </c>
      <c r="BE367">
        <v>181.7</v>
      </c>
      <c r="BF367" t="s">
        <v>204</v>
      </c>
      <c r="BG367">
        <v>1.255875217149798</v>
      </c>
      <c r="BH367">
        <v>0.23026771653543299</v>
      </c>
      <c r="BI367">
        <v>0.34915107155242697</v>
      </c>
      <c r="BJ367">
        <v>80</v>
      </c>
      <c r="BK367">
        <v>5253.8026684862607</v>
      </c>
      <c r="BL367">
        <v>2952.1551468517168</v>
      </c>
      <c r="BM367">
        <v>12.283227851288689</v>
      </c>
      <c r="BN367">
        <v>2088.1487347190769</v>
      </c>
      <c r="BO367">
        <v>3165.6539337671829</v>
      </c>
    </row>
    <row r="368" spans="1:67" x14ac:dyDescent="0.25">
      <c r="A368" s="1">
        <v>366</v>
      </c>
      <c r="B368" t="s">
        <v>71</v>
      </c>
      <c r="C368" t="s">
        <v>83</v>
      </c>
      <c r="D368">
        <v>2</v>
      </c>
      <c r="E368">
        <v>6</v>
      </c>
      <c r="F368">
        <v>2</v>
      </c>
      <c r="G368">
        <v>62.06644</v>
      </c>
      <c r="H368">
        <v>10</v>
      </c>
      <c r="I368" t="s">
        <v>89</v>
      </c>
      <c r="J368">
        <v>2</v>
      </c>
      <c r="K368">
        <v>20</v>
      </c>
      <c r="L368">
        <v>60</v>
      </c>
      <c r="N368" t="s">
        <v>90</v>
      </c>
      <c r="O368">
        <v>40</v>
      </c>
      <c r="P368">
        <v>0.32</v>
      </c>
      <c r="Q368">
        <v>3.2500000000000001E-2</v>
      </c>
      <c r="R368">
        <v>77.5</v>
      </c>
      <c r="S368">
        <v>170</v>
      </c>
      <c r="T368">
        <v>50</v>
      </c>
      <c r="U368">
        <v>1812.1301775147931</v>
      </c>
      <c r="V368">
        <v>20</v>
      </c>
      <c r="W368">
        <v>0.95</v>
      </c>
      <c r="X368">
        <v>1</v>
      </c>
      <c r="Y368">
        <v>3519129.5267389552</v>
      </c>
      <c r="Z368">
        <v>703825905.34779096</v>
      </c>
      <c r="AA368">
        <v>1407651810.6955819</v>
      </c>
      <c r="AB368">
        <v>1407651.8106955821</v>
      </c>
      <c r="AC368">
        <v>66773.504273504266</v>
      </c>
      <c r="AD368">
        <v>7294.6414153667811</v>
      </c>
      <c r="AE368">
        <v>2626070.9095320408</v>
      </c>
      <c r="AF368">
        <v>1575642.545719225</v>
      </c>
      <c r="AG368">
        <v>97.79452352532951</v>
      </c>
      <c r="AH368">
        <v>739.66963666243294</v>
      </c>
      <c r="AI368">
        <v>369.83481833121652</v>
      </c>
      <c r="AJ368">
        <v>45748.683847606408</v>
      </c>
      <c r="AK368">
        <v>2170.1388888888891</v>
      </c>
      <c r="AL368" t="s">
        <v>95</v>
      </c>
      <c r="AM368">
        <v>57324.396841338552</v>
      </c>
      <c r="AN368">
        <v>39272.703883301387</v>
      </c>
      <c r="AO368">
        <v>62871.919116306803</v>
      </c>
      <c r="AP368">
        <v>144515.92346113519</v>
      </c>
      <c r="AQ368">
        <v>81644.004344828441</v>
      </c>
      <c r="AR368">
        <v>2.9034938141203701E-2</v>
      </c>
      <c r="AS368">
        <v>467.80414892820818</v>
      </c>
      <c r="AT368">
        <v>586.1718506813022</v>
      </c>
      <c r="AU368">
        <v>401.58387676104849</v>
      </c>
      <c r="AV368">
        <v>642.89815881175082</v>
      </c>
      <c r="AW368">
        <v>1477.750678172735</v>
      </c>
      <c r="AX368">
        <v>834.85251936098462</v>
      </c>
      <c r="AY368">
        <v>3.7817538753632411</v>
      </c>
      <c r="AZ368" t="s">
        <v>148</v>
      </c>
      <c r="BA368" t="str">
        <f>VLOOKUP($AZ368,Sheet1!$A$2:$B$58,2)</f>
        <v>Propane (PW1)</v>
      </c>
      <c r="BB368" t="s">
        <v>194</v>
      </c>
      <c r="BC368">
        <v>44.094819999999999</v>
      </c>
      <c r="BD368">
        <v>6.666666666666667</v>
      </c>
      <c r="BE368">
        <v>-42</v>
      </c>
      <c r="BF368" t="s">
        <v>204</v>
      </c>
      <c r="BG368">
        <v>2.5532965960467879</v>
      </c>
      <c r="BH368">
        <v>0.35982758620689698</v>
      </c>
      <c r="BI368">
        <v>0.25563803676107499</v>
      </c>
      <c r="BJ368">
        <v>80</v>
      </c>
      <c r="BK368">
        <v>7225.7961730567613</v>
      </c>
      <c r="BL368">
        <v>4082.2002172414209</v>
      </c>
      <c r="BM368">
        <v>15.938444320514041</v>
      </c>
      <c r="BN368">
        <v>2709.5355344873869</v>
      </c>
      <c r="BO368">
        <v>4516.2606385693744</v>
      </c>
    </row>
    <row r="369" spans="1:67" x14ac:dyDescent="0.25">
      <c r="A369" s="1">
        <v>367</v>
      </c>
      <c r="B369" t="s">
        <v>71</v>
      </c>
      <c r="C369" t="s">
        <v>83</v>
      </c>
      <c r="D369">
        <v>2</v>
      </c>
      <c r="E369">
        <v>6</v>
      </c>
      <c r="F369">
        <v>2</v>
      </c>
      <c r="G369">
        <v>62.06644</v>
      </c>
      <c r="H369">
        <v>10</v>
      </c>
      <c r="I369" t="s">
        <v>89</v>
      </c>
      <c r="J369">
        <v>2</v>
      </c>
      <c r="K369">
        <v>20</v>
      </c>
      <c r="L369">
        <v>60</v>
      </c>
      <c r="N369" t="s">
        <v>90</v>
      </c>
      <c r="O369">
        <v>40</v>
      </c>
      <c r="P369">
        <v>0.32</v>
      </c>
      <c r="Q369">
        <v>3.2500000000000001E-2</v>
      </c>
      <c r="R369">
        <v>77.5</v>
      </c>
      <c r="S369">
        <v>170</v>
      </c>
      <c r="T369">
        <v>50</v>
      </c>
      <c r="U369">
        <v>1812.1301775147931</v>
      </c>
      <c r="V369">
        <v>20</v>
      </c>
      <c r="W369">
        <v>0.95</v>
      </c>
      <c r="X369">
        <v>1</v>
      </c>
      <c r="Y369">
        <v>4147851.746416138</v>
      </c>
      <c r="Z369">
        <v>829570349.28322756</v>
      </c>
      <c r="AA369">
        <v>1659140698.5664549</v>
      </c>
      <c r="AB369">
        <v>1659140.6985664549</v>
      </c>
      <c r="AC369">
        <v>66773.504273504266</v>
      </c>
      <c r="AD369">
        <v>8597.8907295994577</v>
      </c>
      <c r="AE369">
        <v>3095240.6626558048</v>
      </c>
      <c r="AF369">
        <v>1857144.3975934831</v>
      </c>
      <c r="AG369">
        <v>115.266341324572</v>
      </c>
      <c r="AH369">
        <v>871.8178660062847</v>
      </c>
      <c r="AI369">
        <v>435.90893300314241</v>
      </c>
      <c r="AJ369">
        <v>53922.072703409787</v>
      </c>
      <c r="AK369">
        <v>2170.1388888888891</v>
      </c>
      <c r="AL369" t="s">
        <v>95</v>
      </c>
      <c r="AM369">
        <v>67565.88461548707</v>
      </c>
      <c r="AN369">
        <v>46289.104209183919</v>
      </c>
      <c r="AO369">
        <v>74104.5186105342</v>
      </c>
      <c r="AP369">
        <v>169947.20041696969</v>
      </c>
      <c r="AQ369">
        <v>95842.681806435459</v>
      </c>
      <c r="AR369">
        <v>2.9034938141203701E-2</v>
      </c>
      <c r="AS369">
        <v>467.80414892820829</v>
      </c>
      <c r="AT369">
        <v>586.1718506813022</v>
      </c>
      <c r="AU369">
        <v>401.58387676104871</v>
      </c>
      <c r="AV369">
        <v>642.89815881175082</v>
      </c>
      <c r="AW369">
        <v>1474.3870453771481</v>
      </c>
      <c r="AX369">
        <v>831.48888656539725</v>
      </c>
      <c r="AY369">
        <v>3.7817538753632411</v>
      </c>
      <c r="AZ369" t="s">
        <v>149</v>
      </c>
      <c r="BA369" t="str">
        <f>VLOOKUP($AZ369,Sheet1!$A$2:$B$58,2)</f>
        <v>Propane (PW2)</v>
      </c>
      <c r="BB369" t="s">
        <v>194</v>
      </c>
      <c r="BC369">
        <v>44.094819999999999</v>
      </c>
      <c r="BD369">
        <v>6.666666666666667</v>
      </c>
      <c r="BE369">
        <v>-42</v>
      </c>
      <c r="BF369" t="s">
        <v>204</v>
      </c>
      <c r="BG369">
        <v>3.5444089548685191</v>
      </c>
      <c r="BH369">
        <v>0.30528571428571399</v>
      </c>
      <c r="BI369">
        <v>0.216888986955905</v>
      </c>
      <c r="BJ369">
        <v>80</v>
      </c>
      <c r="BK369">
        <v>8497.3600208484822</v>
      </c>
      <c r="BL369">
        <v>4792.1340903217724</v>
      </c>
      <c r="BM369">
        <v>18.251037695288598</v>
      </c>
      <c r="BN369">
        <v>3102.6764081990618</v>
      </c>
      <c r="BO369">
        <v>5394.68361264942</v>
      </c>
    </row>
    <row r="370" spans="1:67" x14ac:dyDescent="0.25">
      <c r="A370" s="1">
        <v>368</v>
      </c>
      <c r="B370" t="s">
        <v>71</v>
      </c>
      <c r="C370" t="s">
        <v>83</v>
      </c>
      <c r="D370">
        <v>2</v>
      </c>
      <c r="E370">
        <v>6</v>
      </c>
      <c r="F370">
        <v>2</v>
      </c>
      <c r="G370">
        <v>62.06644</v>
      </c>
      <c r="H370">
        <v>10</v>
      </c>
      <c r="I370" t="s">
        <v>89</v>
      </c>
      <c r="J370">
        <v>2</v>
      </c>
      <c r="K370">
        <v>20</v>
      </c>
      <c r="L370">
        <v>60</v>
      </c>
      <c r="N370" t="s">
        <v>90</v>
      </c>
      <c r="O370">
        <v>40</v>
      </c>
      <c r="P370">
        <v>0.32</v>
      </c>
      <c r="Q370">
        <v>3.2500000000000001E-2</v>
      </c>
      <c r="R370">
        <v>77.5</v>
      </c>
      <c r="S370">
        <v>170</v>
      </c>
      <c r="T370">
        <v>50</v>
      </c>
      <c r="U370">
        <v>1812.1301775147931</v>
      </c>
      <c r="V370">
        <v>20</v>
      </c>
      <c r="W370">
        <v>0.95</v>
      </c>
      <c r="X370">
        <v>1</v>
      </c>
      <c r="Y370">
        <v>1314492.748824771</v>
      </c>
      <c r="Z370">
        <v>262898549.76495421</v>
      </c>
      <c r="AA370">
        <v>525797099.52990848</v>
      </c>
      <c r="AB370">
        <v>525797.0995299085</v>
      </c>
      <c r="AC370">
        <v>0</v>
      </c>
      <c r="AD370">
        <v>2724.7514400704758</v>
      </c>
      <c r="AE370">
        <v>980910.51842537127</v>
      </c>
      <c r="AF370">
        <v>588546.31105522276</v>
      </c>
      <c r="AG370">
        <v>36.528974302330333</v>
      </c>
      <c r="AH370">
        <v>276.28718026176381</v>
      </c>
      <c r="AI370">
        <v>138.1435901308819</v>
      </c>
      <c r="AJ370">
        <v>17088.40573472203</v>
      </c>
      <c r="AK370">
        <v>854.70085470085473</v>
      </c>
      <c r="AL370" t="s">
        <v>93</v>
      </c>
      <c r="AM370">
        <v>21412.256470286691</v>
      </c>
      <c r="AN370">
        <v>14669.44711443453</v>
      </c>
      <c r="AO370">
        <v>23484.410322249922</v>
      </c>
      <c r="AP370">
        <v>54024.810174144099</v>
      </c>
      <c r="AQ370">
        <v>30540.399851894181</v>
      </c>
      <c r="AR370">
        <v>2.9034938141203701E-2</v>
      </c>
      <c r="AS370">
        <v>467.80414892820829</v>
      </c>
      <c r="AT370">
        <v>586.17185068130209</v>
      </c>
      <c r="AU370">
        <v>401.5838767610486</v>
      </c>
      <c r="AV370">
        <v>642.8981588117507</v>
      </c>
      <c r="AW370">
        <v>1478.9577645134609</v>
      </c>
      <c r="AX370">
        <v>836.05960570170998</v>
      </c>
      <c r="AY370">
        <v>3.7817538753632389</v>
      </c>
      <c r="AZ370" t="s">
        <v>150</v>
      </c>
      <c r="BA370" t="str">
        <f>VLOOKUP($AZ370,Sheet1!$A$2:$B$58,2)</f>
        <v>Shikimate</v>
      </c>
      <c r="BB370" t="s">
        <v>195</v>
      </c>
      <c r="BC370">
        <v>173.14045999999999</v>
      </c>
      <c r="BD370">
        <v>3.8571428571428572</v>
      </c>
      <c r="BE370">
        <v>400.5</v>
      </c>
      <c r="BF370" t="s">
        <v>204</v>
      </c>
      <c r="BG370">
        <v>0.29284837489135329</v>
      </c>
      <c r="BH370">
        <v>0.24533557046979901</v>
      </c>
      <c r="BI370">
        <v>0.68438822817987399</v>
      </c>
      <c r="BJ370">
        <v>80</v>
      </c>
      <c r="BK370">
        <v>2701.2405087072061</v>
      </c>
      <c r="BL370">
        <v>1527.019992594709</v>
      </c>
      <c r="BM370">
        <v>6.6143311316527402</v>
      </c>
      <c r="BN370">
        <v>1124.4362923809661</v>
      </c>
      <c r="BO370">
        <v>1576.8042163262401</v>
      </c>
    </row>
    <row r="371" spans="1:67" x14ac:dyDescent="0.25">
      <c r="A371" s="1">
        <v>369</v>
      </c>
      <c r="B371" t="s">
        <v>71</v>
      </c>
      <c r="C371" t="s">
        <v>83</v>
      </c>
      <c r="D371">
        <v>2</v>
      </c>
      <c r="E371">
        <v>6</v>
      </c>
      <c r="F371">
        <v>2</v>
      </c>
      <c r="G371">
        <v>62.06644</v>
      </c>
      <c r="H371">
        <v>10</v>
      </c>
      <c r="I371" t="s">
        <v>89</v>
      </c>
      <c r="J371">
        <v>2</v>
      </c>
      <c r="K371">
        <v>20</v>
      </c>
      <c r="L371">
        <v>60</v>
      </c>
      <c r="N371" t="s">
        <v>90</v>
      </c>
      <c r="O371">
        <v>40</v>
      </c>
      <c r="P371">
        <v>0.32</v>
      </c>
      <c r="Q371">
        <v>3.2500000000000001E-2</v>
      </c>
      <c r="R371">
        <v>77.5</v>
      </c>
      <c r="S371">
        <v>170</v>
      </c>
      <c r="T371">
        <v>50</v>
      </c>
      <c r="U371">
        <v>1812.1301775147931</v>
      </c>
      <c r="V371">
        <v>20</v>
      </c>
      <c r="W371">
        <v>0.95</v>
      </c>
      <c r="X371">
        <v>1</v>
      </c>
      <c r="Y371">
        <v>3142237.8463682611</v>
      </c>
      <c r="Z371">
        <v>628447569.2736522</v>
      </c>
      <c r="AA371">
        <v>1256895138.5473039</v>
      </c>
      <c r="AB371">
        <v>1256895.1385473041</v>
      </c>
      <c r="AC371">
        <v>0</v>
      </c>
      <c r="AD371">
        <v>6513.4000203429077</v>
      </c>
      <c r="AE371">
        <v>2344824.0073234471</v>
      </c>
      <c r="AF371">
        <v>1406894.4043940681</v>
      </c>
      <c r="AG371">
        <v>87.320927136660146</v>
      </c>
      <c r="AH371">
        <v>660.45250919875139</v>
      </c>
      <c r="AI371">
        <v>330.22625459937569</v>
      </c>
      <c r="AJ371">
        <v>40849.092002787387</v>
      </c>
      <c r="AK371">
        <v>854.70085470085473</v>
      </c>
      <c r="AL371" t="s">
        <v>93</v>
      </c>
      <c r="AM371">
        <v>51185.06946290323</v>
      </c>
      <c r="AN371">
        <v>35066.67644190904</v>
      </c>
      <c r="AO371">
        <v>56138.46328189387</v>
      </c>
      <c r="AP371">
        <v>127955.53876230049</v>
      </c>
      <c r="AQ371">
        <v>71817.075480406653</v>
      </c>
      <c r="AR371">
        <v>2.9034938141203712E-2</v>
      </c>
      <c r="AS371">
        <v>467.80414892820829</v>
      </c>
      <c r="AT371">
        <v>586.1718506813022</v>
      </c>
      <c r="AU371">
        <v>401.58387676104871</v>
      </c>
      <c r="AV371">
        <v>642.89815881175093</v>
      </c>
      <c r="AW371">
        <v>1465.3479178255391</v>
      </c>
      <c r="AX371">
        <v>822.44975901378768</v>
      </c>
      <c r="AY371">
        <v>3.7817538753632411</v>
      </c>
      <c r="AZ371" t="s">
        <v>151</v>
      </c>
      <c r="BA371" t="str">
        <f>VLOOKUP($AZ371,Sheet1!$A$2:$B$58,2)</f>
        <v>Styrene</v>
      </c>
      <c r="BB371" t="s">
        <v>196</v>
      </c>
      <c r="BC371">
        <v>104.14832</v>
      </c>
      <c r="BD371">
        <v>5</v>
      </c>
      <c r="BE371">
        <v>145</v>
      </c>
      <c r="BF371" t="s">
        <v>204</v>
      </c>
      <c r="BG371">
        <v>1.572833599437107</v>
      </c>
      <c r="BH371">
        <v>0.170618436406067</v>
      </c>
      <c r="BI371">
        <v>0.28630021255814397</v>
      </c>
      <c r="BJ371">
        <v>80</v>
      </c>
      <c r="BK371">
        <v>6397.7769381150256</v>
      </c>
      <c r="BL371">
        <v>3590.8537740203319</v>
      </c>
      <c r="BM371">
        <v>14.938479130531681</v>
      </c>
      <c r="BN371">
        <v>2539.5414521903849</v>
      </c>
      <c r="BO371">
        <v>3858.2354859246411</v>
      </c>
    </row>
    <row r="372" spans="1:67" x14ac:dyDescent="0.25">
      <c r="A372" s="1">
        <v>370</v>
      </c>
      <c r="B372" t="s">
        <v>71</v>
      </c>
      <c r="C372" t="s">
        <v>83</v>
      </c>
      <c r="D372">
        <v>2</v>
      </c>
      <c r="E372">
        <v>6</v>
      </c>
      <c r="F372">
        <v>2</v>
      </c>
      <c r="G372">
        <v>62.06644</v>
      </c>
      <c r="H372">
        <v>10</v>
      </c>
      <c r="I372" t="s">
        <v>89</v>
      </c>
      <c r="J372">
        <v>2</v>
      </c>
      <c r="K372">
        <v>20</v>
      </c>
      <c r="L372">
        <v>60</v>
      </c>
      <c r="N372" t="s">
        <v>90</v>
      </c>
      <c r="O372">
        <v>40</v>
      </c>
      <c r="P372">
        <v>0.32</v>
      </c>
      <c r="Q372">
        <v>3.2500000000000001E-2</v>
      </c>
      <c r="R372">
        <v>77.5</v>
      </c>
      <c r="S372">
        <v>170</v>
      </c>
      <c r="T372">
        <v>50</v>
      </c>
      <c r="U372">
        <v>1812.1301775147931</v>
      </c>
      <c r="V372">
        <v>20</v>
      </c>
      <c r="W372">
        <v>0.95</v>
      </c>
      <c r="X372">
        <v>1</v>
      </c>
      <c r="Y372">
        <v>878417.90651649726</v>
      </c>
      <c r="Z372">
        <v>175683581.30329949</v>
      </c>
      <c r="AA372">
        <v>351367162.60659891</v>
      </c>
      <c r="AB372">
        <v>351367.16260659893</v>
      </c>
      <c r="AC372">
        <v>0</v>
      </c>
      <c r="AD372">
        <v>1820.8319961478769</v>
      </c>
      <c r="AE372">
        <v>655499.51861323579</v>
      </c>
      <c r="AF372">
        <v>393299.71116794151</v>
      </c>
      <c r="AG372">
        <v>24.41071292522237</v>
      </c>
      <c r="AH372">
        <v>184.63061641067841</v>
      </c>
      <c r="AI372">
        <v>92.315308205339221</v>
      </c>
      <c r="AJ372">
        <v>11419.43278471447</v>
      </c>
      <c r="AK372">
        <v>854.70085470085473</v>
      </c>
      <c r="AL372" t="s">
        <v>93</v>
      </c>
      <c r="AM372">
        <v>14308.87277182758</v>
      </c>
      <c r="AN372">
        <v>9802.9487310118384</v>
      </c>
      <c r="AO372">
        <v>15693.60239490767</v>
      </c>
      <c r="AP372">
        <v>36385.95514225473</v>
      </c>
      <c r="AQ372">
        <v>20692.35274734706</v>
      </c>
      <c r="AR372">
        <v>2.9034938141203712E-2</v>
      </c>
      <c r="AS372">
        <v>467.80414892820829</v>
      </c>
      <c r="AT372">
        <v>586.17185068130209</v>
      </c>
      <c r="AU372">
        <v>401.58387676104871</v>
      </c>
      <c r="AV372">
        <v>642.89815881175082</v>
      </c>
      <c r="AW372">
        <v>1490.5732271612169</v>
      </c>
      <c r="AX372">
        <v>847.67506834946585</v>
      </c>
      <c r="AY372">
        <v>3.7817538753632398</v>
      </c>
      <c r="AZ372" t="s">
        <v>152</v>
      </c>
      <c r="BA372" t="str">
        <f>VLOOKUP($AZ372,Sheet1!$A$2:$B$58,2)</f>
        <v>Succinate</v>
      </c>
      <c r="BB372" t="s">
        <v>197</v>
      </c>
      <c r="BC372">
        <v>116.07016</v>
      </c>
      <c r="BD372">
        <v>3</v>
      </c>
      <c r="BE372">
        <v>235</v>
      </c>
      <c r="BF372" t="s">
        <v>204</v>
      </c>
      <c r="BG372">
        <v>-0.13193836821826321</v>
      </c>
      <c r="BH372">
        <v>0.54764044943820001</v>
      </c>
      <c r="BI372">
        <v>1.0241405106267401</v>
      </c>
      <c r="BJ372">
        <v>80</v>
      </c>
      <c r="BK372">
        <v>1819.297757112736</v>
      </c>
      <c r="BL372">
        <v>1034.6176373673529</v>
      </c>
      <c r="BM372">
        <v>4.7477037784852243</v>
      </c>
      <c r="BN372">
        <v>807.10964234248809</v>
      </c>
      <c r="BO372">
        <v>1012.188114770248</v>
      </c>
    </row>
    <row r="373" spans="1:67" x14ac:dyDescent="0.25">
      <c r="A373" s="1">
        <v>371</v>
      </c>
      <c r="B373" t="s">
        <v>71</v>
      </c>
      <c r="C373" t="s">
        <v>83</v>
      </c>
      <c r="D373">
        <v>2</v>
      </c>
      <c r="E373">
        <v>6</v>
      </c>
      <c r="F373">
        <v>2</v>
      </c>
      <c r="G373">
        <v>62.06644</v>
      </c>
      <c r="H373">
        <v>10</v>
      </c>
      <c r="I373" t="s">
        <v>89</v>
      </c>
      <c r="J373">
        <v>2</v>
      </c>
      <c r="K373">
        <v>20</v>
      </c>
      <c r="L373">
        <v>60</v>
      </c>
      <c r="N373" t="s">
        <v>90</v>
      </c>
      <c r="O373">
        <v>40</v>
      </c>
      <c r="P373">
        <v>0.32</v>
      </c>
      <c r="Q373">
        <v>3.2500000000000001E-2</v>
      </c>
      <c r="R373">
        <v>77.5</v>
      </c>
      <c r="S373">
        <v>170</v>
      </c>
      <c r="T373">
        <v>50</v>
      </c>
      <c r="U373">
        <v>1812.1301775147931</v>
      </c>
      <c r="V373">
        <v>20</v>
      </c>
      <c r="W373">
        <v>0.95</v>
      </c>
      <c r="X373">
        <v>1</v>
      </c>
      <c r="Y373">
        <v>1416576.6794342881</v>
      </c>
      <c r="Z373">
        <v>283315335.88685763</v>
      </c>
      <c r="AA373">
        <v>566630671.77371526</v>
      </c>
      <c r="AB373">
        <v>566630.67177371529</v>
      </c>
      <c r="AC373">
        <v>0</v>
      </c>
      <c r="AD373">
        <v>2936.3565152487299</v>
      </c>
      <c r="AE373">
        <v>1057088.3454895429</v>
      </c>
      <c r="AF373">
        <v>634253.00729372562</v>
      </c>
      <c r="AG373">
        <v>39.365826222015578</v>
      </c>
      <c r="AH373">
        <v>297.74373174396658</v>
      </c>
      <c r="AI373">
        <v>148.87186587198329</v>
      </c>
      <c r="AJ373">
        <v>18415.496832645749</v>
      </c>
      <c r="AK373">
        <v>854.70085470085473</v>
      </c>
      <c r="AL373" t="s">
        <v>93</v>
      </c>
      <c r="AM373">
        <v>23075.139210157409</v>
      </c>
      <c r="AN373">
        <v>15808.681106138771</v>
      </c>
      <c r="AO373">
        <v>25308.217198237169</v>
      </c>
      <c r="AP373">
        <v>58154.018003642777</v>
      </c>
      <c r="AQ373">
        <v>32845.800805405612</v>
      </c>
      <c r="AR373">
        <v>2.9034938141203712E-2</v>
      </c>
      <c r="AS373">
        <v>467.80414892820841</v>
      </c>
      <c r="AT373">
        <v>586.1718506813022</v>
      </c>
      <c r="AU373">
        <v>401.58387676104871</v>
      </c>
      <c r="AV373">
        <v>642.89815881175093</v>
      </c>
      <c r="AW373">
        <v>1477.271623251738</v>
      </c>
      <c r="AX373">
        <v>834.37346443998661</v>
      </c>
      <c r="AY373">
        <v>3.7817538753632411</v>
      </c>
      <c r="AZ373" t="s">
        <v>96</v>
      </c>
      <c r="BA373" t="str">
        <f>VLOOKUP($AZ373,Sheet1!$A$2:$B$58,2)</f>
        <v>1,3-Butanediol (PW1)</v>
      </c>
      <c r="BB373" t="s">
        <v>153</v>
      </c>
      <c r="BC373">
        <v>90.119200000000006</v>
      </c>
      <c r="BD373">
        <v>5.5</v>
      </c>
      <c r="BE373">
        <v>207</v>
      </c>
      <c r="BF373" t="s">
        <v>205</v>
      </c>
      <c r="BG373">
        <v>0.27966661398215348</v>
      </c>
      <c r="BH373">
        <v>0.43738095238095198</v>
      </c>
      <c r="BI373">
        <v>0.63506859627446599</v>
      </c>
      <c r="BJ373">
        <v>80</v>
      </c>
      <c r="BK373">
        <v>2907.700900182138</v>
      </c>
      <c r="BL373">
        <v>1642.290040270281</v>
      </c>
      <c r="BM373">
        <v>7.1639266796170116</v>
      </c>
      <c r="BN373">
        <v>1217.8675355348921</v>
      </c>
      <c r="BO373">
        <v>1689.8333646472461</v>
      </c>
    </row>
    <row r="374" spans="1:67" x14ac:dyDescent="0.25">
      <c r="A374" s="1">
        <v>372</v>
      </c>
      <c r="B374" t="s">
        <v>71</v>
      </c>
      <c r="C374" t="s">
        <v>83</v>
      </c>
      <c r="D374">
        <v>2</v>
      </c>
      <c r="E374">
        <v>6</v>
      </c>
      <c r="F374">
        <v>2</v>
      </c>
      <c r="G374">
        <v>62.06644</v>
      </c>
      <c r="H374">
        <v>10</v>
      </c>
      <c r="I374" t="s">
        <v>89</v>
      </c>
      <c r="J374">
        <v>2</v>
      </c>
      <c r="K374">
        <v>20</v>
      </c>
      <c r="L374">
        <v>60</v>
      </c>
      <c r="N374" t="s">
        <v>90</v>
      </c>
      <c r="O374">
        <v>40</v>
      </c>
      <c r="P374">
        <v>0.32</v>
      </c>
      <c r="Q374">
        <v>3.2500000000000001E-2</v>
      </c>
      <c r="R374">
        <v>77.5</v>
      </c>
      <c r="S374">
        <v>170</v>
      </c>
      <c r="T374">
        <v>50</v>
      </c>
      <c r="U374">
        <v>1812.1301775147931</v>
      </c>
      <c r="V374">
        <v>20</v>
      </c>
      <c r="W374">
        <v>0.95</v>
      </c>
      <c r="X374">
        <v>1</v>
      </c>
      <c r="Y374">
        <v>1392884.6339458709</v>
      </c>
      <c r="Z374">
        <v>278576926.78917408</v>
      </c>
      <c r="AA374">
        <v>557153853.57834828</v>
      </c>
      <c r="AB374">
        <v>557153.85357834829</v>
      </c>
      <c r="AC374">
        <v>0</v>
      </c>
      <c r="AD374">
        <v>2887.2463660139811</v>
      </c>
      <c r="AE374">
        <v>1039408.6917650331</v>
      </c>
      <c r="AF374">
        <v>623645.21505901986</v>
      </c>
      <c r="AG374">
        <v>38.707438321747752</v>
      </c>
      <c r="AH374">
        <v>292.76400975730621</v>
      </c>
      <c r="AI374">
        <v>146.38200487865311</v>
      </c>
      <c r="AJ374">
        <v>18107.500241296319</v>
      </c>
      <c r="AK374">
        <v>854.70085470085473</v>
      </c>
      <c r="AL374" t="s">
        <v>93</v>
      </c>
      <c r="AM374">
        <v>22689.210756191231</v>
      </c>
      <c r="AN374">
        <v>15544.283140736639</v>
      </c>
      <c r="AO374">
        <v>24884.940829371029</v>
      </c>
      <c r="AP374">
        <v>57195.69499292504</v>
      </c>
      <c r="AQ374">
        <v>32310.754163554011</v>
      </c>
      <c r="AR374">
        <v>2.9034938141203701E-2</v>
      </c>
      <c r="AS374">
        <v>467.80414892820818</v>
      </c>
      <c r="AT374">
        <v>586.17185068130198</v>
      </c>
      <c r="AU374">
        <v>401.58387676104871</v>
      </c>
      <c r="AV374">
        <v>642.89815881175059</v>
      </c>
      <c r="AW374">
        <v>1477.6409256923021</v>
      </c>
      <c r="AX374">
        <v>834.7427668805517</v>
      </c>
      <c r="AY374">
        <v>3.7817538753632389</v>
      </c>
      <c r="AZ374" t="s">
        <v>97</v>
      </c>
      <c r="BA374" t="str">
        <f>VLOOKUP($AZ374,Sheet1!$A$2:$B$58,2)</f>
        <v>1,3-Butanediol (PW2)</v>
      </c>
      <c r="BB374" t="s">
        <v>153</v>
      </c>
      <c r="BC374">
        <v>90.119200000000006</v>
      </c>
      <c r="BD374">
        <v>5.5</v>
      </c>
      <c r="BE374">
        <v>207</v>
      </c>
      <c r="BF374" t="s">
        <v>205</v>
      </c>
      <c r="BG374">
        <v>0.24231867501255919</v>
      </c>
      <c r="BH374">
        <v>0.44482051282051299</v>
      </c>
      <c r="BI374">
        <v>0.64587069266099595</v>
      </c>
      <c r="BJ374">
        <v>80</v>
      </c>
      <c r="BK374">
        <v>2859.7847496462518</v>
      </c>
      <c r="BL374">
        <v>1615.537708177701</v>
      </c>
      <c r="BM374">
        <v>7.0767815689200964</v>
      </c>
      <c r="BN374">
        <v>1203.052866716416</v>
      </c>
      <c r="BO374">
        <v>1656.7318829298349</v>
      </c>
    </row>
    <row r="375" spans="1:67" x14ac:dyDescent="0.25">
      <c r="A375" s="1">
        <v>373</v>
      </c>
      <c r="B375" t="s">
        <v>71</v>
      </c>
      <c r="C375" t="s">
        <v>83</v>
      </c>
      <c r="D375">
        <v>2</v>
      </c>
      <c r="E375">
        <v>6</v>
      </c>
      <c r="F375">
        <v>2</v>
      </c>
      <c r="G375">
        <v>62.06644</v>
      </c>
      <c r="H375">
        <v>10</v>
      </c>
      <c r="I375" t="s">
        <v>89</v>
      </c>
      <c r="J375">
        <v>2</v>
      </c>
      <c r="K375">
        <v>20</v>
      </c>
      <c r="L375">
        <v>60</v>
      </c>
      <c r="N375" t="s">
        <v>90</v>
      </c>
      <c r="O375">
        <v>40</v>
      </c>
      <c r="P375">
        <v>0.32</v>
      </c>
      <c r="Q375">
        <v>3.2500000000000001E-2</v>
      </c>
      <c r="R375">
        <v>77.5</v>
      </c>
      <c r="S375">
        <v>170</v>
      </c>
      <c r="T375">
        <v>50</v>
      </c>
      <c r="U375">
        <v>1812.1301775147931</v>
      </c>
      <c r="V375">
        <v>20</v>
      </c>
      <c r="W375">
        <v>0.95</v>
      </c>
      <c r="X375">
        <v>1</v>
      </c>
      <c r="Y375">
        <v>1477064.201194434</v>
      </c>
      <c r="Z375">
        <v>295412840.23888677</v>
      </c>
      <c r="AA375">
        <v>590825680.47777355</v>
      </c>
      <c r="AB375">
        <v>590825.68047777354</v>
      </c>
      <c r="AC375">
        <v>0</v>
      </c>
      <c r="AD375">
        <v>3061.7383115116641</v>
      </c>
      <c r="AE375">
        <v>1102225.7921441989</v>
      </c>
      <c r="AF375">
        <v>661335.4752865195</v>
      </c>
      <c r="AG375">
        <v>41.046738596742237</v>
      </c>
      <c r="AH375">
        <v>310.45732551850369</v>
      </c>
      <c r="AI375">
        <v>155.22866275925179</v>
      </c>
      <c r="AJ375">
        <v>19201.834615527641</v>
      </c>
      <c r="AK375">
        <v>854.70085470085473</v>
      </c>
      <c r="AL375" t="s">
        <v>93</v>
      </c>
      <c r="AM375">
        <v>24060.44272768404</v>
      </c>
      <c r="AN375">
        <v>16483.708414077111</v>
      </c>
      <c r="AO375">
        <v>26388.872669072811</v>
      </c>
      <c r="AP375">
        <v>60600.686611989651</v>
      </c>
      <c r="AQ375">
        <v>34211.813942916837</v>
      </c>
      <c r="AR375">
        <v>2.9034938141203701E-2</v>
      </c>
      <c r="AS375">
        <v>467.80414892820818</v>
      </c>
      <c r="AT375">
        <v>586.17185068130209</v>
      </c>
      <c r="AU375">
        <v>401.5838767610486</v>
      </c>
      <c r="AV375">
        <v>642.8981588117507</v>
      </c>
      <c r="AW375">
        <v>1476.382501600245</v>
      </c>
      <c r="AX375">
        <v>833.48434278849447</v>
      </c>
      <c r="AY375">
        <v>3.7817538753632398</v>
      </c>
      <c r="AZ375" t="s">
        <v>98</v>
      </c>
      <c r="BA375" t="str">
        <f>VLOOKUP($AZ375,Sheet1!$A$2:$B$58,2)</f>
        <v>1,3-Diaminopropane</v>
      </c>
      <c r="BB375" t="s">
        <v>154</v>
      </c>
      <c r="BC375">
        <v>76.139580000000009</v>
      </c>
      <c r="BD375">
        <v>6</v>
      </c>
      <c r="BE375">
        <v>139.30000000000001</v>
      </c>
      <c r="BF375" t="s">
        <v>205</v>
      </c>
      <c r="BG375">
        <v>0.59437932350374401</v>
      </c>
      <c r="BH375">
        <v>0.49648648648648702</v>
      </c>
      <c r="BI375">
        <v>0.609061787968318</v>
      </c>
      <c r="BJ375">
        <v>80</v>
      </c>
      <c r="BK375">
        <v>3030.0343305994829</v>
      </c>
      <c r="BL375">
        <v>1710.5906971458419</v>
      </c>
      <c r="BM375">
        <v>7.1670538144588498</v>
      </c>
      <c r="BN375">
        <v>1218.399148458004</v>
      </c>
      <c r="BO375">
        <v>1811.635182141478</v>
      </c>
    </row>
    <row r="376" spans="1:67" x14ac:dyDescent="0.25">
      <c r="A376" s="1">
        <v>374</v>
      </c>
      <c r="B376" t="s">
        <v>71</v>
      </c>
      <c r="C376" t="s">
        <v>83</v>
      </c>
      <c r="D376">
        <v>2</v>
      </c>
      <c r="E376">
        <v>6</v>
      </c>
      <c r="F376">
        <v>2</v>
      </c>
      <c r="G376">
        <v>62.06644</v>
      </c>
      <c r="H376">
        <v>10</v>
      </c>
      <c r="I376" t="s">
        <v>89</v>
      </c>
      <c r="J376">
        <v>2</v>
      </c>
      <c r="K376">
        <v>20</v>
      </c>
      <c r="L376">
        <v>60</v>
      </c>
      <c r="N376" t="s">
        <v>90</v>
      </c>
      <c r="O376">
        <v>40</v>
      </c>
      <c r="P376">
        <v>0.32</v>
      </c>
      <c r="Q376">
        <v>3.2500000000000001E-2</v>
      </c>
      <c r="R376">
        <v>77.5</v>
      </c>
      <c r="S376">
        <v>170</v>
      </c>
      <c r="T376">
        <v>50</v>
      </c>
      <c r="U376">
        <v>1812.1301775147931</v>
      </c>
      <c r="V376">
        <v>20</v>
      </c>
      <c r="W376">
        <v>0.95</v>
      </c>
      <c r="X376">
        <v>1</v>
      </c>
      <c r="Y376">
        <v>1436324.9376851311</v>
      </c>
      <c r="Z376">
        <v>287264987.53702623</v>
      </c>
      <c r="AA376">
        <v>574529975.07405245</v>
      </c>
      <c r="AB376">
        <v>574529.97507405246</v>
      </c>
      <c r="AC376">
        <v>0</v>
      </c>
      <c r="AD376">
        <v>2977.291769669856</v>
      </c>
      <c r="AE376">
        <v>1071825.037081148</v>
      </c>
      <c r="AF376">
        <v>643095.02224868885</v>
      </c>
      <c r="AG376">
        <v>39.914618612696913</v>
      </c>
      <c r="AH376">
        <v>301.89452724442458</v>
      </c>
      <c r="AI376">
        <v>150.94726362221229</v>
      </c>
      <c r="AJ376">
        <v>18672.224189906701</v>
      </c>
      <c r="AK376">
        <v>854.70085470085473</v>
      </c>
      <c r="AL376" t="s">
        <v>93</v>
      </c>
      <c r="AM376">
        <v>23396.8258614429</v>
      </c>
      <c r="AN376">
        <v>16029.06728192554</v>
      </c>
      <c r="AO376">
        <v>25661.034815776089</v>
      </c>
      <c r="AP376">
        <v>58952.818187976001</v>
      </c>
      <c r="AQ376">
        <v>33291.783372199912</v>
      </c>
      <c r="AR376">
        <v>2.9034938141203712E-2</v>
      </c>
      <c r="AS376">
        <v>467.80414892820841</v>
      </c>
      <c r="AT376">
        <v>586.1718506813022</v>
      </c>
      <c r="AU376">
        <v>401.58387676104871</v>
      </c>
      <c r="AV376">
        <v>642.89815881175093</v>
      </c>
      <c r="AW376">
        <v>1476.9731050172929</v>
      </c>
      <c r="AX376">
        <v>834.07494620554223</v>
      </c>
      <c r="AY376">
        <v>3.781753875363242</v>
      </c>
      <c r="AZ376" t="s">
        <v>99</v>
      </c>
      <c r="BA376" t="str">
        <f>VLOOKUP($AZ376,Sheet1!$A$2:$B$58,2)</f>
        <v>1,3-Propanediol</v>
      </c>
      <c r="BB376" t="s">
        <v>155</v>
      </c>
      <c r="BC376">
        <v>76.092820000000003</v>
      </c>
      <c r="BD376">
        <v>5.333333333333333</v>
      </c>
      <c r="BE376">
        <v>213</v>
      </c>
      <c r="BF376" t="s">
        <v>205</v>
      </c>
      <c r="BG376">
        <v>0.52909269810758086</v>
      </c>
      <c r="BH376">
        <v>0.51088235294117601</v>
      </c>
      <c r="BI376">
        <v>0.62633693791696299</v>
      </c>
      <c r="BJ376">
        <v>80</v>
      </c>
      <c r="BK376">
        <v>2947.6409093988</v>
      </c>
      <c r="BL376">
        <v>1664.5891686099951</v>
      </c>
      <c r="BM376">
        <v>7.0182704830030351</v>
      </c>
      <c r="BN376">
        <v>1193.1059821105159</v>
      </c>
      <c r="BO376">
        <v>1754.5349272882841</v>
      </c>
    </row>
    <row r="377" spans="1:67" x14ac:dyDescent="0.25">
      <c r="A377" s="1">
        <v>375</v>
      </c>
      <c r="B377" t="s">
        <v>71</v>
      </c>
      <c r="C377" t="s">
        <v>83</v>
      </c>
      <c r="D377">
        <v>2</v>
      </c>
      <c r="E377">
        <v>6</v>
      </c>
      <c r="F377">
        <v>2</v>
      </c>
      <c r="G377">
        <v>62.06644</v>
      </c>
      <c r="H377">
        <v>10</v>
      </c>
      <c r="I377" t="s">
        <v>89</v>
      </c>
      <c r="J377">
        <v>2</v>
      </c>
      <c r="K377">
        <v>20</v>
      </c>
      <c r="L377">
        <v>60</v>
      </c>
      <c r="N377" t="s">
        <v>90</v>
      </c>
      <c r="O377">
        <v>40</v>
      </c>
      <c r="P377">
        <v>0.32</v>
      </c>
      <c r="Q377">
        <v>3.2500000000000001E-2</v>
      </c>
      <c r="R377">
        <v>77.5</v>
      </c>
      <c r="S377">
        <v>170</v>
      </c>
      <c r="T377">
        <v>50</v>
      </c>
      <c r="U377">
        <v>1812.1301775147931</v>
      </c>
      <c r="V377">
        <v>20</v>
      </c>
      <c r="W377">
        <v>0.95</v>
      </c>
      <c r="X377">
        <v>1</v>
      </c>
      <c r="Y377">
        <v>1533799.4967403261</v>
      </c>
      <c r="Z377">
        <v>306759899.3480652</v>
      </c>
      <c r="AA377">
        <v>613519798.69613039</v>
      </c>
      <c r="AB377">
        <v>613519.7986961304</v>
      </c>
      <c r="AC377">
        <v>0</v>
      </c>
      <c r="AD377">
        <v>3179.3422909780438</v>
      </c>
      <c r="AE377">
        <v>1144563.224752096</v>
      </c>
      <c r="AF377">
        <v>686737.93485125748</v>
      </c>
      <c r="AG377">
        <v>42.623378829169482</v>
      </c>
      <c r="AH377">
        <v>322.38225613657431</v>
      </c>
      <c r="AI377">
        <v>161.1911280682871</v>
      </c>
      <c r="AJ377">
        <v>19939.393457624239</v>
      </c>
      <c r="AK377">
        <v>854.70085470085473</v>
      </c>
      <c r="AL377" t="s">
        <v>93</v>
      </c>
      <c r="AM377">
        <v>24984.6248505845</v>
      </c>
      <c r="AN377">
        <v>17116.861710872679</v>
      </c>
      <c r="AO377">
        <v>27402.491771608809</v>
      </c>
      <c r="AP377">
        <v>62895.580873782281</v>
      </c>
      <c r="AQ377">
        <v>35493.089102173471</v>
      </c>
      <c r="AR377">
        <v>2.9034938141203701E-2</v>
      </c>
      <c r="AS377">
        <v>467.80414892820818</v>
      </c>
      <c r="AT377">
        <v>586.17185068130198</v>
      </c>
      <c r="AU377">
        <v>401.58387676104849</v>
      </c>
      <c r="AV377">
        <v>642.8981588117507</v>
      </c>
      <c r="AW377">
        <v>1475.6122719848629</v>
      </c>
      <c r="AX377">
        <v>832.7141131731122</v>
      </c>
      <c r="AY377">
        <v>3.7817538753632389</v>
      </c>
      <c r="AZ377" t="s">
        <v>100</v>
      </c>
      <c r="BA377" t="str">
        <f>VLOOKUP($AZ377,Sheet1!$A$2:$B$58,2)</f>
        <v>1,4-Butanediol</v>
      </c>
      <c r="BB377" t="s">
        <v>153</v>
      </c>
      <c r="BC377">
        <v>90.119200000000006</v>
      </c>
      <c r="BD377">
        <v>5.5</v>
      </c>
      <c r="BE377">
        <v>230</v>
      </c>
      <c r="BF377" t="s">
        <v>205</v>
      </c>
      <c r="BG377">
        <v>0.46445566601783889</v>
      </c>
      <c r="BH377">
        <v>0.40395348837209299</v>
      </c>
      <c r="BI377">
        <v>0.58653257171839102</v>
      </c>
      <c r="BJ377">
        <v>80</v>
      </c>
      <c r="BK377">
        <v>3144.7790436891141</v>
      </c>
      <c r="BL377">
        <v>1774.654455108674</v>
      </c>
      <c r="BM377">
        <v>7.5951007373965176</v>
      </c>
      <c r="BN377">
        <v>1291.1671253574079</v>
      </c>
      <c r="BO377">
        <v>1853.611918331706</v>
      </c>
    </row>
    <row r="378" spans="1:67" x14ac:dyDescent="0.25">
      <c r="A378" s="1">
        <v>376</v>
      </c>
      <c r="B378" t="s">
        <v>71</v>
      </c>
      <c r="C378" t="s">
        <v>83</v>
      </c>
      <c r="D378">
        <v>2</v>
      </c>
      <c r="E378">
        <v>6</v>
      </c>
      <c r="F378">
        <v>2</v>
      </c>
      <c r="G378">
        <v>62.06644</v>
      </c>
      <c r="H378">
        <v>10</v>
      </c>
      <c r="I378" t="s">
        <v>89</v>
      </c>
      <c r="J378">
        <v>2</v>
      </c>
      <c r="K378">
        <v>20</v>
      </c>
      <c r="L378">
        <v>60</v>
      </c>
      <c r="N378" t="s">
        <v>90</v>
      </c>
      <c r="O378">
        <v>40</v>
      </c>
      <c r="P378">
        <v>0.32</v>
      </c>
      <c r="Q378">
        <v>3.2500000000000001E-2</v>
      </c>
      <c r="R378">
        <v>77.5</v>
      </c>
      <c r="S378">
        <v>170</v>
      </c>
      <c r="T378">
        <v>50</v>
      </c>
      <c r="U378">
        <v>1812.1301775147931</v>
      </c>
      <c r="V378">
        <v>20</v>
      </c>
      <c r="W378">
        <v>0.95</v>
      </c>
      <c r="X378">
        <v>1</v>
      </c>
      <c r="Y378">
        <v>2001813.6522255179</v>
      </c>
      <c r="Z378">
        <v>400362730.44510359</v>
      </c>
      <c r="AA378">
        <v>800725460.89020717</v>
      </c>
      <c r="AB378">
        <v>800725.46089020721</v>
      </c>
      <c r="AC378">
        <v>0</v>
      </c>
      <c r="AD378">
        <v>4149.4672652479767</v>
      </c>
      <c r="AE378">
        <v>1493808.215489272</v>
      </c>
      <c r="AF378">
        <v>896284.92929356289</v>
      </c>
      <c r="AG378">
        <v>55.629214786903162</v>
      </c>
      <c r="AH378">
        <v>420.75199720757013</v>
      </c>
      <c r="AI378">
        <v>210.37599860378509</v>
      </c>
      <c r="AJ378">
        <v>26023.57747893174</v>
      </c>
      <c r="AK378">
        <v>854.70085470085473</v>
      </c>
      <c r="AL378" t="s">
        <v>93</v>
      </c>
      <c r="AM378">
        <v>32608.27978358668</v>
      </c>
      <c r="AN378">
        <v>22339.79573529763</v>
      </c>
      <c r="AO378">
        <v>35763.919762643462</v>
      </c>
      <c r="AP378">
        <v>81826.353852516899</v>
      </c>
      <c r="AQ378">
        <v>46062.434089873437</v>
      </c>
      <c r="AR378">
        <v>2.9034938141203712E-2</v>
      </c>
      <c r="AS378">
        <v>467.80414892820829</v>
      </c>
      <c r="AT378">
        <v>586.17185068130198</v>
      </c>
      <c r="AU378">
        <v>401.58387676104871</v>
      </c>
      <c r="AV378">
        <v>642.8981588117507</v>
      </c>
      <c r="AW378">
        <v>1470.924120823315</v>
      </c>
      <c r="AX378">
        <v>828.02596201156427</v>
      </c>
      <c r="AY378">
        <v>3.7817538753632389</v>
      </c>
      <c r="AZ378" t="s">
        <v>101</v>
      </c>
      <c r="BA378" t="str">
        <f>VLOOKUP($AZ378,Sheet1!$A$2:$B$58,2)</f>
        <v>1-Propanol (PW1)</v>
      </c>
      <c r="BB378" t="s">
        <v>156</v>
      </c>
      <c r="BC378">
        <v>60.093820000000001</v>
      </c>
      <c r="BD378">
        <v>6</v>
      </c>
      <c r="BE378">
        <v>97</v>
      </c>
      <c r="BF378" t="s">
        <v>205</v>
      </c>
      <c r="BG378">
        <v>0.9585774893353084</v>
      </c>
      <c r="BH378">
        <v>0.46415584415584399</v>
      </c>
      <c r="BI378">
        <v>0.44940415024311597</v>
      </c>
      <c r="BJ378">
        <v>80</v>
      </c>
      <c r="BK378">
        <v>4091.3176926258452</v>
      </c>
      <c r="BL378">
        <v>2303.121704493672</v>
      </c>
      <c r="BM378">
        <v>9.5602224408539449</v>
      </c>
      <c r="BN378">
        <v>1625.2378149451711</v>
      </c>
      <c r="BO378">
        <v>2466.0798776806741</v>
      </c>
    </row>
    <row r="379" spans="1:67" x14ac:dyDescent="0.25">
      <c r="A379" s="1">
        <v>377</v>
      </c>
      <c r="B379" t="s">
        <v>71</v>
      </c>
      <c r="C379" t="s">
        <v>83</v>
      </c>
      <c r="D379">
        <v>2</v>
      </c>
      <c r="E379">
        <v>6</v>
      </c>
      <c r="F379">
        <v>2</v>
      </c>
      <c r="G379">
        <v>62.06644</v>
      </c>
      <c r="H379">
        <v>10</v>
      </c>
      <c r="I379" t="s">
        <v>89</v>
      </c>
      <c r="J379">
        <v>2</v>
      </c>
      <c r="K379">
        <v>20</v>
      </c>
      <c r="L379">
        <v>60</v>
      </c>
      <c r="N379" t="s">
        <v>90</v>
      </c>
      <c r="O379">
        <v>40</v>
      </c>
      <c r="P379">
        <v>0.32</v>
      </c>
      <c r="Q379">
        <v>3.2500000000000001E-2</v>
      </c>
      <c r="R379">
        <v>77.5</v>
      </c>
      <c r="S379">
        <v>170</v>
      </c>
      <c r="T379">
        <v>50</v>
      </c>
      <c r="U379">
        <v>1812.1301775147931</v>
      </c>
      <c r="V379">
        <v>20</v>
      </c>
      <c r="W379">
        <v>0.95</v>
      </c>
      <c r="X379">
        <v>1</v>
      </c>
      <c r="Y379">
        <v>2149647.4680258981</v>
      </c>
      <c r="Z379">
        <v>429929493.60517949</v>
      </c>
      <c r="AA379">
        <v>859858987.2103591</v>
      </c>
      <c r="AB379">
        <v>859858.98721035908</v>
      </c>
      <c r="AC379">
        <v>0</v>
      </c>
      <c r="AD379">
        <v>4455.9051690350707</v>
      </c>
      <c r="AE379">
        <v>1604125.8608526259</v>
      </c>
      <c r="AF379">
        <v>962475.51651157544</v>
      </c>
      <c r="AG379">
        <v>59.737428897034697</v>
      </c>
      <c r="AH379">
        <v>451.8245064711939</v>
      </c>
      <c r="AI379">
        <v>225.91225323559689</v>
      </c>
      <c r="AJ379">
        <v>27945.41708433667</v>
      </c>
      <c r="AK379">
        <v>854.70085470085473</v>
      </c>
      <c r="AL379" t="s">
        <v>93</v>
      </c>
      <c r="AM379">
        <v>35016.399251517527</v>
      </c>
      <c r="AN379">
        <v>23989.58828420869</v>
      </c>
      <c r="AO379">
        <v>38405.083050051478</v>
      </c>
      <c r="AP379">
        <v>87806.105474763739</v>
      </c>
      <c r="AQ379">
        <v>49401.022424712261</v>
      </c>
      <c r="AR379">
        <v>2.9034938141203701E-2</v>
      </c>
      <c r="AS379">
        <v>467.80414892820818</v>
      </c>
      <c r="AT379">
        <v>586.17185068130198</v>
      </c>
      <c r="AU379">
        <v>401.58387676104871</v>
      </c>
      <c r="AV379">
        <v>642.89815881175059</v>
      </c>
      <c r="AW379">
        <v>1469.867503439244</v>
      </c>
      <c r="AX379">
        <v>826.96934462749323</v>
      </c>
      <c r="AY379">
        <v>3.7817538753632389</v>
      </c>
      <c r="AZ379" t="s">
        <v>102</v>
      </c>
      <c r="BA379" t="str">
        <f>VLOOKUP($AZ379,Sheet1!$A$2:$B$58,2)</f>
        <v>1-Propanol (PW2)</v>
      </c>
      <c r="BB379" t="s">
        <v>156</v>
      </c>
      <c r="BC379">
        <v>60.093820000000001</v>
      </c>
      <c r="BD379">
        <v>6</v>
      </c>
      <c r="BE379">
        <v>97</v>
      </c>
      <c r="BF379" t="s">
        <v>205</v>
      </c>
      <c r="BG379">
        <v>1.1916214590024869</v>
      </c>
      <c r="BH379">
        <v>0.432235294117647</v>
      </c>
      <c r="BI379">
        <v>0.41849809175903402</v>
      </c>
      <c r="BJ379">
        <v>80</v>
      </c>
      <c r="BK379">
        <v>4390.3052737381868</v>
      </c>
      <c r="BL379">
        <v>2470.0511212356132</v>
      </c>
      <c r="BM379">
        <v>10.10399120277736</v>
      </c>
      <c r="BN379">
        <v>1717.678504472151</v>
      </c>
      <c r="BO379">
        <v>2672.6267692660349</v>
      </c>
    </row>
    <row r="380" spans="1:67" x14ac:dyDescent="0.25">
      <c r="A380" s="1">
        <v>378</v>
      </c>
      <c r="B380" t="s">
        <v>71</v>
      </c>
      <c r="C380" t="s">
        <v>83</v>
      </c>
      <c r="D380">
        <v>2</v>
      </c>
      <c r="E380">
        <v>6</v>
      </c>
      <c r="F380">
        <v>2</v>
      </c>
      <c r="G380">
        <v>62.06644</v>
      </c>
      <c r="H380">
        <v>10</v>
      </c>
      <c r="I380" t="s">
        <v>89</v>
      </c>
      <c r="J380">
        <v>2</v>
      </c>
      <c r="K380">
        <v>20</v>
      </c>
      <c r="L380">
        <v>60</v>
      </c>
      <c r="N380" t="s">
        <v>90</v>
      </c>
      <c r="O380">
        <v>40</v>
      </c>
      <c r="P380">
        <v>0.32</v>
      </c>
      <c r="Q380">
        <v>3.2500000000000001E-2</v>
      </c>
      <c r="R380">
        <v>77.5</v>
      </c>
      <c r="S380">
        <v>170</v>
      </c>
      <c r="T380">
        <v>50</v>
      </c>
      <c r="U380">
        <v>1812.1301775147931</v>
      </c>
      <c r="V380">
        <v>20</v>
      </c>
      <c r="W380">
        <v>0.95</v>
      </c>
      <c r="X380">
        <v>1</v>
      </c>
      <c r="Y380">
        <v>1450304.695611292</v>
      </c>
      <c r="Z380">
        <v>290060939.12225848</v>
      </c>
      <c r="AA380">
        <v>580121878.24451697</v>
      </c>
      <c r="AB380">
        <v>580121.87824451702</v>
      </c>
      <c r="AC380">
        <v>0</v>
      </c>
      <c r="AD380">
        <v>3006.2697656117898</v>
      </c>
      <c r="AE380">
        <v>1082257.1156202441</v>
      </c>
      <c r="AF380">
        <v>649354.26937214658</v>
      </c>
      <c r="AG380">
        <v>40.303107798730167</v>
      </c>
      <c r="AH380">
        <v>304.83286821406051</v>
      </c>
      <c r="AI380">
        <v>152.41643410703031</v>
      </c>
      <c r="AJ380">
        <v>18853.961042946801</v>
      </c>
      <c r="AK380">
        <v>854.70085470085473</v>
      </c>
      <c r="AL380" t="s">
        <v>93</v>
      </c>
      <c r="AM380">
        <v>23624.547286589692</v>
      </c>
      <c r="AN380">
        <v>16185.07827533252</v>
      </c>
      <c r="AO380">
        <v>25910.79379819514</v>
      </c>
      <c r="AP380">
        <v>59518.287459569859</v>
      </c>
      <c r="AQ380">
        <v>33607.493661374712</v>
      </c>
      <c r="AR380">
        <v>2.9034938141203712E-2</v>
      </c>
      <c r="AS380">
        <v>467.80414892820829</v>
      </c>
      <c r="AT380">
        <v>586.17185068130209</v>
      </c>
      <c r="AU380">
        <v>401.58387676104871</v>
      </c>
      <c r="AV380">
        <v>642.89815881175082</v>
      </c>
      <c r="AW380">
        <v>1476.766698905664</v>
      </c>
      <c r="AX380">
        <v>833.86854009391277</v>
      </c>
      <c r="AY380">
        <v>3.7817538753632398</v>
      </c>
      <c r="AZ380" t="s">
        <v>103</v>
      </c>
      <c r="BA380" t="str">
        <f>VLOOKUP($AZ380,Sheet1!$A$2:$B$58,2)</f>
        <v>2,3-Butanediol</v>
      </c>
      <c r="BB380" t="s">
        <v>153</v>
      </c>
      <c r="BC380">
        <v>90.119200000000006</v>
      </c>
      <c r="BD380">
        <v>5.5</v>
      </c>
      <c r="BE380">
        <v>177</v>
      </c>
      <c r="BF380" t="s">
        <v>205</v>
      </c>
      <c r="BG380">
        <v>0.3328351717734393</v>
      </c>
      <c r="BH380">
        <v>0.42720930232558202</v>
      </c>
      <c r="BI380">
        <v>0.62029955915180501</v>
      </c>
      <c r="BJ380">
        <v>80</v>
      </c>
      <c r="BK380">
        <v>2975.9143729784928</v>
      </c>
      <c r="BL380">
        <v>1680.374683068736</v>
      </c>
      <c r="BM380">
        <v>7.2879865335780734</v>
      </c>
      <c r="BN380">
        <v>1238.957710708273</v>
      </c>
      <c r="BO380">
        <v>1736.9566622702209</v>
      </c>
    </row>
    <row r="381" spans="1:67" x14ac:dyDescent="0.25">
      <c r="A381" s="1">
        <v>379</v>
      </c>
      <c r="B381" t="s">
        <v>71</v>
      </c>
      <c r="C381" t="s">
        <v>83</v>
      </c>
      <c r="D381">
        <v>2</v>
      </c>
      <c r="E381">
        <v>6</v>
      </c>
      <c r="F381">
        <v>2</v>
      </c>
      <c r="G381">
        <v>62.06644</v>
      </c>
      <c r="H381">
        <v>10</v>
      </c>
      <c r="I381" t="s">
        <v>89</v>
      </c>
      <c r="J381">
        <v>2</v>
      </c>
      <c r="K381">
        <v>20</v>
      </c>
      <c r="L381">
        <v>60</v>
      </c>
      <c r="N381" t="s">
        <v>90</v>
      </c>
      <c r="O381">
        <v>40</v>
      </c>
      <c r="P381">
        <v>0.32</v>
      </c>
      <c r="Q381">
        <v>3.2500000000000001E-2</v>
      </c>
      <c r="R381">
        <v>77.5</v>
      </c>
      <c r="S381">
        <v>170</v>
      </c>
      <c r="T381">
        <v>50</v>
      </c>
      <c r="U381">
        <v>1812.1301775147931</v>
      </c>
      <c r="V381">
        <v>20</v>
      </c>
      <c r="W381">
        <v>0.95</v>
      </c>
      <c r="X381">
        <v>1</v>
      </c>
      <c r="Y381">
        <v>2310348.319534888</v>
      </c>
      <c r="Z381">
        <v>462069663.90697771</v>
      </c>
      <c r="AA381">
        <v>924139327.81395543</v>
      </c>
      <c r="AB381">
        <v>924139.32781395537</v>
      </c>
      <c r="AC381">
        <v>0</v>
      </c>
      <c r="AD381">
        <v>4789.0145581596244</v>
      </c>
      <c r="AE381">
        <v>1724045.2409374651</v>
      </c>
      <c r="AF381">
        <v>1034427.144562479</v>
      </c>
      <c r="AG381">
        <v>64.203210302358414</v>
      </c>
      <c r="AH381">
        <v>485.60147874340998</v>
      </c>
      <c r="AI381">
        <v>242.80073937170499</v>
      </c>
      <c r="AJ381">
        <v>30034.52815395355</v>
      </c>
      <c r="AK381">
        <v>854.70085470085473</v>
      </c>
      <c r="AL381" t="s">
        <v>93</v>
      </c>
      <c r="AM381">
        <v>37634.114602614281</v>
      </c>
      <c r="AN381">
        <v>25782.974093725988</v>
      </c>
      <c r="AO381">
        <v>41276.125693189853</v>
      </c>
      <c r="AP381">
        <v>94306.317704994683</v>
      </c>
      <c r="AQ381">
        <v>53030.192011804829</v>
      </c>
      <c r="AR381">
        <v>2.9034938141203701E-2</v>
      </c>
      <c r="AS381">
        <v>467.80414892820818</v>
      </c>
      <c r="AT381">
        <v>586.1718506813022</v>
      </c>
      <c r="AU381">
        <v>401.5838767610486</v>
      </c>
      <c r="AV381">
        <v>642.8981588117507</v>
      </c>
      <c r="AW381">
        <v>1468.872308111522</v>
      </c>
      <c r="AX381">
        <v>825.97414929977174</v>
      </c>
      <c r="AY381">
        <v>3.7817538753632398</v>
      </c>
      <c r="AZ381" t="s">
        <v>104</v>
      </c>
      <c r="BA381" t="str">
        <f>VLOOKUP($AZ381,Sheet1!$A$2:$B$58,2)</f>
        <v>2-Methyl-1-Butanol</v>
      </c>
      <c r="BB381" t="s">
        <v>157</v>
      </c>
      <c r="BC381">
        <v>88.14658</v>
      </c>
      <c r="BD381">
        <v>6</v>
      </c>
      <c r="BE381">
        <v>129</v>
      </c>
      <c r="BF381" t="s">
        <v>205</v>
      </c>
      <c r="BG381">
        <v>1.145603480604559</v>
      </c>
      <c r="BH381">
        <v>0.27417910447761201</v>
      </c>
      <c r="BI381">
        <v>0.38938862842317501</v>
      </c>
      <c r="BJ381">
        <v>80</v>
      </c>
      <c r="BK381">
        <v>4715.3158852497336</v>
      </c>
      <c r="BL381">
        <v>2651.509600590241</v>
      </c>
      <c r="BM381">
        <v>10.99443348798069</v>
      </c>
      <c r="BN381">
        <v>1869.053692956717</v>
      </c>
      <c r="BO381">
        <v>2846.2621922930171</v>
      </c>
    </row>
    <row r="382" spans="1:67" x14ac:dyDescent="0.25">
      <c r="A382" s="1">
        <v>380</v>
      </c>
      <c r="B382" t="s">
        <v>71</v>
      </c>
      <c r="C382" t="s">
        <v>83</v>
      </c>
      <c r="D382">
        <v>2</v>
      </c>
      <c r="E382">
        <v>6</v>
      </c>
      <c r="F382">
        <v>2</v>
      </c>
      <c r="G382">
        <v>62.06644</v>
      </c>
      <c r="H382">
        <v>10</v>
      </c>
      <c r="I382" t="s">
        <v>89</v>
      </c>
      <c r="J382">
        <v>2</v>
      </c>
      <c r="K382">
        <v>20</v>
      </c>
      <c r="L382">
        <v>60</v>
      </c>
      <c r="N382" t="s">
        <v>90</v>
      </c>
      <c r="O382">
        <v>40</v>
      </c>
      <c r="P382">
        <v>0.32</v>
      </c>
      <c r="Q382">
        <v>3.2500000000000001E-2</v>
      </c>
      <c r="R382">
        <v>77.5</v>
      </c>
      <c r="S382">
        <v>170</v>
      </c>
      <c r="T382">
        <v>50</v>
      </c>
      <c r="U382">
        <v>1812.1301775147931</v>
      </c>
      <c r="V382">
        <v>20</v>
      </c>
      <c r="W382">
        <v>0.95</v>
      </c>
      <c r="X382">
        <v>1</v>
      </c>
      <c r="Y382">
        <v>990452.61770049587</v>
      </c>
      <c r="Z382">
        <v>198090523.5400992</v>
      </c>
      <c r="AA382">
        <v>396181047.08019841</v>
      </c>
      <c r="AB382">
        <v>396181.04708019842</v>
      </c>
      <c r="AC382">
        <v>0</v>
      </c>
      <c r="AD382">
        <v>2053.0635857929369</v>
      </c>
      <c r="AE382">
        <v>739102.89088545716</v>
      </c>
      <c r="AF382">
        <v>443461.7345312743</v>
      </c>
      <c r="AG382">
        <v>27.524091138581269</v>
      </c>
      <c r="AH382">
        <v>208.17867665836141</v>
      </c>
      <c r="AI382">
        <v>104.08933832918071</v>
      </c>
      <c r="AJ382">
        <v>12875.88403010645</v>
      </c>
      <c r="AK382">
        <v>1835.336538461539</v>
      </c>
      <c r="AL382" t="s">
        <v>94</v>
      </c>
      <c r="AM382">
        <v>16133.84744102301</v>
      </c>
      <c r="AN382">
        <v>11053.231223755891</v>
      </c>
      <c r="AO382">
        <v>17695.187515960719</v>
      </c>
      <c r="AP382">
        <v>41898.299233346886</v>
      </c>
      <c r="AQ382">
        <v>24203.11171738616</v>
      </c>
      <c r="AR382">
        <v>2.9034938141203701E-2</v>
      </c>
      <c r="AS382">
        <v>467.80414892820829</v>
      </c>
      <c r="AT382">
        <v>586.1718506813022</v>
      </c>
      <c r="AU382">
        <v>401.5838767610486</v>
      </c>
      <c r="AV382">
        <v>642.89815881175082</v>
      </c>
      <c r="AW382">
        <v>1522.2409714599769</v>
      </c>
      <c r="AX382">
        <v>879.34281264822607</v>
      </c>
      <c r="AY382">
        <v>3.7817538753632398</v>
      </c>
      <c r="AZ382" t="s">
        <v>105</v>
      </c>
      <c r="BA382" t="str">
        <f>VLOOKUP($AZ382,Sheet1!$A$2:$B$58,2)</f>
        <v>2-Pyrone-4,6-Dicarboxylate</v>
      </c>
      <c r="BB382" t="s">
        <v>158</v>
      </c>
      <c r="BC382">
        <v>182.08457999999999</v>
      </c>
      <c r="BD382">
        <v>2.5714285714285721</v>
      </c>
      <c r="BE382">
        <v>355.5</v>
      </c>
      <c r="BF382" t="s">
        <v>205</v>
      </c>
      <c r="BG382">
        <v>-0.13056495501858609</v>
      </c>
      <c r="BH382">
        <v>0.30960674157303397</v>
      </c>
      <c r="BI382">
        <v>0.908295204885324</v>
      </c>
      <c r="BJ382">
        <v>80</v>
      </c>
      <c r="BK382">
        <v>2094.914961667344</v>
      </c>
      <c r="BL382">
        <v>1210.155585869308</v>
      </c>
      <c r="BM382">
        <v>5.3350318714776224</v>
      </c>
      <c r="BN382">
        <v>906.95541815119577</v>
      </c>
      <c r="BO382">
        <v>1187.9595435161491</v>
      </c>
    </row>
    <row r="383" spans="1:67" x14ac:dyDescent="0.25">
      <c r="A383" s="1">
        <v>381</v>
      </c>
      <c r="B383" t="s">
        <v>71</v>
      </c>
      <c r="C383" t="s">
        <v>83</v>
      </c>
      <c r="D383">
        <v>2</v>
      </c>
      <c r="E383">
        <v>6</v>
      </c>
      <c r="F383">
        <v>2</v>
      </c>
      <c r="G383">
        <v>62.06644</v>
      </c>
      <c r="H383">
        <v>10</v>
      </c>
      <c r="I383" t="s">
        <v>89</v>
      </c>
      <c r="J383">
        <v>2</v>
      </c>
      <c r="K383">
        <v>20</v>
      </c>
      <c r="L383">
        <v>60</v>
      </c>
      <c r="N383" t="s">
        <v>90</v>
      </c>
      <c r="O383">
        <v>40</v>
      </c>
      <c r="P383">
        <v>0.32</v>
      </c>
      <c r="Q383">
        <v>3.2500000000000001E-2</v>
      </c>
      <c r="R383">
        <v>77.5</v>
      </c>
      <c r="S383">
        <v>170</v>
      </c>
      <c r="T383">
        <v>50</v>
      </c>
      <c r="U383">
        <v>1812.1301775147931</v>
      </c>
      <c r="V383">
        <v>20</v>
      </c>
      <c r="W383">
        <v>0.95</v>
      </c>
      <c r="X383">
        <v>1</v>
      </c>
      <c r="Y383">
        <v>2379918.7851336892</v>
      </c>
      <c r="Z383">
        <v>475983757.02673793</v>
      </c>
      <c r="AA383">
        <v>951967514.05347574</v>
      </c>
      <c r="AB383">
        <v>951967.51405347569</v>
      </c>
      <c r="AC383">
        <v>0</v>
      </c>
      <c r="AD383">
        <v>4933.2239701142998</v>
      </c>
      <c r="AE383">
        <v>1775960.629241148</v>
      </c>
      <c r="AF383">
        <v>1065576.377544689</v>
      </c>
      <c r="AG383">
        <v>66.136532302294782</v>
      </c>
      <c r="AH383">
        <v>500.22417467457871</v>
      </c>
      <c r="AI383">
        <v>250.11208733728941</v>
      </c>
      <c r="AJ383">
        <v>30938.94420673796</v>
      </c>
      <c r="AK383">
        <v>854.70085470085473</v>
      </c>
      <c r="AL383" t="s">
        <v>93</v>
      </c>
      <c r="AM383">
        <v>38767.373537279847</v>
      </c>
      <c r="AN383">
        <v>26559.36503748786</v>
      </c>
      <c r="AO383">
        <v>42519.05484733919</v>
      </c>
      <c r="AP383">
        <v>97120.383636206519</v>
      </c>
      <c r="AQ383">
        <v>54601.328788867329</v>
      </c>
      <c r="AR383">
        <v>2.9034938141203701E-2</v>
      </c>
      <c r="AS383">
        <v>467.80414892820818</v>
      </c>
      <c r="AT383">
        <v>586.17185068130209</v>
      </c>
      <c r="AU383">
        <v>401.58387676104871</v>
      </c>
      <c r="AV383">
        <v>642.89815881175082</v>
      </c>
      <c r="AW383">
        <v>1468.4831553050251</v>
      </c>
      <c r="AX383">
        <v>825.58499649327382</v>
      </c>
      <c r="AY383">
        <v>3.7817538753632389</v>
      </c>
      <c r="AZ383" t="s">
        <v>106</v>
      </c>
      <c r="BA383" t="str">
        <f>VLOOKUP($AZ383,Sheet1!$A$2:$B$58,2)</f>
        <v>3-Methyl-1-Pentanol</v>
      </c>
      <c r="BB383" t="s">
        <v>159</v>
      </c>
      <c r="BC383">
        <v>102.17296</v>
      </c>
      <c r="BD383">
        <v>6</v>
      </c>
      <c r="BE383">
        <v>153</v>
      </c>
      <c r="BF383" t="s">
        <v>205</v>
      </c>
      <c r="BG383">
        <v>1.167242599845832</v>
      </c>
      <c r="BH383">
        <v>0.229625</v>
      </c>
      <c r="BI383">
        <v>0.37800590883312102</v>
      </c>
      <c r="BJ383">
        <v>80</v>
      </c>
      <c r="BK383">
        <v>4856.0191818103249</v>
      </c>
      <c r="BL383">
        <v>2730.0664394433661</v>
      </c>
      <c r="BM383">
        <v>11.338361767018631</v>
      </c>
      <c r="BN383">
        <v>1927.521500393168</v>
      </c>
      <c r="BO383">
        <v>2928.4976814171569</v>
      </c>
    </row>
    <row r="384" spans="1:67" x14ac:dyDescent="0.25">
      <c r="A384" s="1">
        <v>382</v>
      </c>
      <c r="B384" t="s">
        <v>71</v>
      </c>
      <c r="C384" t="s">
        <v>83</v>
      </c>
      <c r="D384">
        <v>2</v>
      </c>
      <c r="E384">
        <v>6</v>
      </c>
      <c r="F384">
        <v>2</v>
      </c>
      <c r="G384">
        <v>62.06644</v>
      </c>
      <c r="H384">
        <v>10</v>
      </c>
      <c r="I384" t="s">
        <v>89</v>
      </c>
      <c r="J384">
        <v>2</v>
      </c>
      <c r="K384">
        <v>20</v>
      </c>
      <c r="L384">
        <v>60</v>
      </c>
      <c r="N384" t="s">
        <v>90</v>
      </c>
      <c r="O384">
        <v>40</v>
      </c>
      <c r="P384">
        <v>0.32</v>
      </c>
      <c r="Q384">
        <v>3.2500000000000001E-2</v>
      </c>
      <c r="R384">
        <v>77.5</v>
      </c>
      <c r="S384">
        <v>170</v>
      </c>
      <c r="T384">
        <v>50</v>
      </c>
      <c r="U384">
        <v>1812.1301775147931</v>
      </c>
      <c r="V384">
        <v>20</v>
      </c>
      <c r="W384">
        <v>0.95</v>
      </c>
      <c r="X384">
        <v>1</v>
      </c>
      <c r="Y384">
        <v>2386487.7980212769</v>
      </c>
      <c r="Z384">
        <v>477297559.60425562</v>
      </c>
      <c r="AA384">
        <v>954595119.20851111</v>
      </c>
      <c r="AB384">
        <v>954595.11920851108</v>
      </c>
      <c r="AC384">
        <v>0</v>
      </c>
      <c r="AD384">
        <v>4946.8405741931747</v>
      </c>
      <c r="AE384">
        <v>1780862.6067095429</v>
      </c>
      <c r="AF384">
        <v>1068517.5640257259</v>
      </c>
      <c r="AG384">
        <v>66.319081276548857</v>
      </c>
      <c r="AH384">
        <v>501.60488525623668</v>
      </c>
      <c r="AI384">
        <v>250.8024426281184</v>
      </c>
      <c r="AJ384">
        <v>31024.34137427661</v>
      </c>
      <c r="AK384">
        <v>854.70085470085473</v>
      </c>
      <c r="AL384" t="s">
        <v>93</v>
      </c>
      <c r="AM384">
        <v>38874.378607358347</v>
      </c>
      <c r="AN384">
        <v>26632.673762267561</v>
      </c>
      <c r="AO384">
        <v>42636.415246780132</v>
      </c>
      <c r="AP384">
        <v>97386.094598603377</v>
      </c>
      <c r="AQ384">
        <v>54749.679351823252</v>
      </c>
      <c r="AR384">
        <v>2.9034938141203701E-2</v>
      </c>
      <c r="AS384">
        <v>467.80414892820818</v>
      </c>
      <c r="AT384">
        <v>586.1718506813022</v>
      </c>
      <c r="AU384">
        <v>401.58387676104849</v>
      </c>
      <c r="AV384">
        <v>642.89815881175082</v>
      </c>
      <c r="AW384">
        <v>1468.447582868434</v>
      </c>
      <c r="AX384">
        <v>825.54942405668294</v>
      </c>
      <c r="AY384">
        <v>3.7817538753632411</v>
      </c>
      <c r="AZ384" t="s">
        <v>107</v>
      </c>
      <c r="BA384" t="str">
        <f>VLOOKUP($AZ384,Sheet1!$A$2:$B$58,2)</f>
        <v>4-Hydroxystyrene</v>
      </c>
      <c r="BB384" t="s">
        <v>160</v>
      </c>
      <c r="BC384">
        <v>120.14731999999999</v>
      </c>
      <c r="BD384">
        <v>4.75</v>
      </c>
      <c r="BE384">
        <v>229</v>
      </c>
      <c r="BF384" t="s">
        <v>205</v>
      </c>
      <c r="BG384">
        <v>0.83163662134429861</v>
      </c>
      <c r="BH384">
        <v>0.194734982332156</v>
      </c>
      <c r="BI384">
        <v>0.37696541506283299</v>
      </c>
      <c r="BJ384">
        <v>80</v>
      </c>
      <c r="BK384">
        <v>4869.3047299301697</v>
      </c>
      <c r="BL384">
        <v>2737.483967591163</v>
      </c>
      <c r="BM384">
        <v>11.708485510061619</v>
      </c>
      <c r="BN384">
        <v>1990.4425367104759</v>
      </c>
      <c r="BO384">
        <v>2878.8621932196938</v>
      </c>
    </row>
    <row r="385" spans="1:67" x14ac:dyDescent="0.25">
      <c r="A385" s="1">
        <v>383</v>
      </c>
      <c r="B385" t="s">
        <v>71</v>
      </c>
      <c r="C385" t="s">
        <v>83</v>
      </c>
      <c r="D385">
        <v>2</v>
      </c>
      <c r="E385">
        <v>6</v>
      </c>
      <c r="F385">
        <v>2</v>
      </c>
      <c r="G385">
        <v>62.06644</v>
      </c>
      <c r="H385">
        <v>10</v>
      </c>
      <c r="I385" t="s">
        <v>89</v>
      </c>
      <c r="J385">
        <v>2</v>
      </c>
      <c r="K385">
        <v>20</v>
      </c>
      <c r="L385">
        <v>60</v>
      </c>
      <c r="N385" t="s">
        <v>90</v>
      </c>
      <c r="O385">
        <v>40</v>
      </c>
      <c r="P385">
        <v>0.32</v>
      </c>
      <c r="Q385">
        <v>3.2500000000000001E-2</v>
      </c>
      <c r="R385">
        <v>77.5</v>
      </c>
      <c r="S385">
        <v>170</v>
      </c>
      <c r="T385">
        <v>50</v>
      </c>
      <c r="U385">
        <v>1812.1301775147931</v>
      </c>
      <c r="V385">
        <v>20</v>
      </c>
      <c r="W385">
        <v>0.95</v>
      </c>
      <c r="X385">
        <v>1</v>
      </c>
      <c r="Y385">
        <v>1660605.296071846</v>
      </c>
      <c r="Z385">
        <v>332121059.21436912</v>
      </c>
      <c r="AA385">
        <v>664242118.42873824</v>
      </c>
      <c r="AB385">
        <v>664242.11842873821</v>
      </c>
      <c r="AC385">
        <v>0</v>
      </c>
      <c r="AD385">
        <v>3442.192188512096</v>
      </c>
      <c r="AE385">
        <v>1239189.187864355</v>
      </c>
      <c r="AF385">
        <v>743513.51271861268</v>
      </c>
      <c r="AG385">
        <v>46.147236826339011</v>
      </c>
      <c r="AH385">
        <v>349.0349834106255</v>
      </c>
      <c r="AI385">
        <v>174.51749170531281</v>
      </c>
      <c r="AJ385">
        <v>21587.868848933991</v>
      </c>
      <c r="AK385">
        <v>854.70085470085473</v>
      </c>
      <c r="AL385" t="s">
        <v>93</v>
      </c>
      <c r="AM385">
        <v>27050.211214323481</v>
      </c>
      <c r="AN385">
        <v>18531.98626653145</v>
      </c>
      <c r="AO385">
        <v>29667.973589903169</v>
      </c>
      <c r="AP385">
        <v>68024.76718448977</v>
      </c>
      <c r="AQ385">
        <v>38356.793594586597</v>
      </c>
      <c r="AR385">
        <v>2.9034938141203701E-2</v>
      </c>
      <c r="AS385">
        <v>467.80414892820818</v>
      </c>
      <c r="AT385">
        <v>586.17185068130209</v>
      </c>
      <c r="AU385">
        <v>401.58387676104871</v>
      </c>
      <c r="AV385">
        <v>642.89815881175059</v>
      </c>
      <c r="AW385">
        <v>1474.0810471595551</v>
      </c>
      <c r="AX385">
        <v>831.18288834780401</v>
      </c>
      <c r="AY385">
        <v>3.7817538753632389</v>
      </c>
      <c r="AZ385" t="s">
        <v>108</v>
      </c>
      <c r="BA385" t="str">
        <f>VLOOKUP($AZ385,Sheet1!$A$2:$B$58,2)</f>
        <v>5-Aminopentanoate</v>
      </c>
      <c r="BB385" t="s">
        <v>161</v>
      </c>
      <c r="BC385">
        <v>117.14444</v>
      </c>
      <c r="BD385">
        <v>4.8</v>
      </c>
      <c r="BE385">
        <v>247.5</v>
      </c>
      <c r="BF385" t="s">
        <v>205</v>
      </c>
      <c r="BG385">
        <v>0.73931383488175006</v>
      </c>
      <c r="BH385">
        <v>0.28703125000000002</v>
      </c>
      <c r="BI385">
        <v>0.54174424557812295</v>
      </c>
      <c r="BJ385">
        <v>80</v>
      </c>
      <c r="BK385">
        <v>3401.2383592244878</v>
      </c>
      <c r="BL385">
        <v>1917.8396797293301</v>
      </c>
      <c r="BM385">
        <v>7.9865607503838874</v>
      </c>
      <c r="BN385">
        <v>1357.7153275652611</v>
      </c>
      <c r="BO385">
        <v>2043.5230316592269</v>
      </c>
    </row>
    <row r="386" spans="1:67" x14ac:dyDescent="0.25">
      <c r="A386" s="1">
        <v>384</v>
      </c>
      <c r="B386" t="s">
        <v>71</v>
      </c>
      <c r="C386" t="s">
        <v>83</v>
      </c>
      <c r="D386">
        <v>2</v>
      </c>
      <c r="E386">
        <v>6</v>
      </c>
      <c r="F386">
        <v>2</v>
      </c>
      <c r="G386">
        <v>62.06644</v>
      </c>
      <c r="H386">
        <v>10</v>
      </c>
      <c r="I386" t="s">
        <v>89</v>
      </c>
      <c r="J386">
        <v>2</v>
      </c>
      <c r="K386">
        <v>20</v>
      </c>
      <c r="L386">
        <v>60</v>
      </c>
      <c r="N386" t="s">
        <v>90</v>
      </c>
      <c r="O386">
        <v>40</v>
      </c>
      <c r="P386">
        <v>0.32</v>
      </c>
      <c r="Q386">
        <v>3.2500000000000001E-2</v>
      </c>
      <c r="R386">
        <v>77.5</v>
      </c>
      <c r="S386">
        <v>170</v>
      </c>
      <c r="T386">
        <v>50</v>
      </c>
      <c r="U386">
        <v>1812.1301775147931</v>
      </c>
      <c r="V386">
        <v>20</v>
      </c>
      <c r="W386">
        <v>0.95</v>
      </c>
      <c r="X386">
        <v>1</v>
      </c>
      <c r="Y386">
        <v>1674231.47380908</v>
      </c>
      <c r="Z386">
        <v>334846294.76181602</v>
      </c>
      <c r="AA386">
        <v>669692589.52363193</v>
      </c>
      <c r="AB386">
        <v>669692.58952363196</v>
      </c>
      <c r="AC386">
        <v>0</v>
      </c>
      <c r="AD386">
        <v>3470.437264375299</v>
      </c>
      <c r="AE386">
        <v>1249357.415175108</v>
      </c>
      <c r="AF386">
        <v>749614.4491050645</v>
      </c>
      <c r="AG386">
        <v>46.52590022851254</v>
      </c>
      <c r="AH386">
        <v>351.89900698788142</v>
      </c>
      <c r="AI386">
        <v>175.94950349394071</v>
      </c>
      <c r="AJ386">
        <v>21765.009159518038</v>
      </c>
      <c r="AK386">
        <v>854.70085470085473</v>
      </c>
      <c r="AL386" t="s">
        <v>93</v>
      </c>
      <c r="AM386">
        <v>27272.173041560811</v>
      </c>
      <c r="AN386">
        <v>18684.051383563819</v>
      </c>
      <c r="AO386">
        <v>29911.415593969919</v>
      </c>
      <c r="AP386">
        <v>68575.934439343531</v>
      </c>
      <c r="AQ386">
        <v>38664.518845373612</v>
      </c>
      <c r="AR386">
        <v>2.9034938141203701E-2</v>
      </c>
      <c r="AS386">
        <v>467.80414892820818</v>
      </c>
      <c r="AT386">
        <v>586.17185068130198</v>
      </c>
      <c r="AU386">
        <v>401.5838767610486</v>
      </c>
      <c r="AV386">
        <v>642.89815881175059</v>
      </c>
      <c r="AW386">
        <v>1473.930307689523</v>
      </c>
      <c r="AX386">
        <v>831.03214887777222</v>
      </c>
      <c r="AY386">
        <v>3.7817538753632389</v>
      </c>
      <c r="AZ386" t="s">
        <v>109</v>
      </c>
      <c r="BA386" t="str">
        <f>VLOOKUP($AZ386,Sheet1!$A$2:$B$58,2)</f>
        <v>Acetone</v>
      </c>
      <c r="BB386" t="s">
        <v>162</v>
      </c>
      <c r="BC386">
        <v>58.078139999999998</v>
      </c>
      <c r="BD386">
        <v>5.333333333333333</v>
      </c>
      <c r="BE386">
        <v>56</v>
      </c>
      <c r="BF386" t="s">
        <v>205</v>
      </c>
      <c r="BG386">
        <v>0.36592764917716952</v>
      </c>
      <c r="BH386">
        <v>0.57423423423423403</v>
      </c>
      <c r="BI386">
        <v>0.53733511607969298</v>
      </c>
      <c r="BJ386">
        <v>80</v>
      </c>
      <c r="BK386">
        <v>3428.7967219671759</v>
      </c>
      <c r="BL386">
        <v>1933.22594226868</v>
      </c>
      <c r="BM386">
        <v>8.431547525519866</v>
      </c>
      <c r="BN386">
        <v>1433.363079338377</v>
      </c>
      <c r="BO386">
        <v>1995.4336426287989</v>
      </c>
    </row>
    <row r="387" spans="1:67" x14ac:dyDescent="0.25">
      <c r="A387" s="1">
        <v>385</v>
      </c>
      <c r="B387" t="s">
        <v>71</v>
      </c>
      <c r="C387" t="s">
        <v>83</v>
      </c>
      <c r="D387">
        <v>2</v>
      </c>
      <c r="E387">
        <v>6</v>
      </c>
      <c r="F387">
        <v>2</v>
      </c>
      <c r="G387">
        <v>62.06644</v>
      </c>
      <c r="H387">
        <v>10</v>
      </c>
      <c r="I387" t="s">
        <v>89</v>
      </c>
      <c r="J387">
        <v>2</v>
      </c>
      <c r="K387">
        <v>20</v>
      </c>
      <c r="L387">
        <v>60</v>
      </c>
      <c r="N387" t="s">
        <v>90</v>
      </c>
      <c r="O387">
        <v>40</v>
      </c>
      <c r="P387">
        <v>0.32</v>
      </c>
      <c r="Q387">
        <v>3.2500000000000001E-2</v>
      </c>
      <c r="R387">
        <v>77.5</v>
      </c>
      <c r="S387">
        <v>170</v>
      </c>
      <c r="T387">
        <v>50</v>
      </c>
      <c r="U387">
        <v>1812.1301775147931</v>
      </c>
      <c r="V387">
        <v>20</v>
      </c>
      <c r="W387">
        <v>0.95</v>
      </c>
      <c r="X387">
        <v>1</v>
      </c>
      <c r="Y387">
        <v>1390289.6101903699</v>
      </c>
      <c r="Z387">
        <v>278057922.03807402</v>
      </c>
      <c r="AA387">
        <v>556115844.07614803</v>
      </c>
      <c r="AB387">
        <v>556115.844076148</v>
      </c>
      <c r="AC387">
        <v>0</v>
      </c>
      <c r="AD387">
        <v>2881.867260863999</v>
      </c>
      <c r="AE387">
        <v>1037472.21391104</v>
      </c>
      <c r="AF387">
        <v>622483.32834662369</v>
      </c>
      <c r="AG387">
        <v>38.635324149826019</v>
      </c>
      <c r="AH387">
        <v>292.21857365903901</v>
      </c>
      <c r="AI387">
        <v>146.1092868295195</v>
      </c>
      <c r="AJ387">
        <v>18073.764932474809</v>
      </c>
      <c r="AK387">
        <v>854.70085470085473</v>
      </c>
      <c r="AL387" t="s">
        <v>93</v>
      </c>
      <c r="AM387">
        <v>22646.939458575522</v>
      </c>
      <c r="AN387">
        <v>15515.3232520069</v>
      </c>
      <c r="AO387">
        <v>24838.578761018311</v>
      </c>
      <c r="AP387">
        <v>57090.728497758078</v>
      </c>
      <c r="AQ387">
        <v>32252.149736739761</v>
      </c>
      <c r="AR387">
        <v>2.9034938141203701E-2</v>
      </c>
      <c r="AS387">
        <v>467.80414892820818</v>
      </c>
      <c r="AT387">
        <v>586.17185068130198</v>
      </c>
      <c r="AU387">
        <v>401.58387676104871</v>
      </c>
      <c r="AV387">
        <v>642.8981588117507</v>
      </c>
      <c r="AW387">
        <v>1477.6821407363591</v>
      </c>
      <c r="AX387">
        <v>834.78398192460861</v>
      </c>
      <c r="AY387">
        <v>3.7817538753632389</v>
      </c>
      <c r="AZ387" t="s">
        <v>110</v>
      </c>
      <c r="BA387" t="str">
        <f>VLOOKUP($AZ387,Sheet1!$A$2:$B$58,2)</f>
        <v>Acrylate (PW1)</v>
      </c>
      <c r="BB387" t="s">
        <v>163</v>
      </c>
      <c r="BC387">
        <v>71.053619999999995</v>
      </c>
      <c r="BD387">
        <v>3.666666666666667</v>
      </c>
      <c r="BE387">
        <v>80</v>
      </c>
      <c r="BF387" t="s">
        <v>205</v>
      </c>
      <c r="BG387">
        <v>0.33346656415802312</v>
      </c>
      <c r="BH387">
        <v>0.56523076923076998</v>
      </c>
      <c r="BI387">
        <v>0.64707623269966996</v>
      </c>
      <c r="BJ387">
        <v>80</v>
      </c>
      <c r="BK387">
        <v>2854.5364248879041</v>
      </c>
      <c r="BL387">
        <v>1612.6074868369881</v>
      </c>
      <c r="BM387">
        <v>6.9719977773179513</v>
      </c>
      <c r="BN387">
        <v>1185.239622144052</v>
      </c>
      <c r="BO387">
        <v>1669.2968027438519</v>
      </c>
    </row>
    <row r="388" spans="1:67" x14ac:dyDescent="0.25">
      <c r="A388" s="1">
        <v>386</v>
      </c>
      <c r="B388" t="s">
        <v>71</v>
      </c>
      <c r="C388" t="s">
        <v>83</v>
      </c>
      <c r="D388">
        <v>2</v>
      </c>
      <c r="E388">
        <v>6</v>
      </c>
      <c r="F388">
        <v>2</v>
      </c>
      <c r="G388">
        <v>62.06644</v>
      </c>
      <c r="H388">
        <v>10</v>
      </c>
      <c r="I388" t="s">
        <v>89</v>
      </c>
      <c r="J388">
        <v>2</v>
      </c>
      <c r="K388">
        <v>20</v>
      </c>
      <c r="L388">
        <v>60</v>
      </c>
      <c r="N388" t="s">
        <v>90</v>
      </c>
      <c r="O388">
        <v>40</v>
      </c>
      <c r="P388">
        <v>0.32</v>
      </c>
      <c r="Q388">
        <v>3.2500000000000001E-2</v>
      </c>
      <c r="R388">
        <v>77.5</v>
      </c>
      <c r="S388">
        <v>170</v>
      </c>
      <c r="T388">
        <v>50</v>
      </c>
      <c r="U388">
        <v>1812.1301775147931</v>
      </c>
      <c r="V388">
        <v>20</v>
      </c>
      <c r="W388">
        <v>0.95</v>
      </c>
      <c r="X388">
        <v>1</v>
      </c>
      <c r="Y388">
        <v>1090842.617226291</v>
      </c>
      <c r="Z388">
        <v>218168523.44525829</v>
      </c>
      <c r="AA388">
        <v>436337046.89051652</v>
      </c>
      <c r="AB388">
        <v>436337.04689051647</v>
      </c>
      <c r="AC388">
        <v>0</v>
      </c>
      <c r="AD388">
        <v>2261.1573892932929</v>
      </c>
      <c r="AE388">
        <v>814016.66014558554</v>
      </c>
      <c r="AF388">
        <v>488409.99608735129</v>
      </c>
      <c r="AG388">
        <v>30.313869717555821</v>
      </c>
      <c r="AH388">
        <v>229.27918856324621</v>
      </c>
      <c r="AI388">
        <v>114.6395942816231</v>
      </c>
      <c r="AJ388">
        <v>14180.954023941789</v>
      </c>
      <c r="AK388">
        <v>854.70085470085473</v>
      </c>
      <c r="AL388" t="s">
        <v>93</v>
      </c>
      <c r="AM388">
        <v>17769.137113651581</v>
      </c>
      <c r="AN388">
        <v>12173.56132080542</v>
      </c>
      <c r="AO388">
        <v>19488.731027875929</v>
      </c>
      <c r="AP388">
        <v>44978.353313099637</v>
      </c>
      <c r="AQ388">
        <v>25489.622285223712</v>
      </c>
      <c r="AR388">
        <v>2.9034938141203701E-2</v>
      </c>
      <c r="AS388">
        <v>467.80414892820829</v>
      </c>
      <c r="AT388">
        <v>586.17185068130198</v>
      </c>
      <c r="AU388">
        <v>401.5838767610486</v>
      </c>
      <c r="AV388">
        <v>642.8981588117507</v>
      </c>
      <c r="AW388">
        <v>1483.754919189716</v>
      </c>
      <c r="AX388">
        <v>840.85676037796577</v>
      </c>
      <c r="AY388">
        <v>3.7817538753632389</v>
      </c>
      <c r="AZ388" t="s">
        <v>111</v>
      </c>
      <c r="BA388" t="str">
        <f>VLOOKUP($AZ388,Sheet1!$A$2:$B$58,2)</f>
        <v>Acrylate (PW2)</v>
      </c>
      <c r="BB388" t="s">
        <v>163</v>
      </c>
      <c r="BC388">
        <v>71.053619999999995</v>
      </c>
      <c r="BD388">
        <v>3.666666666666667</v>
      </c>
      <c r="BE388">
        <v>80</v>
      </c>
      <c r="BF388" t="s">
        <v>205</v>
      </c>
      <c r="BG388">
        <v>-0.1385791282800283</v>
      </c>
      <c r="BH388">
        <v>0.72039215686274505</v>
      </c>
      <c r="BI388">
        <v>0.82470500246036305</v>
      </c>
      <c r="BJ388">
        <v>80</v>
      </c>
      <c r="BK388">
        <v>2248.9176656549821</v>
      </c>
      <c r="BL388">
        <v>1274.481114261185</v>
      </c>
      <c r="BM388">
        <v>5.8705588423611834</v>
      </c>
      <c r="BN388">
        <v>997.995003201401</v>
      </c>
      <c r="BO388">
        <v>1250.9226624535811</v>
      </c>
    </row>
    <row r="389" spans="1:67" x14ac:dyDescent="0.25">
      <c r="A389" s="1">
        <v>387</v>
      </c>
      <c r="B389" t="s">
        <v>71</v>
      </c>
      <c r="C389" t="s">
        <v>83</v>
      </c>
      <c r="D389">
        <v>2</v>
      </c>
      <c r="E389">
        <v>6</v>
      </c>
      <c r="F389">
        <v>2</v>
      </c>
      <c r="G389">
        <v>62.06644</v>
      </c>
      <c r="H389">
        <v>10</v>
      </c>
      <c r="I389" t="s">
        <v>89</v>
      </c>
      <c r="J389">
        <v>2</v>
      </c>
      <c r="K389">
        <v>20</v>
      </c>
      <c r="L389">
        <v>60</v>
      </c>
      <c r="N389" t="s">
        <v>90</v>
      </c>
      <c r="O389">
        <v>40</v>
      </c>
      <c r="P389">
        <v>0.32</v>
      </c>
      <c r="Q389">
        <v>3.2500000000000001E-2</v>
      </c>
      <c r="R389">
        <v>77.5</v>
      </c>
      <c r="S389">
        <v>170</v>
      </c>
      <c r="T389">
        <v>50</v>
      </c>
      <c r="U389">
        <v>1812.1301775147931</v>
      </c>
      <c r="V389">
        <v>20</v>
      </c>
      <c r="W389">
        <v>0.95</v>
      </c>
      <c r="X389">
        <v>1</v>
      </c>
      <c r="Y389">
        <v>1493869.8162073961</v>
      </c>
      <c r="Z389">
        <v>298773963.2414791</v>
      </c>
      <c r="AA389">
        <v>597547926.4829582</v>
      </c>
      <c r="AB389">
        <v>597547.92648295825</v>
      </c>
      <c r="AC389">
        <v>0</v>
      </c>
      <c r="AD389">
        <v>3096.5738963779759</v>
      </c>
      <c r="AE389">
        <v>1114766.6026960709</v>
      </c>
      <c r="AF389">
        <v>668859.96161764278</v>
      </c>
      <c r="AG389">
        <v>41.513756676143728</v>
      </c>
      <c r="AH389">
        <v>313.98962038178621</v>
      </c>
      <c r="AI389">
        <v>156.99481019089311</v>
      </c>
      <c r="AJ389">
        <v>19420.307610696149</v>
      </c>
      <c r="AK389">
        <v>854.70085470085473</v>
      </c>
      <c r="AL389" t="s">
        <v>93</v>
      </c>
      <c r="AM389">
        <v>24334.195579588431</v>
      </c>
      <c r="AN389">
        <v>16671.255344920661</v>
      </c>
      <c r="AO389">
        <v>26689.117732451828</v>
      </c>
      <c r="AP389">
        <v>61280.459389906093</v>
      </c>
      <c r="AQ389">
        <v>34591.341657454257</v>
      </c>
      <c r="AR389">
        <v>2.9034938141203712E-2</v>
      </c>
      <c r="AS389">
        <v>467.80414892820829</v>
      </c>
      <c r="AT389">
        <v>586.17185068130209</v>
      </c>
      <c r="AU389">
        <v>401.58387676104871</v>
      </c>
      <c r="AV389">
        <v>642.8981588117507</v>
      </c>
      <c r="AW389">
        <v>1476.148252926517</v>
      </c>
      <c r="AX389">
        <v>833.25009411476628</v>
      </c>
      <c r="AY389">
        <v>3.7817538753632389</v>
      </c>
      <c r="AZ389" t="s">
        <v>112</v>
      </c>
      <c r="BA389" t="str">
        <f>VLOOKUP($AZ389,Sheet1!$A$2:$B$58,2)</f>
        <v>Adipate</v>
      </c>
      <c r="BB389" t="s">
        <v>164</v>
      </c>
      <c r="BC389">
        <v>144.12291999999999</v>
      </c>
      <c r="BD389">
        <v>4</v>
      </c>
      <c r="BE389">
        <v>337.5</v>
      </c>
      <c r="BF389" t="s">
        <v>205</v>
      </c>
      <c r="BG389">
        <v>0.52273764489174412</v>
      </c>
      <c r="BH389">
        <v>0.25934117647058802</v>
      </c>
      <c r="BI389">
        <v>0.60221001426176601</v>
      </c>
      <c r="BJ389">
        <v>80</v>
      </c>
      <c r="BK389">
        <v>3064.022969495305</v>
      </c>
      <c r="BL389">
        <v>1729.5670828727129</v>
      </c>
      <c r="BM389">
        <v>7.3270028646529122</v>
      </c>
      <c r="BN389">
        <v>1245.590486990995</v>
      </c>
      <c r="BO389">
        <v>1818.43248250431</v>
      </c>
    </row>
    <row r="390" spans="1:67" x14ac:dyDescent="0.25">
      <c r="A390" s="1">
        <v>388</v>
      </c>
      <c r="B390" t="s">
        <v>71</v>
      </c>
      <c r="C390" t="s">
        <v>83</v>
      </c>
      <c r="D390">
        <v>2</v>
      </c>
      <c r="E390">
        <v>6</v>
      </c>
      <c r="F390">
        <v>2</v>
      </c>
      <c r="G390">
        <v>62.06644</v>
      </c>
      <c r="H390">
        <v>10</v>
      </c>
      <c r="I390" t="s">
        <v>89</v>
      </c>
      <c r="J390">
        <v>2</v>
      </c>
      <c r="K390">
        <v>20</v>
      </c>
      <c r="L390">
        <v>60</v>
      </c>
      <c r="N390" t="s">
        <v>90</v>
      </c>
      <c r="O390">
        <v>40</v>
      </c>
      <c r="P390">
        <v>0.32</v>
      </c>
      <c r="Q390">
        <v>3.2500000000000001E-2</v>
      </c>
      <c r="R390">
        <v>77.5</v>
      </c>
      <c r="S390">
        <v>170</v>
      </c>
      <c r="T390">
        <v>50</v>
      </c>
      <c r="U390">
        <v>1812.1301775147931</v>
      </c>
      <c r="V390">
        <v>20</v>
      </c>
      <c r="W390">
        <v>0.95</v>
      </c>
      <c r="X390">
        <v>1</v>
      </c>
      <c r="Y390">
        <v>2041216.9327754299</v>
      </c>
      <c r="Z390">
        <v>408243386.55508608</v>
      </c>
      <c r="AA390">
        <v>816486773.11017215</v>
      </c>
      <c r="AB390">
        <v>816486.77311017213</v>
      </c>
      <c r="AC390">
        <v>0</v>
      </c>
      <c r="AD390">
        <v>4231.1445095826184</v>
      </c>
      <c r="AE390">
        <v>1523212.023449742</v>
      </c>
      <c r="AF390">
        <v>913927.21406984539</v>
      </c>
      <c r="AG390">
        <v>56.724208596433208</v>
      </c>
      <c r="AH390">
        <v>429.03399137294821</v>
      </c>
      <c r="AI390">
        <v>214.5169956864741</v>
      </c>
      <c r="AJ390">
        <v>26535.820126080591</v>
      </c>
      <c r="AK390">
        <v>854.70085470085473</v>
      </c>
      <c r="AL390" t="s">
        <v>93</v>
      </c>
      <c r="AM390">
        <v>33250.134331403489</v>
      </c>
      <c r="AN390">
        <v>22779.527594358049</v>
      </c>
      <c r="AO390">
        <v>36467.8892667006</v>
      </c>
      <c r="AP390">
        <v>83420.182906542992</v>
      </c>
      <c r="AQ390">
        <v>46952.293639842392</v>
      </c>
      <c r="AR390">
        <v>2.9034938141203701E-2</v>
      </c>
      <c r="AS390">
        <v>467.80414892820818</v>
      </c>
      <c r="AT390">
        <v>586.17185068130209</v>
      </c>
      <c r="AU390">
        <v>401.58387676104871</v>
      </c>
      <c r="AV390">
        <v>642.89815881175082</v>
      </c>
      <c r="AW390">
        <v>1470.627532241823</v>
      </c>
      <c r="AX390">
        <v>827.72937343007243</v>
      </c>
      <c r="AY390">
        <v>3.7817538753632398</v>
      </c>
      <c r="AZ390" t="s">
        <v>113</v>
      </c>
      <c r="BA390" t="str">
        <f>VLOOKUP($AZ390,Sheet1!$A$2:$B$58,2)</f>
        <v>Benzoate (PW1)</v>
      </c>
      <c r="BB390" t="s">
        <v>165</v>
      </c>
      <c r="BC390">
        <v>121.1121</v>
      </c>
      <c r="BD390">
        <v>4.1428571428571432</v>
      </c>
      <c r="BE390">
        <v>249.2</v>
      </c>
      <c r="BF390" t="s">
        <v>205</v>
      </c>
      <c r="BG390">
        <v>0.67408053080919805</v>
      </c>
      <c r="BH390">
        <v>0.225860655737705</v>
      </c>
      <c r="BI390">
        <v>0.44072893423447401</v>
      </c>
      <c r="BJ390">
        <v>80</v>
      </c>
      <c r="BK390">
        <v>4171.0091453271498</v>
      </c>
      <c r="BL390">
        <v>2347.61468199212</v>
      </c>
      <c r="BM390">
        <v>10.051769253514509</v>
      </c>
      <c r="BN390">
        <v>1708.8007730974671</v>
      </c>
      <c r="BO390">
        <v>2462.2083722296829</v>
      </c>
    </row>
    <row r="391" spans="1:67" x14ac:dyDescent="0.25">
      <c r="A391" s="1">
        <v>389</v>
      </c>
      <c r="B391" t="s">
        <v>71</v>
      </c>
      <c r="C391" t="s">
        <v>83</v>
      </c>
      <c r="D391">
        <v>2</v>
      </c>
      <c r="E391">
        <v>6</v>
      </c>
      <c r="F391">
        <v>2</v>
      </c>
      <c r="G391">
        <v>62.06644</v>
      </c>
      <c r="H391">
        <v>10</v>
      </c>
      <c r="I391" t="s">
        <v>89</v>
      </c>
      <c r="J391">
        <v>2</v>
      </c>
      <c r="K391">
        <v>20</v>
      </c>
      <c r="L391">
        <v>60</v>
      </c>
      <c r="N391" t="s">
        <v>90</v>
      </c>
      <c r="O391">
        <v>40</v>
      </c>
      <c r="P391">
        <v>0.32</v>
      </c>
      <c r="Q391">
        <v>3.2500000000000001E-2</v>
      </c>
      <c r="R391">
        <v>77.5</v>
      </c>
      <c r="S391">
        <v>170</v>
      </c>
      <c r="T391">
        <v>50</v>
      </c>
      <c r="U391">
        <v>1812.1301775147931</v>
      </c>
      <c r="V391">
        <v>20</v>
      </c>
      <c r="W391">
        <v>0.95</v>
      </c>
      <c r="X391">
        <v>1</v>
      </c>
      <c r="Y391">
        <v>2041216.932775435</v>
      </c>
      <c r="Z391">
        <v>408243386.55508697</v>
      </c>
      <c r="AA391">
        <v>816486773.11017406</v>
      </c>
      <c r="AB391">
        <v>816486.77311017411</v>
      </c>
      <c r="AC391">
        <v>0</v>
      </c>
      <c r="AD391">
        <v>4231.1445095826284</v>
      </c>
      <c r="AE391">
        <v>1523212.023449746</v>
      </c>
      <c r="AF391">
        <v>913927.21406984748</v>
      </c>
      <c r="AG391">
        <v>56.724208596433343</v>
      </c>
      <c r="AH391">
        <v>429.03399137294917</v>
      </c>
      <c r="AI391">
        <v>214.51699568647459</v>
      </c>
      <c r="AJ391">
        <v>26535.82012608066</v>
      </c>
      <c r="AK391">
        <v>854.70085470085473</v>
      </c>
      <c r="AL391" t="s">
        <v>93</v>
      </c>
      <c r="AM391">
        <v>33250.134331403562</v>
      </c>
      <c r="AN391">
        <v>22779.527594358111</v>
      </c>
      <c r="AO391">
        <v>36467.88926670068</v>
      </c>
      <c r="AP391">
        <v>83420.182906543196</v>
      </c>
      <c r="AQ391">
        <v>46952.293639842523</v>
      </c>
      <c r="AR391">
        <v>2.9034938141203712E-2</v>
      </c>
      <c r="AS391">
        <v>467.80414892820829</v>
      </c>
      <c r="AT391">
        <v>586.17185068130209</v>
      </c>
      <c r="AU391">
        <v>401.58387676104883</v>
      </c>
      <c r="AV391">
        <v>642.8981588117507</v>
      </c>
      <c r="AW391">
        <v>1470.627532241823</v>
      </c>
      <c r="AX391">
        <v>827.72937343007277</v>
      </c>
      <c r="AY391">
        <v>3.7817538753632398</v>
      </c>
      <c r="AZ391" t="s">
        <v>114</v>
      </c>
      <c r="BA391" t="str">
        <f>VLOOKUP($AZ391,Sheet1!$A$2:$B$58,2)</f>
        <v>Benzoate (PW2)</v>
      </c>
      <c r="BB391" t="s">
        <v>165</v>
      </c>
      <c r="BC391">
        <v>121.1121</v>
      </c>
      <c r="BD391">
        <v>4.1428571428571432</v>
      </c>
      <c r="BE391">
        <v>249.2</v>
      </c>
      <c r="BF391" t="s">
        <v>205</v>
      </c>
      <c r="BG391">
        <v>0.67408053080919494</v>
      </c>
      <c r="BH391">
        <v>0.225860655737705</v>
      </c>
      <c r="BI391">
        <v>0.44072893423447301</v>
      </c>
      <c r="BJ391">
        <v>80</v>
      </c>
      <c r="BK391">
        <v>4171.0091453271598</v>
      </c>
      <c r="BL391">
        <v>2347.614681992126</v>
      </c>
      <c r="BM391">
        <v>10.05176925351453</v>
      </c>
      <c r="BN391">
        <v>1708.8007730974709</v>
      </c>
      <c r="BO391">
        <v>2462.2083722296888</v>
      </c>
    </row>
    <row r="392" spans="1:67" x14ac:dyDescent="0.25">
      <c r="A392" s="1">
        <v>390</v>
      </c>
      <c r="B392" t="s">
        <v>71</v>
      </c>
      <c r="C392" t="s">
        <v>83</v>
      </c>
      <c r="D392">
        <v>2</v>
      </c>
      <c r="E392">
        <v>6</v>
      </c>
      <c r="F392">
        <v>2</v>
      </c>
      <c r="G392">
        <v>62.06644</v>
      </c>
      <c r="H392">
        <v>10</v>
      </c>
      <c r="I392" t="s">
        <v>89</v>
      </c>
      <c r="J392">
        <v>2</v>
      </c>
      <c r="K392">
        <v>20</v>
      </c>
      <c r="L392">
        <v>60</v>
      </c>
      <c r="N392" t="s">
        <v>90</v>
      </c>
      <c r="O392">
        <v>40</v>
      </c>
      <c r="P392">
        <v>0.32</v>
      </c>
      <c r="Q392">
        <v>3.2500000000000001E-2</v>
      </c>
      <c r="R392">
        <v>77.5</v>
      </c>
      <c r="S392">
        <v>170</v>
      </c>
      <c r="T392">
        <v>50</v>
      </c>
      <c r="U392">
        <v>1812.1301775147931</v>
      </c>
      <c r="V392">
        <v>20</v>
      </c>
      <c r="W392">
        <v>0.95</v>
      </c>
      <c r="X392">
        <v>1</v>
      </c>
      <c r="Y392">
        <v>2623445.8901110319</v>
      </c>
      <c r="Z392">
        <v>524689178.02220643</v>
      </c>
      <c r="AA392">
        <v>1049378356.044413</v>
      </c>
      <c r="AB392">
        <v>1049378.3560444131</v>
      </c>
      <c r="AC392">
        <v>0</v>
      </c>
      <c r="AD392">
        <v>5438.0200829695896</v>
      </c>
      <c r="AE392">
        <v>1957687.229869053</v>
      </c>
      <c r="AF392">
        <v>1174612.337921432</v>
      </c>
      <c r="AG392">
        <v>72.904006194860244</v>
      </c>
      <c r="AH392">
        <v>551.41001591383656</v>
      </c>
      <c r="AI392">
        <v>275.70500795691828</v>
      </c>
      <c r="AJ392">
        <v>34104.796571443418</v>
      </c>
      <c r="AK392">
        <v>854.70085470085473</v>
      </c>
      <c r="AL392" t="s">
        <v>93</v>
      </c>
      <c r="AM392">
        <v>42734.276233322344</v>
      </c>
      <c r="AN392">
        <v>29277.073439143482</v>
      </c>
      <c r="AO392">
        <v>46869.851352676109</v>
      </c>
      <c r="AP392">
        <v>106970.8470986101</v>
      </c>
      <c r="AQ392">
        <v>60100.995745933978</v>
      </c>
      <c r="AR392">
        <v>2.9034938141203701E-2</v>
      </c>
      <c r="AS392">
        <v>467.80414892820818</v>
      </c>
      <c r="AT392">
        <v>586.17185068130186</v>
      </c>
      <c r="AU392">
        <v>401.58387676104849</v>
      </c>
      <c r="AV392">
        <v>642.89815881175048</v>
      </c>
      <c r="AW392">
        <v>1467.283523661167</v>
      </c>
      <c r="AX392">
        <v>824.38536484941631</v>
      </c>
      <c r="AY392">
        <v>3.781753875363238</v>
      </c>
      <c r="AZ392" t="s">
        <v>115</v>
      </c>
      <c r="BA392" t="str">
        <f>VLOOKUP($AZ392,Sheet1!$A$2:$B$58,2)</f>
        <v>Benzyl Alcohol</v>
      </c>
      <c r="BB392" t="s">
        <v>166</v>
      </c>
      <c r="BC392">
        <v>108.13661999999999</v>
      </c>
      <c r="BD392">
        <v>4.8571428571428568</v>
      </c>
      <c r="BE392">
        <v>205</v>
      </c>
      <c r="BF392" t="s">
        <v>205</v>
      </c>
      <c r="BG392">
        <v>1.2866816382375159</v>
      </c>
      <c r="BH392">
        <v>0.19682142857142901</v>
      </c>
      <c r="BI392">
        <v>0.34291668325028901</v>
      </c>
      <c r="BJ392">
        <v>80</v>
      </c>
      <c r="BK392">
        <v>5348.5423549305033</v>
      </c>
      <c r="BL392">
        <v>3005.049787296698</v>
      </c>
      <c r="BM392">
        <v>12.4985687596084</v>
      </c>
      <c r="BN392">
        <v>2124.7566891334282</v>
      </c>
      <c r="BO392">
        <v>3223.785665797076</v>
      </c>
    </row>
    <row r="393" spans="1:67" x14ac:dyDescent="0.25">
      <c r="A393" s="1">
        <v>391</v>
      </c>
      <c r="B393" t="s">
        <v>71</v>
      </c>
      <c r="C393" t="s">
        <v>83</v>
      </c>
      <c r="D393">
        <v>2</v>
      </c>
      <c r="E393">
        <v>6</v>
      </c>
      <c r="F393">
        <v>2</v>
      </c>
      <c r="G393">
        <v>62.06644</v>
      </c>
      <c r="H393">
        <v>10</v>
      </c>
      <c r="I393" t="s">
        <v>89</v>
      </c>
      <c r="J393">
        <v>2</v>
      </c>
      <c r="K393">
        <v>20</v>
      </c>
      <c r="L393">
        <v>60</v>
      </c>
      <c r="N393" t="s">
        <v>90</v>
      </c>
      <c r="O393">
        <v>40</v>
      </c>
      <c r="P393">
        <v>0.32</v>
      </c>
      <c r="Q393">
        <v>3.2500000000000001E-2</v>
      </c>
      <c r="R393">
        <v>77.5</v>
      </c>
      <c r="S393">
        <v>170</v>
      </c>
      <c r="T393">
        <v>50</v>
      </c>
      <c r="U393">
        <v>1812.1301775147931</v>
      </c>
      <c r="V393">
        <v>20</v>
      </c>
      <c r="W393">
        <v>0.95</v>
      </c>
      <c r="X393">
        <v>1</v>
      </c>
      <c r="Y393">
        <v>2682432.0848419368</v>
      </c>
      <c r="Z393">
        <v>536486416.96838742</v>
      </c>
      <c r="AA393">
        <v>1072972833.936775</v>
      </c>
      <c r="AB393">
        <v>1072972.8339367751</v>
      </c>
      <c r="AC393">
        <v>0</v>
      </c>
      <c r="AD393">
        <v>5560.2898476229166</v>
      </c>
      <c r="AE393">
        <v>2001704.34514425</v>
      </c>
      <c r="AF393">
        <v>1201022.60708655</v>
      </c>
      <c r="AG393">
        <v>74.543197581380937</v>
      </c>
      <c r="AH393">
        <v>563.80805267071014</v>
      </c>
      <c r="AI393">
        <v>281.90402633535513</v>
      </c>
      <c r="AJ393">
        <v>34871.61710294518</v>
      </c>
      <c r="AK393">
        <v>854.70085470085473</v>
      </c>
      <c r="AL393" t="s">
        <v>93</v>
      </c>
      <c r="AM393">
        <v>43695.124081980037</v>
      </c>
      <c r="AN393">
        <v>29935.346270895781</v>
      </c>
      <c r="AO393">
        <v>47923.684477010363</v>
      </c>
      <c r="AP393">
        <v>109356.78831052189</v>
      </c>
      <c r="AQ393">
        <v>61433.103833511501</v>
      </c>
      <c r="AR393">
        <v>2.9034938141203701E-2</v>
      </c>
      <c r="AS393">
        <v>467.80414892820829</v>
      </c>
      <c r="AT393">
        <v>586.1718506813022</v>
      </c>
      <c r="AU393">
        <v>401.58387676104871</v>
      </c>
      <c r="AV393">
        <v>642.89815881175093</v>
      </c>
      <c r="AW393">
        <v>1467.0257227848849</v>
      </c>
      <c r="AX393">
        <v>824.12756397313422</v>
      </c>
      <c r="AY393">
        <v>3.7817538753632398</v>
      </c>
      <c r="AZ393" t="s">
        <v>116</v>
      </c>
      <c r="BA393" t="str">
        <f>VLOOKUP($AZ393,Sheet1!$A$2:$B$58,2)</f>
        <v>Beta Carotene</v>
      </c>
      <c r="BB393" t="s">
        <v>167</v>
      </c>
      <c r="BC393">
        <v>536.86703999999997</v>
      </c>
      <c r="BD393">
        <v>5.4</v>
      </c>
      <c r="BE393">
        <v>633</v>
      </c>
      <c r="BF393" t="s">
        <v>205</v>
      </c>
      <c r="BG393">
        <v>0.94953895065546989</v>
      </c>
      <c r="BH393">
        <v>3.8772321428571399E-2</v>
      </c>
      <c r="BI393">
        <v>0.33537600761902903</v>
      </c>
      <c r="BJ393">
        <v>80</v>
      </c>
      <c r="BK393">
        <v>5467.839415526093</v>
      </c>
      <c r="BL393">
        <v>3071.6551916755752</v>
      </c>
      <c r="BM393">
        <v>13.14566236611229</v>
      </c>
      <c r="BN393">
        <v>2234.7626022390891</v>
      </c>
      <c r="BO393">
        <v>3233.0768132870039</v>
      </c>
    </row>
    <row r="394" spans="1:67" x14ac:dyDescent="0.25">
      <c r="A394" s="1">
        <v>392</v>
      </c>
      <c r="B394" t="s">
        <v>71</v>
      </c>
      <c r="C394" t="s">
        <v>83</v>
      </c>
      <c r="D394">
        <v>2</v>
      </c>
      <c r="E394">
        <v>6</v>
      </c>
      <c r="F394">
        <v>2</v>
      </c>
      <c r="G394">
        <v>62.06644</v>
      </c>
      <c r="H394">
        <v>10</v>
      </c>
      <c r="I394" t="s">
        <v>89</v>
      </c>
      <c r="J394">
        <v>2</v>
      </c>
      <c r="K394">
        <v>20</v>
      </c>
      <c r="L394">
        <v>60</v>
      </c>
      <c r="N394" t="s">
        <v>90</v>
      </c>
      <c r="O394">
        <v>40</v>
      </c>
      <c r="P394">
        <v>0.32</v>
      </c>
      <c r="Q394">
        <v>3.2500000000000001E-2</v>
      </c>
      <c r="R394">
        <v>77.5</v>
      </c>
      <c r="S394">
        <v>170</v>
      </c>
      <c r="T394">
        <v>50</v>
      </c>
      <c r="U394">
        <v>1812.1301775147931</v>
      </c>
      <c r="V394">
        <v>20</v>
      </c>
      <c r="W394">
        <v>0.95</v>
      </c>
      <c r="X394">
        <v>1</v>
      </c>
      <c r="Y394">
        <v>2928610.2624463961</v>
      </c>
      <c r="Z394">
        <v>585722052.48927915</v>
      </c>
      <c r="AA394">
        <v>1171444104.9785581</v>
      </c>
      <c r="AB394">
        <v>1171444.1049785579</v>
      </c>
      <c r="AC394">
        <v>66773.504273504266</v>
      </c>
      <c r="AD394">
        <v>6070.5812467511232</v>
      </c>
      <c r="AE394">
        <v>2185409.2488304051</v>
      </c>
      <c r="AF394">
        <v>1311245.5492982429</v>
      </c>
      <c r="AG394">
        <v>81.384343210786412</v>
      </c>
      <c r="AH394">
        <v>615.551110662567</v>
      </c>
      <c r="AI394">
        <v>307.7755553312835</v>
      </c>
      <c r="AJ394">
        <v>38071.933411803147</v>
      </c>
      <c r="AK394">
        <v>2170.1388888888891</v>
      </c>
      <c r="AL394" t="s">
        <v>95</v>
      </c>
      <c r="AM394">
        <v>47705.21107634894</v>
      </c>
      <c r="AN394">
        <v>32682.640054239349</v>
      </c>
      <c r="AO394">
        <v>52321.844406318203</v>
      </c>
      <c r="AP394">
        <v>120629.9234312803</v>
      </c>
      <c r="AQ394">
        <v>68308.07902496212</v>
      </c>
      <c r="AR394">
        <v>2.9034938141203701E-2</v>
      </c>
      <c r="AS394">
        <v>467.80414892820829</v>
      </c>
      <c r="AT394">
        <v>586.17185068130198</v>
      </c>
      <c r="AU394">
        <v>401.58387676104871</v>
      </c>
      <c r="AV394">
        <v>642.8981588117507</v>
      </c>
      <c r="AW394">
        <v>1482.225188189421</v>
      </c>
      <c r="AX394">
        <v>839.3270293776701</v>
      </c>
      <c r="AY394">
        <v>3.7817538753632398</v>
      </c>
      <c r="AZ394" t="s">
        <v>117</v>
      </c>
      <c r="BA394" t="str">
        <f>VLOOKUP($AZ394,Sheet1!$A$2:$B$58,2)</f>
        <v>Butane</v>
      </c>
      <c r="BB394" t="s">
        <v>168</v>
      </c>
      <c r="BC394">
        <v>58.121200000000002</v>
      </c>
      <c r="BD394">
        <v>6.5</v>
      </c>
      <c r="BE394">
        <v>-1</v>
      </c>
      <c r="BF394" t="s">
        <v>205</v>
      </c>
      <c r="BG394">
        <v>1.5877931292719489</v>
      </c>
      <c r="BH394">
        <v>0.32803571428571399</v>
      </c>
      <c r="BI394">
        <v>0.30718439215328802</v>
      </c>
      <c r="BJ394">
        <v>80</v>
      </c>
      <c r="BK394">
        <v>6031.4961715640156</v>
      </c>
      <c r="BL394">
        <v>3415.4039512481058</v>
      </c>
      <c r="BM394">
        <v>13.800984637292229</v>
      </c>
      <c r="BN394">
        <v>2346.1673883396788</v>
      </c>
      <c r="BO394">
        <v>3685.3287832243368</v>
      </c>
    </row>
    <row r="395" spans="1:67" x14ac:dyDescent="0.25">
      <c r="A395" s="1">
        <v>393</v>
      </c>
      <c r="B395" t="s">
        <v>71</v>
      </c>
      <c r="C395" t="s">
        <v>83</v>
      </c>
      <c r="D395">
        <v>2</v>
      </c>
      <c r="E395">
        <v>6</v>
      </c>
      <c r="F395">
        <v>2</v>
      </c>
      <c r="G395">
        <v>62.06644</v>
      </c>
      <c r="H395">
        <v>10</v>
      </c>
      <c r="I395" t="s">
        <v>89</v>
      </c>
      <c r="J395">
        <v>2</v>
      </c>
      <c r="K395">
        <v>20</v>
      </c>
      <c r="L395">
        <v>60</v>
      </c>
      <c r="N395" t="s">
        <v>90</v>
      </c>
      <c r="O395">
        <v>40</v>
      </c>
      <c r="P395">
        <v>0.32</v>
      </c>
      <c r="Q395">
        <v>3.2500000000000001E-2</v>
      </c>
      <c r="R395">
        <v>77.5</v>
      </c>
      <c r="S395">
        <v>170</v>
      </c>
      <c r="T395">
        <v>50</v>
      </c>
      <c r="U395">
        <v>1812.1301775147931</v>
      </c>
      <c r="V395">
        <v>20</v>
      </c>
      <c r="W395">
        <v>0.95</v>
      </c>
      <c r="X395">
        <v>1</v>
      </c>
      <c r="Y395">
        <v>1867238.2755586021</v>
      </c>
      <c r="Z395">
        <v>373447655.11172038</v>
      </c>
      <c r="AA395">
        <v>746895310.22344077</v>
      </c>
      <c r="AB395">
        <v>746895.31022344076</v>
      </c>
      <c r="AC395">
        <v>0</v>
      </c>
      <c r="AD395">
        <v>3870.5121689197222</v>
      </c>
      <c r="AE395">
        <v>1393384.3808110999</v>
      </c>
      <c r="AF395">
        <v>836030.62848665996</v>
      </c>
      <c r="AG395">
        <v>51.889444841129567</v>
      </c>
      <c r="AH395">
        <v>392.46621823677759</v>
      </c>
      <c r="AI395">
        <v>196.2331091183888</v>
      </c>
      <c r="AJ395">
        <v>24274.09758226182</v>
      </c>
      <c r="AK395">
        <v>854.70085470085473</v>
      </c>
      <c r="AL395" t="s">
        <v>93</v>
      </c>
      <c r="AM395">
        <v>30416.131913350258</v>
      </c>
      <c r="AN395">
        <v>20837.964422279409</v>
      </c>
      <c r="AO395">
        <v>33359.628550126094</v>
      </c>
      <c r="AP395">
        <v>76382.894772592364</v>
      </c>
      <c r="AQ395">
        <v>43023.266222466271</v>
      </c>
      <c r="AR395">
        <v>2.9034938141203701E-2</v>
      </c>
      <c r="AS395">
        <v>467.80414892820818</v>
      </c>
      <c r="AT395">
        <v>586.17185068130198</v>
      </c>
      <c r="AU395">
        <v>401.58387676104871</v>
      </c>
      <c r="AV395">
        <v>642.89815881175059</v>
      </c>
      <c r="AW395">
        <v>1472.0314508365741</v>
      </c>
      <c r="AX395">
        <v>829.13329202482373</v>
      </c>
      <c r="AY395">
        <v>3.7817538753632389</v>
      </c>
      <c r="AZ395" t="s">
        <v>118</v>
      </c>
      <c r="BA395" t="str">
        <f>VLOOKUP($AZ395,Sheet1!$A$2:$B$58,2)</f>
        <v>Butanol (PW1)</v>
      </c>
      <c r="BB395" t="s">
        <v>169</v>
      </c>
      <c r="BC395">
        <v>74.120199999999997</v>
      </c>
      <c r="BD395">
        <v>6</v>
      </c>
      <c r="BE395">
        <v>117.7</v>
      </c>
      <c r="BF395" t="s">
        <v>205</v>
      </c>
      <c r="BG395">
        <v>0.56843748428980689</v>
      </c>
      <c r="BH395">
        <v>0.40344186046511599</v>
      </c>
      <c r="BI395">
        <v>0.48179355313094502</v>
      </c>
      <c r="BJ395">
        <v>80</v>
      </c>
      <c r="BK395">
        <v>3819.1447386296172</v>
      </c>
      <c r="BL395">
        <v>2151.1633111233132</v>
      </c>
      <c r="BM395">
        <v>9.2432179716296314</v>
      </c>
      <c r="BN395">
        <v>1571.347055177037</v>
      </c>
      <c r="BO395">
        <v>2247.7976834525798</v>
      </c>
    </row>
    <row r="396" spans="1:67" x14ac:dyDescent="0.25">
      <c r="A396" s="1">
        <v>394</v>
      </c>
      <c r="B396" t="s">
        <v>71</v>
      </c>
      <c r="C396" t="s">
        <v>83</v>
      </c>
      <c r="D396">
        <v>2</v>
      </c>
      <c r="E396">
        <v>6</v>
      </c>
      <c r="F396">
        <v>2</v>
      </c>
      <c r="G396">
        <v>62.06644</v>
      </c>
      <c r="H396">
        <v>10</v>
      </c>
      <c r="I396" t="s">
        <v>89</v>
      </c>
      <c r="J396">
        <v>2</v>
      </c>
      <c r="K396">
        <v>20</v>
      </c>
      <c r="L396">
        <v>60</v>
      </c>
      <c r="N396" t="s">
        <v>90</v>
      </c>
      <c r="O396">
        <v>40</v>
      </c>
      <c r="P396">
        <v>0.32</v>
      </c>
      <c r="Q396">
        <v>3.2500000000000001E-2</v>
      </c>
      <c r="R396">
        <v>77.5</v>
      </c>
      <c r="S396">
        <v>170</v>
      </c>
      <c r="T396">
        <v>50</v>
      </c>
      <c r="U396">
        <v>1812.1301775147931</v>
      </c>
      <c r="V396">
        <v>20</v>
      </c>
      <c r="W396">
        <v>0.95</v>
      </c>
      <c r="X396">
        <v>1</v>
      </c>
      <c r="Y396">
        <v>2237407.2690865849</v>
      </c>
      <c r="Z396">
        <v>447481453.81731701</v>
      </c>
      <c r="AA396">
        <v>894962907.63463402</v>
      </c>
      <c r="AB396">
        <v>894962.90763463406</v>
      </c>
      <c r="AC396">
        <v>0</v>
      </c>
      <c r="AD396">
        <v>4637.8184162052776</v>
      </c>
      <c r="AE396">
        <v>1669614.6298338999</v>
      </c>
      <c r="AF396">
        <v>1001768.77790034</v>
      </c>
      <c r="AG396">
        <v>62.176221747424783</v>
      </c>
      <c r="AH396">
        <v>470.27033509753568</v>
      </c>
      <c r="AI396">
        <v>235.1351675487679</v>
      </c>
      <c r="AJ396">
        <v>29086.294498125611</v>
      </c>
      <c r="AK396">
        <v>854.70085470085473</v>
      </c>
      <c r="AL396" t="s">
        <v>93</v>
      </c>
      <c r="AM396">
        <v>36445.950970059021</v>
      </c>
      <c r="AN396">
        <v>24968.968171685468</v>
      </c>
      <c r="AO396">
        <v>39972.978483290542</v>
      </c>
      <c r="AP396">
        <v>91355.914494570956</v>
      </c>
      <c r="AQ396">
        <v>51382.936011280421</v>
      </c>
      <c r="AR396">
        <v>2.9034938141203712E-2</v>
      </c>
      <c r="AS396">
        <v>467.80414892820829</v>
      </c>
      <c r="AT396">
        <v>586.1718506813022</v>
      </c>
      <c r="AU396">
        <v>401.58387676104883</v>
      </c>
      <c r="AV396">
        <v>642.89815881175082</v>
      </c>
      <c r="AW396">
        <v>1469.3063027483611</v>
      </c>
      <c r="AX396">
        <v>826.40814393661026</v>
      </c>
      <c r="AY396">
        <v>3.7817538753632411</v>
      </c>
      <c r="AZ396" t="s">
        <v>119</v>
      </c>
      <c r="BA396" t="str">
        <f>VLOOKUP($AZ396,Sheet1!$A$2:$B$58,2)</f>
        <v>Butanol (PW2)</v>
      </c>
      <c r="BB396" t="s">
        <v>169</v>
      </c>
      <c r="BC396">
        <v>74.120199999999997</v>
      </c>
      <c r="BD396">
        <v>6</v>
      </c>
      <c r="BE396">
        <v>117.7</v>
      </c>
      <c r="BF396" t="s">
        <v>205</v>
      </c>
      <c r="BG396">
        <v>1.151968736814271</v>
      </c>
      <c r="BH396">
        <v>0.33669421487603302</v>
      </c>
      <c r="BI396">
        <v>0.40208297155070299</v>
      </c>
      <c r="BJ396">
        <v>80</v>
      </c>
      <c r="BK396">
        <v>4567.7957247285467</v>
      </c>
      <c r="BL396">
        <v>2569.1468005640199</v>
      </c>
      <c r="BM396">
        <v>10.604789640624119</v>
      </c>
      <c r="BN396">
        <v>1802.8142389061011</v>
      </c>
      <c r="BO396">
        <v>2764.9814858224449</v>
      </c>
    </row>
    <row r="397" spans="1:67" x14ac:dyDescent="0.25">
      <c r="A397" s="1">
        <v>395</v>
      </c>
      <c r="B397" t="s">
        <v>71</v>
      </c>
      <c r="C397" t="s">
        <v>83</v>
      </c>
      <c r="D397">
        <v>2</v>
      </c>
      <c r="E397">
        <v>6</v>
      </c>
      <c r="F397">
        <v>2</v>
      </c>
      <c r="G397">
        <v>62.06644</v>
      </c>
      <c r="H397">
        <v>10</v>
      </c>
      <c r="I397" t="s">
        <v>89</v>
      </c>
      <c r="J397">
        <v>2</v>
      </c>
      <c r="K397">
        <v>20</v>
      </c>
      <c r="L397">
        <v>60</v>
      </c>
      <c r="N397" t="s">
        <v>90</v>
      </c>
      <c r="O397">
        <v>40</v>
      </c>
      <c r="P397">
        <v>0.32</v>
      </c>
      <c r="Q397">
        <v>3.2500000000000001E-2</v>
      </c>
      <c r="R397">
        <v>77.5</v>
      </c>
      <c r="S397">
        <v>170</v>
      </c>
      <c r="T397">
        <v>50</v>
      </c>
      <c r="U397">
        <v>1812.1301775147931</v>
      </c>
      <c r="V397">
        <v>20</v>
      </c>
      <c r="W397">
        <v>0.95</v>
      </c>
      <c r="X397">
        <v>1</v>
      </c>
      <c r="Y397">
        <v>1282184.914736995</v>
      </c>
      <c r="Z397">
        <v>256436982.9473989</v>
      </c>
      <c r="AA397">
        <v>512873965.89479792</v>
      </c>
      <c r="AB397">
        <v>512873.96589479788</v>
      </c>
      <c r="AC397">
        <v>0</v>
      </c>
      <c r="AD397">
        <v>2657.7820197104688</v>
      </c>
      <c r="AE397">
        <v>956801.52709576883</v>
      </c>
      <c r="AF397">
        <v>574080.9162574613</v>
      </c>
      <c r="AG397">
        <v>35.631158744038743</v>
      </c>
      <c r="AH397">
        <v>269.4965453279026</v>
      </c>
      <c r="AI397">
        <v>134.7482726639513</v>
      </c>
      <c r="AJ397">
        <v>16668.403891580929</v>
      </c>
      <c r="AK397">
        <v>854.70085470085473</v>
      </c>
      <c r="AL397" t="s">
        <v>93</v>
      </c>
      <c r="AM397">
        <v>20885.98226291245</v>
      </c>
      <c r="AN397">
        <v>14308.898861919421</v>
      </c>
      <c r="AO397">
        <v>22907.206352871719</v>
      </c>
      <c r="AP397">
        <v>52717.985871113648</v>
      </c>
      <c r="AQ397">
        <v>29810.77951824194</v>
      </c>
      <c r="AR397">
        <v>2.9034938141203701E-2</v>
      </c>
      <c r="AS397">
        <v>467.80414892820829</v>
      </c>
      <c r="AT397">
        <v>586.17185068130198</v>
      </c>
      <c r="AU397">
        <v>401.58387676104871</v>
      </c>
      <c r="AV397">
        <v>642.89815881175059</v>
      </c>
      <c r="AW397">
        <v>1479.547332429474</v>
      </c>
      <c r="AX397">
        <v>836.64917361772336</v>
      </c>
      <c r="AY397">
        <v>3.7817538753632398</v>
      </c>
      <c r="AZ397" t="s">
        <v>120</v>
      </c>
      <c r="BA397" t="str">
        <f>VLOOKUP($AZ397,Sheet1!$A$2:$B$58,2)</f>
        <v>Butyrate</v>
      </c>
      <c r="BB397" t="s">
        <v>170</v>
      </c>
      <c r="BC397">
        <v>87.095680000000002</v>
      </c>
      <c r="BD397">
        <v>4.75</v>
      </c>
      <c r="BE397">
        <v>163.5</v>
      </c>
      <c r="BF397" t="s">
        <v>205</v>
      </c>
      <c r="BG397">
        <v>4.1725975959611191E-17</v>
      </c>
      <c r="BH397">
        <v>0.5</v>
      </c>
      <c r="BI397">
        <v>0.70163308972326399</v>
      </c>
      <c r="BJ397">
        <v>80</v>
      </c>
      <c r="BK397">
        <v>2635.8992935556821</v>
      </c>
      <c r="BL397">
        <v>1490.5389759120969</v>
      </c>
      <c r="BM397">
        <v>6.7374136331975647</v>
      </c>
      <c r="BN397">
        <v>1145.3603176435861</v>
      </c>
      <c r="BO397">
        <v>1490.538975912096</v>
      </c>
    </row>
    <row r="398" spans="1:67" x14ac:dyDescent="0.25">
      <c r="A398" s="1">
        <v>396</v>
      </c>
      <c r="B398" t="s">
        <v>71</v>
      </c>
      <c r="C398" t="s">
        <v>83</v>
      </c>
      <c r="D398">
        <v>2</v>
      </c>
      <c r="E398">
        <v>6</v>
      </c>
      <c r="F398">
        <v>2</v>
      </c>
      <c r="G398">
        <v>62.06644</v>
      </c>
      <c r="H398">
        <v>10</v>
      </c>
      <c r="I398" t="s">
        <v>89</v>
      </c>
      <c r="J398">
        <v>2</v>
      </c>
      <c r="K398">
        <v>20</v>
      </c>
      <c r="L398">
        <v>60</v>
      </c>
      <c r="N398" t="s">
        <v>90</v>
      </c>
      <c r="O398">
        <v>40</v>
      </c>
      <c r="P398">
        <v>0.32</v>
      </c>
      <c r="Q398">
        <v>3.2500000000000001E-2</v>
      </c>
      <c r="R398">
        <v>77.5</v>
      </c>
      <c r="S398">
        <v>170</v>
      </c>
      <c r="T398">
        <v>50</v>
      </c>
      <c r="U398">
        <v>1812.1301775147931</v>
      </c>
      <c r="V398">
        <v>20</v>
      </c>
      <c r="W398">
        <v>0.95</v>
      </c>
      <c r="X398">
        <v>1</v>
      </c>
      <c r="Y398">
        <v>1734500.6225454111</v>
      </c>
      <c r="Z398">
        <v>346900124.50908208</v>
      </c>
      <c r="AA398">
        <v>693800249.01816428</v>
      </c>
      <c r="AB398">
        <v>693800.24901816424</v>
      </c>
      <c r="AC398">
        <v>0</v>
      </c>
      <c r="AD398">
        <v>3595.366405260982</v>
      </c>
      <c r="AE398">
        <v>1294331.905893954</v>
      </c>
      <c r="AF398">
        <v>776599.14353637211</v>
      </c>
      <c r="AG398">
        <v>48.200744146351632</v>
      </c>
      <c r="AH398">
        <v>364.56670194171448</v>
      </c>
      <c r="AI398">
        <v>182.2833509708573</v>
      </c>
      <c r="AJ398">
        <v>22548.508093090339</v>
      </c>
      <c r="AK398">
        <v>854.70085470085473</v>
      </c>
      <c r="AL398" t="s">
        <v>93</v>
      </c>
      <c r="AM398">
        <v>28253.919400482879</v>
      </c>
      <c r="AN398">
        <v>19356.641697059309</v>
      </c>
      <c r="AO398">
        <v>30988.169665045731</v>
      </c>
      <c r="AP398">
        <v>71013.770045333382</v>
      </c>
      <c r="AQ398">
        <v>40025.600380287651</v>
      </c>
      <c r="AR398">
        <v>2.9034938141203701E-2</v>
      </c>
      <c r="AS398">
        <v>467.80414892820818</v>
      </c>
      <c r="AT398">
        <v>586.1718506813022</v>
      </c>
      <c r="AU398">
        <v>401.58387676104871</v>
      </c>
      <c r="AV398">
        <v>642.8981588117507</v>
      </c>
      <c r="AW398">
        <v>1473.291985487085</v>
      </c>
      <c r="AX398">
        <v>830.39382667533425</v>
      </c>
      <c r="AY398">
        <v>3.7817538753632398</v>
      </c>
      <c r="AZ398" t="s">
        <v>121</v>
      </c>
      <c r="BA398" t="str">
        <f>VLOOKUP($AZ398,Sheet1!$A$2:$B$58,2)</f>
        <v>Catechol</v>
      </c>
      <c r="BB398" t="s">
        <v>171</v>
      </c>
      <c r="BC398">
        <v>110.10924</v>
      </c>
      <c r="BD398">
        <v>4.333333333333333</v>
      </c>
      <c r="BE398">
        <v>245</v>
      </c>
      <c r="BF398" t="s">
        <v>205</v>
      </c>
      <c r="BG398">
        <v>0.33608816689032661</v>
      </c>
      <c r="BH398">
        <v>0.29236074270557</v>
      </c>
      <c r="BI398">
        <v>0.51866419165838296</v>
      </c>
      <c r="BJ398">
        <v>80</v>
      </c>
      <c r="BK398">
        <v>3550.6885022666688</v>
      </c>
      <c r="BL398">
        <v>2001.2800190143821</v>
      </c>
      <c r="BM398">
        <v>8.7780793816525353</v>
      </c>
      <c r="BN398">
        <v>1492.2734948809309</v>
      </c>
      <c r="BO398">
        <v>2058.4150073857381</v>
      </c>
    </row>
    <row r="399" spans="1:67" x14ac:dyDescent="0.25">
      <c r="A399" s="1">
        <v>397</v>
      </c>
      <c r="B399" t="s">
        <v>71</v>
      </c>
      <c r="C399" t="s">
        <v>83</v>
      </c>
      <c r="D399">
        <v>2</v>
      </c>
      <c r="E399">
        <v>6</v>
      </c>
      <c r="F399">
        <v>2</v>
      </c>
      <c r="G399">
        <v>62.06644</v>
      </c>
      <c r="H399">
        <v>10</v>
      </c>
      <c r="I399" t="s">
        <v>89</v>
      </c>
      <c r="J399">
        <v>2</v>
      </c>
      <c r="K399">
        <v>20</v>
      </c>
      <c r="L399">
        <v>60</v>
      </c>
      <c r="N399" t="s">
        <v>90</v>
      </c>
      <c r="O399">
        <v>40</v>
      </c>
      <c r="P399">
        <v>0.32</v>
      </c>
      <c r="Q399">
        <v>3.2500000000000001E-2</v>
      </c>
      <c r="R399">
        <v>77.5</v>
      </c>
      <c r="S399">
        <v>170</v>
      </c>
      <c r="T399">
        <v>50</v>
      </c>
      <c r="U399">
        <v>1812.1301775147931</v>
      </c>
      <c r="V399">
        <v>20</v>
      </c>
      <c r="W399">
        <v>0.95</v>
      </c>
      <c r="X399">
        <v>1</v>
      </c>
      <c r="Y399">
        <v>1384980.5595958859</v>
      </c>
      <c r="Z399">
        <v>276996111.91917717</v>
      </c>
      <c r="AA399">
        <v>553992223.83835447</v>
      </c>
      <c r="AB399">
        <v>553992.22383835446</v>
      </c>
      <c r="AC399">
        <v>0</v>
      </c>
      <c r="AD399">
        <v>2870.8623745565919</v>
      </c>
      <c r="AE399">
        <v>1033510.454840373</v>
      </c>
      <c r="AF399">
        <v>620106.27290422376</v>
      </c>
      <c r="AG399">
        <v>38.487788780833633</v>
      </c>
      <c r="AH399">
        <v>291.10268875215883</v>
      </c>
      <c r="AI399">
        <v>145.55134437607941</v>
      </c>
      <c r="AJ399">
        <v>18004.747274746522</v>
      </c>
      <c r="AK399">
        <v>854.70085470085473</v>
      </c>
      <c r="AL399" t="s">
        <v>93</v>
      </c>
      <c r="AM399">
        <v>22560.458378292311</v>
      </c>
      <c r="AN399">
        <v>15456.07542656757</v>
      </c>
      <c r="AO399">
        <v>24743.728543933499</v>
      </c>
      <c r="AP399">
        <v>56875.981934307238</v>
      </c>
      <c r="AQ399">
        <v>32132.253390373749</v>
      </c>
      <c r="AR399">
        <v>2.9034938141203712E-2</v>
      </c>
      <c r="AS399">
        <v>467.80414892820829</v>
      </c>
      <c r="AT399">
        <v>586.17185068130209</v>
      </c>
      <c r="AU399">
        <v>401.58387676104871</v>
      </c>
      <c r="AV399">
        <v>642.89815881175082</v>
      </c>
      <c r="AW399">
        <v>1477.766942086075</v>
      </c>
      <c r="AX399">
        <v>834.86878327432396</v>
      </c>
      <c r="AY399">
        <v>3.7817538753632398</v>
      </c>
      <c r="AZ399" t="s">
        <v>122</v>
      </c>
      <c r="BA399" t="str">
        <f>VLOOKUP($AZ399,Sheet1!$A$2:$B$58,2)</f>
        <v>cis,cis-Muconate</v>
      </c>
      <c r="BB399" t="s">
        <v>172</v>
      </c>
      <c r="BC399">
        <v>140.09155999999999</v>
      </c>
      <c r="BD399">
        <v>3.333333333333333</v>
      </c>
      <c r="BE399">
        <v>345.4</v>
      </c>
      <c r="BF399" t="s">
        <v>205</v>
      </c>
      <c r="BG399">
        <v>0.29836144677517412</v>
      </c>
      <c r="BH399">
        <v>0.28778067885117498</v>
      </c>
      <c r="BI399">
        <v>0.64955667217882995</v>
      </c>
      <c r="BJ399">
        <v>80</v>
      </c>
      <c r="BK399">
        <v>2843.7990967153619</v>
      </c>
      <c r="BL399">
        <v>1606.612669518687</v>
      </c>
      <c r="BM399">
        <v>6.9792057720287959</v>
      </c>
      <c r="BN399">
        <v>1186.4649812448949</v>
      </c>
      <c r="BO399">
        <v>1657.3341154704669</v>
      </c>
    </row>
    <row r="400" spans="1:67" x14ac:dyDescent="0.25">
      <c r="A400" s="1">
        <v>398</v>
      </c>
      <c r="B400" t="s">
        <v>71</v>
      </c>
      <c r="C400" t="s">
        <v>83</v>
      </c>
      <c r="D400">
        <v>2</v>
      </c>
      <c r="E400">
        <v>6</v>
      </c>
      <c r="F400">
        <v>2</v>
      </c>
      <c r="G400">
        <v>62.06644</v>
      </c>
      <c r="H400">
        <v>10</v>
      </c>
      <c r="I400" t="s">
        <v>89</v>
      </c>
      <c r="J400">
        <v>2</v>
      </c>
      <c r="K400">
        <v>20</v>
      </c>
      <c r="L400">
        <v>60</v>
      </c>
      <c r="N400" t="s">
        <v>90</v>
      </c>
      <c r="O400">
        <v>40</v>
      </c>
      <c r="P400">
        <v>0.32</v>
      </c>
      <c r="Q400">
        <v>3.2500000000000001E-2</v>
      </c>
      <c r="R400">
        <v>77.5</v>
      </c>
      <c r="S400">
        <v>170</v>
      </c>
      <c r="T400">
        <v>50</v>
      </c>
      <c r="U400">
        <v>1812.1301775147931</v>
      </c>
      <c r="V400">
        <v>20</v>
      </c>
      <c r="W400">
        <v>0.95</v>
      </c>
      <c r="X400">
        <v>1</v>
      </c>
      <c r="Y400">
        <v>659560.12003828713</v>
      </c>
      <c r="Z400">
        <v>131912024.00765739</v>
      </c>
      <c r="AA400">
        <v>263824048.01531479</v>
      </c>
      <c r="AB400">
        <v>263824.04801531491</v>
      </c>
      <c r="AC400">
        <v>0</v>
      </c>
      <c r="AD400">
        <v>1367.1717767131991</v>
      </c>
      <c r="AE400">
        <v>492181.83961675147</v>
      </c>
      <c r="AF400">
        <v>295309.10377005092</v>
      </c>
      <c r="AG400">
        <v>18.32878477059764</v>
      </c>
      <c r="AH400">
        <v>138.62990567381269</v>
      </c>
      <c r="AI400">
        <v>69.314952836906343</v>
      </c>
      <c r="AJ400">
        <v>8574.2815604977332</v>
      </c>
      <c r="AK400">
        <v>854.70085470085473</v>
      </c>
      <c r="AL400" t="s">
        <v>93</v>
      </c>
      <c r="AM400">
        <v>10743.817689720479</v>
      </c>
      <c r="AN400">
        <v>7360.5444444954674</v>
      </c>
      <c r="AO400">
        <v>11783.541982274081</v>
      </c>
      <c r="AP400">
        <v>27533.344549414542</v>
      </c>
      <c r="AQ400">
        <v>15749.802567140459</v>
      </c>
      <c r="AR400">
        <v>2.9034938141203701E-2</v>
      </c>
      <c r="AS400">
        <v>467.80414892820818</v>
      </c>
      <c r="AT400">
        <v>586.17185068130198</v>
      </c>
      <c r="AU400">
        <v>401.58387676104871</v>
      </c>
      <c r="AV400">
        <v>642.8981588117507</v>
      </c>
      <c r="AW400">
        <v>1502.191492454127</v>
      </c>
      <c r="AX400">
        <v>859.29333364237607</v>
      </c>
      <c r="AY400">
        <v>3.7817538753632389</v>
      </c>
      <c r="AZ400" t="s">
        <v>123</v>
      </c>
      <c r="BA400" t="str">
        <f>VLOOKUP($AZ400,Sheet1!$A$2:$B$58,2)</f>
        <v>Citrate</v>
      </c>
      <c r="BB400" t="s">
        <v>173</v>
      </c>
      <c r="BC400">
        <v>189.09639999999999</v>
      </c>
      <c r="BD400">
        <v>2.5</v>
      </c>
      <c r="BF400" t="s">
        <v>205</v>
      </c>
      <c r="BG400">
        <v>-0.35670564102394142</v>
      </c>
      <c r="BH400">
        <v>0.447692307692308</v>
      </c>
      <c r="BI400">
        <v>1.3639747704443601</v>
      </c>
      <c r="BJ400">
        <v>80</v>
      </c>
      <c r="BK400">
        <v>1376.6672274707271</v>
      </c>
      <c r="BL400">
        <v>787.49012835702297</v>
      </c>
      <c r="BM400">
        <v>3.822453282869259</v>
      </c>
      <c r="BN400">
        <v>649.81705808777406</v>
      </c>
      <c r="BO400">
        <v>726.8501693829528</v>
      </c>
    </row>
    <row r="401" spans="1:67" x14ac:dyDescent="0.25">
      <c r="A401" s="1">
        <v>399</v>
      </c>
      <c r="B401" t="s">
        <v>71</v>
      </c>
      <c r="C401" t="s">
        <v>83</v>
      </c>
      <c r="D401">
        <v>2</v>
      </c>
      <c r="E401">
        <v>6</v>
      </c>
      <c r="F401">
        <v>2</v>
      </c>
      <c r="G401">
        <v>62.06644</v>
      </c>
      <c r="H401">
        <v>10</v>
      </c>
      <c r="I401" t="s">
        <v>89</v>
      </c>
      <c r="J401">
        <v>2</v>
      </c>
      <c r="K401">
        <v>20</v>
      </c>
      <c r="L401">
        <v>60</v>
      </c>
      <c r="N401" t="s">
        <v>90</v>
      </c>
      <c r="O401">
        <v>40</v>
      </c>
      <c r="P401">
        <v>0.32</v>
      </c>
      <c r="Q401">
        <v>3.2500000000000001E-2</v>
      </c>
      <c r="R401">
        <v>77.5</v>
      </c>
      <c r="S401">
        <v>170</v>
      </c>
      <c r="T401">
        <v>50</v>
      </c>
      <c r="U401">
        <v>1812.1301775147931</v>
      </c>
      <c r="V401">
        <v>20</v>
      </c>
      <c r="W401">
        <v>0.95</v>
      </c>
      <c r="X401">
        <v>1</v>
      </c>
      <c r="Y401">
        <v>1766798.0363782649</v>
      </c>
      <c r="Z401">
        <v>353359607.27565289</v>
      </c>
      <c r="AA401">
        <v>706719214.55130589</v>
      </c>
      <c r="AB401">
        <v>706719.21455130586</v>
      </c>
      <c r="AC401">
        <v>0</v>
      </c>
      <c r="AD401">
        <v>3662.3142259547822</v>
      </c>
      <c r="AE401">
        <v>1318433.1213437221</v>
      </c>
      <c r="AF401">
        <v>791059.872806233</v>
      </c>
      <c r="AG401">
        <v>49.098270131935692</v>
      </c>
      <c r="AH401">
        <v>371.35514669015788</v>
      </c>
      <c r="AI401">
        <v>185.677573345079</v>
      </c>
      <c r="AJ401">
        <v>22968.37447291744</v>
      </c>
      <c r="AK401">
        <v>854.70085470085473</v>
      </c>
      <c r="AL401" t="s">
        <v>93</v>
      </c>
      <c r="AM401">
        <v>28780.023868487238</v>
      </c>
      <c r="AN401">
        <v>19717.07366184394</v>
      </c>
      <c r="AO401">
        <v>31565.187468663429</v>
      </c>
      <c r="AP401">
        <v>72320.172857949481</v>
      </c>
      <c r="AQ401">
        <v>40754.985389286063</v>
      </c>
      <c r="AR401">
        <v>2.9034938141203701E-2</v>
      </c>
      <c r="AS401">
        <v>467.80414892820818</v>
      </c>
      <c r="AT401">
        <v>586.17185068130186</v>
      </c>
      <c r="AU401">
        <v>401.5838767610486</v>
      </c>
      <c r="AV401">
        <v>642.89815881175059</v>
      </c>
      <c r="AW401">
        <v>1472.967839062607</v>
      </c>
      <c r="AX401">
        <v>830.06968025085689</v>
      </c>
      <c r="AY401">
        <v>3.7817538753632389</v>
      </c>
      <c r="AZ401" t="s">
        <v>124</v>
      </c>
      <c r="BA401" t="str">
        <f>VLOOKUP($AZ401,Sheet1!$A$2:$B$58,2)</f>
        <v>Coumaric Acid</v>
      </c>
      <c r="BB401" t="s">
        <v>174</v>
      </c>
      <c r="BC401">
        <v>163.14818</v>
      </c>
      <c r="BD401">
        <v>4.1111111111111107</v>
      </c>
      <c r="BE401">
        <v>346</v>
      </c>
      <c r="BF401" t="s">
        <v>205</v>
      </c>
      <c r="BG401">
        <v>0.35737245254605132</v>
      </c>
      <c r="BH401">
        <v>0.193708260105448</v>
      </c>
      <c r="BI401">
        <v>0.50918290874241801</v>
      </c>
      <c r="BJ401">
        <v>80</v>
      </c>
      <c r="BK401">
        <v>3616.0086428974741</v>
      </c>
      <c r="BL401">
        <v>2037.7492694643031</v>
      </c>
      <c r="BM401">
        <v>8.9265062147078957</v>
      </c>
      <c r="BN401">
        <v>1517.5060565003421</v>
      </c>
      <c r="BO401">
        <v>2098.5025863971309</v>
      </c>
    </row>
    <row r="402" spans="1:67" x14ac:dyDescent="0.25">
      <c r="A402" s="1">
        <v>400</v>
      </c>
      <c r="B402" t="s">
        <v>71</v>
      </c>
      <c r="C402" t="s">
        <v>83</v>
      </c>
      <c r="D402">
        <v>2</v>
      </c>
      <c r="E402">
        <v>6</v>
      </c>
      <c r="F402">
        <v>2</v>
      </c>
      <c r="G402">
        <v>62.06644</v>
      </c>
      <c r="H402">
        <v>10</v>
      </c>
      <c r="I402" t="s">
        <v>89</v>
      </c>
      <c r="J402">
        <v>2</v>
      </c>
      <c r="K402">
        <v>20</v>
      </c>
      <c r="L402">
        <v>60</v>
      </c>
      <c r="N402" t="s">
        <v>90</v>
      </c>
      <c r="O402">
        <v>40</v>
      </c>
      <c r="P402">
        <v>0.32</v>
      </c>
      <c r="Q402">
        <v>3.2500000000000001E-2</v>
      </c>
      <c r="R402">
        <v>77.5</v>
      </c>
      <c r="S402">
        <v>170</v>
      </c>
      <c r="T402">
        <v>50</v>
      </c>
      <c r="U402">
        <v>1812.1301775147931</v>
      </c>
      <c r="V402">
        <v>20</v>
      </c>
      <c r="W402">
        <v>0.95</v>
      </c>
      <c r="X402">
        <v>1</v>
      </c>
      <c r="Y402">
        <v>1295246.883685936</v>
      </c>
      <c r="Z402">
        <v>259049376.73718721</v>
      </c>
      <c r="AA402">
        <v>518098753.47437447</v>
      </c>
      <c r="AB402">
        <v>518098.75347437448</v>
      </c>
      <c r="AC402">
        <v>0</v>
      </c>
      <c r="AD402">
        <v>2684.8575731782262</v>
      </c>
      <c r="AE402">
        <v>966548.72634416155</v>
      </c>
      <c r="AF402">
        <v>579929.23580649693</v>
      </c>
      <c r="AG402">
        <v>35.994143118429797</v>
      </c>
      <c r="AH402">
        <v>272.24198045700177</v>
      </c>
      <c r="AI402">
        <v>136.12099022850089</v>
      </c>
      <c r="AJ402">
        <v>16838.209487917171</v>
      </c>
      <c r="AK402">
        <v>854.70085470085473</v>
      </c>
      <c r="AL402" t="s">
        <v>93</v>
      </c>
      <c r="AM402">
        <v>21098.753485417641</v>
      </c>
      <c r="AN402">
        <v>14454.66753419106</v>
      </c>
      <c r="AO402">
        <v>23140.568338845151</v>
      </c>
      <c r="AP402">
        <v>53246.331362226723</v>
      </c>
      <c r="AQ402">
        <v>30105.763023381569</v>
      </c>
      <c r="AR402">
        <v>2.9034938141203701E-2</v>
      </c>
      <c r="AS402">
        <v>467.80414892820818</v>
      </c>
      <c r="AT402">
        <v>586.17185068130186</v>
      </c>
      <c r="AU402">
        <v>401.58387676104871</v>
      </c>
      <c r="AV402">
        <v>642.89815881175048</v>
      </c>
      <c r="AW402">
        <v>1479.3054299704499</v>
      </c>
      <c r="AX402">
        <v>836.40727115869993</v>
      </c>
      <c r="AY402">
        <v>3.781753875363238</v>
      </c>
      <c r="AZ402" t="s">
        <v>125</v>
      </c>
      <c r="BA402" t="str">
        <f>VLOOKUP($AZ402,Sheet1!$A$2:$B$58,2)</f>
        <v>Ethyl Acetate</v>
      </c>
      <c r="BB402" t="s">
        <v>175</v>
      </c>
      <c r="BC402">
        <v>88.103520000000003</v>
      </c>
      <c r="BD402">
        <v>5</v>
      </c>
      <c r="BE402">
        <v>77.099999999999994</v>
      </c>
      <c r="BF402" t="s">
        <v>205</v>
      </c>
      <c r="BG402">
        <v>4.3712120807937377E-2</v>
      </c>
      <c r="BH402">
        <v>0.48929577464788798</v>
      </c>
      <c r="BI402">
        <v>0.69455744279683795</v>
      </c>
      <c r="BJ402">
        <v>80</v>
      </c>
      <c r="BK402">
        <v>2662.316568111336</v>
      </c>
      <c r="BL402">
        <v>1505.288151169078</v>
      </c>
      <c r="BM402">
        <v>6.762337390617108</v>
      </c>
      <c r="BN402">
        <v>1149.5973564049079</v>
      </c>
      <c r="BO402">
        <v>1512.7192117064269</v>
      </c>
    </row>
    <row r="403" spans="1:67" x14ac:dyDescent="0.25">
      <c r="A403" s="1">
        <v>401</v>
      </c>
      <c r="B403" t="s">
        <v>71</v>
      </c>
      <c r="C403" t="s">
        <v>83</v>
      </c>
      <c r="D403">
        <v>2</v>
      </c>
      <c r="E403">
        <v>6</v>
      </c>
      <c r="F403">
        <v>2</v>
      </c>
      <c r="G403">
        <v>62.06644</v>
      </c>
      <c r="H403">
        <v>10</v>
      </c>
      <c r="I403" t="s">
        <v>89</v>
      </c>
      <c r="J403">
        <v>2</v>
      </c>
      <c r="K403">
        <v>20</v>
      </c>
      <c r="L403">
        <v>60</v>
      </c>
      <c r="N403" t="s">
        <v>90</v>
      </c>
      <c r="O403">
        <v>40</v>
      </c>
      <c r="P403">
        <v>0.32</v>
      </c>
      <c r="Q403">
        <v>3.2500000000000001E-2</v>
      </c>
      <c r="R403">
        <v>77.5</v>
      </c>
      <c r="S403">
        <v>170</v>
      </c>
      <c r="T403">
        <v>50</v>
      </c>
      <c r="U403">
        <v>1812.1301775147931</v>
      </c>
      <c r="V403">
        <v>20</v>
      </c>
      <c r="W403">
        <v>0.95</v>
      </c>
      <c r="X403">
        <v>1</v>
      </c>
      <c r="Y403">
        <v>2647624.1474335492</v>
      </c>
      <c r="Z403">
        <v>529524829.48670977</v>
      </c>
      <c r="AA403">
        <v>1059049658.97342</v>
      </c>
      <c r="AB403">
        <v>1059049.65897342</v>
      </c>
      <c r="AC403">
        <v>0</v>
      </c>
      <c r="AD403">
        <v>5488.1380783079603</v>
      </c>
      <c r="AE403">
        <v>1975729.708190866</v>
      </c>
      <c r="AF403">
        <v>1185437.824914519</v>
      </c>
      <c r="AG403">
        <v>73.575905633787528</v>
      </c>
      <c r="AH403">
        <v>556.49193252787211</v>
      </c>
      <c r="AI403">
        <v>278.24596626393611</v>
      </c>
      <c r="AJ403">
        <v>34419.113916636139</v>
      </c>
      <c r="AK403">
        <v>1835.336538461539</v>
      </c>
      <c r="AL403" t="s">
        <v>94</v>
      </c>
      <c r="AM403">
        <v>43128.124770910094</v>
      </c>
      <c r="AN403">
        <v>29546.897420621481</v>
      </c>
      <c r="AO403">
        <v>47301.814264869128</v>
      </c>
      <c r="AP403">
        <v>108929.4726466292</v>
      </c>
      <c r="AQ403">
        <v>61627.658381760113</v>
      </c>
      <c r="AR403">
        <v>2.9034938141203701E-2</v>
      </c>
      <c r="AS403">
        <v>467.80414892820829</v>
      </c>
      <c r="AT403">
        <v>586.1718506813022</v>
      </c>
      <c r="AU403">
        <v>401.58387676104871</v>
      </c>
      <c r="AV403">
        <v>642.89815881175082</v>
      </c>
      <c r="AW403">
        <v>1480.5046802795539</v>
      </c>
      <c r="AX403">
        <v>837.6065214678033</v>
      </c>
      <c r="AY403">
        <v>3.7817538753632398</v>
      </c>
      <c r="AZ403" t="s">
        <v>126</v>
      </c>
      <c r="BA403" t="str">
        <f>VLOOKUP($AZ403,Sheet1!$A$2:$B$58,2)</f>
        <v>Farnesene</v>
      </c>
      <c r="BB403" t="s">
        <v>176</v>
      </c>
      <c r="BC403">
        <v>204.34866</v>
      </c>
      <c r="BD403">
        <v>5.6</v>
      </c>
      <c r="BE403" t="s">
        <v>198</v>
      </c>
      <c r="BF403" t="s">
        <v>205</v>
      </c>
      <c r="BG403">
        <v>0.94318409040785911</v>
      </c>
      <c r="BH403">
        <v>0.103202247191011</v>
      </c>
      <c r="BI403">
        <v>0.33978514820372802</v>
      </c>
      <c r="BJ403">
        <v>80</v>
      </c>
      <c r="BK403">
        <v>5446.473632331461</v>
      </c>
      <c r="BL403">
        <v>3081.382919088006</v>
      </c>
      <c r="BM403">
        <v>12.96911422278894</v>
      </c>
      <c r="BN403">
        <v>2204.7494178741199</v>
      </c>
      <c r="BO403">
        <v>3241.7242144573411</v>
      </c>
    </row>
    <row r="404" spans="1:67" x14ac:dyDescent="0.25">
      <c r="A404" s="1">
        <v>402</v>
      </c>
      <c r="B404" t="s">
        <v>71</v>
      </c>
      <c r="C404" t="s">
        <v>83</v>
      </c>
      <c r="D404">
        <v>2</v>
      </c>
      <c r="E404">
        <v>6</v>
      </c>
      <c r="F404">
        <v>2</v>
      </c>
      <c r="G404">
        <v>62.06644</v>
      </c>
      <c r="H404">
        <v>10</v>
      </c>
      <c r="I404" t="s">
        <v>89</v>
      </c>
      <c r="J404">
        <v>2</v>
      </c>
      <c r="K404">
        <v>20</v>
      </c>
      <c r="L404">
        <v>60</v>
      </c>
      <c r="N404" t="s">
        <v>90</v>
      </c>
      <c r="O404">
        <v>40</v>
      </c>
      <c r="P404">
        <v>0.32</v>
      </c>
      <c r="Q404">
        <v>3.2500000000000001E-2</v>
      </c>
      <c r="R404">
        <v>77.5</v>
      </c>
      <c r="S404">
        <v>170</v>
      </c>
      <c r="T404">
        <v>50</v>
      </c>
      <c r="U404">
        <v>1812.1301775147931</v>
      </c>
      <c r="V404">
        <v>20</v>
      </c>
      <c r="W404">
        <v>0.95</v>
      </c>
      <c r="X404">
        <v>1</v>
      </c>
      <c r="Y404">
        <v>1406355.577939542</v>
      </c>
      <c r="Z404">
        <v>281271115.58790839</v>
      </c>
      <c r="AA404">
        <v>562542231.17581677</v>
      </c>
      <c r="AB404">
        <v>562542.23117581673</v>
      </c>
      <c r="AC404">
        <v>0</v>
      </c>
      <c r="AD404">
        <v>2915.1696650041649</v>
      </c>
      <c r="AE404">
        <v>1049461.0794015001</v>
      </c>
      <c r="AF404">
        <v>629676.64764089976</v>
      </c>
      <c r="AG404">
        <v>39.081787870205048</v>
      </c>
      <c r="AH404">
        <v>295.59540546854402</v>
      </c>
      <c r="AI404">
        <v>147.79770273427201</v>
      </c>
      <c r="AJ404">
        <v>18282.62251321405</v>
      </c>
      <c r="AK404">
        <v>1835.336538461539</v>
      </c>
      <c r="AL404" t="s">
        <v>94</v>
      </c>
      <c r="AM404">
        <v>22908.64392381216</v>
      </c>
      <c r="AN404">
        <v>15694.615883669871</v>
      </c>
      <c r="AO404">
        <v>25125.609464826241</v>
      </c>
      <c r="AP404">
        <v>58721.21885915762</v>
      </c>
      <c r="AQ404">
        <v>33595.609394331383</v>
      </c>
      <c r="AR404">
        <v>2.9034938141203701E-2</v>
      </c>
      <c r="AS404">
        <v>467.80414892820829</v>
      </c>
      <c r="AT404">
        <v>586.17185068130209</v>
      </c>
      <c r="AU404">
        <v>401.58387676104883</v>
      </c>
      <c r="AV404">
        <v>642.8981588117507</v>
      </c>
      <c r="AW404">
        <v>1502.5213036357829</v>
      </c>
      <c r="AX404">
        <v>859.62314482403247</v>
      </c>
      <c r="AY404">
        <v>3.7817538753632389</v>
      </c>
      <c r="AZ404" t="s">
        <v>127</v>
      </c>
      <c r="BA404" t="str">
        <f>VLOOKUP($AZ404,Sheet1!$A$2:$B$58,2)</f>
        <v>Gamma Butyrolactone</v>
      </c>
      <c r="BB404" t="s">
        <v>177</v>
      </c>
      <c r="BC404">
        <v>86.08784</v>
      </c>
      <c r="BD404">
        <v>4.5</v>
      </c>
      <c r="BE404">
        <v>204</v>
      </c>
      <c r="BF404" t="s">
        <v>205</v>
      </c>
      <c r="BG404">
        <v>0.17207886479753889</v>
      </c>
      <c r="BH404">
        <v>0.46119047619047598</v>
      </c>
      <c r="BI404">
        <v>0.63968414349486202</v>
      </c>
      <c r="BJ404">
        <v>80</v>
      </c>
      <c r="BK404">
        <v>2936.0609429578799</v>
      </c>
      <c r="BL404">
        <v>1679.7804697165691</v>
      </c>
      <c r="BM404">
        <v>7.2178062719160581</v>
      </c>
      <c r="BN404">
        <v>1227.0270662257301</v>
      </c>
      <c r="BO404">
        <v>1709.03387673215</v>
      </c>
    </row>
    <row r="405" spans="1:67" x14ac:dyDescent="0.25">
      <c r="A405" s="1">
        <v>403</v>
      </c>
      <c r="B405" t="s">
        <v>71</v>
      </c>
      <c r="C405" t="s">
        <v>83</v>
      </c>
      <c r="D405">
        <v>2</v>
      </c>
      <c r="E405">
        <v>6</v>
      </c>
      <c r="F405">
        <v>2</v>
      </c>
      <c r="G405">
        <v>62.06644</v>
      </c>
      <c r="H405">
        <v>10</v>
      </c>
      <c r="I405" t="s">
        <v>89</v>
      </c>
      <c r="J405">
        <v>2</v>
      </c>
      <c r="K405">
        <v>20</v>
      </c>
      <c r="L405">
        <v>60</v>
      </c>
      <c r="N405" t="s">
        <v>90</v>
      </c>
      <c r="O405">
        <v>40</v>
      </c>
      <c r="P405">
        <v>0.32</v>
      </c>
      <c r="Q405">
        <v>3.2500000000000001E-2</v>
      </c>
      <c r="R405">
        <v>77.5</v>
      </c>
      <c r="S405">
        <v>170</v>
      </c>
      <c r="T405">
        <v>50</v>
      </c>
      <c r="U405">
        <v>1812.1301775147931</v>
      </c>
      <c r="V405">
        <v>20</v>
      </c>
      <c r="W405">
        <v>0.95</v>
      </c>
      <c r="X405">
        <v>1</v>
      </c>
      <c r="Y405">
        <v>825415.22538268368</v>
      </c>
      <c r="Z405">
        <v>165083045.07653669</v>
      </c>
      <c r="AA405">
        <v>330166090.15307337</v>
      </c>
      <c r="AB405">
        <v>330166.09015307343</v>
      </c>
      <c r="AC405">
        <v>0</v>
      </c>
      <c r="AD405">
        <v>1710.9651810771411</v>
      </c>
      <c r="AE405">
        <v>615947.46518777066</v>
      </c>
      <c r="AF405">
        <v>369568.47911266237</v>
      </c>
      <c r="AG405">
        <v>22.937799834737309</v>
      </c>
      <c r="AH405">
        <v>173.49022683464821</v>
      </c>
      <c r="AI405">
        <v>86.74511341732412</v>
      </c>
      <c r="AJ405">
        <v>10730.39792997489</v>
      </c>
      <c r="AK405">
        <v>854.70085470085473</v>
      </c>
      <c r="AL405" t="s">
        <v>93</v>
      </c>
      <c r="AM405">
        <v>13445.49257968524</v>
      </c>
      <c r="AN405">
        <v>9211.4505820027534</v>
      </c>
      <c r="AO405">
        <v>14746.6692809451</v>
      </c>
      <c r="AP405">
        <v>34242.04194636373</v>
      </c>
      <c r="AQ405">
        <v>19495.372665418628</v>
      </c>
      <c r="AR405">
        <v>2.9034938141203712E-2</v>
      </c>
      <c r="AS405">
        <v>467.80414892820829</v>
      </c>
      <c r="AT405">
        <v>586.17185068130209</v>
      </c>
      <c r="AU405">
        <v>401.58387676104883</v>
      </c>
      <c r="AV405">
        <v>642.89815881175082</v>
      </c>
      <c r="AW405">
        <v>1492.821551895624</v>
      </c>
      <c r="AX405">
        <v>849.92339308387272</v>
      </c>
      <c r="AY405">
        <v>3.7817538753632398</v>
      </c>
      <c r="AZ405" t="s">
        <v>128</v>
      </c>
      <c r="BA405" t="str">
        <f>VLOOKUP($AZ405,Sheet1!$A$2:$B$58,2)</f>
        <v>L-Glutamate</v>
      </c>
      <c r="BB405" t="s">
        <v>178</v>
      </c>
      <c r="BC405">
        <v>146.11892</v>
      </c>
      <c r="BD405">
        <v>3.4</v>
      </c>
      <c r="BE405">
        <v>333.8</v>
      </c>
      <c r="BF405" t="s">
        <v>205</v>
      </c>
      <c r="BG405">
        <v>-0.20478760143924959</v>
      </c>
      <c r="BH405">
        <v>0.46295454545454601</v>
      </c>
      <c r="BI405">
        <v>1.08990400910813</v>
      </c>
      <c r="BJ405">
        <v>80</v>
      </c>
      <c r="BK405">
        <v>1712.1020973181869</v>
      </c>
      <c r="BL405">
        <v>974.76863327093156</v>
      </c>
      <c r="BM405">
        <v>4.5420432723054569</v>
      </c>
      <c r="BN405">
        <v>772.14735629192762</v>
      </c>
      <c r="BO405">
        <v>939.95474102625906</v>
      </c>
    </row>
    <row r="406" spans="1:67" x14ac:dyDescent="0.25">
      <c r="A406" s="1">
        <v>404</v>
      </c>
      <c r="B406" t="s">
        <v>71</v>
      </c>
      <c r="C406" t="s">
        <v>83</v>
      </c>
      <c r="D406">
        <v>2</v>
      </c>
      <c r="E406">
        <v>6</v>
      </c>
      <c r="F406">
        <v>2</v>
      </c>
      <c r="G406">
        <v>62.06644</v>
      </c>
      <c r="H406">
        <v>10</v>
      </c>
      <c r="I406" t="s">
        <v>89</v>
      </c>
      <c r="J406">
        <v>2</v>
      </c>
      <c r="K406">
        <v>20</v>
      </c>
      <c r="L406">
        <v>60</v>
      </c>
      <c r="N406" t="s">
        <v>90</v>
      </c>
      <c r="O406">
        <v>40</v>
      </c>
      <c r="P406">
        <v>0.32</v>
      </c>
      <c r="Q406">
        <v>3.2500000000000001E-2</v>
      </c>
      <c r="R406">
        <v>77.5</v>
      </c>
      <c r="S406">
        <v>170</v>
      </c>
      <c r="T406">
        <v>50</v>
      </c>
      <c r="U406">
        <v>1812.1301775147931</v>
      </c>
      <c r="V406">
        <v>20</v>
      </c>
      <c r="W406">
        <v>0.95</v>
      </c>
      <c r="X406">
        <v>1</v>
      </c>
      <c r="Y406">
        <v>1331733.2238133179</v>
      </c>
      <c r="Z406">
        <v>266346644.7626636</v>
      </c>
      <c r="AA406">
        <v>532693289.52532721</v>
      </c>
      <c r="AB406">
        <v>532693.28952532716</v>
      </c>
      <c r="AC406">
        <v>0</v>
      </c>
      <c r="AD406">
        <v>2760.4884261394682</v>
      </c>
      <c r="AE406">
        <v>993775.83341020823</v>
      </c>
      <c r="AF406">
        <v>596265.50004612491</v>
      </c>
      <c r="AG406">
        <v>37.008076882682808</v>
      </c>
      <c r="AH406">
        <v>279.91087634165302</v>
      </c>
      <c r="AI406">
        <v>139.95543817082651</v>
      </c>
      <c r="AJ406">
        <v>17312.531909573128</v>
      </c>
      <c r="AK406">
        <v>854.70085470085473</v>
      </c>
      <c r="AL406" t="s">
        <v>93</v>
      </c>
      <c r="AM406">
        <v>21693.092916478101</v>
      </c>
      <c r="AN406">
        <v>14861.846986018711</v>
      </c>
      <c r="AO406">
        <v>23792.424489040499</v>
      </c>
      <c r="AP406">
        <v>54722.172666770799</v>
      </c>
      <c r="AQ406">
        <v>30929.7481777303</v>
      </c>
      <c r="AR406">
        <v>2.9034938141203701E-2</v>
      </c>
      <c r="AS406">
        <v>467.80414892820829</v>
      </c>
      <c r="AT406">
        <v>586.17185068130243</v>
      </c>
      <c r="AU406">
        <v>401.58387676104883</v>
      </c>
      <c r="AV406">
        <v>642.89815881175093</v>
      </c>
      <c r="AW406">
        <v>1478.654857971746</v>
      </c>
      <c r="AX406">
        <v>835.75669915999481</v>
      </c>
      <c r="AY406">
        <v>3.7817538753632411</v>
      </c>
      <c r="AZ406" t="s">
        <v>129</v>
      </c>
      <c r="BA406" t="str">
        <f>VLOOKUP($AZ406,Sheet1!$A$2:$B$58,2)</f>
        <v>Glutarate</v>
      </c>
      <c r="BB406" t="s">
        <v>179</v>
      </c>
      <c r="BC406">
        <v>130.09654</v>
      </c>
      <c r="BD406">
        <v>3.6</v>
      </c>
      <c r="BE406">
        <v>200</v>
      </c>
      <c r="BF406" t="s">
        <v>205</v>
      </c>
      <c r="BG406">
        <v>0.40789670438848791</v>
      </c>
      <c r="BH406">
        <v>0.322280701754386</v>
      </c>
      <c r="BI406">
        <v>0.67552821183470502</v>
      </c>
      <c r="BJ406">
        <v>80</v>
      </c>
      <c r="BK406">
        <v>2736.1086333385392</v>
      </c>
      <c r="BL406">
        <v>1546.4874088865149</v>
      </c>
      <c r="BM406">
        <v>6.5898752041528361</v>
      </c>
      <c r="BN406">
        <v>1120.2787847059819</v>
      </c>
      <c r="BO406">
        <v>1615.8298486325571</v>
      </c>
    </row>
    <row r="407" spans="1:67" x14ac:dyDescent="0.25">
      <c r="A407" s="1">
        <v>405</v>
      </c>
      <c r="B407" t="s">
        <v>71</v>
      </c>
      <c r="C407" t="s">
        <v>83</v>
      </c>
      <c r="D407">
        <v>2</v>
      </c>
      <c r="E407">
        <v>6</v>
      </c>
      <c r="F407">
        <v>2</v>
      </c>
      <c r="G407">
        <v>62.06644</v>
      </c>
      <c r="H407">
        <v>10</v>
      </c>
      <c r="I407" t="s">
        <v>89</v>
      </c>
      <c r="J407">
        <v>2</v>
      </c>
      <c r="K407">
        <v>20</v>
      </c>
      <c r="L407">
        <v>60</v>
      </c>
      <c r="N407" t="s">
        <v>90</v>
      </c>
      <c r="O407">
        <v>40</v>
      </c>
      <c r="P407">
        <v>0.32</v>
      </c>
      <c r="Q407">
        <v>3.2500000000000001E-2</v>
      </c>
      <c r="R407">
        <v>77.5</v>
      </c>
      <c r="S407">
        <v>170</v>
      </c>
      <c r="T407">
        <v>50</v>
      </c>
      <c r="U407">
        <v>1812.1301775147931</v>
      </c>
      <c r="V407">
        <v>20</v>
      </c>
      <c r="W407">
        <v>0.95</v>
      </c>
      <c r="X407">
        <v>1</v>
      </c>
      <c r="Y407">
        <v>595348.7708192569</v>
      </c>
      <c r="Z407">
        <v>119069754.1638514</v>
      </c>
      <c r="AA407">
        <v>238139508.32770279</v>
      </c>
      <c r="AB407">
        <v>238139.50832770279</v>
      </c>
      <c r="AC407">
        <v>0</v>
      </c>
      <c r="AD407">
        <v>1234.071030124946</v>
      </c>
      <c r="AE407">
        <v>444265.57084498071</v>
      </c>
      <c r="AF407">
        <v>266559.34250698838</v>
      </c>
      <c r="AG407">
        <v>16.544389438149441</v>
      </c>
      <c r="AH407">
        <v>125.1336177464806</v>
      </c>
      <c r="AI407">
        <v>62.566808873240312</v>
      </c>
      <c r="AJ407">
        <v>7739.5340206503397</v>
      </c>
      <c r="AK407">
        <v>854.70085470085473</v>
      </c>
      <c r="AL407" t="s">
        <v>93</v>
      </c>
      <c r="AM407">
        <v>9697.8553753522483</v>
      </c>
      <c r="AN407">
        <v>6643.9600492166019</v>
      </c>
      <c r="AO407">
        <v>10636.35750845085</v>
      </c>
      <c r="AP407">
        <v>24936.050299920051</v>
      </c>
      <c r="AQ407">
        <v>14299.69279146919</v>
      </c>
      <c r="AR407">
        <v>2.9034938141203712E-2</v>
      </c>
      <c r="AS407">
        <v>467.80414892820829</v>
      </c>
      <c r="AT407">
        <v>586.17185068130209</v>
      </c>
      <c r="AU407">
        <v>401.58387676104871</v>
      </c>
      <c r="AV407">
        <v>642.89815881175082</v>
      </c>
      <c r="AW407">
        <v>1507.2209459975841</v>
      </c>
      <c r="AX407">
        <v>864.32278718583348</v>
      </c>
      <c r="AY407">
        <v>3.7817538753632398</v>
      </c>
      <c r="AZ407" t="s">
        <v>130</v>
      </c>
      <c r="BA407" t="str">
        <f>VLOOKUP($AZ407,Sheet1!$A$2:$B$58,2)</f>
        <v>Glycolate</v>
      </c>
      <c r="BB407" t="s">
        <v>180</v>
      </c>
      <c r="BC407">
        <v>75.041920000000005</v>
      </c>
      <c r="BD407">
        <v>2.5</v>
      </c>
      <c r="BE407">
        <v>112</v>
      </c>
      <c r="BF407" t="s">
        <v>205</v>
      </c>
      <c r="BG407">
        <v>-0.2344416643393292</v>
      </c>
      <c r="BH407">
        <v>1.2498039215686301</v>
      </c>
      <c r="BI407">
        <v>1.5110862865904799</v>
      </c>
      <c r="BJ407">
        <v>80</v>
      </c>
      <c r="BK407">
        <v>1246.8025149960019</v>
      </c>
      <c r="BL407">
        <v>714.98463957345962</v>
      </c>
      <c r="BM407">
        <v>3.362782108001344</v>
      </c>
      <c r="BN407">
        <v>571.67295836022856</v>
      </c>
      <c r="BO407">
        <v>675.12955663577361</v>
      </c>
    </row>
    <row r="408" spans="1:67" x14ac:dyDescent="0.25">
      <c r="A408" s="1">
        <v>406</v>
      </c>
      <c r="B408" t="s">
        <v>71</v>
      </c>
      <c r="C408" t="s">
        <v>83</v>
      </c>
      <c r="D408">
        <v>2</v>
      </c>
      <c r="E408">
        <v>6</v>
      </c>
      <c r="F408">
        <v>2</v>
      </c>
      <c r="G408">
        <v>62.06644</v>
      </c>
      <c r="H408">
        <v>10</v>
      </c>
      <c r="I408" t="s">
        <v>89</v>
      </c>
      <c r="J408">
        <v>2</v>
      </c>
      <c r="K408">
        <v>20</v>
      </c>
      <c r="L408">
        <v>60</v>
      </c>
      <c r="N408" t="s">
        <v>90</v>
      </c>
      <c r="O408">
        <v>40</v>
      </c>
      <c r="P408">
        <v>0.32</v>
      </c>
      <c r="Q408">
        <v>3.2500000000000001E-2</v>
      </c>
      <c r="R408">
        <v>77.5</v>
      </c>
      <c r="S408">
        <v>170</v>
      </c>
      <c r="T408">
        <v>50</v>
      </c>
      <c r="U408">
        <v>1812.1301775147931</v>
      </c>
      <c r="V408">
        <v>20</v>
      </c>
      <c r="W408">
        <v>0.95</v>
      </c>
      <c r="X408">
        <v>1</v>
      </c>
      <c r="Y408">
        <v>2608282.9482398988</v>
      </c>
      <c r="Z408">
        <v>521656589.64797992</v>
      </c>
      <c r="AA408">
        <v>1043313179.2959599</v>
      </c>
      <c r="AB408">
        <v>1043313.17929596</v>
      </c>
      <c r="AC408">
        <v>0</v>
      </c>
      <c r="AD408">
        <v>5406.5895195556704</v>
      </c>
      <c r="AE408">
        <v>1946372.227040041</v>
      </c>
      <c r="AF408">
        <v>1167823.3362240251</v>
      </c>
      <c r="AG408">
        <v>72.48263702834825</v>
      </c>
      <c r="AH408">
        <v>548.22298695700636</v>
      </c>
      <c r="AI408">
        <v>274.11149347850318</v>
      </c>
      <c r="AJ408">
        <v>33907.678327118687</v>
      </c>
      <c r="AK408">
        <v>854.70085470085473</v>
      </c>
      <c r="AL408" t="s">
        <v>93</v>
      </c>
      <c r="AM408">
        <v>42487.281489168003</v>
      </c>
      <c r="AN408">
        <v>29107.858375708031</v>
      </c>
      <c r="AO408">
        <v>46598.95389134554</v>
      </c>
      <c r="AP408">
        <v>106357.5190466956</v>
      </c>
      <c r="AQ408">
        <v>59758.565155350028</v>
      </c>
      <c r="AR408">
        <v>2.9034938141203712E-2</v>
      </c>
      <c r="AS408">
        <v>467.80414892820829</v>
      </c>
      <c r="AT408">
        <v>586.17185068130243</v>
      </c>
      <c r="AU408">
        <v>401.58387676104871</v>
      </c>
      <c r="AV408">
        <v>642.89815881175105</v>
      </c>
      <c r="AW408">
        <v>1467.3516776865979</v>
      </c>
      <c r="AX408">
        <v>824.4535188748473</v>
      </c>
      <c r="AY408">
        <v>3.781753875363242</v>
      </c>
      <c r="AZ408" t="s">
        <v>131</v>
      </c>
      <c r="BA408" t="str">
        <f>VLOOKUP($AZ408,Sheet1!$A$2:$B$58,2)</f>
        <v>Heptane</v>
      </c>
      <c r="BB408" t="s">
        <v>181</v>
      </c>
      <c r="BC408">
        <v>100.20034</v>
      </c>
      <c r="BD408">
        <v>6.2857142857142856</v>
      </c>
      <c r="BE408">
        <v>98</v>
      </c>
      <c r="BF408" t="s">
        <v>205</v>
      </c>
      <c r="BG408">
        <v>1.0371345864003609</v>
      </c>
      <c r="BH408">
        <v>0.21364532019704399</v>
      </c>
      <c r="BI408">
        <v>0.34491018849414101</v>
      </c>
      <c r="BJ408">
        <v>80</v>
      </c>
      <c r="BK408">
        <v>5317.8759523347771</v>
      </c>
      <c r="BL408">
        <v>2987.9282577675008</v>
      </c>
      <c r="BM408">
        <v>12.6684400875248</v>
      </c>
      <c r="BN408">
        <v>2153.6348148792158</v>
      </c>
      <c r="BO408">
        <v>3164.2411374555609</v>
      </c>
    </row>
    <row r="409" spans="1:67" x14ac:dyDescent="0.25">
      <c r="A409" s="1">
        <v>407</v>
      </c>
      <c r="B409" t="s">
        <v>71</v>
      </c>
      <c r="C409" t="s">
        <v>83</v>
      </c>
      <c r="D409">
        <v>2</v>
      </c>
      <c r="E409">
        <v>6</v>
      </c>
      <c r="F409">
        <v>2</v>
      </c>
      <c r="G409">
        <v>62.06644</v>
      </c>
      <c r="H409">
        <v>10</v>
      </c>
      <c r="I409" t="s">
        <v>89</v>
      </c>
      <c r="J409">
        <v>2</v>
      </c>
      <c r="K409">
        <v>20</v>
      </c>
      <c r="L409">
        <v>60</v>
      </c>
      <c r="N409" t="s">
        <v>90</v>
      </c>
      <c r="O409">
        <v>40</v>
      </c>
      <c r="P409">
        <v>0.32</v>
      </c>
      <c r="Q409">
        <v>3.2500000000000001E-2</v>
      </c>
      <c r="R409">
        <v>77.5</v>
      </c>
      <c r="S409">
        <v>170</v>
      </c>
      <c r="T409">
        <v>50</v>
      </c>
      <c r="U409">
        <v>1812.1301775147931</v>
      </c>
      <c r="V409">
        <v>20</v>
      </c>
      <c r="W409">
        <v>0.95</v>
      </c>
      <c r="X409">
        <v>1</v>
      </c>
      <c r="Y409">
        <v>2648498.6815451412</v>
      </c>
      <c r="Z409">
        <v>529699736.30902809</v>
      </c>
      <c r="AA409">
        <v>1059399472.6180561</v>
      </c>
      <c r="AB409">
        <v>1059399.472618056</v>
      </c>
      <c r="AC409">
        <v>0</v>
      </c>
      <c r="AD409">
        <v>5489.9508597645954</v>
      </c>
      <c r="AE409">
        <v>1976382.3095152541</v>
      </c>
      <c r="AF409">
        <v>1185829.385709153</v>
      </c>
      <c r="AG409">
        <v>73.600208418353972</v>
      </c>
      <c r="AH409">
        <v>556.67574682730447</v>
      </c>
      <c r="AI409">
        <v>278.33787341365218</v>
      </c>
      <c r="AJ409">
        <v>34430.482860086828</v>
      </c>
      <c r="AK409">
        <v>854.70085470085473</v>
      </c>
      <c r="AL409" t="s">
        <v>93</v>
      </c>
      <c r="AM409">
        <v>43142.370379116102</v>
      </c>
      <c r="AN409">
        <v>29556.65702706376</v>
      </c>
      <c r="AO409">
        <v>47317.438480320881</v>
      </c>
      <c r="AP409">
        <v>107984.21112096751</v>
      </c>
      <c r="AQ409">
        <v>60666.772640646668</v>
      </c>
      <c r="AR409">
        <v>2.9034938141203701E-2</v>
      </c>
      <c r="AS409">
        <v>467.80414892820818</v>
      </c>
      <c r="AT409">
        <v>586.17185068130198</v>
      </c>
      <c r="AU409">
        <v>401.58387676104871</v>
      </c>
      <c r="AV409">
        <v>642.89815881175059</v>
      </c>
      <c r="AW409">
        <v>1467.172626837822</v>
      </c>
      <c r="AX409">
        <v>824.27446802607096</v>
      </c>
      <c r="AY409">
        <v>3.7817538753632389</v>
      </c>
      <c r="AZ409" t="s">
        <v>132</v>
      </c>
      <c r="BA409" t="str">
        <f>VLOOKUP($AZ409,Sheet1!$A$2:$B$58,2)</f>
        <v>Hexane</v>
      </c>
      <c r="BB409" t="s">
        <v>182</v>
      </c>
      <c r="BC409">
        <v>86.173959999999994</v>
      </c>
      <c r="BD409">
        <v>6.333333333333333</v>
      </c>
      <c r="BE409">
        <v>69</v>
      </c>
      <c r="BF409" t="s">
        <v>205</v>
      </c>
      <c r="BG409">
        <v>1.1108040459053869</v>
      </c>
      <c r="BH409">
        <v>0.24464788732394399</v>
      </c>
      <c r="BI409">
        <v>0.33967295116742702</v>
      </c>
      <c r="BJ409">
        <v>80</v>
      </c>
      <c r="BK409">
        <v>5399.2105560483769</v>
      </c>
      <c r="BL409">
        <v>3033.338632032333</v>
      </c>
      <c r="BM409">
        <v>12.806089624777229</v>
      </c>
      <c r="BN409">
        <v>2177.035236212128</v>
      </c>
      <c r="BO409">
        <v>3222.175319836248</v>
      </c>
    </row>
    <row r="410" spans="1:67" x14ac:dyDescent="0.25">
      <c r="A410" s="1">
        <v>408</v>
      </c>
      <c r="B410" t="s">
        <v>71</v>
      </c>
      <c r="C410" t="s">
        <v>83</v>
      </c>
      <c r="D410">
        <v>2</v>
      </c>
      <c r="E410">
        <v>6</v>
      </c>
      <c r="F410">
        <v>2</v>
      </c>
      <c r="G410">
        <v>62.06644</v>
      </c>
      <c r="H410">
        <v>10</v>
      </c>
      <c r="I410" t="s">
        <v>89</v>
      </c>
      <c r="J410">
        <v>2</v>
      </c>
      <c r="K410">
        <v>20</v>
      </c>
      <c r="L410">
        <v>60</v>
      </c>
      <c r="N410" t="s">
        <v>90</v>
      </c>
      <c r="O410">
        <v>40</v>
      </c>
      <c r="P410">
        <v>0.32</v>
      </c>
      <c r="Q410">
        <v>3.2500000000000001E-2</v>
      </c>
      <c r="R410">
        <v>77.5</v>
      </c>
      <c r="S410">
        <v>170</v>
      </c>
      <c r="T410">
        <v>50</v>
      </c>
      <c r="U410">
        <v>1812.1301775147931</v>
      </c>
      <c r="V410">
        <v>20</v>
      </c>
      <c r="W410">
        <v>0.95</v>
      </c>
      <c r="X410">
        <v>1</v>
      </c>
      <c r="Y410">
        <v>1676265.2797578881</v>
      </c>
      <c r="Z410">
        <v>335253055.95157772</v>
      </c>
      <c r="AA410">
        <v>670506111.90315533</v>
      </c>
      <c r="AB410">
        <v>670506.11190315534</v>
      </c>
      <c r="AC410">
        <v>0</v>
      </c>
      <c r="AD410">
        <v>3474.6530469977552</v>
      </c>
      <c r="AE410">
        <v>1250875.096919192</v>
      </c>
      <c r="AF410">
        <v>750525.05815151485</v>
      </c>
      <c r="AG410">
        <v>46.58241849025751</v>
      </c>
      <c r="AH410">
        <v>352.32648329864719</v>
      </c>
      <c r="AI410">
        <v>176.1632416493236</v>
      </c>
      <c r="AJ410">
        <v>21791.44863685255</v>
      </c>
      <c r="AK410">
        <v>854.70085470085473</v>
      </c>
      <c r="AL410" t="s">
        <v>93</v>
      </c>
      <c r="AM410">
        <v>27305.30245564516</v>
      </c>
      <c r="AN410">
        <v>18706.748206223168</v>
      </c>
      <c r="AO410">
        <v>29947.75108038502</v>
      </c>
      <c r="AP410">
        <v>68658.200153421742</v>
      </c>
      <c r="AQ410">
        <v>38710.449073036732</v>
      </c>
      <c r="AR410">
        <v>2.9034938141203712E-2</v>
      </c>
      <c r="AS410">
        <v>467.80414892820829</v>
      </c>
      <c r="AT410">
        <v>586.1718506813022</v>
      </c>
      <c r="AU410">
        <v>401.58387676104871</v>
      </c>
      <c r="AV410">
        <v>642.89815881175093</v>
      </c>
      <c r="AW410">
        <v>1473.908018918796</v>
      </c>
      <c r="AX410">
        <v>831.00986010704526</v>
      </c>
      <c r="AY410">
        <v>3.7817538753632411</v>
      </c>
      <c r="AZ410" t="s">
        <v>133</v>
      </c>
      <c r="BA410" t="str">
        <f>VLOOKUP($AZ410,Sheet1!$A$2:$B$58,2)</f>
        <v>Isobutanol</v>
      </c>
      <c r="BB410" t="s">
        <v>183</v>
      </c>
      <c r="BC410">
        <v>86.130899999999997</v>
      </c>
      <c r="BD410">
        <v>5.6</v>
      </c>
      <c r="BE410">
        <v>108</v>
      </c>
      <c r="BF410" t="s">
        <v>205</v>
      </c>
      <c r="BG410">
        <v>0.59858453739545436</v>
      </c>
      <c r="BH410">
        <v>0.38673684210526299</v>
      </c>
      <c r="BI410">
        <v>0.53668316953591899</v>
      </c>
      <c r="BJ410">
        <v>80</v>
      </c>
      <c r="BK410">
        <v>3432.910007671087</v>
      </c>
      <c r="BL410">
        <v>1935.522453651836</v>
      </c>
      <c r="BM410">
        <v>8.2095775450707258</v>
      </c>
      <c r="BN410">
        <v>1395.6281826620229</v>
      </c>
      <c r="BO410">
        <v>2037.2818250090641</v>
      </c>
    </row>
    <row r="411" spans="1:67" x14ac:dyDescent="0.25">
      <c r="A411" s="1">
        <v>409</v>
      </c>
      <c r="B411" t="s">
        <v>71</v>
      </c>
      <c r="C411" t="s">
        <v>83</v>
      </c>
      <c r="D411">
        <v>2</v>
      </c>
      <c r="E411">
        <v>6</v>
      </c>
      <c r="F411">
        <v>2</v>
      </c>
      <c r="G411">
        <v>62.06644</v>
      </c>
      <c r="H411">
        <v>10</v>
      </c>
      <c r="I411" t="s">
        <v>89</v>
      </c>
      <c r="J411">
        <v>2</v>
      </c>
      <c r="K411">
        <v>20</v>
      </c>
      <c r="L411">
        <v>60</v>
      </c>
      <c r="N411" t="s">
        <v>90</v>
      </c>
      <c r="O411">
        <v>40</v>
      </c>
      <c r="P411">
        <v>0.32</v>
      </c>
      <c r="Q411">
        <v>3.2500000000000001E-2</v>
      </c>
      <c r="R411">
        <v>77.5</v>
      </c>
      <c r="S411">
        <v>170</v>
      </c>
      <c r="T411">
        <v>50</v>
      </c>
      <c r="U411">
        <v>1812.1301775147931</v>
      </c>
      <c r="V411">
        <v>20</v>
      </c>
      <c r="W411">
        <v>0.95</v>
      </c>
      <c r="X411">
        <v>1</v>
      </c>
      <c r="Y411">
        <v>1395955.269174736</v>
      </c>
      <c r="Z411">
        <v>279191053.83494723</v>
      </c>
      <c r="AA411">
        <v>558382107.66989434</v>
      </c>
      <c r="AB411">
        <v>558382.10766989435</v>
      </c>
      <c r="AC411">
        <v>0</v>
      </c>
      <c r="AD411">
        <v>2893.6113442683391</v>
      </c>
      <c r="AE411">
        <v>1041700.083936602</v>
      </c>
      <c r="AF411">
        <v>625020.05036196113</v>
      </c>
      <c r="AG411">
        <v>38.792769454587628</v>
      </c>
      <c r="AH411">
        <v>293.40941244191907</v>
      </c>
      <c r="AI411">
        <v>146.70470622095951</v>
      </c>
      <c r="AJ411">
        <v>18147.418499271571</v>
      </c>
      <c r="AK411">
        <v>854.70085470085473</v>
      </c>
      <c r="AL411" t="s">
        <v>93</v>
      </c>
      <c r="AM411">
        <v>22739.229464248729</v>
      </c>
      <c r="AN411">
        <v>15578.550747870901</v>
      </c>
      <c r="AO411">
        <v>24939.800057563119</v>
      </c>
      <c r="AP411">
        <v>57319.899566092048</v>
      </c>
      <c r="AQ411">
        <v>32380.099508528929</v>
      </c>
      <c r="AR411">
        <v>2.9034938141203712E-2</v>
      </c>
      <c r="AS411">
        <v>467.80414892820829</v>
      </c>
      <c r="AT411">
        <v>586.1718506813022</v>
      </c>
      <c r="AU411">
        <v>401.58387676104871</v>
      </c>
      <c r="AV411">
        <v>642.89815881175082</v>
      </c>
      <c r="AW411">
        <v>1477.5923547606731</v>
      </c>
      <c r="AX411">
        <v>834.69419594892179</v>
      </c>
      <c r="AY411">
        <v>3.7817538753632411</v>
      </c>
      <c r="AZ411" t="s">
        <v>134</v>
      </c>
      <c r="BA411" t="str">
        <f>VLOOKUP($AZ411,Sheet1!$A$2:$B$58,2)</f>
        <v>Isobutyrate</v>
      </c>
      <c r="BB411" t="s">
        <v>170</v>
      </c>
      <c r="BC411">
        <v>87.095680000000002</v>
      </c>
      <c r="BD411">
        <v>4.75</v>
      </c>
      <c r="BE411">
        <v>155</v>
      </c>
      <c r="BF411" t="s">
        <v>205</v>
      </c>
      <c r="BG411">
        <v>0.17934661893875811</v>
      </c>
      <c r="BH411">
        <v>0.45924999999999999</v>
      </c>
      <c r="BI411">
        <v>0.64444999291081795</v>
      </c>
      <c r="BJ411">
        <v>80</v>
      </c>
      <c r="BK411">
        <v>2865.9949783046018</v>
      </c>
      <c r="BL411">
        <v>1619.004975426446</v>
      </c>
      <c r="BM411">
        <v>7.1558886921092224</v>
      </c>
      <c r="BN411">
        <v>1216.501077658568</v>
      </c>
      <c r="BO411">
        <v>1649.493900646034</v>
      </c>
    </row>
    <row r="412" spans="1:67" x14ac:dyDescent="0.25">
      <c r="A412" s="1">
        <v>410</v>
      </c>
      <c r="B412" t="s">
        <v>71</v>
      </c>
      <c r="C412" t="s">
        <v>83</v>
      </c>
      <c r="D412">
        <v>2</v>
      </c>
      <c r="E412">
        <v>6</v>
      </c>
      <c r="F412">
        <v>2</v>
      </c>
      <c r="G412">
        <v>62.06644</v>
      </c>
      <c r="H412">
        <v>10</v>
      </c>
      <c r="I412" t="s">
        <v>89</v>
      </c>
      <c r="J412">
        <v>2</v>
      </c>
      <c r="K412">
        <v>20</v>
      </c>
      <c r="L412">
        <v>60</v>
      </c>
      <c r="N412" t="s">
        <v>90</v>
      </c>
      <c r="O412">
        <v>40</v>
      </c>
      <c r="P412">
        <v>0.32</v>
      </c>
      <c r="Q412">
        <v>3.2500000000000001E-2</v>
      </c>
      <c r="R412">
        <v>77.5</v>
      </c>
      <c r="S412">
        <v>170</v>
      </c>
      <c r="T412">
        <v>50</v>
      </c>
      <c r="U412">
        <v>1812.1301775147931</v>
      </c>
      <c r="V412">
        <v>20</v>
      </c>
      <c r="W412">
        <v>0.95</v>
      </c>
      <c r="X412">
        <v>1</v>
      </c>
      <c r="Y412">
        <v>2655061.2939151041</v>
      </c>
      <c r="Z412">
        <v>531012258.78302068</v>
      </c>
      <c r="AA412">
        <v>1062024517.566041</v>
      </c>
      <c r="AB412">
        <v>1062024.517566042</v>
      </c>
      <c r="AC412">
        <v>66773.504273504266</v>
      </c>
      <c r="AD412">
        <v>5503.5541965054535</v>
      </c>
      <c r="AE412">
        <v>1981279.510741964</v>
      </c>
      <c r="AF412">
        <v>1188767.706445178</v>
      </c>
      <c r="AG412">
        <v>73.782579526017244</v>
      </c>
      <c r="AH412">
        <v>558.05511211362443</v>
      </c>
      <c r="AI412">
        <v>279.02755605681222</v>
      </c>
      <c r="AJ412">
        <v>34515.79682089635</v>
      </c>
      <c r="AK412">
        <v>2170.1388888888891</v>
      </c>
      <c r="AL412" t="s">
        <v>95</v>
      </c>
      <c r="AM412">
        <v>43249.271188805891</v>
      </c>
      <c r="AN412">
        <v>29629.894323488399</v>
      </c>
      <c r="AO412">
        <v>47434.68452965808</v>
      </c>
      <c r="AP412">
        <v>109565.10122207949</v>
      </c>
      <c r="AQ412">
        <v>62130.416692421437</v>
      </c>
      <c r="AR412">
        <v>2.9034938141203701E-2</v>
      </c>
      <c r="AS412">
        <v>467.80414892820829</v>
      </c>
      <c r="AT412">
        <v>586.17185068130209</v>
      </c>
      <c r="AU412">
        <v>401.58387676104883</v>
      </c>
      <c r="AV412">
        <v>642.89815881175082</v>
      </c>
      <c r="AW412">
        <v>1484.972495214058</v>
      </c>
      <c r="AX412">
        <v>842.07433640230738</v>
      </c>
      <c r="AY412">
        <v>3.7817538753632411</v>
      </c>
      <c r="AZ412" t="s">
        <v>135</v>
      </c>
      <c r="BA412" t="str">
        <f>VLOOKUP($AZ412,Sheet1!$A$2:$B$58,2)</f>
        <v>Isoprene</v>
      </c>
      <c r="BB412" t="s">
        <v>184</v>
      </c>
      <c r="BC412">
        <v>68.116219999999998</v>
      </c>
      <c r="BD412">
        <v>5.6</v>
      </c>
      <c r="BE412">
        <v>34.07</v>
      </c>
      <c r="BF412" t="s">
        <v>205</v>
      </c>
      <c r="BG412">
        <v>0.95490794485668418</v>
      </c>
      <c r="BH412">
        <v>0.308739495798319</v>
      </c>
      <c r="BI412">
        <v>0.33883336907710698</v>
      </c>
      <c r="BJ412">
        <v>80</v>
      </c>
      <c r="BK412">
        <v>5478.2550611039751</v>
      </c>
      <c r="BL412">
        <v>3106.520834621072</v>
      </c>
      <c r="BM412">
        <v>12.99646985798393</v>
      </c>
      <c r="BN412">
        <v>2209.3998758572679</v>
      </c>
      <c r="BO412">
        <v>3268.8551852467072</v>
      </c>
    </row>
    <row r="413" spans="1:67" x14ac:dyDescent="0.25">
      <c r="A413" s="1">
        <v>411</v>
      </c>
      <c r="B413" t="s">
        <v>71</v>
      </c>
      <c r="C413" t="s">
        <v>83</v>
      </c>
      <c r="D413">
        <v>2</v>
      </c>
      <c r="E413">
        <v>6</v>
      </c>
      <c r="F413">
        <v>2</v>
      </c>
      <c r="G413">
        <v>62.06644</v>
      </c>
      <c r="H413">
        <v>10</v>
      </c>
      <c r="I413" t="s">
        <v>89</v>
      </c>
      <c r="J413">
        <v>2</v>
      </c>
      <c r="K413">
        <v>20</v>
      </c>
      <c r="L413">
        <v>60</v>
      </c>
      <c r="N413" t="s">
        <v>90</v>
      </c>
      <c r="O413">
        <v>40</v>
      </c>
      <c r="P413">
        <v>0.32</v>
      </c>
      <c r="Q413">
        <v>3.2500000000000001E-2</v>
      </c>
      <c r="R413">
        <v>77.5</v>
      </c>
      <c r="S413">
        <v>170</v>
      </c>
      <c r="T413">
        <v>50</v>
      </c>
      <c r="U413">
        <v>1812.1301775147931</v>
      </c>
      <c r="V413">
        <v>20</v>
      </c>
      <c r="W413">
        <v>0.95</v>
      </c>
      <c r="X413">
        <v>1</v>
      </c>
      <c r="Y413">
        <v>1749269.229227667</v>
      </c>
      <c r="Z413">
        <v>349853845.84553337</v>
      </c>
      <c r="AA413">
        <v>699707691.69106686</v>
      </c>
      <c r="AB413">
        <v>699707.69169106684</v>
      </c>
      <c r="AC413">
        <v>0</v>
      </c>
      <c r="AD413">
        <v>3625.9795694349882</v>
      </c>
      <c r="AE413">
        <v>1305352.644996596</v>
      </c>
      <c r="AF413">
        <v>783211.58699795732</v>
      </c>
      <c r="AG413">
        <v>48.611154971713503</v>
      </c>
      <c r="AH413">
        <v>367.67084740032112</v>
      </c>
      <c r="AI413">
        <v>183.8354237001605</v>
      </c>
      <c r="AJ413">
        <v>22740.49997995967</v>
      </c>
      <c r="AK413">
        <v>854.70085470085473</v>
      </c>
      <c r="AL413" t="s">
        <v>93</v>
      </c>
      <c r="AM413">
        <v>28494.490673524881</v>
      </c>
      <c r="AN413">
        <v>19521.45606737283</v>
      </c>
      <c r="AO413">
        <v>31252.022029027288</v>
      </c>
      <c r="AP413">
        <v>71611.147575558251</v>
      </c>
      <c r="AQ413">
        <v>40359.125546530959</v>
      </c>
      <c r="AR413">
        <v>2.9034938141203701E-2</v>
      </c>
      <c r="AS413">
        <v>467.80414892820829</v>
      </c>
      <c r="AT413">
        <v>586.17185068130209</v>
      </c>
      <c r="AU413">
        <v>401.58387676104871</v>
      </c>
      <c r="AV413">
        <v>642.8981588117507</v>
      </c>
      <c r="AW413">
        <v>1473.1422780888111</v>
      </c>
      <c r="AX413">
        <v>830.24411927706035</v>
      </c>
      <c r="AY413">
        <v>3.7817538753632398</v>
      </c>
      <c r="AZ413" t="s">
        <v>136</v>
      </c>
      <c r="BA413" t="str">
        <f>VLOOKUP($AZ413,Sheet1!$A$2:$B$58,2)</f>
        <v>Isopropanol</v>
      </c>
      <c r="BB413" t="s">
        <v>156</v>
      </c>
      <c r="BC413">
        <v>60.093820000000001</v>
      </c>
      <c r="BD413">
        <v>6</v>
      </c>
      <c r="BE413">
        <v>82.5</v>
      </c>
      <c r="BF413" t="s">
        <v>205</v>
      </c>
      <c r="BG413">
        <v>0.56046860921144204</v>
      </c>
      <c r="BH413">
        <v>0.53116666666666701</v>
      </c>
      <c r="BI413">
        <v>0.51428525025886196</v>
      </c>
      <c r="BJ413">
        <v>80</v>
      </c>
      <c r="BK413">
        <v>3580.5573787779131</v>
      </c>
      <c r="BL413">
        <v>2017.9562773265479</v>
      </c>
      <c r="BM413">
        <v>8.6313025757965871</v>
      </c>
      <c r="BN413">
        <v>1467.32143788542</v>
      </c>
      <c r="BO413">
        <v>2113.2359408924931</v>
      </c>
    </row>
    <row r="414" spans="1:67" x14ac:dyDescent="0.25">
      <c r="A414" s="1">
        <v>412</v>
      </c>
      <c r="B414" t="s">
        <v>71</v>
      </c>
      <c r="C414" t="s">
        <v>83</v>
      </c>
      <c r="D414">
        <v>2</v>
      </c>
      <c r="E414">
        <v>6</v>
      </c>
      <c r="F414">
        <v>2</v>
      </c>
      <c r="G414">
        <v>62.06644</v>
      </c>
      <c r="H414">
        <v>10</v>
      </c>
      <c r="I414" t="s">
        <v>89</v>
      </c>
      <c r="J414">
        <v>2</v>
      </c>
      <c r="K414">
        <v>20</v>
      </c>
      <c r="L414">
        <v>60</v>
      </c>
      <c r="N414" t="s">
        <v>90</v>
      </c>
      <c r="O414">
        <v>40</v>
      </c>
      <c r="P414">
        <v>0.32</v>
      </c>
      <c r="Q414">
        <v>3.2500000000000001E-2</v>
      </c>
      <c r="R414">
        <v>77.5</v>
      </c>
      <c r="S414">
        <v>170</v>
      </c>
      <c r="T414">
        <v>50</v>
      </c>
      <c r="U414">
        <v>1812.1301775147931</v>
      </c>
      <c r="V414">
        <v>20</v>
      </c>
      <c r="W414">
        <v>0.95</v>
      </c>
      <c r="X414">
        <v>1</v>
      </c>
      <c r="Y414">
        <v>941661.23872430099</v>
      </c>
      <c r="Z414">
        <v>188332247.7448602</v>
      </c>
      <c r="AA414">
        <v>376664495.4897204</v>
      </c>
      <c r="AB414">
        <v>376664.49548972037</v>
      </c>
      <c r="AC414">
        <v>0</v>
      </c>
      <c r="AD414">
        <v>1951.9261848850419</v>
      </c>
      <c r="AE414">
        <v>702693.42655861506</v>
      </c>
      <c r="AF414">
        <v>421616.05593516899</v>
      </c>
      <c r="AG414">
        <v>26.16820763873681</v>
      </c>
      <c r="AH414">
        <v>197.92344129820569</v>
      </c>
      <c r="AI414">
        <v>98.961720649102872</v>
      </c>
      <c r="AJ414">
        <v>12241.59610341591</v>
      </c>
      <c r="AK414">
        <v>854.70085470085473</v>
      </c>
      <c r="AL414" t="s">
        <v>93</v>
      </c>
      <c r="AM414">
        <v>15339.066700610951</v>
      </c>
      <c r="AN414">
        <v>10508.730271452019</v>
      </c>
      <c r="AO414">
        <v>16823.492510347489</v>
      </c>
      <c r="AP414">
        <v>38944.093930179733</v>
      </c>
      <c r="AQ414">
        <v>22120.601419832241</v>
      </c>
      <c r="AR414">
        <v>2.9034938141203701E-2</v>
      </c>
      <c r="AS414">
        <v>467.80414892820818</v>
      </c>
      <c r="AT414">
        <v>586.17185068130209</v>
      </c>
      <c r="AU414">
        <v>401.5838767610486</v>
      </c>
      <c r="AV414">
        <v>642.8981588117507</v>
      </c>
      <c r="AW414">
        <v>1488.2216798268889</v>
      </c>
      <c r="AX414">
        <v>845.32352101513823</v>
      </c>
      <c r="AY414">
        <v>3.7817538753632389</v>
      </c>
      <c r="AZ414" t="s">
        <v>137</v>
      </c>
      <c r="BA414" t="str">
        <f>VLOOKUP($AZ414,Sheet1!$A$2:$B$58,2)</f>
        <v>Itaconate</v>
      </c>
      <c r="BB414" t="s">
        <v>185</v>
      </c>
      <c r="BC414">
        <v>128.08086</v>
      </c>
      <c r="BD414">
        <v>3.2</v>
      </c>
      <c r="BE414">
        <v>381</v>
      </c>
      <c r="BF414" t="s">
        <v>205</v>
      </c>
      <c r="BG414">
        <v>-0.2336285308491339</v>
      </c>
      <c r="BH414">
        <v>0.46295454545454601</v>
      </c>
      <c r="BI414">
        <v>0.95535775109765197</v>
      </c>
      <c r="BJ414">
        <v>80</v>
      </c>
      <c r="BK414">
        <v>1947.204696508986</v>
      </c>
      <c r="BL414">
        <v>1106.0300709916121</v>
      </c>
      <c r="BM414">
        <v>5.1817145633042774</v>
      </c>
      <c r="BN414">
        <v>880.89147576172718</v>
      </c>
      <c r="BO414">
        <v>1066.313220747259</v>
      </c>
    </row>
    <row r="415" spans="1:67" x14ac:dyDescent="0.25">
      <c r="A415" s="1">
        <v>413</v>
      </c>
      <c r="B415" t="s">
        <v>71</v>
      </c>
      <c r="C415" t="s">
        <v>83</v>
      </c>
      <c r="D415">
        <v>2</v>
      </c>
      <c r="E415">
        <v>6</v>
      </c>
      <c r="F415">
        <v>2</v>
      </c>
      <c r="G415">
        <v>62.06644</v>
      </c>
      <c r="H415">
        <v>10</v>
      </c>
      <c r="I415" t="s">
        <v>89</v>
      </c>
      <c r="J415">
        <v>2</v>
      </c>
      <c r="K415">
        <v>20</v>
      </c>
      <c r="L415">
        <v>60</v>
      </c>
      <c r="N415" t="s">
        <v>90</v>
      </c>
      <c r="O415">
        <v>40</v>
      </c>
      <c r="P415">
        <v>0.32</v>
      </c>
      <c r="Q415">
        <v>3.2500000000000001E-2</v>
      </c>
      <c r="R415">
        <v>77.5</v>
      </c>
      <c r="S415">
        <v>170</v>
      </c>
      <c r="T415">
        <v>50</v>
      </c>
      <c r="U415">
        <v>1812.1301775147931</v>
      </c>
      <c r="V415">
        <v>20</v>
      </c>
      <c r="W415">
        <v>0.95</v>
      </c>
      <c r="X415">
        <v>1</v>
      </c>
      <c r="Y415">
        <v>2643905.574192768</v>
      </c>
      <c r="Z415">
        <v>528781114.83855361</v>
      </c>
      <c r="AA415">
        <v>1057562229.677107</v>
      </c>
      <c r="AB415">
        <v>1057562.229677107</v>
      </c>
      <c r="AC415">
        <v>0</v>
      </c>
      <c r="AD415">
        <v>5480.430019209206</v>
      </c>
      <c r="AE415">
        <v>1972954.8069153139</v>
      </c>
      <c r="AF415">
        <v>1183772.8841491879</v>
      </c>
      <c r="AG415">
        <v>73.472568687672549</v>
      </c>
      <c r="AH415">
        <v>555.71034273499504</v>
      </c>
      <c r="AI415">
        <v>277.85517136749752</v>
      </c>
      <c r="AJ415">
        <v>34370.772464505993</v>
      </c>
      <c r="AK415">
        <v>854.70085470085473</v>
      </c>
      <c r="AL415" t="s">
        <v>93</v>
      </c>
      <c r="AM415">
        <v>43067.551561962107</v>
      </c>
      <c r="AN415">
        <v>29505.39896918798</v>
      </c>
      <c r="AO415">
        <v>47235.379132474583</v>
      </c>
      <c r="AP415">
        <v>107798.42385035691</v>
      </c>
      <c r="AQ415">
        <v>60563.04471788236</v>
      </c>
      <c r="AR415">
        <v>2.9034938141203701E-2</v>
      </c>
      <c r="AS415">
        <v>467.80414892820829</v>
      </c>
      <c r="AT415">
        <v>586.17185068130209</v>
      </c>
      <c r="AU415">
        <v>401.58387676104871</v>
      </c>
      <c r="AV415">
        <v>642.8981588117507</v>
      </c>
      <c r="AW415">
        <v>1467.192801011239</v>
      </c>
      <c r="AX415">
        <v>824.29464219948807</v>
      </c>
      <c r="AY415">
        <v>3.7817538753632398</v>
      </c>
      <c r="AZ415" t="s">
        <v>138</v>
      </c>
      <c r="BA415" t="str">
        <f>VLOOKUP($AZ415,Sheet1!$A$2:$B$58,2)</f>
        <v>Limonene</v>
      </c>
      <c r="BB415" t="s">
        <v>186</v>
      </c>
      <c r="BC415">
        <v>136.23244</v>
      </c>
      <c r="BD415">
        <v>5.6</v>
      </c>
      <c r="BE415">
        <v>176</v>
      </c>
      <c r="BF415" t="s">
        <v>205</v>
      </c>
      <c r="BG415">
        <v>0.93732216318344963</v>
      </c>
      <c r="BH415">
        <v>0.15502109704641401</v>
      </c>
      <c r="BI415">
        <v>0.34026304573987998</v>
      </c>
      <c r="BJ415">
        <v>80</v>
      </c>
      <c r="BK415">
        <v>5389.9211925178461</v>
      </c>
      <c r="BL415">
        <v>3028.1522358941179</v>
      </c>
      <c r="BM415">
        <v>12.955436405191429</v>
      </c>
      <c r="BN415">
        <v>2202.4241888825418</v>
      </c>
      <c r="BO415">
        <v>3187.4970036353038</v>
      </c>
    </row>
    <row r="416" spans="1:67" x14ac:dyDescent="0.25">
      <c r="A416" s="1">
        <v>414</v>
      </c>
      <c r="B416" t="s">
        <v>71</v>
      </c>
      <c r="C416" t="s">
        <v>83</v>
      </c>
      <c r="D416">
        <v>2</v>
      </c>
      <c r="E416">
        <v>6</v>
      </c>
      <c r="F416">
        <v>2</v>
      </c>
      <c r="G416">
        <v>62.06644</v>
      </c>
      <c r="H416">
        <v>10</v>
      </c>
      <c r="I416" t="s">
        <v>89</v>
      </c>
      <c r="J416">
        <v>2</v>
      </c>
      <c r="K416">
        <v>20</v>
      </c>
      <c r="L416">
        <v>60</v>
      </c>
      <c r="N416" t="s">
        <v>90</v>
      </c>
      <c r="O416">
        <v>40</v>
      </c>
      <c r="P416">
        <v>0.32</v>
      </c>
      <c r="Q416">
        <v>3.2500000000000001E-2</v>
      </c>
      <c r="R416">
        <v>77.5</v>
      </c>
      <c r="S416">
        <v>170</v>
      </c>
      <c r="T416">
        <v>50</v>
      </c>
      <c r="U416">
        <v>1812.1301775147931</v>
      </c>
      <c r="V416">
        <v>20</v>
      </c>
      <c r="W416">
        <v>0.95</v>
      </c>
      <c r="X416">
        <v>1</v>
      </c>
      <c r="Y416">
        <v>1342250.9960027321</v>
      </c>
      <c r="Z416">
        <v>268450199.20054638</v>
      </c>
      <c r="AA416">
        <v>536900398.40109289</v>
      </c>
      <c r="AB416">
        <v>536900.39840109285</v>
      </c>
      <c r="AC416">
        <v>0</v>
      </c>
      <c r="AD416">
        <v>2782.2902313948121</v>
      </c>
      <c r="AE416">
        <v>1001624.483302132</v>
      </c>
      <c r="AF416">
        <v>600974.68998127943</v>
      </c>
      <c r="AG416">
        <v>37.300359537241683</v>
      </c>
      <c r="AH416">
        <v>282.12155846481181</v>
      </c>
      <c r="AI416">
        <v>141.06077923240591</v>
      </c>
      <c r="AJ416">
        <v>17449.262948035521</v>
      </c>
      <c r="AK416">
        <v>854.70085470085473</v>
      </c>
      <c r="AL416" t="s">
        <v>93</v>
      </c>
      <c r="AM416">
        <v>21864.42078102292</v>
      </c>
      <c r="AN416">
        <v>14979.222987546471</v>
      </c>
      <c r="AO416">
        <v>23980.332469509009</v>
      </c>
      <c r="AP416">
        <v>55147.607571305758</v>
      </c>
      <c r="AQ416">
        <v>31167.275101796749</v>
      </c>
      <c r="AR416">
        <v>2.9034938141203701E-2</v>
      </c>
      <c r="AS416">
        <v>467.80414892820818</v>
      </c>
      <c r="AT416">
        <v>586.17185068130209</v>
      </c>
      <c r="AU416">
        <v>401.58387676104871</v>
      </c>
      <c r="AV416">
        <v>642.89815881175082</v>
      </c>
      <c r="AW416">
        <v>1478.4738875303569</v>
      </c>
      <c r="AX416">
        <v>835.57572871860657</v>
      </c>
      <c r="AY416">
        <v>3.7817538753632389</v>
      </c>
      <c r="AZ416" t="s">
        <v>139</v>
      </c>
      <c r="BA416" t="str">
        <f>VLOOKUP($AZ416,Sheet1!$A$2:$B$58,2)</f>
        <v>L-Lysine</v>
      </c>
      <c r="BB416" t="s">
        <v>187</v>
      </c>
      <c r="BC416">
        <v>147.19319999999999</v>
      </c>
      <c r="BD416">
        <v>4.833333333333333</v>
      </c>
      <c r="BF416" t="s">
        <v>205</v>
      </c>
      <c r="BG416">
        <v>0.32194430900870141</v>
      </c>
      <c r="BH416">
        <v>0.28261538461538499</v>
      </c>
      <c r="BI416">
        <v>0.67023482642410803</v>
      </c>
      <c r="BJ416">
        <v>80</v>
      </c>
      <c r="BK416">
        <v>2757.3803785652881</v>
      </c>
      <c r="BL416">
        <v>1558.363755089837</v>
      </c>
      <c r="BM416">
        <v>6.7310946526115929</v>
      </c>
      <c r="BN416">
        <v>1144.286090943971</v>
      </c>
      <c r="BO416">
        <v>1613.0942876213171</v>
      </c>
    </row>
    <row r="417" spans="1:67" x14ac:dyDescent="0.25">
      <c r="A417" s="1">
        <v>415</v>
      </c>
      <c r="B417" t="s">
        <v>71</v>
      </c>
      <c r="C417" t="s">
        <v>83</v>
      </c>
      <c r="D417">
        <v>2</v>
      </c>
      <c r="E417">
        <v>6</v>
      </c>
      <c r="F417">
        <v>2</v>
      </c>
      <c r="G417">
        <v>62.06644</v>
      </c>
      <c r="H417">
        <v>10</v>
      </c>
      <c r="I417" t="s">
        <v>89</v>
      </c>
      <c r="J417">
        <v>2</v>
      </c>
      <c r="K417">
        <v>20</v>
      </c>
      <c r="L417">
        <v>60</v>
      </c>
      <c r="N417" t="s">
        <v>90</v>
      </c>
      <c r="O417">
        <v>40</v>
      </c>
      <c r="P417">
        <v>0.32</v>
      </c>
      <c r="Q417">
        <v>3.2500000000000001E-2</v>
      </c>
      <c r="R417">
        <v>77.5</v>
      </c>
      <c r="S417">
        <v>170</v>
      </c>
      <c r="T417">
        <v>50</v>
      </c>
      <c r="U417">
        <v>1812.1301775147931</v>
      </c>
      <c r="V417">
        <v>20</v>
      </c>
      <c r="W417">
        <v>0.95</v>
      </c>
      <c r="X417">
        <v>1</v>
      </c>
      <c r="Y417">
        <v>643408.11005569308</v>
      </c>
      <c r="Z417">
        <v>128681622.0111386</v>
      </c>
      <c r="AA417">
        <v>257363244.02227721</v>
      </c>
      <c r="AB417">
        <v>257363.24402227721</v>
      </c>
      <c r="AC417">
        <v>0</v>
      </c>
      <c r="AD417">
        <v>1333.6910195926639</v>
      </c>
      <c r="AE417">
        <v>480128.76705335907</v>
      </c>
      <c r="AF417">
        <v>288077.26023201551</v>
      </c>
      <c r="AG417">
        <v>17.879929987554771</v>
      </c>
      <c r="AH417">
        <v>135.23498904331731</v>
      </c>
      <c r="AI417">
        <v>67.617494521658671</v>
      </c>
      <c r="AJ417">
        <v>8364.3054307240109</v>
      </c>
      <c r="AK417">
        <v>854.70085470085473</v>
      </c>
      <c r="AL417" t="s">
        <v>93</v>
      </c>
      <c r="AM417">
        <v>10480.711650857091</v>
      </c>
      <c r="AN417">
        <v>7180.291600618375</v>
      </c>
      <c r="AO417">
        <v>11494.97406868197</v>
      </c>
      <c r="AP417">
        <v>26880.009536900339</v>
      </c>
      <c r="AQ417">
        <v>15385.035468218361</v>
      </c>
      <c r="AR417">
        <v>2.9034938141203701E-2</v>
      </c>
      <c r="AS417">
        <v>467.80414892820829</v>
      </c>
      <c r="AT417">
        <v>586.17185068130209</v>
      </c>
      <c r="AU417">
        <v>401.58387676104871</v>
      </c>
      <c r="AV417">
        <v>642.8981588117507</v>
      </c>
      <c r="AW417">
        <v>1503.3621247739791</v>
      </c>
      <c r="AX417">
        <v>860.4639659622286</v>
      </c>
      <c r="AY417">
        <v>3.7817538753632398</v>
      </c>
      <c r="AZ417" t="s">
        <v>140</v>
      </c>
      <c r="BA417" t="str">
        <f>VLOOKUP($AZ417,Sheet1!$A$2:$B$58,2)</f>
        <v>L-Malate</v>
      </c>
      <c r="BB417" t="s">
        <v>188</v>
      </c>
      <c r="BC417">
        <v>132.06916000000001</v>
      </c>
      <c r="BD417">
        <v>2.5</v>
      </c>
      <c r="BF417" t="s">
        <v>205</v>
      </c>
      <c r="BG417">
        <v>-0.31867491342870918</v>
      </c>
      <c r="BH417">
        <v>0.65709677419354795</v>
      </c>
      <c r="BI417">
        <v>1.39821576580004</v>
      </c>
      <c r="BJ417">
        <v>80</v>
      </c>
      <c r="BK417">
        <v>1344.0004768450169</v>
      </c>
      <c r="BL417">
        <v>769.25177341091808</v>
      </c>
      <c r="BM417">
        <v>3.699549639511643</v>
      </c>
      <c r="BN417">
        <v>628.92343871697938</v>
      </c>
      <c r="BO417">
        <v>715.07703812803732</v>
      </c>
    </row>
    <row r="418" spans="1:67" x14ac:dyDescent="0.25">
      <c r="A418" s="1">
        <v>416</v>
      </c>
      <c r="B418" t="s">
        <v>71</v>
      </c>
      <c r="C418" t="s">
        <v>83</v>
      </c>
      <c r="D418">
        <v>2</v>
      </c>
      <c r="E418">
        <v>6</v>
      </c>
      <c r="F418">
        <v>2</v>
      </c>
      <c r="G418">
        <v>62.06644</v>
      </c>
      <c r="H418">
        <v>10</v>
      </c>
      <c r="I418" t="s">
        <v>89</v>
      </c>
      <c r="J418">
        <v>2</v>
      </c>
      <c r="K418">
        <v>20</v>
      </c>
      <c r="L418">
        <v>60</v>
      </c>
      <c r="N418" t="s">
        <v>90</v>
      </c>
      <c r="O418">
        <v>40</v>
      </c>
      <c r="P418">
        <v>0.32</v>
      </c>
      <c r="Q418">
        <v>3.2500000000000001E-2</v>
      </c>
      <c r="R418">
        <v>77.5</v>
      </c>
      <c r="S418">
        <v>170</v>
      </c>
      <c r="T418">
        <v>50</v>
      </c>
      <c r="U418">
        <v>1812.1301775147931</v>
      </c>
      <c r="V418">
        <v>20</v>
      </c>
      <c r="W418">
        <v>0.95</v>
      </c>
      <c r="X418">
        <v>1</v>
      </c>
      <c r="Y418">
        <v>593226.32882066316</v>
      </c>
      <c r="Z418">
        <v>118645265.7641326</v>
      </c>
      <c r="AA418">
        <v>237290531.5282653</v>
      </c>
      <c r="AB418">
        <v>237290.5315282653</v>
      </c>
      <c r="AC418">
        <v>0</v>
      </c>
      <c r="AD418">
        <v>1229.671517919722</v>
      </c>
      <c r="AE418">
        <v>442681.74645109981</v>
      </c>
      <c r="AF418">
        <v>265609.04787065991</v>
      </c>
      <c r="AG418">
        <v>16.485408033121441</v>
      </c>
      <c r="AH418">
        <v>124.6875114324025</v>
      </c>
      <c r="AI418">
        <v>62.343755716201272</v>
      </c>
      <c r="AJ418">
        <v>7711.9422746686214</v>
      </c>
      <c r="AK418">
        <v>854.70085470085473</v>
      </c>
      <c r="AL418" t="s">
        <v>93</v>
      </c>
      <c r="AM418">
        <v>9663.2821360111975</v>
      </c>
      <c r="AN418">
        <v>6620.2740679286389</v>
      </c>
      <c r="AO418">
        <v>10598.43847175422</v>
      </c>
      <c r="AP418">
        <v>24850.199333309309</v>
      </c>
      <c r="AQ418">
        <v>14251.7608615551</v>
      </c>
      <c r="AR418">
        <v>2.9034938141203701E-2</v>
      </c>
      <c r="AS418">
        <v>467.80414892820818</v>
      </c>
      <c r="AT418">
        <v>586.17185068130198</v>
      </c>
      <c r="AU418">
        <v>401.58387676104849</v>
      </c>
      <c r="AV418">
        <v>642.8981588117507</v>
      </c>
      <c r="AW418">
        <v>1507.4057786972501</v>
      </c>
      <c r="AX418">
        <v>864.50761988549891</v>
      </c>
      <c r="AY418">
        <v>3.7817538753632389</v>
      </c>
      <c r="AZ418" t="s">
        <v>141</v>
      </c>
      <c r="BA418" t="str">
        <f>VLOOKUP($AZ418,Sheet1!$A$2:$B$58,2)</f>
        <v>Malonate</v>
      </c>
      <c r="BB418" t="s">
        <v>189</v>
      </c>
      <c r="BC418">
        <v>102.04378</v>
      </c>
      <c r="BD418">
        <v>2</v>
      </c>
      <c r="BE418">
        <v>199</v>
      </c>
      <c r="BF418" t="s">
        <v>205</v>
      </c>
      <c r="BG418">
        <v>-0.35869948280986769</v>
      </c>
      <c r="BH418">
        <v>0.92238095238095297</v>
      </c>
      <c r="BI418">
        <v>1.5164926430557</v>
      </c>
      <c r="BJ418">
        <v>80</v>
      </c>
      <c r="BK418">
        <v>1242.509966665466</v>
      </c>
      <c r="BL418">
        <v>712.58804307775483</v>
      </c>
      <c r="BM418">
        <v>3.4758872686199318</v>
      </c>
      <c r="BN418">
        <v>590.9008356653884</v>
      </c>
      <c r="BO418">
        <v>651.60913100007735</v>
      </c>
    </row>
    <row r="419" spans="1:67" x14ac:dyDescent="0.25">
      <c r="A419" s="1">
        <v>417</v>
      </c>
      <c r="B419" t="s">
        <v>71</v>
      </c>
      <c r="C419" t="s">
        <v>83</v>
      </c>
      <c r="D419">
        <v>2</v>
      </c>
      <c r="E419">
        <v>6</v>
      </c>
      <c r="F419">
        <v>2</v>
      </c>
      <c r="G419">
        <v>62.06644</v>
      </c>
      <c r="H419">
        <v>10</v>
      </c>
      <c r="I419" t="s">
        <v>89</v>
      </c>
      <c r="J419">
        <v>2</v>
      </c>
      <c r="K419">
        <v>20</v>
      </c>
      <c r="L419">
        <v>60</v>
      </c>
      <c r="N419" t="s">
        <v>90</v>
      </c>
      <c r="O419">
        <v>40</v>
      </c>
      <c r="P419">
        <v>0.32</v>
      </c>
      <c r="Q419">
        <v>3.2500000000000001E-2</v>
      </c>
      <c r="R419">
        <v>77.5</v>
      </c>
      <c r="S419">
        <v>170</v>
      </c>
      <c r="T419">
        <v>50</v>
      </c>
      <c r="U419">
        <v>1812.1301775147931</v>
      </c>
      <c r="V419">
        <v>20</v>
      </c>
      <c r="W419">
        <v>0.95</v>
      </c>
      <c r="X419">
        <v>1</v>
      </c>
      <c r="Y419">
        <v>2579842.0161702521</v>
      </c>
      <c r="Z419">
        <v>515968403.23405027</v>
      </c>
      <c r="AA419">
        <v>1031936806.468101</v>
      </c>
      <c r="AB419">
        <v>1031936.806468101</v>
      </c>
      <c r="AC419">
        <v>0</v>
      </c>
      <c r="AD419">
        <v>5347.6356221811857</v>
      </c>
      <c r="AE419">
        <v>1925148.8239852269</v>
      </c>
      <c r="AF419">
        <v>1155089.2943911359</v>
      </c>
      <c r="AG419">
        <v>71.692280384969777</v>
      </c>
      <c r="AH419">
        <v>542.24511835897488</v>
      </c>
      <c r="AI419">
        <v>271.12255917948738</v>
      </c>
      <c r="AJ419">
        <v>33537.946210213267</v>
      </c>
      <c r="AK419">
        <v>854.70085470085473</v>
      </c>
      <c r="AL419" t="s">
        <v>93</v>
      </c>
      <c r="AM419">
        <v>42023.996672820547</v>
      </c>
      <c r="AN419">
        <v>28790.46389083625</v>
      </c>
      <c r="AO419">
        <v>46090.835060512873</v>
      </c>
      <c r="AP419">
        <v>105207.1076285709</v>
      </c>
      <c r="AQ419">
        <v>59116.272568058077</v>
      </c>
      <c r="AR419">
        <v>2.9034938141203701E-2</v>
      </c>
      <c r="AS419">
        <v>467.80414892820829</v>
      </c>
      <c r="AT419">
        <v>586.17185068130209</v>
      </c>
      <c r="AU419">
        <v>401.58387676104871</v>
      </c>
      <c r="AV419">
        <v>642.89815881175082</v>
      </c>
      <c r="AW419">
        <v>1467.481673949201</v>
      </c>
      <c r="AX419">
        <v>824.5835151374506</v>
      </c>
      <c r="AY419">
        <v>3.7817538753632398</v>
      </c>
      <c r="AZ419" t="s">
        <v>142</v>
      </c>
      <c r="BA419" t="str">
        <f>VLOOKUP($AZ419,Sheet1!$A$2:$B$58,2)</f>
        <v>Nonane</v>
      </c>
      <c r="BB419" t="s">
        <v>190</v>
      </c>
      <c r="BC419">
        <v>128.25309999999999</v>
      </c>
      <c r="BD419">
        <v>6.2222222222222223</v>
      </c>
      <c r="BE419">
        <v>151</v>
      </c>
      <c r="BF419" t="s">
        <v>205</v>
      </c>
      <c r="BG419">
        <v>0.97849460610894723</v>
      </c>
      <c r="BH419">
        <v>0.16875486381322899</v>
      </c>
      <c r="BI419">
        <v>0.34871257917527798</v>
      </c>
      <c r="BJ419">
        <v>80</v>
      </c>
      <c r="BK419">
        <v>5260.355381428546</v>
      </c>
      <c r="BL419">
        <v>2955.8136284029029</v>
      </c>
      <c r="BM419">
        <v>12.57763335286543</v>
      </c>
      <c r="BN419">
        <v>2138.197669987122</v>
      </c>
      <c r="BO419">
        <v>3122.157711441424</v>
      </c>
    </row>
    <row r="420" spans="1:67" x14ac:dyDescent="0.25">
      <c r="A420" s="1">
        <v>418</v>
      </c>
      <c r="B420" t="s">
        <v>71</v>
      </c>
      <c r="C420" t="s">
        <v>83</v>
      </c>
      <c r="D420">
        <v>2</v>
      </c>
      <c r="E420">
        <v>6</v>
      </c>
      <c r="F420">
        <v>2</v>
      </c>
      <c r="G420">
        <v>62.06644</v>
      </c>
      <c r="H420">
        <v>10</v>
      </c>
      <c r="I420" t="s">
        <v>89</v>
      </c>
      <c r="J420">
        <v>2</v>
      </c>
      <c r="K420">
        <v>20</v>
      </c>
      <c r="L420">
        <v>60</v>
      </c>
      <c r="N420" t="s">
        <v>90</v>
      </c>
      <c r="O420">
        <v>40</v>
      </c>
      <c r="P420">
        <v>0.32</v>
      </c>
      <c r="Q420">
        <v>3.2500000000000001E-2</v>
      </c>
      <c r="R420">
        <v>77.5</v>
      </c>
      <c r="S420">
        <v>170</v>
      </c>
      <c r="T420">
        <v>50</v>
      </c>
      <c r="U420">
        <v>1812.1301775147931</v>
      </c>
      <c r="V420">
        <v>20</v>
      </c>
      <c r="W420">
        <v>0.95</v>
      </c>
      <c r="X420">
        <v>1</v>
      </c>
      <c r="Y420">
        <v>2603103.8206020752</v>
      </c>
      <c r="Z420">
        <v>520620764.12041497</v>
      </c>
      <c r="AA420">
        <v>1041241528.2408299</v>
      </c>
      <c r="AB420">
        <v>1041241.5282408301</v>
      </c>
      <c r="AC420">
        <v>0</v>
      </c>
      <c r="AD420">
        <v>5395.853944557568</v>
      </c>
      <c r="AE420">
        <v>1942507.420040725</v>
      </c>
      <c r="AF420">
        <v>1165504.4520244349</v>
      </c>
      <c r="AG420">
        <v>72.338712141307454</v>
      </c>
      <c r="AH420">
        <v>547.13440995835049</v>
      </c>
      <c r="AI420">
        <v>273.56720497917519</v>
      </c>
      <c r="AJ420">
        <v>33840.34966782698</v>
      </c>
      <c r="AK420">
        <v>854.70085470085473</v>
      </c>
      <c r="AL420" t="s">
        <v>93</v>
      </c>
      <c r="AM420">
        <v>42402.916771772158</v>
      </c>
      <c r="AN420">
        <v>29050.06046160778</v>
      </c>
      <c r="AO420">
        <v>46506.424846459791</v>
      </c>
      <c r="AP420">
        <v>106148.02775590779</v>
      </c>
      <c r="AQ420">
        <v>59641.602909447989</v>
      </c>
      <c r="AR420">
        <v>2.9034938141203701E-2</v>
      </c>
      <c r="AS420">
        <v>467.80414892820829</v>
      </c>
      <c r="AT420">
        <v>586.17185068130198</v>
      </c>
      <c r="AU420">
        <v>401.5838767610486</v>
      </c>
      <c r="AV420">
        <v>642.89815881175059</v>
      </c>
      <c r="AW420">
        <v>1467.375138619509</v>
      </c>
      <c r="AX420">
        <v>824.4769798077582</v>
      </c>
      <c r="AY420">
        <v>3.7817538753632389</v>
      </c>
      <c r="AZ420" t="s">
        <v>143</v>
      </c>
      <c r="BA420" t="str">
        <f>VLOOKUP($AZ420,Sheet1!$A$2:$B$58,2)</f>
        <v>Octane</v>
      </c>
      <c r="BB420" t="s">
        <v>191</v>
      </c>
      <c r="BC420">
        <v>114.22672</v>
      </c>
      <c r="BD420">
        <v>6.25</v>
      </c>
      <c r="BE420">
        <v>126</v>
      </c>
      <c r="BF420" t="s">
        <v>205</v>
      </c>
      <c r="BG420">
        <v>1.0212196406251219</v>
      </c>
      <c r="BH420">
        <v>0.18778378378378399</v>
      </c>
      <c r="BI420">
        <v>0.34559642078178898</v>
      </c>
      <c r="BJ420">
        <v>80</v>
      </c>
      <c r="BK420">
        <v>5307.4013877953876</v>
      </c>
      <c r="BL420">
        <v>2982.0801454723992</v>
      </c>
      <c r="BM420">
        <v>12.65714060833364</v>
      </c>
      <c r="BN420">
        <v>2151.7139034167189</v>
      </c>
      <c r="BO420">
        <v>3155.6874843786691</v>
      </c>
    </row>
    <row r="421" spans="1:67" x14ac:dyDescent="0.25">
      <c r="A421" s="1">
        <v>419</v>
      </c>
      <c r="B421" t="s">
        <v>71</v>
      </c>
      <c r="C421" t="s">
        <v>83</v>
      </c>
      <c r="D421">
        <v>2</v>
      </c>
      <c r="E421">
        <v>6</v>
      </c>
      <c r="F421">
        <v>2</v>
      </c>
      <c r="G421">
        <v>62.06644</v>
      </c>
      <c r="H421">
        <v>10</v>
      </c>
      <c r="I421" t="s">
        <v>89</v>
      </c>
      <c r="J421">
        <v>2</v>
      </c>
      <c r="K421">
        <v>20</v>
      </c>
      <c r="L421">
        <v>60</v>
      </c>
      <c r="N421" t="s">
        <v>90</v>
      </c>
      <c r="O421">
        <v>40</v>
      </c>
      <c r="P421">
        <v>0.32</v>
      </c>
      <c r="Q421">
        <v>3.2500000000000001E-2</v>
      </c>
      <c r="R421">
        <v>77.5</v>
      </c>
      <c r="S421">
        <v>170</v>
      </c>
      <c r="T421">
        <v>50</v>
      </c>
      <c r="U421">
        <v>1812.1301775147931</v>
      </c>
      <c r="V421">
        <v>20</v>
      </c>
      <c r="W421">
        <v>0.95</v>
      </c>
      <c r="X421">
        <v>1</v>
      </c>
      <c r="Y421">
        <v>2667763.238240636</v>
      </c>
      <c r="Z421">
        <v>533552647.64812732</v>
      </c>
      <c r="AA421">
        <v>1067105295.296255</v>
      </c>
      <c r="AB421">
        <v>1067105.295296255</v>
      </c>
      <c r="AC421">
        <v>66773.504273504266</v>
      </c>
      <c r="AD421">
        <v>5529.8834715232379</v>
      </c>
      <c r="AE421">
        <v>1990758.049748366</v>
      </c>
      <c r="AF421">
        <v>1194454.8298490189</v>
      </c>
      <c r="AG421">
        <v>74.135559029534363</v>
      </c>
      <c r="AH421">
        <v>560.72487532432365</v>
      </c>
      <c r="AI421">
        <v>280.36243766216182</v>
      </c>
      <c r="AJ421">
        <v>34680.922097128278</v>
      </c>
      <c r="AK421">
        <v>2170.1388888888891</v>
      </c>
      <c r="AL421" t="s">
        <v>95</v>
      </c>
      <c r="AM421">
        <v>43456.177837635078</v>
      </c>
      <c r="AN421">
        <v>29771.645200927978</v>
      </c>
      <c r="AO421">
        <v>47661.614402567509</v>
      </c>
      <c r="AP421">
        <v>110078.8840245802</v>
      </c>
      <c r="AQ421">
        <v>62417.269622012718</v>
      </c>
      <c r="AR421">
        <v>2.9034938141203712E-2</v>
      </c>
      <c r="AS421">
        <v>467.80414892820829</v>
      </c>
      <c r="AT421">
        <v>586.17185068130209</v>
      </c>
      <c r="AU421">
        <v>401.58387676104871</v>
      </c>
      <c r="AV421">
        <v>642.8981588117507</v>
      </c>
      <c r="AW421">
        <v>1484.8324537584811</v>
      </c>
      <c r="AX421">
        <v>841.93429494673035</v>
      </c>
      <c r="AY421">
        <v>3.7817538753632398</v>
      </c>
      <c r="AZ421" t="s">
        <v>144</v>
      </c>
      <c r="BA421" t="str">
        <f>VLOOKUP($AZ421,Sheet1!$A$2:$B$58,2)</f>
        <v>Pentane</v>
      </c>
      <c r="BB421" t="s">
        <v>192</v>
      </c>
      <c r="BC421">
        <v>72.147580000000005</v>
      </c>
      <c r="BD421">
        <v>6.4</v>
      </c>
      <c r="BE421">
        <v>36.1</v>
      </c>
      <c r="BF421" t="s">
        <v>205</v>
      </c>
      <c r="BG421">
        <v>1.155440924611659</v>
      </c>
      <c r="BH421">
        <v>0.29010033444816102</v>
      </c>
      <c r="BI421">
        <v>0.33722009150885901</v>
      </c>
      <c r="BJ421">
        <v>80</v>
      </c>
      <c r="BK421">
        <v>5503.9442012290119</v>
      </c>
      <c r="BL421">
        <v>3120.8634811006359</v>
      </c>
      <c r="BM421">
        <v>12.862680958496441</v>
      </c>
      <c r="BN421">
        <v>2186.6557629443942</v>
      </c>
      <c r="BO421">
        <v>3317.2884382846182</v>
      </c>
    </row>
    <row r="422" spans="1:67" x14ac:dyDescent="0.25">
      <c r="A422" s="1">
        <v>420</v>
      </c>
      <c r="B422" t="s">
        <v>71</v>
      </c>
      <c r="C422" t="s">
        <v>83</v>
      </c>
      <c r="D422">
        <v>2</v>
      </c>
      <c r="E422">
        <v>6</v>
      </c>
      <c r="F422">
        <v>2</v>
      </c>
      <c r="G422">
        <v>62.06644</v>
      </c>
      <c r="H422">
        <v>10</v>
      </c>
      <c r="I422" t="s">
        <v>89</v>
      </c>
      <c r="J422">
        <v>2</v>
      </c>
      <c r="K422">
        <v>20</v>
      </c>
      <c r="L422">
        <v>60</v>
      </c>
      <c r="N422" t="s">
        <v>90</v>
      </c>
      <c r="O422">
        <v>40</v>
      </c>
      <c r="P422">
        <v>0.32</v>
      </c>
      <c r="Q422">
        <v>3.2500000000000001E-2</v>
      </c>
      <c r="R422">
        <v>77.5</v>
      </c>
      <c r="S422">
        <v>170</v>
      </c>
      <c r="T422">
        <v>50</v>
      </c>
      <c r="U422">
        <v>1812.1301775147931</v>
      </c>
      <c r="V422">
        <v>20</v>
      </c>
      <c r="W422">
        <v>0.95</v>
      </c>
      <c r="X422">
        <v>1</v>
      </c>
      <c r="Y422">
        <v>2120692.860468593</v>
      </c>
      <c r="Z422">
        <v>424138572.09371859</v>
      </c>
      <c r="AA422">
        <v>848277144.1874373</v>
      </c>
      <c r="AB422">
        <v>848277.14418743725</v>
      </c>
      <c r="AC422">
        <v>0</v>
      </c>
      <c r="AD422">
        <v>4395.8864974151802</v>
      </c>
      <c r="AE422">
        <v>1582519.139069465</v>
      </c>
      <c r="AF422">
        <v>949511.48344167881</v>
      </c>
      <c r="AG422">
        <v>58.932797516343953</v>
      </c>
      <c r="AH422">
        <v>445.73867078686192</v>
      </c>
      <c r="AI422">
        <v>222.8693353934309</v>
      </c>
      <c r="AJ422">
        <v>27569.007186091709</v>
      </c>
      <c r="AK422">
        <v>854.70085470085473</v>
      </c>
      <c r="AL422" t="s">
        <v>93</v>
      </c>
      <c r="AM422">
        <v>34544.746985981787</v>
      </c>
      <c r="AN422">
        <v>23666.461294987312</v>
      </c>
      <c r="AO422">
        <v>37887.78701688326</v>
      </c>
      <c r="AP422">
        <v>86634.916321761673</v>
      </c>
      <c r="AQ422">
        <v>48747.129304878406</v>
      </c>
      <c r="AR422">
        <v>2.9034938141203712E-2</v>
      </c>
      <c r="AS422">
        <v>467.80414892820829</v>
      </c>
      <c r="AT422">
        <v>586.17185068130243</v>
      </c>
      <c r="AU422">
        <v>401.58387676104871</v>
      </c>
      <c r="AV422">
        <v>642.89815881175105</v>
      </c>
      <c r="AW422">
        <v>1470.062850787544</v>
      </c>
      <c r="AX422">
        <v>827.16469197579272</v>
      </c>
      <c r="AY422">
        <v>3.7817538753632411</v>
      </c>
      <c r="AZ422" t="s">
        <v>145</v>
      </c>
      <c r="BA422" t="str">
        <f>VLOOKUP($AZ422,Sheet1!$A$2:$B$58,2)</f>
        <v>Pentanol (PW1)</v>
      </c>
      <c r="BB422" t="s">
        <v>157</v>
      </c>
      <c r="BC422">
        <v>88.14658</v>
      </c>
      <c r="BD422">
        <v>6</v>
      </c>
      <c r="BE422">
        <v>138</v>
      </c>
      <c r="BF422" t="s">
        <v>205</v>
      </c>
      <c r="BG422">
        <v>0.84663222825224071</v>
      </c>
      <c r="BH422">
        <v>0.29869918699186998</v>
      </c>
      <c r="BI422">
        <v>0.42421200169679202</v>
      </c>
      <c r="BJ422">
        <v>80</v>
      </c>
      <c r="BK422">
        <v>4331.7458160880833</v>
      </c>
      <c r="BL422">
        <v>2437.35646524392</v>
      </c>
      <c r="BM422">
        <v>10.296834541419299</v>
      </c>
      <c r="BN422">
        <v>1750.461872041282</v>
      </c>
      <c r="BO422">
        <v>2581.283944046801</v>
      </c>
    </row>
    <row r="423" spans="1:67" x14ac:dyDescent="0.25">
      <c r="A423" s="1">
        <v>421</v>
      </c>
      <c r="B423" t="s">
        <v>71</v>
      </c>
      <c r="C423" t="s">
        <v>83</v>
      </c>
      <c r="D423">
        <v>2</v>
      </c>
      <c r="E423">
        <v>6</v>
      </c>
      <c r="F423">
        <v>2</v>
      </c>
      <c r="G423">
        <v>62.06644</v>
      </c>
      <c r="H423">
        <v>10</v>
      </c>
      <c r="I423" t="s">
        <v>89</v>
      </c>
      <c r="J423">
        <v>2</v>
      </c>
      <c r="K423">
        <v>20</v>
      </c>
      <c r="L423">
        <v>60</v>
      </c>
      <c r="N423" t="s">
        <v>90</v>
      </c>
      <c r="O423">
        <v>40</v>
      </c>
      <c r="P423">
        <v>0.32</v>
      </c>
      <c r="Q423">
        <v>3.2500000000000001E-2</v>
      </c>
      <c r="R423">
        <v>77.5</v>
      </c>
      <c r="S423">
        <v>170</v>
      </c>
      <c r="T423">
        <v>50</v>
      </c>
      <c r="U423">
        <v>1812.1301775147931</v>
      </c>
      <c r="V423">
        <v>20</v>
      </c>
      <c r="W423">
        <v>0.95</v>
      </c>
      <c r="X423">
        <v>1</v>
      </c>
      <c r="Y423">
        <v>2316738.727514314</v>
      </c>
      <c r="Z423">
        <v>463347745.50286269</v>
      </c>
      <c r="AA423">
        <v>926695491.00572538</v>
      </c>
      <c r="AB423">
        <v>926695.49100572534</v>
      </c>
      <c r="AC423">
        <v>0</v>
      </c>
      <c r="AD423">
        <v>4802.2609403554507</v>
      </c>
      <c r="AE423">
        <v>1728813.938527962</v>
      </c>
      <c r="AF423">
        <v>1037288.363116777</v>
      </c>
      <c r="AG423">
        <v>64.380795952085663</v>
      </c>
      <c r="AH423">
        <v>486.94464918153989</v>
      </c>
      <c r="AI423">
        <v>243.47232459077</v>
      </c>
      <c r="AJ423">
        <v>30117.603457686069</v>
      </c>
      <c r="AK423">
        <v>854.70085470085473</v>
      </c>
      <c r="AL423" t="s">
        <v>93</v>
      </c>
      <c r="AM423">
        <v>37738.210311569354</v>
      </c>
      <c r="AN423">
        <v>25854.289627400602</v>
      </c>
      <c r="AO423">
        <v>41390.295180430898</v>
      </c>
      <c r="AP423">
        <v>94564.80425135688</v>
      </c>
      <c r="AQ423">
        <v>53174.509070925982</v>
      </c>
      <c r="AR423">
        <v>2.9034938141203701E-2</v>
      </c>
      <c r="AS423">
        <v>467.80414892820829</v>
      </c>
      <c r="AT423">
        <v>586.17185068130209</v>
      </c>
      <c r="AU423">
        <v>401.58387676104883</v>
      </c>
      <c r="AV423">
        <v>642.89815881175082</v>
      </c>
      <c r="AW423">
        <v>1468.835587583216</v>
      </c>
      <c r="AX423">
        <v>825.93742877146519</v>
      </c>
      <c r="AY423">
        <v>3.7817538753632398</v>
      </c>
      <c r="AZ423" t="s">
        <v>146</v>
      </c>
      <c r="BA423" t="str">
        <f>VLOOKUP($AZ423,Sheet1!$A$2:$B$58,2)</f>
        <v>Pentanol (PW2)</v>
      </c>
      <c r="BB423" t="s">
        <v>157</v>
      </c>
      <c r="BC423">
        <v>88.14658</v>
      </c>
      <c r="BD423">
        <v>6</v>
      </c>
      <c r="BE423">
        <v>138</v>
      </c>
      <c r="BF423" t="s">
        <v>205</v>
      </c>
      <c r="BG423">
        <v>1.1556772653827989</v>
      </c>
      <c r="BH423">
        <v>0.27342281879194602</v>
      </c>
      <c r="BI423">
        <v>0.38831455297020301</v>
      </c>
      <c r="BJ423">
        <v>80</v>
      </c>
      <c r="BK423">
        <v>4728.2402125678436</v>
      </c>
      <c r="BL423">
        <v>2658.7254535462989</v>
      </c>
      <c r="BM423">
        <v>11.0179389641557</v>
      </c>
      <c r="BN423">
        <v>1873.0496239064689</v>
      </c>
      <c r="BO423">
        <v>2855.1905886613749</v>
      </c>
    </row>
    <row r="424" spans="1:67" x14ac:dyDescent="0.25">
      <c r="A424" s="1">
        <v>422</v>
      </c>
      <c r="B424" t="s">
        <v>71</v>
      </c>
      <c r="C424" t="s">
        <v>83</v>
      </c>
      <c r="D424">
        <v>2</v>
      </c>
      <c r="E424">
        <v>6</v>
      </c>
      <c r="F424">
        <v>2</v>
      </c>
      <c r="G424">
        <v>62.06644</v>
      </c>
      <c r="H424">
        <v>10</v>
      </c>
      <c r="I424" t="s">
        <v>89</v>
      </c>
      <c r="J424">
        <v>2</v>
      </c>
      <c r="K424">
        <v>20</v>
      </c>
      <c r="L424">
        <v>60</v>
      </c>
      <c r="N424" t="s">
        <v>90</v>
      </c>
      <c r="O424">
        <v>40</v>
      </c>
      <c r="P424">
        <v>0.32</v>
      </c>
      <c r="Q424">
        <v>3.2500000000000001E-2</v>
      </c>
      <c r="R424">
        <v>77.5</v>
      </c>
      <c r="S424">
        <v>170</v>
      </c>
      <c r="T424">
        <v>50</v>
      </c>
      <c r="U424">
        <v>1812.1301775147931</v>
      </c>
      <c r="V424">
        <v>20</v>
      </c>
      <c r="W424">
        <v>0.95</v>
      </c>
      <c r="X424">
        <v>1</v>
      </c>
      <c r="Y424">
        <v>2400793.7545986432</v>
      </c>
      <c r="Z424">
        <v>480158750.91972858</v>
      </c>
      <c r="AA424">
        <v>960317501.83945715</v>
      </c>
      <c r="AB424">
        <v>960317.5018394572</v>
      </c>
      <c r="AC424">
        <v>0</v>
      </c>
      <c r="AD424">
        <v>4976.4947322861817</v>
      </c>
      <c r="AE424">
        <v>1791538.1036230261</v>
      </c>
      <c r="AF424">
        <v>1074922.862173815</v>
      </c>
      <c r="AG424">
        <v>66.716635329739375</v>
      </c>
      <c r="AH424">
        <v>504.61178841887579</v>
      </c>
      <c r="AI424">
        <v>252.30589420943789</v>
      </c>
      <c r="AJ424">
        <v>31210.318809782359</v>
      </c>
      <c r="AK424">
        <v>854.70085470085473</v>
      </c>
      <c r="AL424" t="s">
        <v>93</v>
      </c>
      <c r="AM424">
        <v>39107.413602462882</v>
      </c>
      <c r="AN424">
        <v>26792.325060169878</v>
      </c>
      <c r="AO424">
        <v>42892.002015604441</v>
      </c>
      <c r="AP424">
        <v>97964.758327115982</v>
      </c>
      <c r="AQ424">
        <v>55072.756311511541</v>
      </c>
      <c r="AR424">
        <v>2.9034938141203701E-2</v>
      </c>
      <c r="AS424">
        <v>467.80414892820818</v>
      </c>
      <c r="AT424">
        <v>586.17185068130209</v>
      </c>
      <c r="AU424">
        <v>401.5838767610486</v>
      </c>
      <c r="AV424">
        <v>642.8981588117507</v>
      </c>
      <c r="AW424">
        <v>1468.3707870298961</v>
      </c>
      <c r="AX424">
        <v>825.47262821814559</v>
      </c>
      <c r="AY424">
        <v>3.7817538753632389</v>
      </c>
      <c r="AZ424" t="s">
        <v>147</v>
      </c>
      <c r="BA424" t="str">
        <f>VLOOKUP($AZ424,Sheet1!$A$2:$B$58,2)</f>
        <v>Phenol</v>
      </c>
      <c r="BB424" t="s">
        <v>193</v>
      </c>
      <c r="BC424">
        <v>94.11023999999999</v>
      </c>
      <c r="BD424">
        <v>4.666666666666667</v>
      </c>
      <c r="BE424">
        <v>181.7</v>
      </c>
      <c r="BF424" t="s">
        <v>205</v>
      </c>
      <c r="BG424">
        <v>0.97873253114949699</v>
      </c>
      <c r="BH424">
        <v>0.24713004484304901</v>
      </c>
      <c r="BI424">
        <v>0.37471913678560598</v>
      </c>
      <c r="BJ424">
        <v>80</v>
      </c>
      <c r="BK424">
        <v>4898.2379163557989</v>
      </c>
      <c r="BL424">
        <v>2753.637815575577</v>
      </c>
      <c r="BM424">
        <v>11.6365621793224</v>
      </c>
      <c r="BN424">
        <v>1978.2155704848069</v>
      </c>
      <c r="BO424">
        <v>2920.022345870992</v>
      </c>
    </row>
    <row r="425" spans="1:67" x14ac:dyDescent="0.25">
      <c r="A425" s="1">
        <v>423</v>
      </c>
      <c r="B425" t="s">
        <v>71</v>
      </c>
      <c r="C425" t="s">
        <v>83</v>
      </c>
      <c r="D425">
        <v>2</v>
      </c>
      <c r="E425">
        <v>6</v>
      </c>
      <c r="F425">
        <v>2</v>
      </c>
      <c r="G425">
        <v>62.06644</v>
      </c>
      <c r="H425">
        <v>10</v>
      </c>
      <c r="I425" t="s">
        <v>89</v>
      </c>
      <c r="J425">
        <v>2</v>
      </c>
      <c r="K425">
        <v>20</v>
      </c>
      <c r="L425">
        <v>60</v>
      </c>
      <c r="N425" t="s">
        <v>90</v>
      </c>
      <c r="O425">
        <v>40</v>
      </c>
      <c r="P425">
        <v>0.32</v>
      </c>
      <c r="Q425">
        <v>3.2500000000000001E-2</v>
      </c>
      <c r="R425">
        <v>77.5</v>
      </c>
      <c r="S425">
        <v>170</v>
      </c>
      <c r="T425">
        <v>50</v>
      </c>
      <c r="U425">
        <v>1812.1301775147931</v>
      </c>
      <c r="V425">
        <v>20</v>
      </c>
      <c r="W425">
        <v>0.95</v>
      </c>
      <c r="X425">
        <v>1</v>
      </c>
      <c r="Y425">
        <v>2788326.6968270312</v>
      </c>
      <c r="Z425">
        <v>557665339.36540616</v>
      </c>
      <c r="AA425">
        <v>1115330678.7308121</v>
      </c>
      <c r="AB425">
        <v>1115330.6787308119</v>
      </c>
      <c r="AC425">
        <v>66773.504273504266</v>
      </c>
      <c r="AD425">
        <v>5779.7939086077004</v>
      </c>
      <c r="AE425">
        <v>2080725.8070987719</v>
      </c>
      <c r="AF425">
        <v>1248435.4842592629</v>
      </c>
      <c r="AG425">
        <v>77.485946077648507</v>
      </c>
      <c r="AH425">
        <v>586.06555373066863</v>
      </c>
      <c r="AI425">
        <v>293.03277686533431</v>
      </c>
      <c r="AJ425">
        <v>36248.247058751404</v>
      </c>
      <c r="AK425">
        <v>2170.1388888888891</v>
      </c>
      <c r="AL425" t="s">
        <v>95</v>
      </c>
      <c r="AM425">
        <v>45420.080414126824</v>
      </c>
      <c r="AN425">
        <v>31117.10662035966</v>
      </c>
      <c r="AO425">
        <v>49815.572067106827</v>
      </c>
      <c r="AP425">
        <v>114955.5729821268</v>
      </c>
      <c r="AQ425">
        <v>65140.00091501994</v>
      </c>
      <c r="AR425">
        <v>2.9034938141203712E-2</v>
      </c>
      <c r="AS425">
        <v>467.80414892820841</v>
      </c>
      <c r="AT425">
        <v>586.1718506813022</v>
      </c>
      <c r="AU425">
        <v>401.58387676104883</v>
      </c>
      <c r="AV425">
        <v>642.89815881175093</v>
      </c>
      <c r="AW425">
        <v>1483.566747277371</v>
      </c>
      <c r="AX425">
        <v>840.66858846562047</v>
      </c>
      <c r="AY425">
        <v>3.7817538753632398</v>
      </c>
      <c r="AZ425" t="s">
        <v>148</v>
      </c>
      <c r="BA425" t="str">
        <f>VLOOKUP($AZ425,Sheet1!$A$2:$B$58,2)</f>
        <v>Propane (PW1)</v>
      </c>
      <c r="BB425" t="s">
        <v>194</v>
      </c>
      <c r="BC425">
        <v>44.094819999999999</v>
      </c>
      <c r="BD425">
        <v>6.666666666666667</v>
      </c>
      <c r="BE425">
        <v>-42</v>
      </c>
      <c r="BF425" t="s">
        <v>205</v>
      </c>
      <c r="BG425">
        <v>1.401265231608122</v>
      </c>
      <c r="BH425">
        <v>0.45413612565445</v>
      </c>
      <c r="BI425">
        <v>0.32263915284647299</v>
      </c>
      <c r="BJ425">
        <v>80</v>
      </c>
      <c r="BK425">
        <v>5747.7786491063398</v>
      </c>
      <c r="BL425">
        <v>3257.0000457509968</v>
      </c>
      <c r="BM425">
        <v>13.250373611658601</v>
      </c>
      <c r="BN425">
        <v>2252.563513981961</v>
      </c>
      <c r="BO425">
        <v>3495.2151351243788</v>
      </c>
    </row>
    <row r="426" spans="1:67" x14ac:dyDescent="0.25">
      <c r="A426" s="1">
        <v>424</v>
      </c>
      <c r="B426" t="s">
        <v>71</v>
      </c>
      <c r="C426" t="s">
        <v>83</v>
      </c>
      <c r="D426">
        <v>2</v>
      </c>
      <c r="E426">
        <v>6</v>
      </c>
      <c r="F426">
        <v>2</v>
      </c>
      <c r="G426">
        <v>62.06644</v>
      </c>
      <c r="H426">
        <v>10</v>
      </c>
      <c r="I426" t="s">
        <v>89</v>
      </c>
      <c r="J426">
        <v>2</v>
      </c>
      <c r="K426">
        <v>20</v>
      </c>
      <c r="L426">
        <v>60</v>
      </c>
      <c r="N426" t="s">
        <v>90</v>
      </c>
      <c r="O426">
        <v>40</v>
      </c>
      <c r="P426">
        <v>0.32</v>
      </c>
      <c r="Q426">
        <v>3.2500000000000001E-2</v>
      </c>
      <c r="R426">
        <v>77.5</v>
      </c>
      <c r="S426">
        <v>170</v>
      </c>
      <c r="T426">
        <v>50</v>
      </c>
      <c r="U426">
        <v>1812.1301775147931</v>
      </c>
      <c r="V426">
        <v>20</v>
      </c>
      <c r="W426">
        <v>0.95</v>
      </c>
      <c r="X426">
        <v>1</v>
      </c>
      <c r="Y426">
        <v>3515529.3435465829</v>
      </c>
      <c r="Z426">
        <v>703105868.70931661</v>
      </c>
      <c r="AA426">
        <v>1406211737.418633</v>
      </c>
      <c r="AB426">
        <v>1406211.737418633</v>
      </c>
      <c r="AC426">
        <v>66773.504273504266</v>
      </c>
      <c r="AD426">
        <v>7287.1787615433168</v>
      </c>
      <c r="AE426">
        <v>2623384.354155594</v>
      </c>
      <c r="AF426">
        <v>1574030.612493356</v>
      </c>
      <c r="AG426">
        <v>97.694476568482145</v>
      </c>
      <c r="AH426">
        <v>738.91293072888141</v>
      </c>
      <c r="AI426">
        <v>369.4564653644407</v>
      </c>
      <c r="AJ426">
        <v>45701.88146610558</v>
      </c>
      <c r="AK426">
        <v>2170.1388888888891</v>
      </c>
      <c r="AL426" t="s">
        <v>95</v>
      </c>
      <c r="AM426">
        <v>57265.752131488312</v>
      </c>
      <c r="AN426">
        <v>39232.5266385125</v>
      </c>
      <c r="AO426">
        <v>62807.599111954922</v>
      </c>
      <c r="AP426">
        <v>144370.2991249953</v>
      </c>
      <c r="AQ426">
        <v>81562.700013040361</v>
      </c>
      <c r="AR426">
        <v>2.9034938141203712E-2</v>
      </c>
      <c r="AS426">
        <v>467.80414892820829</v>
      </c>
      <c r="AT426">
        <v>586.17185068130243</v>
      </c>
      <c r="AU426">
        <v>401.58387676104883</v>
      </c>
      <c r="AV426">
        <v>642.89815881175105</v>
      </c>
      <c r="AW426">
        <v>1477.773403328428</v>
      </c>
      <c r="AX426">
        <v>834.87524451667741</v>
      </c>
      <c r="AY426">
        <v>3.7817538753632411</v>
      </c>
      <c r="AZ426" t="s">
        <v>149</v>
      </c>
      <c r="BA426" t="str">
        <f>VLOOKUP($AZ426,Sheet1!$A$2:$B$58,2)</f>
        <v>Propane (PW2)</v>
      </c>
      <c r="BB426" t="s">
        <v>194</v>
      </c>
      <c r="BC426">
        <v>44.094819999999999</v>
      </c>
      <c r="BD426">
        <v>6.666666666666667</v>
      </c>
      <c r="BE426">
        <v>-42</v>
      </c>
      <c r="BF426" t="s">
        <v>205</v>
      </c>
      <c r="BG426">
        <v>2.5476212978875812</v>
      </c>
      <c r="BH426">
        <v>0.36019607843137302</v>
      </c>
      <c r="BI426">
        <v>0.25589983055465199</v>
      </c>
      <c r="BJ426">
        <v>80</v>
      </c>
      <c r="BK426">
        <v>7218.5149562497627</v>
      </c>
      <c r="BL426">
        <v>4078.135000652017</v>
      </c>
      <c r="BM426">
        <v>15.925201970334459</v>
      </c>
      <c r="BN426">
        <v>2707.284334956857</v>
      </c>
      <c r="BO426">
        <v>4511.2306212929052</v>
      </c>
    </row>
    <row r="427" spans="1:67" x14ac:dyDescent="0.25">
      <c r="A427" s="1">
        <v>425</v>
      </c>
      <c r="B427" t="s">
        <v>71</v>
      </c>
      <c r="C427" t="s">
        <v>83</v>
      </c>
      <c r="D427">
        <v>2</v>
      </c>
      <c r="E427">
        <v>6</v>
      </c>
      <c r="F427">
        <v>2</v>
      </c>
      <c r="G427">
        <v>62.06644</v>
      </c>
      <c r="H427">
        <v>10</v>
      </c>
      <c r="I427" t="s">
        <v>89</v>
      </c>
      <c r="J427">
        <v>2</v>
      </c>
      <c r="K427">
        <v>20</v>
      </c>
      <c r="L427">
        <v>60</v>
      </c>
      <c r="N427" t="s">
        <v>90</v>
      </c>
      <c r="O427">
        <v>40</v>
      </c>
      <c r="P427">
        <v>0.32</v>
      </c>
      <c r="Q427">
        <v>3.2500000000000001E-2</v>
      </c>
      <c r="R427">
        <v>77.5</v>
      </c>
      <c r="S427">
        <v>170</v>
      </c>
      <c r="T427">
        <v>50</v>
      </c>
      <c r="U427">
        <v>1812.1301775147931</v>
      </c>
      <c r="V427">
        <v>20</v>
      </c>
      <c r="W427">
        <v>0.95</v>
      </c>
      <c r="X427">
        <v>1</v>
      </c>
      <c r="Y427">
        <v>1190838.088944067</v>
      </c>
      <c r="Z427">
        <v>238167617.78881341</v>
      </c>
      <c r="AA427">
        <v>476335235.57762671</v>
      </c>
      <c r="AB427">
        <v>476335.23557762668</v>
      </c>
      <c r="AC427">
        <v>0</v>
      </c>
      <c r="AD427">
        <v>2468.4333942823901</v>
      </c>
      <c r="AE427">
        <v>888636.02194166032</v>
      </c>
      <c r="AF427">
        <v>533181.61316499615</v>
      </c>
      <c r="AG427">
        <v>33.092684602608443</v>
      </c>
      <c r="AH427">
        <v>250.29677648417581</v>
      </c>
      <c r="AI427">
        <v>125.1483882420879</v>
      </c>
      <c r="AJ427">
        <v>15480.895156272871</v>
      </c>
      <c r="AK427">
        <v>854.70085470085473</v>
      </c>
      <c r="AL427" t="s">
        <v>93</v>
      </c>
      <c r="AM427">
        <v>19398.000177523631</v>
      </c>
      <c r="AN427">
        <v>13289.488575146161</v>
      </c>
      <c r="AO427">
        <v>21275.226001154941</v>
      </c>
      <c r="AP427">
        <v>49023.084763643506</v>
      </c>
      <c r="AQ427">
        <v>27747.858762488559</v>
      </c>
      <c r="AR427">
        <v>2.9034938141203712E-2</v>
      </c>
      <c r="AS427">
        <v>467.80414892820829</v>
      </c>
      <c r="AT427">
        <v>586.1718506813022</v>
      </c>
      <c r="AU427">
        <v>401.58387676104871</v>
      </c>
      <c r="AV427">
        <v>642.89815881175082</v>
      </c>
      <c r="AW427">
        <v>1481.3873625646979</v>
      </c>
      <c r="AX427">
        <v>838.48920375294688</v>
      </c>
      <c r="AY427">
        <v>3.7817538753632398</v>
      </c>
      <c r="AZ427" t="s">
        <v>150</v>
      </c>
      <c r="BA427" t="str">
        <f>VLOOKUP($AZ427,Sheet1!$A$2:$B$58,2)</f>
        <v>Shikimate</v>
      </c>
      <c r="BB427" t="s">
        <v>195</v>
      </c>
      <c r="BC427">
        <v>173.14045999999999</v>
      </c>
      <c r="BD427">
        <v>3.8571428571428572</v>
      </c>
      <c r="BE427">
        <v>400.5</v>
      </c>
      <c r="BF427" t="s">
        <v>205</v>
      </c>
      <c r="BG427">
        <v>9.7920220933964908E-2</v>
      </c>
      <c r="BH427">
        <v>0.27081081081081099</v>
      </c>
      <c r="BI427">
        <v>0.75545397117855595</v>
      </c>
      <c r="BJ427">
        <v>80</v>
      </c>
      <c r="BK427">
        <v>2451.154238182175</v>
      </c>
      <c r="BL427">
        <v>1387.3929381244279</v>
      </c>
      <c r="BM427">
        <v>6.15949919117043</v>
      </c>
      <c r="BN427">
        <v>1047.114862498973</v>
      </c>
      <c r="BO427">
        <v>1404.039375683202</v>
      </c>
    </row>
    <row r="428" spans="1:67" x14ac:dyDescent="0.25">
      <c r="A428" s="1">
        <v>426</v>
      </c>
      <c r="B428" t="s">
        <v>71</v>
      </c>
      <c r="C428" t="s">
        <v>83</v>
      </c>
      <c r="D428">
        <v>2</v>
      </c>
      <c r="E428">
        <v>6</v>
      </c>
      <c r="F428">
        <v>2</v>
      </c>
      <c r="G428">
        <v>62.06644</v>
      </c>
      <c r="H428">
        <v>10</v>
      </c>
      <c r="I428" t="s">
        <v>89</v>
      </c>
      <c r="J428">
        <v>2</v>
      </c>
      <c r="K428">
        <v>20</v>
      </c>
      <c r="L428">
        <v>60</v>
      </c>
      <c r="N428" t="s">
        <v>90</v>
      </c>
      <c r="O428">
        <v>40</v>
      </c>
      <c r="P428">
        <v>0.32</v>
      </c>
      <c r="Q428">
        <v>3.2500000000000001E-2</v>
      </c>
      <c r="R428">
        <v>77.5</v>
      </c>
      <c r="S428">
        <v>170</v>
      </c>
      <c r="T428">
        <v>50</v>
      </c>
      <c r="U428">
        <v>1812.1301775147931</v>
      </c>
      <c r="V428">
        <v>20</v>
      </c>
      <c r="W428">
        <v>0.95</v>
      </c>
      <c r="X428">
        <v>1</v>
      </c>
      <c r="Y428">
        <v>2855240.579675829</v>
      </c>
      <c r="Z428">
        <v>571048115.93516576</v>
      </c>
      <c r="AA428">
        <v>1142096231.870332</v>
      </c>
      <c r="AB428">
        <v>1142096.231870332</v>
      </c>
      <c r="AC428">
        <v>0</v>
      </c>
      <c r="AD428">
        <v>5918.4966126096642</v>
      </c>
      <c r="AE428">
        <v>2130658.7805394791</v>
      </c>
      <c r="AF428">
        <v>1278395.2683236869</v>
      </c>
      <c r="AG428">
        <v>79.345443217696044</v>
      </c>
      <c r="AH428">
        <v>600.12987476187186</v>
      </c>
      <c r="AI428">
        <v>300.06493738093587</v>
      </c>
      <c r="AJ428">
        <v>37118.127535785767</v>
      </c>
      <c r="AK428">
        <v>854.70085470085473</v>
      </c>
      <c r="AL428" t="s">
        <v>93</v>
      </c>
      <c r="AM428">
        <v>46510.065294045067</v>
      </c>
      <c r="AN428">
        <v>31863.850690686031</v>
      </c>
      <c r="AO428">
        <v>51011.039354759108</v>
      </c>
      <c r="AP428">
        <v>116346.74437521771</v>
      </c>
      <c r="AQ428">
        <v>65335.705020458612</v>
      </c>
      <c r="AR428">
        <v>2.9034938141203701E-2</v>
      </c>
      <c r="AS428">
        <v>467.80414892820829</v>
      </c>
      <c r="AT428">
        <v>586.17185068130209</v>
      </c>
      <c r="AU428">
        <v>401.58387676104871</v>
      </c>
      <c r="AV428">
        <v>642.89815881175082</v>
      </c>
      <c r="AW428">
        <v>1466.3317722733379</v>
      </c>
      <c r="AX428">
        <v>823.4336134615869</v>
      </c>
      <c r="AY428">
        <v>3.7817538753632398</v>
      </c>
      <c r="AZ428" t="s">
        <v>151</v>
      </c>
      <c r="BA428" t="str">
        <f>VLOOKUP($AZ428,Sheet1!$A$2:$B$58,2)</f>
        <v>Styrene</v>
      </c>
      <c r="BB428" t="s">
        <v>196</v>
      </c>
      <c r="BC428">
        <v>104.14832</v>
      </c>
      <c r="BD428">
        <v>5</v>
      </c>
      <c r="BE428">
        <v>145</v>
      </c>
      <c r="BF428" t="s">
        <v>205</v>
      </c>
      <c r="BG428">
        <v>1.120413549589063</v>
      </c>
      <c r="BH428">
        <v>0.187768313458262</v>
      </c>
      <c r="BI428">
        <v>0.31507795515627501</v>
      </c>
      <c r="BJ428">
        <v>80</v>
      </c>
      <c r="BK428">
        <v>5817.3372187608866</v>
      </c>
      <c r="BL428">
        <v>3266.78525102293</v>
      </c>
      <c r="BM428">
        <v>13.882833319457729</v>
      </c>
      <c r="BN428">
        <v>2360.0816643078151</v>
      </c>
      <c r="BO428">
        <v>3457.2555544530719</v>
      </c>
    </row>
    <row r="429" spans="1:67" x14ac:dyDescent="0.25">
      <c r="A429" s="1">
        <v>427</v>
      </c>
      <c r="B429" t="s">
        <v>71</v>
      </c>
      <c r="C429" t="s">
        <v>83</v>
      </c>
      <c r="D429">
        <v>2</v>
      </c>
      <c r="E429">
        <v>6</v>
      </c>
      <c r="F429">
        <v>2</v>
      </c>
      <c r="G429">
        <v>62.06644</v>
      </c>
      <c r="H429">
        <v>10</v>
      </c>
      <c r="I429" t="s">
        <v>89</v>
      </c>
      <c r="J429">
        <v>2</v>
      </c>
      <c r="K429">
        <v>20</v>
      </c>
      <c r="L429">
        <v>60</v>
      </c>
      <c r="N429" t="s">
        <v>90</v>
      </c>
      <c r="O429">
        <v>40</v>
      </c>
      <c r="P429">
        <v>0.32</v>
      </c>
      <c r="Q429">
        <v>3.2500000000000001E-2</v>
      </c>
      <c r="R429">
        <v>77.5</v>
      </c>
      <c r="S429">
        <v>170</v>
      </c>
      <c r="T429">
        <v>50</v>
      </c>
      <c r="U429">
        <v>1812.1301775147931</v>
      </c>
      <c r="V429">
        <v>20</v>
      </c>
      <c r="W429">
        <v>0.95</v>
      </c>
      <c r="X429">
        <v>1</v>
      </c>
      <c r="Y429">
        <v>779326.79651131481</v>
      </c>
      <c r="Z429">
        <v>155865359.30226299</v>
      </c>
      <c r="AA429">
        <v>311730718.60452592</v>
      </c>
      <c r="AB429">
        <v>311730.7186045259</v>
      </c>
      <c r="AC429">
        <v>0</v>
      </c>
      <c r="AD429">
        <v>1615.430600874912</v>
      </c>
      <c r="AE429">
        <v>581555.01631496847</v>
      </c>
      <c r="AF429">
        <v>348933.00978898111</v>
      </c>
      <c r="AG429">
        <v>21.657029716087209</v>
      </c>
      <c r="AH429">
        <v>163.8031121153393</v>
      </c>
      <c r="AI429">
        <v>81.901556057669637</v>
      </c>
      <c r="AJ429">
        <v>10131.24835464709</v>
      </c>
      <c r="AK429">
        <v>854.70085470085473</v>
      </c>
      <c r="AL429" t="s">
        <v>93</v>
      </c>
      <c r="AM429">
        <v>12694.741188938789</v>
      </c>
      <c r="AN429">
        <v>8697.113952515534</v>
      </c>
      <c r="AO429">
        <v>13923.264529803841</v>
      </c>
      <c r="AP429">
        <v>32377.804350802271</v>
      </c>
      <c r="AQ429">
        <v>18454.539820998431</v>
      </c>
      <c r="AR429">
        <v>2.9034938141203701E-2</v>
      </c>
      <c r="AS429">
        <v>467.80414892820829</v>
      </c>
      <c r="AT429">
        <v>586.17185068130209</v>
      </c>
      <c r="AU429">
        <v>401.58387676104871</v>
      </c>
      <c r="AV429">
        <v>642.89815881175082</v>
      </c>
      <c r="AW429">
        <v>1495.0251615876709</v>
      </c>
      <c r="AX429">
        <v>852.12700277592057</v>
      </c>
      <c r="AY429">
        <v>3.7817538753632389</v>
      </c>
      <c r="AZ429" t="s">
        <v>152</v>
      </c>
      <c r="BA429" t="str">
        <f>VLOOKUP($AZ429,Sheet1!$A$2:$B$58,2)</f>
        <v>Succinate</v>
      </c>
      <c r="BB429" t="s">
        <v>197</v>
      </c>
      <c r="BC429">
        <v>116.07016</v>
      </c>
      <c r="BD429">
        <v>3</v>
      </c>
      <c r="BE429">
        <v>235</v>
      </c>
      <c r="BF429" t="s">
        <v>205</v>
      </c>
      <c r="BG429">
        <v>-0.28814475110373122</v>
      </c>
      <c r="BH429">
        <v>0.61727272727272697</v>
      </c>
      <c r="BI429">
        <v>1.1543595926005299</v>
      </c>
      <c r="BJ429">
        <v>80</v>
      </c>
      <c r="BK429">
        <v>1618.890217540114</v>
      </c>
      <c r="BL429">
        <v>922.72699104992193</v>
      </c>
      <c r="BM429">
        <v>4.3832225539872134</v>
      </c>
      <c r="BN429">
        <v>745.14783417782633</v>
      </c>
      <c r="BO429">
        <v>873.74238336228746</v>
      </c>
    </row>
    <row r="430" spans="1:67" x14ac:dyDescent="0.25">
      <c r="A430" s="1">
        <v>428</v>
      </c>
      <c r="B430" t="s">
        <v>72</v>
      </c>
      <c r="C430" t="s">
        <v>84</v>
      </c>
      <c r="D430">
        <v>2</v>
      </c>
      <c r="E430">
        <v>6</v>
      </c>
      <c r="F430">
        <v>1</v>
      </c>
      <c r="G430">
        <v>46.067439999999998</v>
      </c>
      <c r="H430">
        <v>12</v>
      </c>
      <c r="I430" t="s">
        <v>89</v>
      </c>
      <c r="J430">
        <v>2.5</v>
      </c>
      <c r="K430">
        <v>200</v>
      </c>
      <c r="L430">
        <v>50</v>
      </c>
      <c r="N430" t="s">
        <v>90</v>
      </c>
      <c r="O430">
        <v>50</v>
      </c>
      <c r="P430">
        <v>0.33333333333333343</v>
      </c>
      <c r="Q430">
        <v>3.2500000000000001E-2</v>
      </c>
      <c r="R430">
        <v>77.5</v>
      </c>
      <c r="S430">
        <v>170</v>
      </c>
      <c r="T430">
        <v>50</v>
      </c>
      <c r="U430">
        <v>1812.1301775147931</v>
      </c>
      <c r="V430">
        <v>20</v>
      </c>
      <c r="W430">
        <v>0.95</v>
      </c>
      <c r="X430">
        <v>1</v>
      </c>
      <c r="Y430">
        <v>174051.09372743059</v>
      </c>
      <c r="Z430">
        <v>348102187.45486122</v>
      </c>
      <c r="AA430">
        <v>870255468.63715303</v>
      </c>
      <c r="AB430">
        <v>870255.46863715304</v>
      </c>
      <c r="AC430">
        <v>0</v>
      </c>
      <c r="AD430">
        <v>3607.824909674549</v>
      </c>
      <c r="AE430">
        <v>1082347.472902365</v>
      </c>
      <c r="AF430">
        <v>541173.73645118228</v>
      </c>
      <c r="AG430">
        <v>24.930488633540659</v>
      </c>
      <c r="AH430">
        <v>381.07289825946458</v>
      </c>
      <c r="AI430">
        <v>190.53644912973229</v>
      </c>
      <c r="AJ430">
        <v>28283.30273070747</v>
      </c>
      <c r="AK430">
        <v>854.70085470085473</v>
      </c>
      <c r="AL430" t="s">
        <v>93</v>
      </c>
      <c r="AM430">
        <v>29533.149615108501</v>
      </c>
      <c r="AN430">
        <v>1942.371547448065</v>
      </c>
      <c r="AO430">
        <v>32391.196352054489</v>
      </c>
      <c r="AP430">
        <v>60613.524747964897</v>
      </c>
      <c r="AQ430">
        <v>28222.328395910408</v>
      </c>
      <c r="AR430">
        <v>5.2262888654166659E-2</v>
      </c>
      <c r="AS430">
        <v>1134.4864974951211</v>
      </c>
      <c r="AT430">
        <v>1184.619766151538</v>
      </c>
      <c r="AU430">
        <v>77.911491266756116</v>
      </c>
      <c r="AV430">
        <v>1299.2603886823319</v>
      </c>
      <c r="AW430">
        <v>2431.30111242254</v>
      </c>
      <c r="AX430">
        <v>1132.0407237402089</v>
      </c>
      <c r="AY430">
        <v>7.6427081687195999</v>
      </c>
      <c r="AZ430" t="s">
        <v>96</v>
      </c>
      <c r="BA430" t="str">
        <f>VLOOKUP($AZ430,Sheet1!$A$2:$B$58,2)</f>
        <v>1,3-Butanediol (PW1)</v>
      </c>
      <c r="BB430" t="s">
        <v>153</v>
      </c>
      <c r="BC430">
        <v>90.119200000000006</v>
      </c>
      <c r="BD430">
        <v>5.5</v>
      </c>
      <c r="BE430">
        <v>207</v>
      </c>
      <c r="BF430" t="s">
        <v>72</v>
      </c>
      <c r="BG430">
        <v>-4.8048321954454402E-2</v>
      </c>
      <c r="BH430">
        <v>0.51260869565217404</v>
      </c>
      <c r="BI430">
        <v>1.0027882071419101</v>
      </c>
      <c r="BJ430">
        <v>80</v>
      </c>
      <c r="BK430">
        <v>3030.6762373982442</v>
      </c>
      <c r="BL430">
        <v>1411.11641979552</v>
      </c>
      <c r="BM430">
        <v>9.5748707784410687</v>
      </c>
      <c r="BN430">
        <v>1627.7280323349819</v>
      </c>
      <c r="BO430">
        <v>1402.948205063263</v>
      </c>
    </row>
    <row r="431" spans="1:67" x14ac:dyDescent="0.25">
      <c r="A431" s="1">
        <v>429</v>
      </c>
      <c r="B431" t="s">
        <v>72</v>
      </c>
      <c r="C431" t="s">
        <v>84</v>
      </c>
      <c r="D431">
        <v>2</v>
      </c>
      <c r="E431">
        <v>6</v>
      </c>
      <c r="F431">
        <v>1</v>
      </c>
      <c r="G431">
        <v>46.067439999999998</v>
      </c>
      <c r="H431">
        <v>12</v>
      </c>
      <c r="I431" t="s">
        <v>89</v>
      </c>
      <c r="J431">
        <v>2.5</v>
      </c>
      <c r="K431">
        <v>200</v>
      </c>
      <c r="L431">
        <v>50</v>
      </c>
      <c r="N431" t="s">
        <v>90</v>
      </c>
      <c r="O431">
        <v>50</v>
      </c>
      <c r="P431">
        <v>0.33333333333333343</v>
      </c>
      <c r="Q431">
        <v>3.2500000000000001E-2</v>
      </c>
      <c r="R431">
        <v>77.5</v>
      </c>
      <c r="S431">
        <v>170</v>
      </c>
      <c r="T431">
        <v>50</v>
      </c>
      <c r="U431">
        <v>1812.1301775147931</v>
      </c>
      <c r="V431">
        <v>20</v>
      </c>
      <c r="W431">
        <v>0.95</v>
      </c>
      <c r="X431">
        <v>1</v>
      </c>
      <c r="Y431">
        <v>171528.6141081934</v>
      </c>
      <c r="Z431">
        <v>343057228.21638691</v>
      </c>
      <c r="AA431">
        <v>857643070.54096723</v>
      </c>
      <c r="AB431">
        <v>857643.07054096728</v>
      </c>
      <c r="AC431">
        <v>0</v>
      </c>
      <c r="AD431">
        <v>3555.5375921430532</v>
      </c>
      <c r="AE431">
        <v>1066661.277642916</v>
      </c>
      <c r="AF431">
        <v>533330.63882145798</v>
      </c>
      <c r="AG431">
        <v>24.569177204069192</v>
      </c>
      <c r="AH431">
        <v>375.55010263251791</v>
      </c>
      <c r="AI431">
        <v>187.77505131625901</v>
      </c>
      <c r="AJ431">
        <v>27873.39979258144</v>
      </c>
      <c r="AK431">
        <v>854.70085470085473</v>
      </c>
      <c r="AL431" t="s">
        <v>93</v>
      </c>
      <c r="AM431">
        <v>29105.13295402014</v>
      </c>
      <c r="AN431">
        <v>1914.221235166219</v>
      </c>
      <c r="AO431">
        <v>31921.758723764018</v>
      </c>
      <c r="AP431">
        <v>59747.454836468642</v>
      </c>
      <c r="AQ431">
        <v>27825.69611270462</v>
      </c>
      <c r="AR431">
        <v>5.2262888654166673E-2</v>
      </c>
      <c r="AS431">
        <v>1134.486497495122</v>
      </c>
      <c r="AT431">
        <v>1184.619766151538</v>
      </c>
      <c r="AU431">
        <v>77.911491266756087</v>
      </c>
      <c r="AV431">
        <v>1299.2603886823319</v>
      </c>
      <c r="AW431">
        <v>2431.8052794447331</v>
      </c>
      <c r="AX431">
        <v>1132.5448907624011</v>
      </c>
      <c r="AY431">
        <v>7.642708168719599</v>
      </c>
      <c r="AZ431" t="s">
        <v>97</v>
      </c>
      <c r="BA431" t="str">
        <f>VLOOKUP($AZ431,Sheet1!$A$2:$B$58,2)</f>
        <v>1,3-Butanediol (PW2)</v>
      </c>
      <c r="BB431" t="s">
        <v>153</v>
      </c>
      <c r="BC431">
        <v>90.119200000000006</v>
      </c>
      <c r="BD431">
        <v>5.5</v>
      </c>
      <c r="BE431">
        <v>207</v>
      </c>
      <c r="BF431" t="s">
        <v>72</v>
      </c>
      <c r="BG431">
        <v>-7.5662300089198511E-2</v>
      </c>
      <c r="BH431">
        <v>0.52014705882352896</v>
      </c>
      <c r="BI431">
        <v>1.01753509254105</v>
      </c>
      <c r="BJ431">
        <v>80</v>
      </c>
      <c r="BK431">
        <v>2987.3727418234321</v>
      </c>
      <c r="BL431">
        <v>1391.2848056352309</v>
      </c>
      <c r="BM431">
        <v>9.4644148659021461</v>
      </c>
      <c r="BN431">
        <v>1608.950527203365</v>
      </c>
      <c r="BO431">
        <v>1378.4222146200671</v>
      </c>
    </row>
    <row r="432" spans="1:67" x14ac:dyDescent="0.25">
      <c r="A432" s="1">
        <v>430</v>
      </c>
      <c r="B432" t="s">
        <v>72</v>
      </c>
      <c r="C432" t="s">
        <v>84</v>
      </c>
      <c r="D432">
        <v>2</v>
      </c>
      <c r="E432">
        <v>6</v>
      </c>
      <c r="F432">
        <v>1</v>
      </c>
      <c r="G432">
        <v>46.067439999999998</v>
      </c>
      <c r="H432">
        <v>12</v>
      </c>
      <c r="I432" t="s">
        <v>89</v>
      </c>
      <c r="J432">
        <v>2.5</v>
      </c>
      <c r="K432">
        <v>200</v>
      </c>
      <c r="L432">
        <v>50</v>
      </c>
      <c r="N432" t="s">
        <v>90</v>
      </c>
      <c r="O432">
        <v>50</v>
      </c>
      <c r="P432">
        <v>0.33333333333333343</v>
      </c>
      <c r="Q432">
        <v>3.2500000000000001E-2</v>
      </c>
      <c r="R432">
        <v>77.5</v>
      </c>
      <c r="S432">
        <v>170</v>
      </c>
      <c r="T432">
        <v>50</v>
      </c>
      <c r="U432">
        <v>1812.1301775147931</v>
      </c>
      <c r="V432">
        <v>20</v>
      </c>
      <c r="W432">
        <v>0.95</v>
      </c>
      <c r="X432">
        <v>1</v>
      </c>
      <c r="Y432">
        <v>181384.85177369809</v>
      </c>
      <c r="Z432">
        <v>362769703.54739612</v>
      </c>
      <c r="AA432">
        <v>906924258.86849034</v>
      </c>
      <c r="AB432">
        <v>906924.25886849035</v>
      </c>
      <c r="AC432">
        <v>0</v>
      </c>
      <c r="AD432">
        <v>3759.843000421426</v>
      </c>
      <c r="AE432">
        <v>1127952.9001264281</v>
      </c>
      <c r="AF432">
        <v>563976.45006321394</v>
      </c>
      <c r="AG432">
        <v>25.980951274700111</v>
      </c>
      <c r="AH432">
        <v>397.12965707651267</v>
      </c>
      <c r="AI432">
        <v>198.56482853825631</v>
      </c>
      <c r="AJ432">
        <v>29475.038413225939</v>
      </c>
      <c r="AK432">
        <v>854.70085470085473</v>
      </c>
      <c r="AL432" t="s">
        <v>93</v>
      </c>
      <c r="AM432">
        <v>30777.548423429729</v>
      </c>
      <c r="AN432">
        <v>2024.214658340813</v>
      </c>
      <c r="AO432">
        <v>33756.020851503577</v>
      </c>
      <c r="AP432">
        <v>63131.50234969733</v>
      </c>
      <c r="AQ432">
        <v>29375.481498193749</v>
      </c>
      <c r="AR432">
        <v>5.2262888654166673E-2</v>
      </c>
      <c r="AS432">
        <v>1134.486497495122</v>
      </c>
      <c r="AT432">
        <v>1184.619766151538</v>
      </c>
      <c r="AU432">
        <v>77.911491266756101</v>
      </c>
      <c r="AV432">
        <v>1299.260388682331</v>
      </c>
      <c r="AW432">
        <v>2429.9149666307221</v>
      </c>
      <c r="AX432">
        <v>1130.6545779483911</v>
      </c>
      <c r="AY432">
        <v>7.6427081687195972</v>
      </c>
      <c r="AZ432" t="s">
        <v>98</v>
      </c>
      <c r="BA432" t="str">
        <f>VLOOKUP($AZ432,Sheet1!$A$2:$B$58,2)</f>
        <v>1,3-Diaminopropane</v>
      </c>
      <c r="BB432" t="s">
        <v>154</v>
      </c>
      <c r="BC432">
        <v>76.139580000000009</v>
      </c>
      <c r="BD432">
        <v>6</v>
      </c>
      <c r="BE432">
        <v>139.30000000000001</v>
      </c>
      <c r="BF432" t="s">
        <v>72</v>
      </c>
      <c r="BG432">
        <v>0.25159616689176911</v>
      </c>
      <c r="BH432">
        <v>0.58219512195122103</v>
      </c>
      <c r="BI432">
        <v>0.96224344273123896</v>
      </c>
      <c r="BJ432">
        <v>80</v>
      </c>
      <c r="BK432">
        <v>3156.575117484866</v>
      </c>
      <c r="BL432">
        <v>1468.774074909687</v>
      </c>
      <c r="BM432">
        <v>9.6766452600210471</v>
      </c>
      <c r="BN432">
        <v>1645.0296942035779</v>
      </c>
      <c r="BO432">
        <v>1511.5454232812881</v>
      </c>
    </row>
    <row r="433" spans="1:67" x14ac:dyDescent="0.25">
      <c r="A433" s="1">
        <v>431</v>
      </c>
      <c r="B433" t="s">
        <v>72</v>
      </c>
      <c r="C433" t="s">
        <v>84</v>
      </c>
      <c r="D433">
        <v>2</v>
      </c>
      <c r="E433">
        <v>6</v>
      </c>
      <c r="F433">
        <v>1</v>
      </c>
      <c r="G433">
        <v>46.067439999999998</v>
      </c>
      <c r="H433">
        <v>12</v>
      </c>
      <c r="I433" t="s">
        <v>89</v>
      </c>
      <c r="J433">
        <v>2.5</v>
      </c>
      <c r="K433">
        <v>200</v>
      </c>
      <c r="L433">
        <v>50</v>
      </c>
      <c r="N433" t="s">
        <v>90</v>
      </c>
      <c r="O433">
        <v>50</v>
      </c>
      <c r="P433">
        <v>0.33333333333333343</v>
      </c>
      <c r="Q433">
        <v>3.2500000000000001E-2</v>
      </c>
      <c r="R433">
        <v>77.5</v>
      </c>
      <c r="S433">
        <v>170</v>
      </c>
      <c r="T433">
        <v>50</v>
      </c>
      <c r="U433">
        <v>1812.1301775147931</v>
      </c>
      <c r="V433">
        <v>20</v>
      </c>
      <c r="W433">
        <v>0.95</v>
      </c>
      <c r="X433">
        <v>1</v>
      </c>
      <c r="Y433">
        <v>172144.37735949329</v>
      </c>
      <c r="Z433">
        <v>344288754.71898657</v>
      </c>
      <c r="AA433">
        <v>860721886.79746652</v>
      </c>
      <c r="AB433">
        <v>860721.88679746655</v>
      </c>
      <c r="AC433">
        <v>0</v>
      </c>
      <c r="AD433">
        <v>3568.301464802084</v>
      </c>
      <c r="AE433">
        <v>1070490.439440625</v>
      </c>
      <c r="AF433">
        <v>535245.21972031251</v>
      </c>
      <c r="AG433">
        <v>24.65737704475232</v>
      </c>
      <c r="AH433">
        <v>376.89827391825531</v>
      </c>
      <c r="AI433">
        <v>188.4491369591276</v>
      </c>
      <c r="AJ433">
        <v>27973.46132091766</v>
      </c>
      <c r="AK433">
        <v>854.70085470085473</v>
      </c>
      <c r="AL433" t="s">
        <v>93</v>
      </c>
      <c r="AM433">
        <v>29209.616228664781</v>
      </c>
      <c r="AN433">
        <v>1921.093016283332</v>
      </c>
      <c r="AO433">
        <v>32036.3532830517</v>
      </c>
      <c r="AP433">
        <v>59958.871420566633</v>
      </c>
      <c r="AQ433">
        <v>27922.51813751494</v>
      </c>
      <c r="AR433">
        <v>5.2262888654166673E-2</v>
      </c>
      <c r="AS433">
        <v>1134.486497495122</v>
      </c>
      <c r="AT433">
        <v>1184.619766151538</v>
      </c>
      <c r="AU433">
        <v>77.911491266756101</v>
      </c>
      <c r="AV433">
        <v>1299.2603886823319</v>
      </c>
      <c r="AW433">
        <v>2431.680843900926</v>
      </c>
      <c r="AX433">
        <v>1132.420455218594</v>
      </c>
      <c r="AY433">
        <v>7.6427081687195981</v>
      </c>
      <c r="AZ433" t="s">
        <v>99</v>
      </c>
      <c r="BA433" t="str">
        <f>VLOOKUP($AZ433,Sheet1!$A$2:$B$58,2)</f>
        <v>1,3-Propanediol</v>
      </c>
      <c r="BB433" t="s">
        <v>155</v>
      </c>
      <c r="BC433">
        <v>76.092820000000003</v>
      </c>
      <c r="BD433">
        <v>5.333333333333333</v>
      </c>
      <c r="BE433">
        <v>213</v>
      </c>
      <c r="BF433" t="s">
        <v>72</v>
      </c>
      <c r="BG433">
        <v>0.1493736541484848</v>
      </c>
      <c r="BH433">
        <v>0.61382352941176399</v>
      </c>
      <c r="BI433">
        <v>1.0138953528846899</v>
      </c>
      <c r="BJ433">
        <v>80</v>
      </c>
      <c r="BK433">
        <v>2997.943571028331</v>
      </c>
      <c r="BL433">
        <v>1396.125906875747</v>
      </c>
      <c r="BM433">
        <v>9.2730831938078939</v>
      </c>
      <c r="BN433">
        <v>1576.424142947342</v>
      </c>
      <c r="BO433">
        <v>1421.519428080989</v>
      </c>
    </row>
    <row r="434" spans="1:67" x14ac:dyDescent="0.25">
      <c r="A434" s="1">
        <v>432</v>
      </c>
      <c r="B434" t="s">
        <v>72</v>
      </c>
      <c r="C434" t="s">
        <v>84</v>
      </c>
      <c r="D434">
        <v>2</v>
      </c>
      <c r="E434">
        <v>6</v>
      </c>
      <c r="F434">
        <v>1</v>
      </c>
      <c r="G434">
        <v>46.067439999999998</v>
      </c>
      <c r="H434">
        <v>12</v>
      </c>
      <c r="I434" t="s">
        <v>89</v>
      </c>
      <c r="J434">
        <v>2.5</v>
      </c>
      <c r="K434">
        <v>200</v>
      </c>
      <c r="L434">
        <v>50</v>
      </c>
      <c r="N434" t="s">
        <v>90</v>
      </c>
      <c r="O434">
        <v>50</v>
      </c>
      <c r="P434">
        <v>0.33333333333333343</v>
      </c>
      <c r="Q434">
        <v>3.2500000000000001E-2</v>
      </c>
      <c r="R434">
        <v>77.5</v>
      </c>
      <c r="S434">
        <v>170</v>
      </c>
      <c r="T434">
        <v>50</v>
      </c>
      <c r="U434">
        <v>1812.1301775147931</v>
      </c>
      <c r="V434">
        <v>20</v>
      </c>
      <c r="W434">
        <v>0.95</v>
      </c>
      <c r="X434">
        <v>1</v>
      </c>
      <c r="Y434">
        <v>183826.75983207769</v>
      </c>
      <c r="Z434">
        <v>367653519.66415548</v>
      </c>
      <c r="AA434">
        <v>919133799.16038871</v>
      </c>
      <c r="AB434">
        <v>919133.79916038876</v>
      </c>
      <c r="AC434">
        <v>0</v>
      </c>
      <c r="AD434">
        <v>3810.4601871996601</v>
      </c>
      <c r="AE434">
        <v>1143138.0561598979</v>
      </c>
      <c r="AF434">
        <v>571569.02807994897</v>
      </c>
      <c r="AG434">
        <v>26.33072190693137</v>
      </c>
      <c r="AH434">
        <v>402.47604681277687</v>
      </c>
      <c r="AI434">
        <v>201.23802340638849</v>
      </c>
      <c r="AJ434">
        <v>29871.848472712631</v>
      </c>
      <c r="AK434">
        <v>854.70085470085473</v>
      </c>
      <c r="AL434" t="s">
        <v>93</v>
      </c>
      <c r="AM434">
        <v>31191.893627990208</v>
      </c>
      <c r="AN434">
        <v>2051.4658098992659</v>
      </c>
      <c r="AO434">
        <v>34210.463979086038</v>
      </c>
      <c r="AP434">
        <v>63969.908765302956</v>
      </c>
      <c r="AQ434">
        <v>29759.444786216929</v>
      </c>
      <c r="AR434">
        <v>5.2262888654166673E-2</v>
      </c>
      <c r="AS434">
        <v>1134.486497495122</v>
      </c>
      <c r="AT434">
        <v>1184.619766151538</v>
      </c>
      <c r="AU434">
        <v>77.911491266756087</v>
      </c>
      <c r="AV434">
        <v>1299.2603886823319</v>
      </c>
      <c r="AW434">
        <v>2429.477968413139</v>
      </c>
      <c r="AX434">
        <v>1130.217579730808</v>
      </c>
      <c r="AY434">
        <v>7.6427081687195999</v>
      </c>
      <c r="AZ434" t="s">
        <v>100</v>
      </c>
      <c r="BA434" t="str">
        <f>VLOOKUP($AZ434,Sheet1!$A$2:$B$58,2)</f>
        <v>1,4-Butanediol</v>
      </c>
      <c r="BB434" t="s">
        <v>153</v>
      </c>
      <c r="BC434">
        <v>90.119200000000006</v>
      </c>
      <c r="BD434">
        <v>5.5</v>
      </c>
      <c r="BE434">
        <v>230</v>
      </c>
      <c r="BF434" t="s">
        <v>72</v>
      </c>
      <c r="BG434">
        <v>5.8967420812106111E-2</v>
      </c>
      <c r="BH434">
        <v>0.485348837209303</v>
      </c>
      <c r="BI434">
        <v>0.94946124486692995</v>
      </c>
      <c r="BJ434">
        <v>80</v>
      </c>
      <c r="BK434">
        <v>3198.4954382651481</v>
      </c>
      <c r="BL434">
        <v>1487.972239310847</v>
      </c>
      <c r="BM434">
        <v>10.002933749507321</v>
      </c>
      <c r="BN434">
        <v>1700.498737416244</v>
      </c>
      <c r="BO434">
        <v>1497.9967008489041</v>
      </c>
    </row>
    <row r="435" spans="1:67" x14ac:dyDescent="0.25">
      <c r="A435" s="1">
        <v>433</v>
      </c>
      <c r="B435" t="s">
        <v>72</v>
      </c>
      <c r="C435" t="s">
        <v>84</v>
      </c>
      <c r="D435">
        <v>2</v>
      </c>
      <c r="E435">
        <v>6</v>
      </c>
      <c r="F435">
        <v>1</v>
      </c>
      <c r="G435">
        <v>46.067439999999998</v>
      </c>
      <c r="H435">
        <v>12</v>
      </c>
      <c r="I435" t="s">
        <v>89</v>
      </c>
      <c r="J435">
        <v>2.5</v>
      </c>
      <c r="K435">
        <v>200</v>
      </c>
      <c r="L435">
        <v>50</v>
      </c>
      <c r="N435" t="s">
        <v>90</v>
      </c>
      <c r="O435">
        <v>50</v>
      </c>
      <c r="P435">
        <v>0.33333333333333343</v>
      </c>
      <c r="Q435">
        <v>3.2500000000000001E-2</v>
      </c>
      <c r="R435">
        <v>77.5</v>
      </c>
      <c r="S435">
        <v>170</v>
      </c>
      <c r="T435">
        <v>50</v>
      </c>
      <c r="U435">
        <v>1812.1301775147931</v>
      </c>
      <c r="V435">
        <v>20</v>
      </c>
      <c r="W435">
        <v>0.95</v>
      </c>
      <c r="X435">
        <v>1</v>
      </c>
      <c r="Y435">
        <v>241656.5407338783</v>
      </c>
      <c r="Z435">
        <v>483313081.46775663</v>
      </c>
      <c r="AA435">
        <v>1208282703.6693909</v>
      </c>
      <c r="AB435">
        <v>1208282.7036693911</v>
      </c>
      <c r="AC435">
        <v>0</v>
      </c>
      <c r="AD435">
        <v>5009.1870644077617</v>
      </c>
      <c r="AE435">
        <v>1502756.1193223279</v>
      </c>
      <c r="AF435">
        <v>751378.05966116418</v>
      </c>
      <c r="AG435">
        <v>34.614063680757113</v>
      </c>
      <c r="AH435">
        <v>529.09037449100538</v>
      </c>
      <c r="AI435">
        <v>264.54518724550269</v>
      </c>
      <c r="AJ435">
        <v>39269.18786925522</v>
      </c>
      <c r="AK435">
        <v>854.70085470085473</v>
      </c>
      <c r="AL435" t="s">
        <v>93</v>
      </c>
      <c r="AM435">
        <v>41004.504023052919</v>
      </c>
      <c r="AN435">
        <v>2696.8333201702462</v>
      </c>
      <c r="AO435">
        <v>44972.681831735463</v>
      </c>
      <c r="AP435">
        <v>83825.226067179246</v>
      </c>
      <c r="AQ435">
        <v>38852.544235443791</v>
      </c>
      <c r="AR435">
        <v>5.2262888654166673E-2</v>
      </c>
      <c r="AS435">
        <v>1134.486497495122</v>
      </c>
      <c r="AT435">
        <v>1184.619766151538</v>
      </c>
      <c r="AU435">
        <v>77.911491266756087</v>
      </c>
      <c r="AV435">
        <v>1299.2603886823319</v>
      </c>
      <c r="AW435">
        <v>2421.7100552045249</v>
      </c>
      <c r="AX435">
        <v>1122.4496665221941</v>
      </c>
      <c r="AY435">
        <v>7.6427081687195981</v>
      </c>
      <c r="AZ435" t="s">
        <v>101</v>
      </c>
      <c r="BA435" t="str">
        <f>VLOOKUP($AZ435,Sheet1!$A$2:$B$58,2)</f>
        <v>1-Propanol (PW1)</v>
      </c>
      <c r="BB435" t="s">
        <v>156</v>
      </c>
      <c r="BC435">
        <v>60.093820000000001</v>
      </c>
      <c r="BD435">
        <v>6</v>
      </c>
      <c r="BE435">
        <v>97</v>
      </c>
      <c r="BF435" t="s">
        <v>72</v>
      </c>
      <c r="BG435">
        <v>0.448387349014846</v>
      </c>
      <c r="BH435">
        <v>0.55367088607594905</v>
      </c>
      <c r="BI435">
        <v>0.72224978351496405</v>
      </c>
      <c r="BJ435">
        <v>80</v>
      </c>
      <c r="BK435">
        <v>4191.2613033589623</v>
      </c>
      <c r="BL435">
        <v>1942.627211772189</v>
      </c>
      <c r="BM435">
        <v>12.77887201326029</v>
      </c>
      <c r="BN435">
        <v>2172.4082422542492</v>
      </c>
      <c r="BO435">
        <v>2018.8530611047131</v>
      </c>
    </row>
    <row r="436" spans="1:67" x14ac:dyDescent="0.25">
      <c r="A436" s="1">
        <v>434</v>
      </c>
      <c r="B436" t="s">
        <v>72</v>
      </c>
      <c r="C436" t="s">
        <v>84</v>
      </c>
      <c r="D436">
        <v>2</v>
      </c>
      <c r="E436">
        <v>6</v>
      </c>
      <c r="F436">
        <v>1</v>
      </c>
      <c r="G436">
        <v>46.067439999999998</v>
      </c>
      <c r="H436">
        <v>12</v>
      </c>
      <c r="I436" t="s">
        <v>89</v>
      </c>
      <c r="J436">
        <v>2.5</v>
      </c>
      <c r="K436">
        <v>200</v>
      </c>
      <c r="L436">
        <v>50</v>
      </c>
      <c r="N436" t="s">
        <v>90</v>
      </c>
      <c r="O436">
        <v>50</v>
      </c>
      <c r="P436">
        <v>0.33333333333333343</v>
      </c>
      <c r="Q436">
        <v>3.2500000000000001E-2</v>
      </c>
      <c r="R436">
        <v>77.5</v>
      </c>
      <c r="S436">
        <v>170</v>
      </c>
      <c r="T436">
        <v>50</v>
      </c>
      <c r="U436">
        <v>1812.1301775147931</v>
      </c>
      <c r="V436">
        <v>20</v>
      </c>
      <c r="W436">
        <v>0.95</v>
      </c>
      <c r="X436">
        <v>1</v>
      </c>
      <c r="Y436">
        <v>260645.8266899515</v>
      </c>
      <c r="Z436">
        <v>521291653.37990302</v>
      </c>
      <c r="AA436">
        <v>1303229133.4497581</v>
      </c>
      <c r="AB436">
        <v>1303229.133449757</v>
      </c>
      <c r="AC436">
        <v>0</v>
      </c>
      <c r="AD436">
        <v>5402.8072216964183</v>
      </c>
      <c r="AE436">
        <v>1620842.1665089249</v>
      </c>
      <c r="AF436">
        <v>810421.08325446269</v>
      </c>
      <c r="AG436">
        <v>37.33402462755997</v>
      </c>
      <c r="AH436">
        <v>570.66610998446254</v>
      </c>
      <c r="AI436">
        <v>285.33305499223133</v>
      </c>
      <c r="AJ436">
        <v>42354.946837117117</v>
      </c>
      <c r="AK436">
        <v>854.70085470085473</v>
      </c>
      <c r="AL436" t="s">
        <v>93</v>
      </c>
      <c r="AM436">
        <v>44226.623523795854</v>
      </c>
      <c r="AN436">
        <v>2908.7495337229948</v>
      </c>
      <c r="AO436">
        <v>48506.619348679313</v>
      </c>
      <c r="AP436">
        <v>90345.020749336822</v>
      </c>
      <c r="AQ436">
        <v>41838.401400657509</v>
      </c>
      <c r="AR436">
        <v>5.2262888654166673E-2</v>
      </c>
      <c r="AS436">
        <v>1134.486497495122</v>
      </c>
      <c r="AT436">
        <v>1184.619766151538</v>
      </c>
      <c r="AU436">
        <v>77.911491266756087</v>
      </c>
      <c r="AV436">
        <v>1299.2603886823319</v>
      </c>
      <c r="AW436">
        <v>2419.9111038954029</v>
      </c>
      <c r="AX436">
        <v>1120.6507152130721</v>
      </c>
      <c r="AY436">
        <v>7.642708168719599</v>
      </c>
      <c r="AZ436" t="s">
        <v>102</v>
      </c>
      <c r="BA436" t="str">
        <f>VLOOKUP($AZ436,Sheet1!$A$2:$B$58,2)</f>
        <v>1-Propanol (PW2)</v>
      </c>
      <c r="BB436" t="s">
        <v>156</v>
      </c>
      <c r="BC436">
        <v>60.093820000000001</v>
      </c>
      <c r="BD436">
        <v>6</v>
      </c>
      <c r="BE436">
        <v>97</v>
      </c>
      <c r="BF436" t="s">
        <v>72</v>
      </c>
      <c r="BG436">
        <v>0.65626602648213217</v>
      </c>
      <c r="BH436">
        <v>0.51333333333333298</v>
      </c>
      <c r="BI436">
        <v>0.669630457723141</v>
      </c>
      <c r="BJ436">
        <v>80</v>
      </c>
      <c r="BK436">
        <v>4517.25103746684</v>
      </c>
      <c r="BL436">
        <v>2091.9200700328752</v>
      </c>
      <c r="BM436">
        <v>13.61038672312943</v>
      </c>
      <c r="BN436">
        <v>2313.7657429320029</v>
      </c>
      <c r="BO436">
        <v>2203.4852945348371</v>
      </c>
    </row>
    <row r="437" spans="1:67" x14ac:dyDescent="0.25">
      <c r="A437" s="1">
        <v>435</v>
      </c>
      <c r="B437" t="s">
        <v>72</v>
      </c>
      <c r="C437" t="s">
        <v>84</v>
      </c>
      <c r="D437">
        <v>2</v>
      </c>
      <c r="E437">
        <v>6</v>
      </c>
      <c r="F437">
        <v>1</v>
      </c>
      <c r="G437">
        <v>46.067439999999998</v>
      </c>
      <c r="H437">
        <v>12</v>
      </c>
      <c r="I437" t="s">
        <v>89</v>
      </c>
      <c r="J437">
        <v>2.5</v>
      </c>
      <c r="K437">
        <v>200</v>
      </c>
      <c r="L437">
        <v>50</v>
      </c>
      <c r="N437" t="s">
        <v>90</v>
      </c>
      <c r="O437">
        <v>50</v>
      </c>
      <c r="P437">
        <v>0.33333333333333343</v>
      </c>
      <c r="Q437">
        <v>3.2500000000000001E-2</v>
      </c>
      <c r="R437">
        <v>77.5</v>
      </c>
      <c r="S437">
        <v>170</v>
      </c>
      <c r="T437">
        <v>50</v>
      </c>
      <c r="U437">
        <v>1812.1301775147931</v>
      </c>
      <c r="V437">
        <v>20</v>
      </c>
      <c r="W437">
        <v>0.95</v>
      </c>
      <c r="X437">
        <v>1</v>
      </c>
      <c r="Y437">
        <v>176573.57334666859</v>
      </c>
      <c r="Z437">
        <v>353147146.6933372</v>
      </c>
      <c r="AA437">
        <v>882867866.73334301</v>
      </c>
      <c r="AB437">
        <v>882867.86673334299</v>
      </c>
      <c r="AC437">
        <v>0</v>
      </c>
      <c r="AD437">
        <v>3660.1122272060611</v>
      </c>
      <c r="AE437">
        <v>1098033.6681618181</v>
      </c>
      <c r="AF437">
        <v>549016.83408090903</v>
      </c>
      <c r="AG437">
        <v>25.291800063012239</v>
      </c>
      <c r="AH437">
        <v>386.59569388641302</v>
      </c>
      <c r="AI437">
        <v>193.29784694320651</v>
      </c>
      <c r="AJ437">
        <v>28693.205668833649</v>
      </c>
      <c r="AK437">
        <v>854.70085470085473</v>
      </c>
      <c r="AL437" t="s">
        <v>93</v>
      </c>
      <c r="AM437">
        <v>29961.166276197011</v>
      </c>
      <c r="AN437">
        <v>1970.521859729919</v>
      </c>
      <c r="AO437">
        <v>32860.633980345097</v>
      </c>
      <c r="AP437">
        <v>61479.594659461422</v>
      </c>
      <c r="AQ437">
        <v>28618.960679116321</v>
      </c>
      <c r="AR437">
        <v>5.2262888654166673E-2</v>
      </c>
      <c r="AS437">
        <v>1134.486497495122</v>
      </c>
      <c r="AT437">
        <v>1184.619766151538</v>
      </c>
      <c r="AU437">
        <v>77.911491266756116</v>
      </c>
      <c r="AV437">
        <v>1299.2603886823319</v>
      </c>
      <c r="AW437">
        <v>2430.8113501724101</v>
      </c>
      <c r="AX437">
        <v>1131.550961490078</v>
      </c>
      <c r="AY437">
        <v>7.6427081687195999</v>
      </c>
      <c r="AZ437" t="s">
        <v>103</v>
      </c>
      <c r="BA437" t="str">
        <f>VLOOKUP($AZ437,Sheet1!$A$2:$B$58,2)</f>
        <v>2,3-Butanediol</v>
      </c>
      <c r="BB437" t="s">
        <v>153</v>
      </c>
      <c r="BC437">
        <v>90.119200000000006</v>
      </c>
      <c r="BD437">
        <v>5.5</v>
      </c>
      <c r="BE437">
        <v>177</v>
      </c>
      <c r="BF437" t="s">
        <v>72</v>
      </c>
      <c r="BG437">
        <v>-2.0434343819706009E-2</v>
      </c>
      <c r="BH437">
        <v>0.505285714285716</v>
      </c>
      <c r="BI437">
        <v>0.98846266132559801</v>
      </c>
      <c r="BJ437">
        <v>80</v>
      </c>
      <c r="BK437">
        <v>3073.9797329730709</v>
      </c>
      <c r="BL437">
        <v>1430.9480339558149</v>
      </c>
      <c r="BM437">
        <v>9.6853266909800322</v>
      </c>
      <c r="BN437">
        <v>1646.505537466606</v>
      </c>
      <c r="BO437">
        <v>1427.4741955064651</v>
      </c>
    </row>
    <row r="438" spans="1:67" x14ac:dyDescent="0.25">
      <c r="A438" s="1">
        <v>436</v>
      </c>
      <c r="B438" t="s">
        <v>72</v>
      </c>
      <c r="C438" t="s">
        <v>84</v>
      </c>
      <c r="D438">
        <v>2</v>
      </c>
      <c r="E438">
        <v>6</v>
      </c>
      <c r="F438">
        <v>1</v>
      </c>
      <c r="G438">
        <v>46.067439999999998</v>
      </c>
      <c r="H438">
        <v>12</v>
      </c>
      <c r="I438" t="s">
        <v>89</v>
      </c>
      <c r="J438">
        <v>2.5</v>
      </c>
      <c r="K438">
        <v>200</v>
      </c>
      <c r="L438">
        <v>50</v>
      </c>
      <c r="N438" t="s">
        <v>90</v>
      </c>
      <c r="O438">
        <v>50</v>
      </c>
      <c r="P438">
        <v>0.33333333333333343</v>
      </c>
      <c r="Q438">
        <v>3.2500000000000001E-2</v>
      </c>
      <c r="R438">
        <v>77.5</v>
      </c>
      <c r="S438">
        <v>170</v>
      </c>
      <c r="T438">
        <v>50</v>
      </c>
      <c r="U438">
        <v>1812.1301775147931</v>
      </c>
      <c r="V438">
        <v>20</v>
      </c>
      <c r="W438">
        <v>0.95</v>
      </c>
      <c r="X438">
        <v>1</v>
      </c>
      <c r="Y438">
        <v>279447.74309080909</v>
      </c>
      <c r="Z438">
        <v>558895486.18161821</v>
      </c>
      <c r="AA438">
        <v>1397238715.454046</v>
      </c>
      <c r="AB438">
        <v>1397238.715454045</v>
      </c>
      <c r="AC438">
        <v>0</v>
      </c>
      <c r="AD438">
        <v>5792.5434818250833</v>
      </c>
      <c r="AE438">
        <v>1737763.044547525</v>
      </c>
      <c r="AF438">
        <v>868881.52227376238</v>
      </c>
      <c r="AG438">
        <v>40.02714739445522</v>
      </c>
      <c r="AH438">
        <v>611.83161272429254</v>
      </c>
      <c r="AI438">
        <v>305.91580636214633</v>
      </c>
      <c r="AJ438">
        <v>45410.258252256477</v>
      </c>
      <c r="AK438">
        <v>854.70085470085473</v>
      </c>
      <c r="AL438" t="s">
        <v>93</v>
      </c>
      <c r="AM438">
        <v>47416.949986132669</v>
      </c>
      <c r="AN438">
        <v>3118.5747446562568</v>
      </c>
      <c r="AO438">
        <v>52005.687081564873</v>
      </c>
      <c r="AP438">
        <v>96800.483837746258</v>
      </c>
      <c r="AQ438">
        <v>44794.796756181393</v>
      </c>
      <c r="AR438">
        <v>5.2262888654166673E-2</v>
      </c>
      <c r="AS438">
        <v>1134.486497495122</v>
      </c>
      <c r="AT438">
        <v>1184.619766151538</v>
      </c>
      <c r="AU438">
        <v>77.911491266756116</v>
      </c>
      <c r="AV438">
        <v>1299.2603886823319</v>
      </c>
      <c r="AW438">
        <v>2418.3707843031448</v>
      </c>
      <c r="AX438">
        <v>1119.110395620814</v>
      </c>
      <c r="AY438">
        <v>7.6427081687195981</v>
      </c>
      <c r="AZ438" t="s">
        <v>104</v>
      </c>
      <c r="BA438" t="str">
        <f>VLOOKUP($AZ438,Sheet1!$A$2:$B$58,2)</f>
        <v>2-Methyl-1-Butanol</v>
      </c>
      <c r="BB438" t="s">
        <v>157</v>
      </c>
      <c r="BC438">
        <v>88.14658</v>
      </c>
      <c r="BD438">
        <v>6</v>
      </c>
      <c r="BE438">
        <v>129</v>
      </c>
      <c r="BF438" t="s">
        <v>72</v>
      </c>
      <c r="BG438">
        <v>0.56274810647961693</v>
      </c>
      <c r="BH438">
        <v>0.32641791044776097</v>
      </c>
      <c r="BI438">
        <v>0.62457610964960097</v>
      </c>
      <c r="BJ438">
        <v>80</v>
      </c>
      <c r="BK438">
        <v>4840.0241918873126</v>
      </c>
      <c r="BL438">
        <v>2239.7398378090688</v>
      </c>
      <c r="BM438">
        <v>14.7330422116277</v>
      </c>
      <c r="BN438">
        <v>2504.617175976708</v>
      </c>
      <c r="BO438">
        <v>2335.4070159106041</v>
      </c>
    </row>
    <row r="439" spans="1:67" x14ac:dyDescent="0.25">
      <c r="A439" s="1">
        <v>437</v>
      </c>
      <c r="B439" t="s">
        <v>72</v>
      </c>
      <c r="C439" t="s">
        <v>84</v>
      </c>
      <c r="D439">
        <v>2</v>
      </c>
      <c r="E439">
        <v>6</v>
      </c>
      <c r="F439">
        <v>1</v>
      </c>
      <c r="G439">
        <v>46.067439999999998</v>
      </c>
      <c r="H439">
        <v>12</v>
      </c>
      <c r="I439" t="s">
        <v>89</v>
      </c>
      <c r="J439">
        <v>2.5</v>
      </c>
      <c r="K439">
        <v>200</v>
      </c>
      <c r="L439">
        <v>50</v>
      </c>
      <c r="N439" t="s">
        <v>90</v>
      </c>
      <c r="O439">
        <v>50</v>
      </c>
      <c r="P439">
        <v>0.33333333333333343</v>
      </c>
      <c r="Q439">
        <v>3.2500000000000001E-2</v>
      </c>
      <c r="R439">
        <v>77.5</v>
      </c>
      <c r="S439">
        <v>170</v>
      </c>
      <c r="T439">
        <v>50</v>
      </c>
      <c r="U439">
        <v>1812.1301775147931</v>
      </c>
      <c r="V439">
        <v>20</v>
      </c>
      <c r="W439">
        <v>0.95</v>
      </c>
      <c r="X439">
        <v>1</v>
      </c>
      <c r="Y439">
        <v>119800.0086456702</v>
      </c>
      <c r="Z439">
        <v>239600017.29134041</v>
      </c>
      <c r="AA439">
        <v>599000043.228351</v>
      </c>
      <c r="AB439">
        <v>599000.04322835105</v>
      </c>
      <c r="AC439">
        <v>0</v>
      </c>
      <c r="AD439">
        <v>2483.2791688625698</v>
      </c>
      <c r="AE439">
        <v>744983.75065877102</v>
      </c>
      <c r="AF439">
        <v>372491.87532938551</v>
      </c>
      <c r="AG439">
        <v>17.159747117223951</v>
      </c>
      <c r="AH439">
        <v>262.29387893194013</v>
      </c>
      <c r="AI439">
        <v>131.14693946597009</v>
      </c>
      <c r="AJ439">
        <v>19467.501404921411</v>
      </c>
      <c r="AK439">
        <v>1835.336538461539</v>
      </c>
      <c r="AL439" t="s">
        <v>94</v>
      </c>
      <c r="AM439">
        <v>20327.775617225361</v>
      </c>
      <c r="AN439">
        <v>1336.9414876633371</v>
      </c>
      <c r="AO439">
        <v>22294.979709214909</v>
      </c>
      <c r="AP439">
        <v>42967.55504827165</v>
      </c>
      <c r="AQ439">
        <v>20672.575339056741</v>
      </c>
      <c r="AR439">
        <v>5.226288865416668E-2</v>
      </c>
      <c r="AS439">
        <v>1134.486497495122</v>
      </c>
      <c r="AT439">
        <v>1184.619766151538</v>
      </c>
      <c r="AU439">
        <v>77.911491266756087</v>
      </c>
      <c r="AV439">
        <v>1299.2603886823319</v>
      </c>
      <c r="AW439">
        <v>2503.9736748301689</v>
      </c>
      <c r="AX439">
        <v>1204.7132861478381</v>
      </c>
      <c r="AY439">
        <v>7.6427081687195999</v>
      </c>
      <c r="AZ439" t="s">
        <v>105</v>
      </c>
      <c r="BA439" t="str">
        <f>VLOOKUP($AZ439,Sheet1!$A$2:$B$58,2)</f>
        <v>2-Pyrone-4,6-Dicarboxylate</v>
      </c>
      <c r="BB439" t="s">
        <v>158</v>
      </c>
      <c r="BC439">
        <v>182.08457999999999</v>
      </c>
      <c r="BD439">
        <v>2.5714285714285721</v>
      </c>
      <c r="BE439">
        <v>355.5</v>
      </c>
      <c r="BF439" t="s">
        <v>72</v>
      </c>
      <c r="BG439">
        <v>-0.38043664153513229</v>
      </c>
      <c r="BH439">
        <v>0.36859550561797699</v>
      </c>
      <c r="BI439">
        <v>1.45689792682938</v>
      </c>
      <c r="BJ439">
        <v>80</v>
      </c>
      <c r="BK439">
        <v>2148.377752413583</v>
      </c>
      <c r="BL439">
        <v>1033.6287669528369</v>
      </c>
      <c r="BM439">
        <v>6.937783614833636</v>
      </c>
      <c r="BN439">
        <v>1179.4232145217179</v>
      </c>
      <c r="BO439">
        <v>968.95453789186445</v>
      </c>
    </row>
    <row r="440" spans="1:67" x14ac:dyDescent="0.25">
      <c r="A440" s="1">
        <v>438</v>
      </c>
      <c r="B440" t="s">
        <v>72</v>
      </c>
      <c r="C440" t="s">
        <v>84</v>
      </c>
      <c r="D440">
        <v>2</v>
      </c>
      <c r="E440">
        <v>6</v>
      </c>
      <c r="F440">
        <v>1</v>
      </c>
      <c r="G440">
        <v>46.067439999999998</v>
      </c>
      <c r="H440">
        <v>12</v>
      </c>
      <c r="I440" t="s">
        <v>89</v>
      </c>
      <c r="J440">
        <v>2.5</v>
      </c>
      <c r="K440">
        <v>200</v>
      </c>
      <c r="L440">
        <v>50</v>
      </c>
      <c r="N440" t="s">
        <v>90</v>
      </c>
      <c r="O440">
        <v>50</v>
      </c>
      <c r="P440">
        <v>0.33333333333333343</v>
      </c>
      <c r="Q440">
        <v>3.2500000000000001E-2</v>
      </c>
      <c r="R440">
        <v>77.5</v>
      </c>
      <c r="S440">
        <v>170</v>
      </c>
      <c r="T440">
        <v>50</v>
      </c>
      <c r="U440">
        <v>1812.1301775147931</v>
      </c>
      <c r="V440">
        <v>20</v>
      </c>
      <c r="W440">
        <v>0.95</v>
      </c>
      <c r="X440">
        <v>1</v>
      </c>
      <c r="Y440">
        <v>290117.77056402707</v>
      </c>
      <c r="Z440">
        <v>580235541.12805414</v>
      </c>
      <c r="AA440">
        <v>1450588852.8201351</v>
      </c>
      <c r="AB440">
        <v>1450588.852820135</v>
      </c>
      <c r="AC440">
        <v>0</v>
      </c>
      <c r="AD440">
        <v>6013.7175639889838</v>
      </c>
      <c r="AE440">
        <v>1804115.2691966949</v>
      </c>
      <c r="AF440">
        <v>902057.63459834747</v>
      </c>
      <c r="AG440">
        <v>41.555485958401299</v>
      </c>
      <c r="AH440">
        <v>635.19290397877251</v>
      </c>
      <c r="AI440">
        <v>317.59645198938631</v>
      </c>
      <c r="AJ440">
        <v>47144.137716654397</v>
      </c>
      <c r="AK440">
        <v>854.70085470085473</v>
      </c>
      <c r="AL440" t="s">
        <v>93</v>
      </c>
      <c r="AM440">
        <v>49227.450058354872</v>
      </c>
      <c r="AN440">
        <v>3237.6498813337898</v>
      </c>
      <c r="AO440">
        <v>53991.396838195673</v>
      </c>
      <c r="AP440">
        <v>100463.9385110439</v>
      </c>
      <c r="AQ440">
        <v>46472.541672848267</v>
      </c>
      <c r="AR440">
        <v>5.226288865416668E-2</v>
      </c>
      <c r="AS440">
        <v>1134.486497495122</v>
      </c>
      <c r="AT440">
        <v>1184.619766151538</v>
      </c>
      <c r="AU440">
        <v>77.91149126675613</v>
      </c>
      <c r="AV440">
        <v>1299.2603886823319</v>
      </c>
      <c r="AW440">
        <v>2417.5854569866501</v>
      </c>
      <c r="AX440">
        <v>1118.3250683043179</v>
      </c>
      <c r="AY440">
        <v>7.6427081687195999</v>
      </c>
      <c r="AZ440" t="s">
        <v>106</v>
      </c>
      <c r="BA440" t="str">
        <f>VLOOKUP($AZ440,Sheet1!$A$2:$B$58,2)</f>
        <v>3-Methyl-1-Pentanol</v>
      </c>
      <c r="BB440" t="s">
        <v>159</v>
      </c>
      <c r="BC440">
        <v>102.17296</v>
      </c>
      <c r="BD440">
        <v>6</v>
      </c>
      <c r="BE440">
        <v>153</v>
      </c>
      <c r="BF440" t="s">
        <v>72</v>
      </c>
      <c r="BG440">
        <v>0.5915233918302315</v>
      </c>
      <c r="BH440">
        <v>0.27124999999999999</v>
      </c>
      <c r="BI440">
        <v>0.60160528564209304</v>
      </c>
      <c r="BJ440">
        <v>80</v>
      </c>
      <c r="BK440">
        <v>5023.1969255521963</v>
      </c>
      <c r="BL440">
        <v>2323.6270836424128</v>
      </c>
      <c r="BM440">
        <v>15.28829920763908</v>
      </c>
      <c r="BN440">
        <v>2599.0108652986441</v>
      </c>
      <c r="BO440">
        <v>2424.186060253553</v>
      </c>
    </row>
    <row r="441" spans="1:67" x14ac:dyDescent="0.25">
      <c r="A441" s="1">
        <v>439</v>
      </c>
      <c r="B441" t="s">
        <v>72</v>
      </c>
      <c r="C441" t="s">
        <v>84</v>
      </c>
      <c r="D441">
        <v>2</v>
      </c>
      <c r="E441">
        <v>6</v>
      </c>
      <c r="F441">
        <v>1</v>
      </c>
      <c r="G441">
        <v>46.067439999999998</v>
      </c>
      <c r="H441">
        <v>12</v>
      </c>
      <c r="I441" t="s">
        <v>89</v>
      </c>
      <c r="J441">
        <v>2.5</v>
      </c>
      <c r="K441">
        <v>200</v>
      </c>
      <c r="L441">
        <v>50</v>
      </c>
      <c r="N441" t="s">
        <v>90</v>
      </c>
      <c r="O441">
        <v>50</v>
      </c>
      <c r="P441">
        <v>0.33333333333333343</v>
      </c>
      <c r="Q441">
        <v>3.2500000000000001E-2</v>
      </c>
      <c r="R441">
        <v>77.5</v>
      </c>
      <c r="S441">
        <v>170</v>
      </c>
      <c r="T441">
        <v>50</v>
      </c>
      <c r="U441">
        <v>1812.1301775147931</v>
      </c>
      <c r="V441">
        <v>20</v>
      </c>
      <c r="W441">
        <v>0.95</v>
      </c>
      <c r="X441">
        <v>1</v>
      </c>
      <c r="Y441">
        <v>288657.17927981552</v>
      </c>
      <c r="Z441">
        <v>577314358.55963087</v>
      </c>
      <c r="AA441">
        <v>1443285896.3990769</v>
      </c>
      <c r="AB441">
        <v>1443285.896399077</v>
      </c>
      <c r="AC441">
        <v>0</v>
      </c>
      <c r="AD441">
        <v>5983.4416403783889</v>
      </c>
      <c r="AE441">
        <v>1795032.4921135169</v>
      </c>
      <c r="AF441">
        <v>897516.24605675833</v>
      </c>
      <c r="AG441">
        <v>41.346275814244947</v>
      </c>
      <c r="AH441">
        <v>631.99503982332692</v>
      </c>
      <c r="AI441">
        <v>315.99751991166352</v>
      </c>
      <c r="AJ441">
        <v>46906.791632970009</v>
      </c>
      <c r="AK441">
        <v>854.70085470085473</v>
      </c>
      <c r="AL441" t="s">
        <v>93</v>
      </c>
      <c r="AM441">
        <v>48979.615586307838</v>
      </c>
      <c r="AN441">
        <v>3221.3500070144351</v>
      </c>
      <c r="AO441">
        <v>53719.578384982793</v>
      </c>
      <c r="AP441">
        <v>99962.458080993136</v>
      </c>
      <c r="AQ441">
        <v>46242.87969601035</v>
      </c>
      <c r="AR441">
        <v>5.2262888654166659E-2</v>
      </c>
      <c r="AS441">
        <v>1134.4864974951211</v>
      </c>
      <c r="AT441">
        <v>1184.619766151538</v>
      </c>
      <c r="AU441">
        <v>77.911491266756116</v>
      </c>
      <c r="AV441">
        <v>1299.260388682331</v>
      </c>
      <c r="AW441">
        <v>2417.6895285585369</v>
      </c>
      <c r="AX441">
        <v>1118.429139876205</v>
      </c>
      <c r="AY441">
        <v>7.6427081687195981</v>
      </c>
      <c r="AZ441" t="s">
        <v>107</v>
      </c>
      <c r="BA441" t="str">
        <f>VLOOKUP($AZ441,Sheet1!$A$2:$B$58,2)</f>
        <v>4-Hydroxystyrene</v>
      </c>
      <c r="BB441" t="s">
        <v>160</v>
      </c>
      <c r="BC441">
        <v>120.14731999999999</v>
      </c>
      <c r="BD441">
        <v>4.75</v>
      </c>
      <c r="BE441">
        <v>229</v>
      </c>
      <c r="BF441" t="s">
        <v>72</v>
      </c>
      <c r="BG441">
        <v>0.22957275651532499</v>
      </c>
      <c r="BH441">
        <v>0.23183745583038801</v>
      </c>
      <c r="BI441">
        <v>0.60464937911981897</v>
      </c>
      <c r="BJ441">
        <v>80</v>
      </c>
      <c r="BK441">
        <v>4998.1229040496564</v>
      </c>
      <c r="BL441">
        <v>2312.143984800517</v>
      </c>
      <c r="BM441">
        <v>15.570303239067851</v>
      </c>
      <c r="BN441">
        <v>2646.9515506415341</v>
      </c>
      <c r="BO441">
        <v>2351.1713534081209</v>
      </c>
    </row>
    <row r="442" spans="1:67" x14ac:dyDescent="0.25">
      <c r="A442" s="1">
        <v>440</v>
      </c>
      <c r="B442" t="s">
        <v>72</v>
      </c>
      <c r="C442" t="s">
        <v>84</v>
      </c>
      <c r="D442">
        <v>2</v>
      </c>
      <c r="E442">
        <v>6</v>
      </c>
      <c r="F442">
        <v>1</v>
      </c>
      <c r="G442">
        <v>46.067439999999998</v>
      </c>
      <c r="H442">
        <v>12</v>
      </c>
      <c r="I442" t="s">
        <v>89</v>
      </c>
      <c r="J442">
        <v>2.5</v>
      </c>
      <c r="K442">
        <v>200</v>
      </c>
      <c r="L442">
        <v>50</v>
      </c>
      <c r="N442" t="s">
        <v>90</v>
      </c>
      <c r="O442">
        <v>50</v>
      </c>
      <c r="P442">
        <v>0.33333333333333343</v>
      </c>
      <c r="Q442">
        <v>3.2500000000000001E-2</v>
      </c>
      <c r="R442">
        <v>77.5</v>
      </c>
      <c r="S442">
        <v>170</v>
      </c>
      <c r="T442">
        <v>50</v>
      </c>
      <c r="U442">
        <v>1812.1301775147931</v>
      </c>
      <c r="V442">
        <v>20</v>
      </c>
      <c r="W442">
        <v>0.95</v>
      </c>
      <c r="X442">
        <v>1</v>
      </c>
      <c r="Y442">
        <v>201281.5619778031</v>
      </c>
      <c r="Z442">
        <v>402563123.95560622</v>
      </c>
      <c r="AA442">
        <v>1006407809.889016</v>
      </c>
      <c r="AB442">
        <v>1006407.809889016</v>
      </c>
      <c r="AC442">
        <v>0</v>
      </c>
      <c r="AD442">
        <v>4172.2727367571351</v>
      </c>
      <c r="AE442">
        <v>1251681.8210271411</v>
      </c>
      <c r="AF442">
        <v>625840.9105135703</v>
      </c>
      <c r="AG442">
        <v>28.830888594629268</v>
      </c>
      <c r="AH442">
        <v>440.69213554723569</v>
      </c>
      <c r="AI442">
        <v>220.34606777361779</v>
      </c>
      <c r="AJ442">
        <v>32708.253821393009</v>
      </c>
      <c r="AK442">
        <v>854.70085470085473</v>
      </c>
      <c r="AL442" t="s">
        <v>93</v>
      </c>
      <c r="AM442">
        <v>34153.640504910763</v>
      </c>
      <c r="AN442">
        <v>2246.257524953277</v>
      </c>
      <c r="AO442">
        <v>37458.831521515043</v>
      </c>
      <c r="AP442">
        <v>69962.852705957906</v>
      </c>
      <c r="AQ442">
        <v>32504.02118444287</v>
      </c>
      <c r="AR442">
        <v>5.2262888654166659E-2</v>
      </c>
      <c r="AS442">
        <v>1134.4864974951211</v>
      </c>
      <c r="AT442">
        <v>1184.619766151538</v>
      </c>
      <c r="AU442">
        <v>77.911491266756101</v>
      </c>
      <c r="AV442">
        <v>1299.2603886823319</v>
      </c>
      <c r="AW442">
        <v>2426.6630727084439</v>
      </c>
      <c r="AX442">
        <v>1127.4026840261131</v>
      </c>
      <c r="AY442">
        <v>7.642708168719599</v>
      </c>
      <c r="AZ442" t="s">
        <v>108</v>
      </c>
      <c r="BA442" t="str">
        <f>VLOOKUP($AZ442,Sheet1!$A$2:$B$58,2)</f>
        <v>5-Aminopentanoate</v>
      </c>
      <c r="BB442" t="s">
        <v>161</v>
      </c>
      <c r="BC442">
        <v>117.14444</v>
      </c>
      <c r="BD442">
        <v>4.8</v>
      </c>
      <c r="BE442">
        <v>247.5</v>
      </c>
      <c r="BF442" t="s">
        <v>72</v>
      </c>
      <c r="BG442">
        <v>0.32501044996608758</v>
      </c>
      <c r="BH442">
        <v>0.34100000000000003</v>
      </c>
      <c r="BI442">
        <v>0.86712554550459098</v>
      </c>
      <c r="BJ442">
        <v>80</v>
      </c>
      <c r="BK442">
        <v>3498.142635297896</v>
      </c>
      <c r="BL442">
        <v>1625.2010592221441</v>
      </c>
      <c r="BM442">
        <v>10.692292938714809</v>
      </c>
      <c r="BN442">
        <v>1817.689799581517</v>
      </c>
      <c r="BO442">
        <v>1680.452835716379</v>
      </c>
    </row>
    <row r="443" spans="1:67" x14ac:dyDescent="0.25">
      <c r="A443" s="1">
        <v>441</v>
      </c>
      <c r="B443" t="s">
        <v>72</v>
      </c>
      <c r="C443" t="s">
        <v>84</v>
      </c>
      <c r="D443">
        <v>2</v>
      </c>
      <c r="E443">
        <v>6</v>
      </c>
      <c r="F443">
        <v>1</v>
      </c>
      <c r="G443">
        <v>46.067439999999998</v>
      </c>
      <c r="H443">
        <v>12</v>
      </c>
      <c r="I443" t="s">
        <v>89</v>
      </c>
      <c r="J443">
        <v>2.5</v>
      </c>
      <c r="K443">
        <v>200</v>
      </c>
      <c r="L443">
        <v>50</v>
      </c>
      <c r="N443" t="s">
        <v>90</v>
      </c>
      <c r="O443">
        <v>50</v>
      </c>
      <c r="P443">
        <v>0.33333333333333343</v>
      </c>
      <c r="Q443">
        <v>3.2500000000000001E-2</v>
      </c>
      <c r="R443">
        <v>77.5</v>
      </c>
      <c r="S443">
        <v>170</v>
      </c>
      <c r="T443">
        <v>50</v>
      </c>
      <c r="U443">
        <v>1812.1301775147931</v>
      </c>
      <c r="V443">
        <v>20</v>
      </c>
      <c r="W443">
        <v>0.95</v>
      </c>
      <c r="X443">
        <v>1</v>
      </c>
      <c r="Y443">
        <v>217232.73875960041</v>
      </c>
      <c r="Z443">
        <v>434465477.51920092</v>
      </c>
      <c r="AA443">
        <v>1086163693.798002</v>
      </c>
      <c r="AB443">
        <v>1086163.6937980021</v>
      </c>
      <c r="AC443">
        <v>0</v>
      </c>
      <c r="AD443">
        <v>4502.9173290980161</v>
      </c>
      <c r="AE443">
        <v>1350875.1987294049</v>
      </c>
      <c r="AF443">
        <v>675437.59936470236</v>
      </c>
      <c r="AG443">
        <v>31.115681082477469</v>
      </c>
      <c r="AH443">
        <v>475.61613996864878</v>
      </c>
      <c r="AI443">
        <v>237.80806998432439</v>
      </c>
      <c r="AJ443">
        <v>35300.320048435067</v>
      </c>
      <c r="AK443">
        <v>854.70085470085473</v>
      </c>
      <c r="AL443" t="s">
        <v>93</v>
      </c>
      <c r="AM443">
        <v>36860.250847570293</v>
      </c>
      <c r="AN443">
        <v>2424.2691149166112</v>
      </c>
      <c r="AO443">
        <v>40427.37189733515</v>
      </c>
      <c r="AP443">
        <v>75439.540865622825</v>
      </c>
      <c r="AQ443">
        <v>35012.168968287668</v>
      </c>
      <c r="AR443">
        <v>5.2262888654166673E-2</v>
      </c>
      <c r="AS443">
        <v>1134.486497495122</v>
      </c>
      <c r="AT443">
        <v>1184.619766151538</v>
      </c>
      <c r="AU443">
        <v>77.911491266756116</v>
      </c>
      <c r="AV443">
        <v>1299.2603886823319</v>
      </c>
      <c r="AW443">
        <v>2424.4862474858692</v>
      </c>
      <c r="AX443">
        <v>1125.225858803537</v>
      </c>
      <c r="AY443">
        <v>7.6427081687195981</v>
      </c>
      <c r="AZ443" t="s">
        <v>109</v>
      </c>
      <c r="BA443" t="str">
        <f>VLOOKUP($AZ443,Sheet1!$A$2:$B$58,2)</f>
        <v>Acetone</v>
      </c>
      <c r="BB443" t="s">
        <v>162</v>
      </c>
      <c r="BC443">
        <v>58.078139999999998</v>
      </c>
      <c r="BD443">
        <v>5.333333333333333</v>
      </c>
      <c r="BE443">
        <v>56</v>
      </c>
      <c r="BF443" t="s">
        <v>72</v>
      </c>
      <c r="BG443">
        <v>0.1047640956957928</v>
      </c>
      <c r="BH443">
        <v>0.63729729729729701</v>
      </c>
      <c r="BI443">
        <v>0.803453407744256</v>
      </c>
      <c r="BJ443">
        <v>80</v>
      </c>
      <c r="BK443">
        <v>3771.9770432811411</v>
      </c>
      <c r="BL443">
        <v>1750.6084484143839</v>
      </c>
      <c r="BM443">
        <v>11.785639403520429</v>
      </c>
      <c r="BN443">
        <v>2003.558698598473</v>
      </c>
      <c r="BO443">
        <v>1768.418344682668</v>
      </c>
    </row>
    <row r="444" spans="1:67" x14ac:dyDescent="0.25">
      <c r="A444" s="1">
        <v>442</v>
      </c>
      <c r="B444" t="s">
        <v>72</v>
      </c>
      <c r="C444" t="s">
        <v>84</v>
      </c>
      <c r="D444">
        <v>2</v>
      </c>
      <c r="E444">
        <v>6</v>
      </c>
      <c r="F444">
        <v>1</v>
      </c>
      <c r="G444">
        <v>46.067439999999998</v>
      </c>
      <c r="H444">
        <v>12</v>
      </c>
      <c r="I444" t="s">
        <v>89</v>
      </c>
      <c r="J444">
        <v>2.5</v>
      </c>
      <c r="K444">
        <v>200</v>
      </c>
      <c r="L444">
        <v>50</v>
      </c>
      <c r="N444" t="s">
        <v>90</v>
      </c>
      <c r="O444">
        <v>50</v>
      </c>
      <c r="P444">
        <v>0.33333333333333343</v>
      </c>
      <c r="Q444">
        <v>3.2500000000000001E-2</v>
      </c>
      <c r="R444">
        <v>77.5</v>
      </c>
      <c r="S444">
        <v>170</v>
      </c>
      <c r="T444">
        <v>50</v>
      </c>
      <c r="U444">
        <v>1812.1301775147931</v>
      </c>
      <c r="V444">
        <v>20</v>
      </c>
      <c r="W444">
        <v>0.95</v>
      </c>
      <c r="X444">
        <v>1</v>
      </c>
      <c r="Y444">
        <v>168162.21628802471</v>
      </c>
      <c r="Z444">
        <v>336324432.57604933</v>
      </c>
      <c r="AA444">
        <v>840811081.44012332</v>
      </c>
      <c r="AB444">
        <v>840811.08144012326</v>
      </c>
      <c r="AC444">
        <v>0</v>
      </c>
      <c r="AD444">
        <v>3485.7570831478092</v>
      </c>
      <c r="AE444">
        <v>1045727.124944343</v>
      </c>
      <c r="AF444">
        <v>522863.56247217138</v>
      </c>
      <c r="AG444">
        <v>24.08698579237301</v>
      </c>
      <c r="AH444">
        <v>368.1796061504042</v>
      </c>
      <c r="AI444">
        <v>184.0898030752021</v>
      </c>
      <c r="AJ444">
        <v>27326.360146804011</v>
      </c>
      <c r="AK444">
        <v>854.70085470085473</v>
      </c>
      <c r="AL444" t="s">
        <v>93</v>
      </c>
      <c r="AM444">
        <v>28533.919476656331</v>
      </c>
      <c r="AN444">
        <v>1876.652983204948</v>
      </c>
      <c r="AO444">
        <v>31295.266522784361</v>
      </c>
      <c r="AP444">
        <v>58591.633461366131</v>
      </c>
      <c r="AQ444">
        <v>27296.36693858177</v>
      </c>
      <c r="AR444">
        <v>5.2262888654166659E-2</v>
      </c>
      <c r="AS444">
        <v>1134.4864974951211</v>
      </c>
      <c r="AT444">
        <v>1184.619766151538</v>
      </c>
      <c r="AU444">
        <v>77.911491266756116</v>
      </c>
      <c r="AV444">
        <v>1299.2603886823319</v>
      </c>
      <c r="AW444">
        <v>2432.5016822951261</v>
      </c>
      <c r="AX444">
        <v>1133.2412936127939</v>
      </c>
      <c r="AY444">
        <v>7.6427081687195981</v>
      </c>
      <c r="AZ444" t="s">
        <v>110</v>
      </c>
      <c r="BA444" t="str">
        <f>VLOOKUP($AZ444,Sheet1!$A$2:$B$58,2)</f>
        <v>Acrylate (PW1)</v>
      </c>
      <c r="BB444" t="s">
        <v>163</v>
      </c>
      <c r="BC444">
        <v>71.053619999999995</v>
      </c>
      <c r="BD444">
        <v>3.666666666666667</v>
      </c>
      <c r="BE444">
        <v>80</v>
      </c>
      <c r="BF444" t="s">
        <v>72</v>
      </c>
      <c r="BG444">
        <v>-1.7276119980903799E-2</v>
      </c>
      <c r="BH444">
        <v>0.67292307692307696</v>
      </c>
      <c r="BI444">
        <v>1.03790487591503</v>
      </c>
      <c r="BJ444">
        <v>80</v>
      </c>
      <c r="BK444">
        <v>2929.5816730683068</v>
      </c>
      <c r="BL444">
        <v>1364.8183469290891</v>
      </c>
      <c r="BM444">
        <v>9.2217662737410091</v>
      </c>
      <c r="BN444">
        <v>1567.7002665359721</v>
      </c>
      <c r="BO444">
        <v>1361.8814065323349</v>
      </c>
    </row>
    <row r="445" spans="1:67" x14ac:dyDescent="0.25">
      <c r="A445" s="1">
        <v>443</v>
      </c>
      <c r="B445" t="s">
        <v>72</v>
      </c>
      <c r="C445" t="s">
        <v>84</v>
      </c>
      <c r="D445">
        <v>2</v>
      </c>
      <c r="E445">
        <v>6</v>
      </c>
      <c r="F445">
        <v>1</v>
      </c>
      <c r="G445">
        <v>46.067439999999998</v>
      </c>
      <c r="H445">
        <v>12</v>
      </c>
      <c r="I445" t="s">
        <v>89</v>
      </c>
      <c r="J445">
        <v>2.5</v>
      </c>
      <c r="K445">
        <v>200</v>
      </c>
      <c r="L445">
        <v>50</v>
      </c>
      <c r="N445" t="s">
        <v>90</v>
      </c>
      <c r="O445">
        <v>50</v>
      </c>
      <c r="P445">
        <v>0.33333333333333343</v>
      </c>
      <c r="Q445">
        <v>3.2500000000000001E-2</v>
      </c>
      <c r="R445">
        <v>77.5</v>
      </c>
      <c r="S445">
        <v>170</v>
      </c>
      <c r="T445">
        <v>50</v>
      </c>
      <c r="U445">
        <v>1812.1301775147931</v>
      </c>
      <c r="V445">
        <v>20</v>
      </c>
      <c r="W445">
        <v>0.95</v>
      </c>
      <c r="X445">
        <v>1</v>
      </c>
      <c r="Y445">
        <v>131942.66201060449</v>
      </c>
      <c r="Z445">
        <v>263885324.02120891</v>
      </c>
      <c r="AA445">
        <v>659713310.05302238</v>
      </c>
      <c r="AB445">
        <v>659713.31005302235</v>
      </c>
      <c r="AC445">
        <v>0</v>
      </c>
      <c r="AD445">
        <v>2734.97863446983</v>
      </c>
      <c r="AE445">
        <v>820493.59034094901</v>
      </c>
      <c r="AF445">
        <v>410246.79517047451</v>
      </c>
      <c r="AG445">
        <v>18.899019621708121</v>
      </c>
      <c r="AH445">
        <v>288.87938328724141</v>
      </c>
      <c r="AI445">
        <v>144.43969164362071</v>
      </c>
      <c r="AJ445">
        <v>21440.682576723229</v>
      </c>
      <c r="AK445">
        <v>854.70085470085473</v>
      </c>
      <c r="AL445" t="s">
        <v>93</v>
      </c>
      <c r="AM445">
        <v>22388.152204761209</v>
      </c>
      <c r="AN445">
        <v>1472.4508022069649</v>
      </c>
      <c r="AO445">
        <v>24554.747579415511</v>
      </c>
      <c r="AP445">
        <v>46155.986438392247</v>
      </c>
      <c r="AQ445">
        <v>21601.238858976729</v>
      </c>
      <c r="AR445">
        <v>5.2262888654166659E-2</v>
      </c>
      <c r="AS445">
        <v>1134.4864974951211</v>
      </c>
      <c r="AT445">
        <v>1184.619766151538</v>
      </c>
      <c r="AU445">
        <v>77.911491266756116</v>
      </c>
      <c r="AV445">
        <v>1299.2603886823319</v>
      </c>
      <c r="AW445">
        <v>2442.2423682430458</v>
      </c>
      <c r="AX445">
        <v>1142.9819795607141</v>
      </c>
      <c r="AY445">
        <v>7.6427081687195999</v>
      </c>
      <c r="AZ445" t="s">
        <v>111</v>
      </c>
      <c r="BA445" t="str">
        <f>VLOOKUP($AZ445,Sheet1!$A$2:$B$58,2)</f>
        <v>Acrylate (PW2)</v>
      </c>
      <c r="BB445" t="s">
        <v>163</v>
      </c>
      <c r="BC445">
        <v>71.053619999999995</v>
      </c>
      <c r="BD445">
        <v>3.666666666666667</v>
      </c>
      <c r="BE445">
        <v>80</v>
      </c>
      <c r="BF445" t="s">
        <v>72</v>
      </c>
      <c r="BG445">
        <v>-0.41377723429672453</v>
      </c>
      <c r="BH445">
        <v>0.85764705882352898</v>
      </c>
      <c r="BI445">
        <v>1.3228199398917</v>
      </c>
      <c r="BJ445">
        <v>80</v>
      </c>
      <c r="BK445">
        <v>2307.7993219196119</v>
      </c>
      <c r="BL445">
        <v>1080.061942948837</v>
      </c>
      <c r="BM445">
        <v>7.6357618164777596</v>
      </c>
      <c r="BN445">
        <v>1298.0795088012189</v>
      </c>
      <c r="BO445">
        <v>1009.7198131183929</v>
      </c>
    </row>
    <row r="446" spans="1:67" x14ac:dyDescent="0.25">
      <c r="A446" s="1">
        <v>444</v>
      </c>
      <c r="B446" t="s">
        <v>72</v>
      </c>
      <c r="C446" t="s">
        <v>84</v>
      </c>
      <c r="D446">
        <v>2</v>
      </c>
      <c r="E446">
        <v>6</v>
      </c>
      <c r="F446">
        <v>1</v>
      </c>
      <c r="G446">
        <v>46.067439999999998</v>
      </c>
      <c r="H446">
        <v>12</v>
      </c>
      <c r="I446" t="s">
        <v>89</v>
      </c>
      <c r="J446">
        <v>2.5</v>
      </c>
      <c r="K446">
        <v>200</v>
      </c>
      <c r="L446">
        <v>50</v>
      </c>
      <c r="N446" t="s">
        <v>90</v>
      </c>
      <c r="O446">
        <v>50</v>
      </c>
      <c r="P446">
        <v>0.33333333333333343</v>
      </c>
      <c r="Q446">
        <v>3.2500000000000001E-2</v>
      </c>
      <c r="R446">
        <v>77.5</v>
      </c>
      <c r="S446">
        <v>170</v>
      </c>
      <c r="T446">
        <v>50</v>
      </c>
      <c r="U446">
        <v>1812.1301775147931</v>
      </c>
      <c r="V446">
        <v>20</v>
      </c>
      <c r="W446">
        <v>0.95</v>
      </c>
      <c r="X446">
        <v>1</v>
      </c>
      <c r="Y446">
        <v>180690.74047444071</v>
      </c>
      <c r="Z446">
        <v>361381480.94888139</v>
      </c>
      <c r="AA446">
        <v>903453702.37220347</v>
      </c>
      <c r="AB446">
        <v>903453.70237220346</v>
      </c>
      <c r="AC446">
        <v>0</v>
      </c>
      <c r="AD446">
        <v>3745.455087183323</v>
      </c>
      <c r="AE446">
        <v>1123636.5261549971</v>
      </c>
      <c r="AF446">
        <v>561818.26307749841</v>
      </c>
      <c r="AG446">
        <v>25.88152912522688</v>
      </c>
      <c r="AH446">
        <v>395.60994812865118</v>
      </c>
      <c r="AI446">
        <v>197.80497406432559</v>
      </c>
      <c r="AJ446">
        <v>29362.245327096611</v>
      </c>
      <c r="AK446">
        <v>854.70085470085473</v>
      </c>
      <c r="AL446" t="s">
        <v>93</v>
      </c>
      <c r="AM446">
        <v>30659.770979970472</v>
      </c>
      <c r="AN446">
        <v>2016.4685304104071</v>
      </c>
      <c r="AO446">
        <v>33626.845590935358</v>
      </c>
      <c r="AP446">
        <v>62893.18569217834</v>
      </c>
      <c r="AQ446">
        <v>29266.340101242979</v>
      </c>
      <c r="AR446">
        <v>5.2262888654166673E-2</v>
      </c>
      <c r="AS446">
        <v>1134.486497495122</v>
      </c>
      <c r="AT446">
        <v>1184.619766151538</v>
      </c>
      <c r="AU446">
        <v>77.911491266756087</v>
      </c>
      <c r="AV446">
        <v>1299.2603886823319</v>
      </c>
      <c r="AW446">
        <v>2430.0413390519489</v>
      </c>
      <c r="AX446">
        <v>1130.780950369618</v>
      </c>
      <c r="AY446">
        <v>7.6427081687195972</v>
      </c>
      <c r="AZ446" t="s">
        <v>112</v>
      </c>
      <c r="BA446" t="str">
        <f>VLOOKUP($AZ446,Sheet1!$A$2:$B$58,2)</f>
        <v>Adipate</v>
      </c>
      <c r="BB446" t="s">
        <v>164</v>
      </c>
      <c r="BC446">
        <v>144.12291999999999</v>
      </c>
      <c r="BD446">
        <v>4</v>
      </c>
      <c r="BE446">
        <v>337.5</v>
      </c>
      <c r="BF446" t="s">
        <v>72</v>
      </c>
      <c r="BG446">
        <v>0.1458637149923751</v>
      </c>
      <c r="BH446">
        <v>0.30875294117647101</v>
      </c>
      <c r="BI446">
        <v>0.96593983605212697</v>
      </c>
      <c r="BJ446">
        <v>80</v>
      </c>
      <c r="BK446">
        <v>3144.659284608917</v>
      </c>
      <c r="BL446">
        <v>1463.3170050621491</v>
      </c>
      <c r="BM446">
        <v>9.7443849882239064</v>
      </c>
      <c r="BN446">
        <v>1656.545447998064</v>
      </c>
      <c r="BO446">
        <v>1488.113836610853</v>
      </c>
    </row>
    <row r="447" spans="1:67" x14ac:dyDescent="0.25">
      <c r="A447" s="1">
        <v>445</v>
      </c>
      <c r="B447" t="s">
        <v>72</v>
      </c>
      <c r="C447" t="s">
        <v>84</v>
      </c>
      <c r="D447">
        <v>2</v>
      </c>
      <c r="E447">
        <v>6</v>
      </c>
      <c r="F447">
        <v>1</v>
      </c>
      <c r="G447">
        <v>46.067439999999998</v>
      </c>
      <c r="H447">
        <v>12</v>
      </c>
      <c r="I447" t="s">
        <v>89</v>
      </c>
      <c r="J447">
        <v>2.5</v>
      </c>
      <c r="K447">
        <v>200</v>
      </c>
      <c r="L447">
        <v>50</v>
      </c>
      <c r="N447" t="s">
        <v>90</v>
      </c>
      <c r="O447">
        <v>50</v>
      </c>
      <c r="P447">
        <v>0.33333333333333343</v>
      </c>
      <c r="Q447">
        <v>3.2500000000000001E-2</v>
      </c>
      <c r="R447">
        <v>77.5</v>
      </c>
      <c r="S447">
        <v>170</v>
      </c>
      <c r="T447">
        <v>50</v>
      </c>
      <c r="U447">
        <v>1812.1301775147931</v>
      </c>
      <c r="V447">
        <v>20</v>
      </c>
      <c r="W447">
        <v>0.95</v>
      </c>
      <c r="X447">
        <v>1</v>
      </c>
      <c r="Y447">
        <v>246895.00721591359</v>
      </c>
      <c r="Z447">
        <v>493790014.43182719</v>
      </c>
      <c r="AA447">
        <v>1234475036.0795679</v>
      </c>
      <c r="AB447">
        <v>1234475.0360795681</v>
      </c>
      <c r="AC447">
        <v>0</v>
      </c>
      <c r="AD447">
        <v>5117.7728219438759</v>
      </c>
      <c r="AE447">
        <v>1535331.8465831629</v>
      </c>
      <c r="AF447">
        <v>767665.92329158145</v>
      </c>
      <c r="AG447">
        <v>35.364403861279527</v>
      </c>
      <c r="AH447">
        <v>540.55963654499999</v>
      </c>
      <c r="AI447">
        <v>270.27981827249999</v>
      </c>
      <c r="AJ447">
        <v>40120.438672585973</v>
      </c>
      <c r="AK447">
        <v>854.70085470085473</v>
      </c>
      <c r="AL447" t="s">
        <v>93</v>
      </c>
      <c r="AM447">
        <v>41893.371832237499</v>
      </c>
      <c r="AN447">
        <v>2755.2934425921162</v>
      </c>
      <c r="AO447">
        <v>45947.569106324998</v>
      </c>
      <c r="AP447">
        <v>85623.804802116429</v>
      </c>
      <c r="AQ447">
        <v>39676.235695791431</v>
      </c>
      <c r="AR447">
        <v>5.2262888654166659E-2</v>
      </c>
      <c r="AS447">
        <v>1134.4864974951211</v>
      </c>
      <c r="AT447">
        <v>1184.619766151538</v>
      </c>
      <c r="AU447">
        <v>77.911491266756087</v>
      </c>
      <c r="AV447">
        <v>1299.2603886823319</v>
      </c>
      <c r="AW447">
        <v>2421.1861491567761</v>
      </c>
      <c r="AX447">
        <v>1121.9257604744439</v>
      </c>
      <c r="AY447">
        <v>7.6427081687195981</v>
      </c>
      <c r="AZ447" t="s">
        <v>113</v>
      </c>
      <c r="BA447" t="str">
        <f>VLOOKUP($AZ447,Sheet1!$A$2:$B$58,2)</f>
        <v>Benzoate (PW1)</v>
      </c>
      <c r="BB447" t="s">
        <v>165</v>
      </c>
      <c r="BC447">
        <v>121.1121</v>
      </c>
      <c r="BD447">
        <v>4.1428571428571432</v>
      </c>
      <c r="BE447">
        <v>249.2</v>
      </c>
      <c r="BF447" t="s">
        <v>72</v>
      </c>
      <c r="BG447">
        <v>0.15912170448706489</v>
      </c>
      <c r="BH447">
        <v>0.26889344262295001</v>
      </c>
      <c r="BI447">
        <v>0.70692553161831995</v>
      </c>
      <c r="BJ447">
        <v>80</v>
      </c>
      <c r="BK447">
        <v>4281.1902401058214</v>
      </c>
      <c r="BL447">
        <v>1983.811784789571</v>
      </c>
      <c r="BM447">
        <v>13.354869209137931</v>
      </c>
      <c r="BN447">
        <v>2270.327765553448</v>
      </c>
      <c r="BO447">
        <v>2010.8624745523721</v>
      </c>
    </row>
    <row r="448" spans="1:67" x14ac:dyDescent="0.25">
      <c r="A448" s="1">
        <v>446</v>
      </c>
      <c r="B448" t="s">
        <v>72</v>
      </c>
      <c r="C448" t="s">
        <v>84</v>
      </c>
      <c r="D448">
        <v>2</v>
      </c>
      <c r="E448">
        <v>6</v>
      </c>
      <c r="F448">
        <v>1</v>
      </c>
      <c r="G448">
        <v>46.067439999999998</v>
      </c>
      <c r="H448">
        <v>12</v>
      </c>
      <c r="I448" t="s">
        <v>89</v>
      </c>
      <c r="J448">
        <v>2.5</v>
      </c>
      <c r="K448">
        <v>200</v>
      </c>
      <c r="L448">
        <v>50</v>
      </c>
      <c r="N448" t="s">
        <v>90</v>
      </c>
      <c r="O448">
        <v>50</v>
      </c>
      <c r="P448">
        <v>0.33333333333333343</v>
      </c>
      <c r="Q448">
        <v>3.2500000000000001E-2</v>
      </c>
      <c r="R448">
        <v>77.5</v>
      </c>
      <c r="S448">
        <v>170</v>
      </c>
      <c r="T448">
        <v>50</v>
      </c>
      <c r="U448">
        <v>1812.1301775147931</v>
      </c>
      <c r="V448">
        <v>20</v>
      </c>
      <c r="W448">
        <v>0.95</v>
      </c>
      <c r="X448">
        <v>1</v>
      </c>
      <c r="Y448">
        <v>246895.00721591359</v>
      </c>
      <c r="Z448">
        <v>493790014.43182719</v>
      </c>
      <c r="AA448">
        <v>1234475036.0795679</v>
      </c>
      <c r="AB448">
        <v>1234475.0360795681</v>
      </c>
      <c r="AC448">
        <v>0</v>
      </c>
      <c r="AD448">
        <v>5117.7728219438759</v>
      </c>
      <c r="AE448">
        <v>1535331.8465831629</v>
      </c>
      <c r="AF448">
        <v>767665.92329158145</v>
      </c>
      <c r="AG448">
        <v>35.364403861279527</v>
      </c>
      <c r="AH448">
        <v>540.55963654499999</v>
      </c>
      <c r="AI448">
        <v>270.27981827249999</v>
      </c>
      <c r="AJ448">
        <v>40120.438672585973</v>
      </c>
      <c r="AK448">
        <v>854.70085470085473</v>
      </c>
      <c r="AL448" t="s">
        <v>93</v>
      </c>
      <c r="AM448">
        <v>41893.371832237499</v>
      </c>
      <c r="AN448">
        <v>2755.2934425921162</v>
      </c>
      <c r="AO448">
        <v>45947.569106324998</v>
      </c>
      <c r="AP448">
        <v>85623.804802116429</v>
      </c>
      <c r="AQ448">
        <v>39676.235695791431</v>
      </c>
      <c r="AR448">
        <v>5.2262888654166659E-2</v>
      </c>
      <c r="AS448">
        <v>1134.4864974951211</v>
      </c>
      <c r="AT448">
        <v>1184.619766151538</v>
      </c>
      <c r="AU448">
        <v>77.911491266756087</v>
      </c>
      <c r="AV448">
        <v>1299.2603886823319</v>
      </c>
      <c r="AW448">
        <v>2421.1861491567761</v>
      </c>
      <c r="AX448">
        <v>1121.9257604744439</v>
      </c>
      <c r="AY448">
        <v>7.6427081687195981</v>
      </c>
      <c r="AZ448" t="s">
        <v>114</v>
      </c>
      <c r="BA448" t="str">
        <f>VLOOKUP($AZ448,Sheet1!$A$2:$B$58,2)</f>
        <v>Benzoate (PW2)</v>
      </c>
      <c r="BB448" t="s">
        <v>165</v>
      </c>
      <c r="BC448">
        <v>121.1121</v>
      </c>
      <c r="BD448">
        <v>4.1428571428571432</v>
      </c>
      <c r="BE448">
        <v>249.2</v>
      </c>
      <c r="BF448" t="s">
        <v>72</v>
      </c>
      <c r="BG448">
        <v>0.15912170448706761</v>
      </c>
      <c r="BH448">
        <v>0.26889344262295101</v>
      </c>
      <c r="BI448">
        <v>0.70692553161831995</v>
      </c>
      <c r="BJ448">
        <v>80</v>
      </c>
      <c r="BK448">
        <v>4281.1902401058214</v>
      </c>
      <c r="BL448">
        <v>1983.811784789571</v>
      </c>
      <c r="BM448">
        <v>13.354869209137931</v>
      </c>
      <c r="BN448">
        <v>2270.327765553448</v>
      </c>
      <c r="BO448">
        <v>2010.8624745523721</v>
      </c>
    </row>
    <row r="449" spans="1:67" x14ac:dyDescent="0.25">
      <c r="A449" s="1">
        <v>447</v>
      </c>
      <c r="B449" t="s">
        <v>72</v>
      </c>
      <c r="C449" t="s">
        <v>84</v>
      </c>
      <c r="D449">
        <v>2</v>
      </c>
      <c r="E449">
        <v>6</v>
      </c>
      <c r="F449">
        <v>1</v>
      </c>
      <c r="G449">
        <v>46.067439999999998</v>
      </c>
      <c r="H449">
        <v>12</v>
      </c>
      <c r="I449" t="s">
        <v>89</v>
      </c>
      <c r="J449">
        <v>2.5</v>
      </c>
      <c r="K449">
        <v>200</v>
      </c>
      <c r="L449">
        <v>50</v>
      </c>
      <c r="N449" t="s">
        <v>90</v>
      </c>
      <c r="O449">
        <v>50</v>
      </c>
      <c r="P449">
        <v>0.33333333333333343</v>
      </c>
      <c r="Q449">
        <v>3.2500000000000001E-2</v>
      </c>
      <c r="R449">
        <v>77.5</v>
      </c>
      <c r="S449">
        <v>170</v>
      </c>
      <c r="T449">
        <v>50</v>
      </c>
      <c r="U449">
        <v>1812.1301775147931</v>
      </c>
      <c r="V449">
        <v>20</v>
      </c>
      <c r="W449">
        <v>0.95</v>
      </c>
      <c r="X449">
        <v>1</v>
      </c>
      <c r="Y449">
        <v>317318.40039599669</v>
      </c>
      <c r="Z449">
        <v>634636800.79199338</v>
      </c>
      <c r="AA449">
        <v>1586592001.9799831</v>
      </c>
      <c r="AB449">
        <v>1586592.0019799829</v>
      </c>
      <c r="AC449">
        <v>0</v>
      </c>
      <c r="AD449">
        <v>6577.5468842476621</v>
      </c>
      <c r="AE449">
        <v>1973264.065274298</v>
      </c>
      <c r="AF449">
        <v>986632.03263714921</v>
      </c>
      <c r="AG449">
        <v>45.451611965589919</v>
      </c>
      <c r="AH449">
        <v>694.74681210177505</v>
      </c>
      <c r="AI449">
        <v>347.37340605088752</v>
      </c>
      <c r="AJ449">
        <v>51564.240064349462</v>
      </c>
      <c r="AK449">
        <v>854.70085470085473</v>
      </c>
      <c r="AL449" t="s">
        <v>93</v>
      </c>
      <c r="AM449">
        <v>53842.87793788757</v>
      </c>
      <c r="AN449">
        <v>3541.2028687170468</v>
      </c>
      <c r="AO449">
        <v>59053.47902865088</v>
      </c>
      <c r="AP449">
        <v>109803.02172565489</v>
      </c>
      <c r="AQ449">
        <v>50749.542697004057</v>
      </c>
      <c r="AR449">
        <v>5.2262888654166673E-2</v>
      </c>
      <c r="AS449">
        <v>1134.486497495122</v>
      </c>
      <c r="AT449">
        <v>1184.619766151538</v>
      </c>
      <c r="AU449">
        <v>77.91149126675613</v>
      </c>
      <c r="AV449">
        <v>1299.2603886823319</v>
      </c>
      <c r="AW449">
        <v>2415.8223873068259</v>
      </c>
      <c r="AX449">
        <v>1116.561998624494</v>
      </c>
      <c r="AY449">
        <v>7.642708168719599</v>
      </c>
      <c r="AZ449" t="s">
        <v>115</v>
      </c>
      <c r="BA449" t="str">
        <f>VLOOKUP($AZ449,Sheet1!$A$2:$B$58,2)</f>
        <v>Benzyl Alcohol</v>
      </c>
      <c r="BB449" t="s">
        <v>166</v>
      </c>
      <c r="BC449">
        <v>108.13661999999999</v>
      </c>
      <c r="BD449">
        <v>4.8571428571428568</v>
      </c>
      <c r="BE449">
        <v>205</v>
      </c>
      <c r="BF449" t="s">
        <v>72</v>
      </c>
      <c r="BG449">
        <v>0.62483791413402734</v>
      </c>
      <c r="BH449">
        <v>0.23432142857142799</v>
      </c>
      <c r="BI449">
        <v>0.550035497507256</v>
      </c>
      <c r="BJ449">
        <v>80</v>
      </c>
      <c r="BK449">
        <v>5490.1510862827463</v>
      </c>
      <c r="BL449">
        <v>2537.4771348502022</v>
      </c>
      <c r="BM449">
        <v>16.74383238841035</v>
      </c>
      <c r="BN449">
        <v>2846.451506029759</v>
      </c>
      <c r="BO449">
        <v>2643.6995802529868</v>
      </c>
    </row>
    <row r="450" spans="1:67" x14ac:dyDescent="0.25">
      <c r="A450" s="1">
        <v>448</v>
      </c>
      <c r="B450" t="s">
        <v>72</v>
      </c>
      <c r="C450" t="s">
        <v>84</v>
      </c>
      <c r="D450">
        <v>2</v>
      </c>
      <c r="E450">
        <v>6</v>
      </c>
      <c r="F450">
        <v>1</v>
      </c>
      <c r="G450">
        <v>46.067439999999998</v>
      </c>
      <c r="H450">
        <v>12</v>
      </c>
      <c r="I450" t="s">
        <v>89</v>
      </c>
      <c r="J450">
        <v>2.5</v>
      </c>
      <c r="K450">
        <v>200</v>
      </c>
      <c r="L450">
        <v>50</v>
      </c>
      <c r="N450" t="s">
        <v>90</v>
      </c>
      <c r="O450">
        <v>50</v>
      </c>
      <c r="P450">
        <v>0.33333333333333343</v>
      </c>
      <c r="Q450">
        <v>3.2500000000000001E-2</v>
      </c>
      <c r="R450">
        <v>77.5</v>
      </c>
      <c r="S450">
        <v>170</v>
      </c>
      <c r="T450">
        <v>50</v>
      </c>
      <c r="U450">
        <v>1812.1301775147931</v>
      </c>
      <c r="V450">
        <v>20</v>
      </c>
      <c r="W450">
        <v>0.95</v>
      </c>
      <c r="X450">
        <v>1</v>
      </c>
      <c r="Y450">
        <v>331522.96620360378</v>
      </c>
      <c r="Z450">
        <v>663045932.40720761</v>
      </c>
      <c r="AA450">
        <v>1657614831.018019</v>
      </c>
      <c r="AB450">
        <v>1657614.831018019</v>
      </c>
      <c r="AC450">
        <v>0</v>
      </c>
      <c r="AD450">
        <v>6871.9867826377958</v>
      </c>
      <c r="AE450">
        <v>2061596.034791339</v>
      </c>
      <c r="AF450">
        <v>1030798.017395669</v>
      </c>
      <c r="AG450">
        <v>47.486225818493963</v>
      </c>
      <c r="AH450">
        <v>725.84673192933451</v>
      </c>
      <c r="AI450">
        <v>362.92336596466731</v>
      </c>
      <c r="AJ450">
        <v>53872.482008085623</v>
      </c>
      <c r="AK450">
        <v>854.70085470085473</v>
      </c>
      <c r="AL450" t="s">
        <v>93</v>
      </c>
      <c r="AM450">
        <v>56253.121724523422</v>
      </c>
      <c r="AN450">
        <v>3699.7226681488</v>
      </c>
      <c r="AO450">
        <v>61696.972213993431</v>
      </c>
      <c r="AP450">
        <v>114680.0272554587</v>
      </c>
      <c r="AQ450">
        <v>52983.055041465268</v>
      </c>
      <c r="AR450">
        <v>5.2262888654166659E-2</v>
      </c>
      <c r="AS450">
        <v>1134.4864974951211</v>
      </c>
      <c r="AT450">
        <v>1184.619766151538</v>
      </c>
      <c r="AU450">
        <v>77.911491266756087</v>
      </c>
      <c r="AV450">
        <v>1299.260388682331</v>
      </c>
      <c r="AW450">
        <v>2415.0166764947539</v>
      </c>
      <c r="AX450">
        <v>1115.7562878124229</v>
      </c>
      <c r="AY450">
        <v>7.6427081687195972</v>
      </c>
      <c r="AZ450" t="s">
        <v>116</v>
      </c>
      <c r="BA450" t="str">
        <f>VLOOKUP($AZ450,Sheet1!$A$2:$B$58,2)</f>
        <v>Beta Carotene</v>
      </c>
      <c r="BB450" t="s">
        <v>167</v>
      </c>
      <c r="BC450">
        <v>536.86703999999997</v>
      </c>
      <c r="BD450">
        <v>5.4</v>
      </c>
      <c r="BE450">
        <v>633</v>
      </c>
      <c r="BF450" t="s">
        <v>72</v>
      </c>
      <c r="BG450">
        <v>0.35020949008692331</v>
      </c>
      <c r="BH450">
        <v>4.5175159235668803E-2</v>
      </c>
      <c r="BI450">
        <v>0.52646845625418204</v>
      </c>
      <c r="BJ450">
        <v>80</v>
      </c>
      <c r="BK450">
        <v>5734.001362772934</v>
      </c>
      <c r="BL450">
        <v>2649.1527520732629</v>
      </c>
      <c r="BM450">
        <v>17.795958808146441</v>
      </c>
      <c r="BN450">
        <v>3025.312997384895</v>
      </c>
      <c r="BO450">
        <v>2708.6883653880391</v>
      </c>
    </row>
    <row r="451" spans="1:67" x14ac:dyDescent="0.25">
      <c r="A451" s="1">
        <v>449</v>
      </c>
      <c r="B451" t="s">
        <v>72</v>
      </c>
      <c r="C451" t="s">
        <v>84</v>
      </c>
      <c r="D451">
        <v>2</v>
      </c>
      <c r="E451">
        <v>6</v>
      </c>
      <c r="F451">
        <v>1</v>
      </c>
      <c r="G451">
        <v>46.067439999999998</v>
      </c>
      <c r="H451">
        <v>12</v>
      </c>
      <c r="I451" t="s">
        <v>89</v>
      </c>
      <c r="J451">
        <v>2.5</v>
      </c>
      <c r="K451">
        <v>200</v>
      </c>
      <c r="L451">
        <v>50</v>
      </c>
      <c r="N451" t="s">
        <v>90</v>
      </c>
      <c r="O451">
        <v>50</v>
      </c>
      <c r="P451">
        <v>0.33333333333333343</v>
      </c>
      <c r="Q451">
        <v>3.2500000000000001E-2</v>
      </c>
      <c r="R451">
        <v>77.5</v>
      </c>
      <c r="S451">
        <v>170</v>
      </c>
      <c r="T451">
        <v>50</v>
      </c>
      <c r="U451">
        <v>1812.1301775147931</v>
      </c>
      <c r="V451">
        <v>20</v>
      </c>
      <c r="W451">
        <v>0.95</v>
      </c>
      <c r="X451">
        <v>1</v>
      </c>
      <c r="Y451">
        <v>359322.78050825198</v>
      </c>
      <c r="Z451">
        <v>718645561.01650405</v>
      </c>
      <c r="AA451">
        <v>1796613902.54126</v>
      </c>
      <c r="AB451">
        <v>1796613.90254126</v>
      </c>
      <c r="AC451">
        <v>66773.504273504266</v>
      </c>
      <c r="AD451">
        <v>7448.2363216938656</v>
      </c>
      <c r="AE451">
        <v>2234470.89650816</v>
      </c>
      <c r="AF451">
        <v>1117235.44825408</v>
      </c>
      <c r="AG451">
        <v>51.468176978317928</v>
      </c>
      <c r="AH451">
        <v>786.71251324259288</v>
      </c>
      <c r="AI451">
        <v>393.35625662129638</v>
      </c>
      <c r="AJ451">
        <v>58389.951832590959</v>
      </c>
      <c r="AK451">
        <v>2170.1388888888891</v>
      </c>
      <c r="AL451" t="s">
        <v>95</v>
      </c>
      <c r="AM451">
        <v>60970.219776300954</v>
      </c>
      <c r="AN451">
        <v>4009.9624211620762</v>
      </c>
      <c r="AO451">
        <v>66870.563625620402</v>
      </c>
      <c r="AP451">
        <v>125540.27291894289</v>
      </c>
      <c r="AQ451">
        <v>58669.709293322463</v>
      </c>
      <c r="AR451">
        <v>5.2262888654166673E-2</v>
      </c>
      <c r="AS451">
        <v>1134.486497495122</v>
      </c>
      <c r="AT451">
        <v>1184.619766151538</v>
      </c>
      <c r="AU451">
        <v>77.911491266756116</v>
      </c>
      <c r="AV451">
        <v>1299.2603886823319</v>
      </c>
      <c r="AW451">
        <v>2439.1824286263218</v>
      </c>
      <c r="AX451">
        <v>1139.9220399439901</v>
      </c>
      <c r="AY451">
        <v>7.6427081687195981</v>
      </c>
      <c r="AZ451" t="s">
        <v>117</v>
      </c>
      <c r="BA451" t="str">
        <f>VLOOKUP($AZ451,Sheet1!$A$2:$B$58,2)</f>
        <v>Butane</v>
      </c>
      <c r="BB451" t="s">
        <v>168</v>
      </c>
      <c r="BC451">
        <v>58.121200000000002</v>
      </c>
      <c r="BD451">
        <v>6.5</v>
      </c>
      <c r="BE451">
        <v>-1</v>
      </c>
      <c r="BF451" t="s">
        <v>72</v>
      </c>
      <c r="BG451">
        <v>0.90471939022897707</v>
      </c>
      <c r="BH451">
        <v>0.38499999999999901</v>
      </c>
      <c r="BI451">
        <v>0.48573704117268002</v>
      </c>
      <c r="BJ451">
        <v>80</v>
      </c>
      <c r="BK451">
        <v>6277.0136459471432</v>
      </c>
      <c r="BL451">
        <v>2933.4854646661238</v>
      </c>
      <c r="BM451">
        <v>18.763093440835849</v>
      </c>
      <c r="BN451">
        <v>3189.725884942095</v>
      </c>
      <c r="BO451">
        <v>3087.2877610050491</v>
      </c>
    </row>
    <row r="452" spans="1:67" x14ac:dyDescent="0.25">
      <c r="A452" s="1">
        <v>450</v>
      </c>
      <c r="B452" t="s">
        <v>72</v>
      </c>
      <c r="C452" t="s">
        <v>84</v>
      </c>
      <c r="D452">
        <v>2</v>
      </c>
      <c r="E452">
        <v>6</v>
      </c>
      <c r="F452">
        <v>1</v>
      </c>
      <c r="G452">
        <v>46.067439999999998</v>
      </c>
      <c r="H452">
        <v>12</v>
      </c>
      <c r="I452" t="s">
        <v>89</v>
      </c>
      <c r="J452">
        <v>2.5</v>
      </c>
      <c r="K452">
        <v>200</v>
      </c>
      <c r="L452">
        <v>50</v>
      </c>
      <c r="N452" t="s">
        <v>90</v>
      </c>
      <c r="O452">
        <v>50</v>
      </c>
      <c r="P452">
        <v>0.33333333333333343</v>
      </c>
      <c r="Q452">
        <v>3.2500000000000001E-2</v>
      </c>
      <c r="R452">
        <v>77.5</v>
      </c>
      <c r="S452">
        <v>170</v>
      </c>
      <c r="T452">
        <v>50</v>
      </c>
      <c r="U452">
        <v>1812.1301775147931</v>
      </c>
      <c r="V452">
        <v>20</v>
      </c>
      <c r="W452">
        <v>0.95</v>
      </c>
      <c r="X452">
        <v>1</v>
      </c>
      <c r="Y452">
        <v>220907.24121811669</v>
      </c>
      <c r="Z452">
        <v>441814482.43623328</v>
      </c>
      <c r="AA452">
        <v>1104536206.0905831</v>
      </c>
      <c r="AB452">
        <v>1104536.206090583</v>
      </c>
      <c r="AC452">
        <v>0</v>
      </c>
      <c r="AD452">
        <v>4579.0843971502054</v>
      </c>
      <c r="AE452">
        <v>1373725.319145062</v>
      </c>
      <c r="AF452">
        <v>686862.65957253077</v>
      </c>
      <c r="AG452">
        <v>31.642004358097989</v>
      </c>
      <c r="AH452">
        <v>483.66121036459327</v>
      </c>
      <c r="AI452">
        <v>241.83060518229669</v>
      </c>
      <c r="AJ452">
        <v>35897.426697943964</v>
      </c>
      <c r="AK452">
        <v>854.70085470085473</v>
      </c>
      <c r="AL452" t="s">
        <v>93</v>
      </c>
      <c r="AM452">
        <v>37483.74380325598</v>
      </c>
      <c r="AN452">
        <v>2465.2757462086101</v>
      </c>
      <c r="AO452">
        <v>41111.20288099043</v>
      </c>
      <c r="AP452">
        <v>76701.147102109404</v>
      </c>
      <c r="AQ452">
        <v>35589.944221118967</v>
      </c>
      <c r="AR452">
        <v>5.2262888654166659E-2</v>
      </c>
      <c r="AS452">
        <v>1134.4864974951211</v>
      </c>
      <c r="AT452">
        <v>1184.619766151538</v>
      </c>
      <c r="AU452">
        <v>77.911491266756116</v>
      </c>
      <c r="AV452">
        <v>1299.2603886823319</v>
      </c>
      <c r="AW452">
        <v>2424.0293451094112</v>
      </c>
      <c r="AX452">
        <v>1124.768956427079</v>
      </c>
      <c r="AY452">
        <v>7.6427081687195999</v>
      </c>
      <c r="AZ452" t="s">
        <v>118</v>
      </c>
      <c r="BA452" t="str">
        <f>VLOOKUP($AZ452,Sheet1!$A$2:$B$58,2)</f>
        <v>Butanol (PW1)</v>
      </c>
      <c r="BB452" t="s">
        <v>169</v>
      </c>
      <c r="BC452">
        <v>74.120199999999997</v>
      </c>
      <c r="BD452">
        <v>6</v>
      </c>
      <c r="BE452">
        <v>117.7</v>
      </c>
      <c r="BF452" t="s">
        <v>72</v>
      </c>
      <c r="BG452">
        <v>4.3245002338481338E-2</v>
      </c>
      <c r="BH452">
        <v>0.49105882352941199</v>
      </c>
      <c r="BI452">
        <v>0.79008901323287595</v>
      </c>
      <c r="BJ452">
        <v>80</v>
      </c>
      <c r="BK452">
        <v>3835.057355105469</v>
      </c>
      <c r="BL452">
        <v>1779.4972110559479</v>
      </c>
      <c r="BM452">
        <v>12.048285256776349</v>
      </c>
      <c r="BN452">
        <v>2048.20849365198</v>
      </c>
      <c r="BO452">
        <v>1786.8488614534899</v>
      </c>
    </row>
    <row r="453" spans="1:67" x14ac:dyDescent="0.25">
      <c r="A453" s="1">
        <v>451</v>
      </c>
      <c r="B453" t="s">
        <v>72</v>
      </c>
      <c r="C453" t="s">
        <v>84</v>
      </c>
      <c r="D453">
        <v>2</v>
      </c>
      <c r="E453">
        <v>6</v>
      </c>
      <c r="F453">
        <v>1</v>
      </c>
      <c r="G453">
        <v>46.067439999999998</v>
      </c>
      <c r="H453">
        <v>12</v>
      </c>
      <c r="I453" t="s">
        <v>89</v>
      </c>
      <c r="J453">
        <v>2.5</v>
      </c>
      <c r="K453">
        <v>200</v>
      </c>
      <c r="L453">
        <v>50</v>
      </c>
      <c r="N453" t="s">
        <v>90</v>
      </c>
      <c r="O453">
        <v>50</v>
      </c>
      <c r="P453">
        <v>0.33333333333333343</v>
      </c>
      <c r="Q453">
        <v>3.2500000000000001E-2</v>
      </c>
      <c r="R453">
        <v>77.5</v>
      </c>
      <c r="S453">
        <v>170</v>
      </c>
      <c r="T453">
        <v>50</v>
      </c>
      <c r="U453">
        <v>1812.1301775147931</v>
      </c>
      <c r="V453">
        <v>20</v>
      </c>
      <c r="W453">
        <v>0.95</v>
      </c>
      <c r="X453">
        <v>1</v>
      </c>
      <c r="Y453">
        <v>274945.38013794081</v>
      </c>
      <c r="Z453">
        <v>549890760.27588165</v>
      </c>
      <c r="AA453">
        <v>1374726900.6897039</v>
      </c>
      <c r="AB453">
        <v>1374726.9006897041</v>
      </c>
      <c r="AC453">
        <v>0</v>
      </c>
      <c r="AD453">
        <v>5699.2160751085694</v>
      </c>
      <c r="AE453">
        <v>1709764.8225325709</v>
      </c>
      <c r="AF453">
        <v>854882.41126628546</v>
      </c>
      <c r="AG453">
        <v>39.382244188064931</v>
      </c>
      <c r="AH453">
        <v>601.97399871726748</v>
      </c>
      <c r="AI453">
        <v>300.98699935863368</v>
      </c>
      <c r="AJ453">
        <v>44678.624272415393</v>
      </c>
      <c r="AK453">
        <v>854.70085470085473</v>
      </c>
      <c r="AL453" t="s">
        <v>93</v>
      </c>
      <c r="AM453">
        <v>46652.984900588228</v>
      </c>
      <c r="AN453">
        <v>3068.3293741236771</v>
      </c>
      <c r="AO453">
        <v>51167.789890967739</v>
      </c>
      <c r="AP453">
        <v>95254.639401828143</v>
      </c>
      <c r="AQ453">
        <v>44086.849510860397</v>
      </c>
      <c r="AR453">
        <v>5.2262888654166659E-2</v>
      </c>
      <c r="AS453">
        <v>1134.4864974951211</v>
      </c>
      <c r="AT453">
        <v>1184.619766151538</v>
      </c>
      <c r="AU453">
        <v>77.911491266756087</v>
      </c>
      <c r="AV453">
        <v>1299.260388682331</v>
      </c>
      <c r="AW453">
        <v>2418.7204504383149</v>
      </c>
      <c r="AX453">
        <v>1119.460061755984</v>
      </c>
      <c r="AY453">
        <v>7.6427081687195972</v>
      </c>
      <c r="AZ453" t="s">
        <v>119</v>
      </c>
      <c r="BA453" t="str">
        <f>VLOOKUP($AZ453,Sheet1!$A$2:$B$58,2)</f>
        <v>Butanol (PW2)</v>
      </c>
      <c r="BB453" t="s">
        <v>169</v>
      </c>
      <c r="BC453">
        <v>74.120199999999997</v>
      </c>
      <c r="BD453">
        <v>6</v>
      </c>
      <c r="BE453">
        <v>117.7</v>
      </c>
      <c r="BF453" t="s">
        <v>72</v>
      </c>
      <c r="BG453">
        <v>0.63480894410183919</v>
      </c>
      <c r="BH453">
        <v>0.39454545454545398</v>
      </c>
      <c r="BI453">
        <v>0.63480384410333901</v>
      </c>
      <c r="BJ453">
        <v>80</v>
      </c>
      <c r="BK453">
        <v>4762.7319700914068</v>
      </c>
      <c r="BL453">
        <v>2204.3424755430201</v>
      </c>
      <c r="BM453">
        <v>14.41454102382985</v>
      </c>
      <c r="BN453">
        <v>2450.4719740510741</v>
      </c>
      <c r="BO453">
        <v>2312.2599960403331</v>
      </c>
    </row>
    <row r="454" spans="1:67" x14ac:dyDescent="0.25">
      <c r="A454" s="1">
        <v>452</v>
      </c>
      <c r="B454" t="s">
        <v>72</v>
      </c>
      <c r="C454" t="s">
        <v>84</v>
      </c>
      <c r="D454">
        <v>2</v>
      </c>
      <c r="E454">
        <v>6</v>
      </c>
      <c r="F454">
        <v>1</v>
      </c>
      <c r="G454">
        <v>46.067439999999998</v>
      </c>
      <c r="H454">
        <v>12</v>
      </c>
      <c r="I454" t="s">
        <v>89</v>
      </c>
      <c r="J454">
        <v>2.5</v>
      </c>
      <c r="K454">
        <v>200</v>
      </c>
      <c r="L454">
        <v>50</v>
      </c>
      <c r="N454" t="s">
        <v>90</v>
      </c>
      <c r="O454">
        <v>50</v>
      </c>
      <c r="P454">
        <v>0.33333333333333343</v>
      </c>
      <c r="Q454">
        <v>3.2500000000000001E-2</v>
      </c>
      <c r="R454">
        <v>77.5</v>
      </c>
      <c r="S454">
        <v>170</v>
      </c>
      <c r="T454">
        <v>50</v>
      </c>
      <c r="U454">
        <v>1812.1301775147931</v>
      </c>
      <c r="V454">
        <v>20</v>
      </c>
      <c r="W454">
        <v>0.95</v>
      </c>
      <c r="X454">
        <v>1</v>
      </c>
      <c r="Y454">
        <v>164432.98053392419</v>
      </c>
      <c r="Z454">
        <v>328865961.06784832</v>
      </c>
      <c r="AA454">
        <v>822164902.66962063</v>
      </c>
      <c r="AB454">
        <v>822164.90266962058</v>
      </c>
      <c r="AC454">
        <v>0</v>
      </c>
      <c r="AD454">
        <v>3408.4554738355291</v>
      </c>
      <c r="AE454">
        <v>1022536.642150659</v>
      </c>
      <c r="AF454">
        <v>511268.32107532938</v>
      </c>
      <c r="AG454">
        <v>23.552822705038469</v>
      </c>
      <c r="AH454">
        <v>360.01470096840387</v>
      </c>
      <c r="AI454">
        <v>180.00735048420199</v>
      </c>
      <c r="AJ454">
        <v>26720.359336762671</v>
      </c>
      <c r="AK454">
        <v>854.70085470085473</v>
      </c>
      <c r="AL454" t="s">
        <v>93</v>
      </c>
      <c r="AM454">
        <v>27901.139325051299</v>
      </c>
      <c r="AN454">
        <v>1835.0355404910599</v>
      </c>
      <c r="AO454">
        <v>30601.249582314329</v>
      </c>
      <c r="AP454">
        <v>57311.235057005877</v>
      </c>
      <c r="AQ454">
        <v>26709.985474691552</v>
      </c>
      <c r="AR454">
        <v>5.2262888654166673E-2</v>
      </c>
      <c r="AS454">
        <v>1134.486497495122</v>
      </c>
      <c r="AT454">
        <v>1184.619766151538</v>
      </c>
      <c r="AU454">
        <v>77.911491266756116</v>
      </c>
      <c r="AV454">
        <v>1299.260388682331</v>
      </c>
      <c r="AW454">
        <v>2433.3064352726492</v>
      </c>
      <c r="AX454">
        <v>1134.0460465903179</v>
      </c>
      <c r="AY454">
        <v>7.6427081687195981</v>
      </c>
      <c r="AZ454" t="s">
        <v>120</v>
      </c>
      <c r="BA454" t="str">
        <f>VLOOKUP($AZ454,Sheet1!$A$2:$B$58,2)</f>
        <v>Butyrate</v>
      </c>
      <c r="BB454" t="s">
        <v>170</v>
      </c>
      <c r="BC454">
        <v>87.095680000000002</v>
      </c>
      <c r="BD454">
        <v>4.75</v>
      </c>
      <c r="BE454">
        <v>163.5</v>
      </c>
      <c r="BF454" t="s">
        <v>72</v>
      </c>
      <c r="BG454">
        <v>-0.22115188773773789</v>
      </c>
      <c r="BH454">
        <v>0.56142857142856895</v>
      </c>
      <c r="BI454">
        <v>1.0614439005076</v>
      </c>
      <c r="BJ454">
        <v>80</v>
      </c>
      <c r="BK454">
        <v>2865.5617528502939</v>
      </c>
      <c r="BL454">
        <v>1335.4992737345781</v>
      </c>
      <c r="BM454">
        <v>9.2215194119478383</v>
      </c>
      <c r="BN454">
        <v>1567.658300031133</v>
      </c>
      <c r="BO454">
        <v>1297.9034528191621</v>
      </c>
    </row>
    <row r="455" spans="1:67" x14ac:dyDescent="0.25">
      <c r="A455" s="1">
        <v>453</v>
      </c>
      <c r="B455" t="s">
        <v>72</v>
      </c>
      <c r="C455" t="s">
        <v>84</v>
      </c>
      <c r="D455">
        <v>2</v>
      </c>
      <c r="E455">
        <v>6</v>
      </c>
      <c r="F455">
        <v>1</v>
      </c>
      <c r="G455">
        <v>46.067439999999998</v>
      </c>
      <c r="H455">
        <v>12</v>
      </c>
      <c r="I455" t="s">
        <v>89</v>
      </c>
      <c r="J455">
        <v>2.5</v>
      </c>
      <c r="K455">
        <v>200</v>
      </c>
      <c r="L455">
        <v>50</v>
      </c>
      <c r="N455" t="s">
        <v>90</v>
      </c>
      <c r="O455">
        <v>50</v>
      </c>
      <c r="P455">
        <v>0.33333333333333343</v>
      </c>
      <c r="Q455">
        <v>3.2500000000000001E-2</v>
      </c>
      <c r="R455">
        <v>77.5</v>
      </c>
      <c r="S455">
        <v>170</v>
      </c>
      <c r="T455">
        <v>50</v>
      </c>
      <c r="U455">
        <v>1812.1301775147931</v>
      </c>
      <c r="V455">
        <v>20</v>
      </c>
      <c r="W455">
        <v>0.95</v>
      </c>
      <c r="X455">
        <v>1</v>
      </c>
      <c r="Y455">
        <v>209796.19404640151</v>
      </c>
      <c r="Z455">
        <v>419592388.092803</v>
      </c>
      <c r="AA455">
        <v>1048980970.232008</v>
      </c>
      <c r="AB455">
        <v>1048980.970232008</v>
      </c>
      <c r="AC455">
        <v>0</v>
      </c>
      <c r="AD455">
        <v>4348.7686209019967</v>
      </c>
      <c r="AE455">
        <v>1304630.5862705989</v>
      </c>
      <c r="AF455">
        <v>652315.29313529946</v>
      </c>
      <c r="AG455">
        <v>30.05049562759282</v>
      </c>
      <c r="AH455">
        <v>459.33433681415261</v>
      </c>
      <c r="AI455">
        <v>229.6671684070763</v>
      </c>
      <c r="AJ455">
        <v>34091.881532540247</v>
      </c>
      <c r="AK455">
        <v>854.70085470085473</v>
      </c>
      <c r="AL455" t="s">
        <v>93</v>
      </c>
      <c r="AM455">
        <v>35598.41110309682</v>
      </c>
      <c r="AN455">
        <v>2341.2789276508911</v>
      </c>
      <c r="AO455">
        <v>39043.41862920297</v>
      </c>
      <c r="AP455">
        <v>72886.272417988817</v>
      </c>
      <c r="AQ455">
        <v>33842.853788785847</v>
      </c>
      <c r="AR455">
        <v>5.2262888654166673E-2</v>
      </c>
      <c r="AS455">
        <v>1134.486497495122</v>
      </c>
      <c r="AT455">
        <v>1184.619766151538</v>
      </c>
      <c r="AU455">
        <v>77.911491266756116</v>
      </c>
      <c r="AV455">
        <v>1299.2603886823319</v>
      </c>
      <c r="AW455">
        <v>2425.4599099212041</v>
      </c>
      <c r="AX455">
        <v>1126.199521238872</v>
      </c>
      <c r="AY455">
        <v>7.642708168719599</v>
      </c>
      <c r="AZ455" t="s">
        <v>121</v>
      </c>
      <c r="BA455" t="str">
        <f>VLOOKUP($AZ455,Sheet1!$A$2:$B$58,2)</f>
        <v>Catechol</v>
      </c>
      <c r="BB455" t="s">
        <v>171</v>
      </c>
      <c r="BC455">
        <v>110.10924</v>
      </c>
      <c r="BD455">
        <v>4.333333333333333</v>
      </c>
      <c r="BE455">
        <v>245</v>
      </c>
      <c r="BF455" t="s">
        <v>72</v>
      </c>
      <c r="BG455">
        <v>-0.1014921757470002</v>
      </c>
      <c r="BH455">
        <v>0.34806366047745302</v>
      </c>
      <c r="BI455">
        <v>0.83193303397780305</v>
      </c>
      <c r="BJ455">
        <v>80</v>
      </c>
      <c r="BK455">
        <v>3644.313620899441</v>
      </c>
      <c r="BL455">
        <v>1692.142689439293</v>
      </c>
      <c r="BM455">
        <v>11.584850596100811</v>
      </c>
      <c r="BN455">
        <v>1969.424601337138</v>
      </c>
      <c r="BO455">
        <v>1674.889019562303</v>
      </c>
    </row>
    <row r="456" spans="1:67" x14ac:dyDescent="0.25">
      <c r="A456" s="1">
        <v>454</v>
      </c>
      <c r="B456" t="s">
        <v>72</v>
      </c>
      <c r="C456" t="s">
        <v>84</v>
      </c>
      <c r="D456">
        <v>2</v>
      </c>
      <c r="E456">
        <v>6</v>
      </c>
      <c r="F456">
        <v>1</v>
      </c>
      <c r="G456">
        <v>46.067439999999998</v>
      </c>
      <c r="H456">
        <v>12</v>
      </c>
      <c r="I456" t="s">
        <v>89</v>
      </c>
      <c r="J456">
        <v>2.5</v>
      </c>
      <c r="K456">
        <v>200</v>
      </c>
      <c r="L456">
        <v>50</v>
      </c>
      <c r="N456" t="s">
        <v>90</v>
      </c>
      <c r="O456">
        <v>50</v>
      </c>
      <c r="P456">
        <v>0.33333333333333343</v>
      </c>
      <c r="Q456">
        <v>3.2500000000000001E-2</v>
      </c>
      <c r="R456">
        <v>77.5</v>
      </c>
      <c r="S456">
        <v>170</v>
      </c>
      <c r="T456">
        <v>50</v>
      </c>
      <c r="U456">
        <v>1812.1301775147931</v>
      </c>
      <c r="V456">
        <v>20</v>
      </c>
      <c r="W456">
        <v>0.95</v>
      </c>
      <c r="X456">
        <v>1</v>
      </c>
      <c r="Y456">
        <v>167520.06107963441</v>
      </c>
      <c r="Z456">
        <v>335040122.15926892</v>
      </c>
      <c r="AA456">
        <v>837600305.39817226</v>
      </c>
      <c r="AB456">
        <v>837600.30539817223</v>
      </c>
      <c r="AC456">
        <v>0</v>
      </c>
      <c r="AD456">
        <v>3472.446143773102</v>
      </c>
      <c r="AE456">
        <v>1041733.84313193</v>
      </c>
      <c r="AF456">
        <v>520866.92156596523</v>
      </c>
      <c r="AG456">
        <v>23.995005657224809</v>
      </c>
      <c r="AH456">
        <v>366.77365148989009</v>
      </c>
      <c r="AI456">
        <v>183.38682574494501</v>
      </c>
      <c r="AJ456">
        <v>27222.009925440601</v>
      </c>
      <c r="AK456">
        <v>854.70085470085473</v>
      </c>
      <c r="AL456" t="s">
        <v>93</v>
      </c>
      <c r="AM456">
        <v>28424.957990466479</v>
      </c>
      <c r="AN456">
        <v>1869.486673708634</v>
      </c>
      <c r="AO456">
        <v>31175.760376640661</v>
      </c>
      <c r="AP456">
        <v>58371.155444316573</v>
      </c>
      <c r="AQ456">
        <v>27195.395067675909</v>
      </c>
      <c r="AR456">
        <v>5.2262888654166659E-2</v>
      </c>
      <c r="AS456">
        <v>1134.4864974951211</v>
      </c>
      <c r="AT456">
        <v>1184.619766151538</v>
      </c>
      <c r="AU456">
        <v>77.911491266756087</v>
      </c>
      <c r="AV456">
        <v>1299.2603886823319</v>
      </c>
      <c r="AW456">
        <v>2432.6377029522059</v>
      </c>
      <c r="AX456">
        <v>1133.3773142698749</v>
      </c>
      <c r="AY456">
        <v>7.6427081687195981</v>
      </c>
      <c r="AZ456" t="s">
        <v>122</v>
      </c>
      <c r="BA456" t="str">
        <f>VLOOKUP($AZ456,Sheet1!$A$2:$B$58,2)</f>
        <v>cis,cis-Muconate</v>
      </c>
      <c r="BB456" t="s">
        <v>172</v>
      </c>
      <c r="BC456">
        <v>140.09155999999999</v>
      </c>
      <c r="BD456">
        <v>3.333333333333333</v>
      </c>
      <c r="BE456">
        <v>345.4</v>
      </c>
      <c r="BF456" t="s">
        <v>72</v>
      </c>
      <c r="BG456">
        <v>-5.1041868471046047E-2</v>
      </c>
      <c r="BH456">
        <v>0.34261096605744201</v>
      </c>
      <c r="BI456">
        <v>1.0418834801346499</v>
      </c>
      <c r="BJ456">
        <v>80</v>
      </c>
      <c r="BK456">
        <v>2918.5577722158282</v>
      </c>
      <c r="BL456">
        <v>1359.769753383795</v>
      </c>
      <c r="BM456">
        <v>9.2203831557182987</v>
      </c>
      <c r="BN456">
        <v>1567.465136472111</v>
      </c>
      <c r="BO456">
        <v>1351.092635743717</v>
      </c>
    </row>
    <row r="457" spans="1:67" x14ac:dyDescent="0.25">
      <c r="A457" s="1">
        <v>455</v>
      </c>
      <c r="B457" t="s">
        <v>72</v>
      </c>
      <c r="C457" t="s">
        <v>84</v>
      </c>
      <c r="D457">
        <v>2</v>
      </c>
      <c r="E457">
        <v>6</v>
      </c>
      <c r="F457">
        <v>1</v>
      </c>
      <c r="G457">
        <v>46.067439999999998</v>
      </c>
      <c r="H457">
        <v>12</v>
      </c>
      <c r="I457" t="s">
        <v>89</v>
      </c>
      <c r="J457">
        <v>2.5</v>
      </c>
      <c r="K457">
        <v>200</v>
      </c>
      <c r="L457">
        <v>50</v>
      </c>
      <c r="N457" t="s">
        <v>90</v>
      </c>
      <c r="O457">
        <v>50</v>
      </c>
      <c r="P457">
        <v>0.33333333333333343</v>
      </c>
      <c r="Q457">
        <v>3.2500000000000001E-2</v>
      </c>
      <c r="R457">
        <v>77.5</v>
      </c>
      <c r="S457">
        <v>170</v>
      </c>
      <c r="T457">
        <v>50</v>
      </c>
      <c r="U457">
        <v>1812.1301775147931</v>
      </c>
      <c r="V457">
        <v>20</v>
      </c>
      <c r="W457">
        <v>0.95</v>
      </c>
      <c r="X457">
        <v>1</v>
      </c>
      <c r="Y457">
        <v>82347.857511777824</v>
      </c>
      <c r="Z457">
        <v>164695715.02355561</v>
      </c>
      <c r="AA457">
        <v>411739287.55888909</v>
      </c>
      <c r="AB457">
        <v>411739.28755888907</v>
      </c>
      <c r="AC457">
        <v>0</v>
      </c>
      <c r="AD457">
        <v>1706.950787994386</v>
      </c>
      <c r="AE457">
        <v>512085.23639831587</v>
      </c>
      <c r="AF457">
        <v>256042.61819915791</v>
      </c>
      <c r="AG457">
        <v>11.79522795133262</v>
      </c>
      <c r="AH457">
        <v>180.29497003111899</v>
      </c>
      <c r="AI457">
        <v>90.147485015559511</v>
      </c>
      <c r="AJ457">
        <v>13381.526845663901</v>
      </c>
      <c r="AK457">
        <v>854.70085470085473</v>
      </c>
      <c r="AL457" t="s">
        <v>93</v>
      </c>
      <c r="AM457">
        <v>13972.86017741172</v>
      </c>
      <c r="AN457">
        <v>918.98379951964841</v>
      </c>
      <c r="AO457">
        <v>15325.072452645119</v>
      </c>
      <c r="AP457">
        <v>29128.07167729612</v>
      </c>
      <c r="AQ457">
        <v>13802.999224650999</v>
      </c>
      <c r="AR457">
        <v>5.2262888654166652E-2</v>
      </c>
      <c r="AS457">
        <v>1134.4864974951211</v>
      </c>
      <c r="AT457">
        <v>1184.619766151538</v>
      </c>
      <c r="AU457">
        <v>77.911491266756087</v>
      </c>
      <c r="AV457">
        <v>1299.260388682331</v>
      </c>
      <c r="AW457">
        <v>2469.4793349886249</v>
      </c>
      <c r="AX457">
        <v>1170.2189463062939</v>
      </c>
      <c r="AY457">
        <v>7.6427081687195972</v>
      </c>
      <c r="AZ457" t="s">
        <v>123</v>
      </c>
      <c r="BA457" t="str">
        <f>VLOOKUP($AZ457,Sheet1!$A$2:$B$58,2)</f>
        <v>Citrate</v>
      </c>
      <c r="BB457" t="s">
        <v>173</v>
      </c>
      <c r="BC457">
        <v>189.09639999999999</v>
      </c>
      <c r="BD457">
        <v>2.5</v>
      </c>
      <c r="BF457" t="s">
        <v>72</v>
      </c>
      <c r="BG457">
        <v>-0.49495575349418752</v>
      </c>
      <c r="BH457">
        <v>0.51635036496350195</v>
      </c>
      <c r="BI457">
        <v>2.1195012171999199</v>
      </c>
      <c r="BJ457">
        <v>80</v>
      </c>
      <c r="BK457">
        <v>1456.403583864806</v>
      </c>
      <c r="BL457">
        <v>690.14996123255003</v>
      </c>
      <c r="BM457">
        <v>5.0023300042721637</v>
      </c>
      <c r="BN457">
        <v>850.39610072626783</v>
      </c>
      <c r="BO457">
        <v>606.00748313853796</v>
      </c>
    </row>
    <row r="458" spans="1:67" x14ac:dyDescent="0.25">
      <c r="A458" s="1">
        <v>456</v>
      </c>
      <c r="B458" t="s">
        <v>72</v>
      </c>
      <c r="C458" t="s">
        <v>84</v>
      </c>
      <c r="D458">
        <v>2</v>
      </c>
      <c r="E458">
        <v>6</v>
      </c>
      <c r="F458">
        <v>1</v>
      </c>
      <c r="G458">
        <v>46.067439999999998</v>
      </c>
      <c r="H458">
        <v>12</v>
      </c>
      <c r="I458" t="s">
        <v>89</v>
      </c>
      <c r="J458">
        <v>2.5</v>
      </c>
      <c r="K458">
        <v>200</v>
      </c>
      <c r="L458">
        <v>50</v>
      </c>
      <c r="N458" t="s">
        <v>90</v>
      </c>
      <c r="O458">
        <v>50</v>
      </c>
      <c r="P458">
        <v>0.33333333333333343</v>
      </c>
      <c r="Q458">
        <v>3.2500000000000001E-2</v>
      </c>
      <c r="R458">
        <v>77.5</v>
      </c>
      <c r="S458">
        <v>170</v>
      </c>
      <c r="T458">
        <v>50</v>
      </c>
      <c r="U458">
        <v>1812.1301775147931</v>
      </c>
      <c r="V458">
        <v>20</v>
      </c>
      <c r="W458">
        <v>0.95</v>
      </c>
      <c r="X458">
        <v>1</v>
      </c>
      <c r="Y458">
        <v>213702.7216149703</v>
      </c>
      <c r="Z458">
        <v>427405443.22994071</v>
      </c>
      <c r="AA458">
        <v>1068513608.074852</v>
      </c>
      <c r="AB458">
        <v>1068513.608074852</v>
      </c>
      <c r="AC458">
        <v>0</v>
      </c>
      <c r="AD458">
        <v>4429.7452305306879</v>
      </c>
      <c r="AE458">
        <v>1328923.569159206</v>
      </c>
      <c r="AF458">
        <v>664461.78457960312</v>
      </c>
      <c r="AG458">
        <v>30.610053393413789</v>
      </c>
      <c r="AH458">
        <v>467.8874102295735</v>
      </c>
      <c r="AI458">
        <v>233.94370511478681</v>
      </c>
      <c r="AJ458">
        <v>34726.692262432683</v>
      </c>
      <c r="AK458">
        <v>854.70085470085473</v>
      </c>
      <c r="AL458" t="s">
        <v>93</v>
      </c>
      <c r="AM458">
        <v>36261.274292791953</v>
      </c>
      <c r="AN458">
        <v>2384.8749076358959</v>
      </c>
      <c r="AO458">
        <v>39770.429869513748</v>
      </c>
      <c r="AP458">
        <v>74227.542317561369</v>
      </c>
      <c r="AQ458">
        <v>34457.112448047621</v>
      </c>
      <c r="AR458">
        <v>5.2262888654166673E-2</v>
      </c>
      <c r="AS458">
        <v>1134.486497495122</v>
      </c>
      <c r="AT458">
        <v>1184.619766151538</v>
      </c>
      <c r="AU458">
        <v>77.911491266756087</v>
      </c>
      <c r="AV458">
        <v>1299.2603886823319</v>
      </c>
      <c r="AW458">
        <v>2424.939981762087</v>
      </c>
      <c r="AX458">
        <v>1125.679593079755</v>
      </c>
      <c r="AY458">
        <v>7.6427081687196017</v>
      </c>
      <c r="AZ458" t="s">
        <v>124</v>
      </c>
      <c r="BA458" t="str">
        <f>VLOOKUP($AZ458,Sheet1!$A$2:$B$58,2)</f>
        <v>Coumaric Acid</v>
      </c>
      <c r="BB458" t="s">
        <v>174</v>
      </c>
      <c r="BC458">
        <v>163.14818</v>
      </c>
      <c r="BD458">
        <v>4.1111111111111107</v>
      </c>
      <c r="BE458">
        <v>346</v>
      </c>
      <c r="BF458" t="s">
        <v>72</v>
      </c>
      <c r="BG458">
        <v>-8.8355891439661369E-2</v>
      </c>
      <c r="BH458">
        <v>0.23061511423550099</v>
      </c>
      <c r="BI458">
        <v>0.81672513532364899</v>
      </c>
      <c r="BJ458">
        <v>80</v>
      </c>
      <c r="BK458">
        <v>3711.3771158780678</v>
      </c>
      <c r="BL458">
        <v>1722.855622402381</v>
      </c>
      <c r="BM458">
        <v>11.785541147179</v>
      </c>
      <c r="BN458">
        <v>2003.54199502043</v>
      </c>
      <c r="BO458">
        <v>1707.835120857638</v>
      </c>
    </row>
    <row r="459" spans="1:67" x14ac:dyDescent="0.25">
      <c r="A459" s="1">
        <v>457</v>
      </c>
      <c r="B459" t="s">
        <v>72</v>
      </c>
      <c r="C459" t="s">
        <v>84</v>
      </c>
      <c r="D459">
        <v>2</v>
      </c>
      <c r="E459">
        <v>6</v>
      </c>
      <c r="F459">
        <v>1</v>
      </c>
      <c r="G459">
        <v>46.067439999999998</v>
      </c>
      <c r="H459">
        <v>12</v>
      </c>
      <c r="I459" t="s">
        <v>89</v>
      </c>
      <c r="J459">
        <v>2.5</v>
      </c>
      <c r="K459">
        <v>200</v>
      </c>
      <c r="L459">
        <v>50</v>
      </c>
      <c r="N459" t="s">
        <v>90</v>
      </c>
      <c r="O459">
        <v>50</v>
      </c>
      <c r="P459">
        <v>0.33333333333333343</v>
      </c>
      <c r="Q459">
        <v>3.2500000000000001E-2</v>
      </c>
      <c r="R459">
        <v>77.5</v>
      </c>
      <c r="S459">
        <v>170</v>
      </c>
      <c r="T459">
        <v>50</v>
      </c>
      <c r="U459">
        <v>1812.1301775147931</v>
      </c>
      <c r="V459">
        <v>20</v>
      </c>
      <c r="W459">
        <v>0.95</v>
      </c>
      <c r="X459">
        <v>1</v>
      </c>
      <c r="Y459">
        <v>166422.27259457851</v>
      </c>
      <c r="Z459">
        <v>332844545.18915689</v>
      </c>
      <c r="AA459">
        <v>832111362.9728924</v>
      </c>
      <c r="AB459">
        <v>832111.36297289236</v>
      </c>
      <c r="AC459">
        <v>0</v>
      </c>
      <c r="AD459">
        <v>3449.6905921869602</v>
      </c>
      <c r="AE459">
        <v>1034907.177656088</v>
      </c>
      <c r="AF459">
        <v>517453.58882804401</v>
      </c>
      <c r="AG459">
        <v>23.83776215612059</v>
      </c>
      <c r="AH459">
        <v>364.3701191091555</v>
      </c>
      <c r="AI459">
        <v>182.18505955457769</v>
      </c>
      <c r="AJ459">
        <v>27043.619296618999</v>
      </c>
      <c r="AK459">
        <v>854.70085470085473</v>
      </c>
      <c r="AL459" t="s">
        <v>93</v>
      </c>
      <c r="AM459">
        <v>28238.684230959549</v>
      </c>
      <c r="AN459">
        <v>1857.235598045598</v>
      </c>
      <c r="AO459">
        <v>30971.460124278219</v>
      </c>
      <c r="AP459">
        <v>57994.239980325001</v>
      </c>
      <c r="AQ459">
        <v>27022.779856046789</v>
      </c>
      <c r="AR459">
        <v>5.2262888654166673E-2</v>
      </c>
      <c r="AS459">
        <v>1134.486497495122</v>
      </c>
      <c r="AT459">
        <v>1184.619766151538</v>
      </c>
      <c r="AU459">
        <v>77.911491266756101</v>
      </c>
      <c r="AV459">
        <v>1299.2603886823319</v>
      </c>
      <c r="AW459">
        <v>2432.872666507179</v>
      </c>
      <c r="AX459">
        <v>1133.6122778248471</v>
      </c>
      <c r="AY459">
        <v>7.6427081687195999</v>
      </c>
      <c r="AZ459" t="s">
        <v>125</v>
      </c>
      <c r="BA459" t="str">
        <f>VLOOKUP($AZ459,Sheet1!$A$2:$B$58,2)</f>
        <v>Ethyl Acetate</v>
      </c>
      <c r="BB459" t="s">
        <v>175</v>
      </c>
      <c r="BC459">
        <v>88.103520000000003</v>
      </c>
      <c r="BD459">
        <v>5</v>
      </c>
      <c r="BE459">
        <v>77.099999999999994</v>
      </c>
      <c r="BF459" t="s">
        <v>72</v>
      </c>
      <c r="BG459">
        <v>-0.1762534529644291</v>
      </c>
      <c r="BH459">
        <v>0.54837209302325696</v>
      </c>
      <c r="BI459">
        <v>1.04875616411757</v>
      </c>
      <c r="BJ459">
        <v>80</v>
      </c>
      <c r="BK459">
        <v>2899.71199901625</v>
      </c>
      <c r="BL459">
        <v>1351.1389928023391</v>
      </c>
      <c r="BM459">
        <v>9.2855064306933155</v>
      </c>
      <c r="BN459">
        <v>1578.5360932178639</v>
      </c>
      <c r="BO459">
        <v>1321.1759057983861</v>
      </c>
    </row>
    <row r="460" spans="1:67" x14ac:dyDescent="0.25">
      <c r="A460" s="1">
        <v>458</v>
      </c>
      <c r="B460" t="s">
        <v>72</v>
      </c>
      <c r="C460" t="s">
        <v>84</v>
      </c>
      <c r="D460">
        <v>2</v>
      </c>
      <c r="E460">
        <v>6</v>
      </c>
      <c r="F460">
        <v>1</v>
      </c>
      <c r="G460">
        <v>46.067439999999998</v>
      </c>
      <c r="H460">
        <v>12</v>
      </c>
      <c r="I460" t="s">
        <v>89</v>
      </c>
      <c r="J460">
        <v>2.5</v>
      </c>
      <c r="K460">
        <v>200</v>
      </c>
      <c r="L460">
        <v>50</v>
      </c>
      <c r="N460" t="s">
        <v>90</v>
      </c>
      <c r="O460">
        <v>50</v>
      </c>
      <c r="P460">
        <v>0.33333333333333343</v>
      </c>
      <c r="Q460">
        <v>3.2500000000000001E-2</v>
      </c>
      <c r="R460">
        <v>77.5</v>
      </c>
      <c r="S460">
        <v>170</v>
      </c>
      <c r="T460">
        <v>50</v>
      </c>
      <c r="U460">
        <v>1812.1301775147931</v>
      </c>
      <c r="V460">
        <v>20</v>
      </c>
      <c r="W460">
        <v>0.95</v>
      </c>
      <c r="X460">
        <v>1</v>
      </c>
      <c r="Y460">
        <v>326023.99953823368</v>
      </c>
      <c r="Z460">
        <v>652047999.07646728</v>
      </c>
      <c r="AA460">
        <v>1630119997.6911681</v>
      </c>
      <c r="AB460">
        <v>1630119.997691168</v>
      </c>
      <c r="AC460">
        <v>0</v>
      </c>
      <c r="AD460">
        <v>6758.0012368539728</v>
      </c>
      <c r="AE460">
        <v>2027400.3710561921</v>
      </c>
      <c r="AF460">
        <v>1013700.185528096</v>
      </c>
      <c r="AG460">
        <v>46.698572474804429</v>
      </c>
      <c r="AH460">
        <v>713.80712264146416</v>
      </c>
      <c r="AI460">
        <v>356.90356132073208</v>
      </c>
      <c r="AJ460">
        <v>52978.899924962971</v>
      </c>
      <c r="AK460">
        <v>1835.336538461539</v>
      </c>
      <c r="AL460" t="s">
        <v>94</v>
      </c>
      <c r="AM460">
        <v>55320.052004713471</v>
      </c>
      <c r="AN460">
        <v>3638.3554215407021</v>
      </c>
      <c r="AO460">
        <v>60673.605424524452</v>
      </c>
      <c r="AP460">
        <v>113772.6438896787</v>
      </c>
      <c r="AQ460">
        <v>53099.038465154219</v>
      </c>
      <c r="AR460">
        <v>5.2262888654166673E-2</v>
      </c>
      <c r="AS460">
        <v>1134.486497495122</v>
      </c>
      <c r="AT460">
        <v>1184.619766151538</v>
      </c>
      <c r="AU460">
        <v>77.911491266756101</v>
      </c>
      <c r="AV460">
        <v>1299.2603886823319</v>
      </c>
      <c r="AW460">
        <v>2436.3195245649781</v>
      </c>
      <c r="AX460">
        <v>1137.0591358826459</v>
      </c>
      <c r="AY460">
        <v>7.6427081687195999</v>
      </c>
      <c r="AZ460" t="s">
        <v>126</v>
      </c>
      <c r="BA460" t="str">
        <f>VLOOKUP($AZ460,Sheet1!$A$2:$B$58,2)</f>
        <v>Farnesene</v>
      </c>
      <c r="BB460" t="s">
        <v>176</v>
      </c>
      <c r="BC460">
        <v>204.34866</v>
      </c>
      <c r="BD460">
        <v>5.6</v>
      </c>
      <c r="BE460" t="s">
        <v>198</v>
      </c>
      <c r="BF460" t="s">
        <v>72</v>
      </c>
      <c r="BG460">
        <v>0.33852751983396312</v>
      </c>
      <c r="BH460">
        <v>0.120686498855835</v>
      </c>
      <c r="BI460">
        <v>0.53534827030287502</v>
      </c>
      <c r="BJ460">
        <v>80</v>
      </c>
      <c r="BK460">
        <v>5688.6321944839328</v>
      </c>
      <c r="BL460">
        <v>2654.9519232577122</v>
      </c>
      <c r="BM460">
        <v>17.506650546202639</v>
      </c>
      <c r="BN460">
        <v>2976.1305928544489</v>
      </c>
      <c r="BO460">
        <v>2712.501601629484</v>
      </c>
    </row>
    <row r="461" spans="1:67" x14ac:dyDescent="0.25">
      <c r="A461" s="1">
        <v>459</v>
      </c>
      <c r="B461" t="s">
        <v>72</v>
      </c>
      <c r="C461" t="s">
        <v>84</v>
      </c>
      <c r="D461">
        <v>2</v>
      </c>
      <c r="E461">
        <v>6</v>
      </c>
      <c r="F461">
        <v>1</v>
      </c>
      <c r="G461">
        <v>46.067439999999998</v>
      </c>
      <c r="H461">
        <v>12</v>
      </c>
      <c r="I461" t="s">
        <v>89</v>
      </c>
      <c r="J461">
        <v>2.5</v>
      </c>
      <c r="K461">
        <v>200</v>
      </c>
      <c r="L461">
        <v>50</v>
      </c>
      <c r="N461" t="s">
        <v>90</v>
      </c>
      <c r="O461">
        <v>50</v>
      </c>
      <c r="P461">
        <v>0.33333333333333343</v>
      </c>
      <c r="Q461">
        <v>3.2500000000000001E-2</v>
      </c>
      <c r="R461">
        <v>77.5</v>
      </c>
      <c r="S461">
        <v>170</v>
      </c>
      <c r="T461">
        <v>50</v>
      </c>
      <c r="U461">
        <v>1812.1301775147931</v>
      </c>
      <c r="V461">
        <v>20</v>
      </c>
      <c r="W461">
        <v>0.95</v>
      </c>
      <c r="X461">
        <v>1</v>
      </c>
      <c r="Y461">
        <v>176920.42958955659</v>
      </c>
      <c r="Z461">
        <v>353840859.17911321</v>
      </c>
      <c r="AA461">
        <v>884602147.94778299</v>
      </c>
      <c r="AB461">
        <v>884602.147947783</v>
      </c>
      <c r="AC461">
        <v>0</v>
      </c>
      <c r="AD461">
        <v>3667.302050414683</v>
      </c>
      <c r="AE461">
        <v>1100190.6151244049</v>
      </c>
      <c r="AF461">
        <v>550095.30756220233</v>
      </c>
      <c r="AG461">
        <v>25.341482575403312</v>
      </c>
      <c r="AH461">
        <v>387.35511177300049</v>
      </c>
      <c r="AI461">
        <v>193.6775558865003</v>
      </c>
      <c r="AJ461">
        <v>28749.569808302949</v>
      </c>
      <c r="AK461">
        <v>1835.336538461539</v>
      </c>
      <c r="AL461" t="s">
        <v>94</v>
      </c>
      <c r="AM461">
        <v>30020.021162407538</v>
      </c>
      <c r="AN461">
        <v>1974.3926983601859</v>
      </c>
      <c r="AO461">
        <v>32925.184500705043</v>
      </c>
      <c r="AP461">
        <v>62579.320207532211</v>
      </c>
      <c r="AQ461">
        <v>29654.135706827172</v>
      </c>
      <c r="AR461">
        <v>5.2262888654166673E-2</v>
      </c>
      <c r="AS461">
        <v>1134.486497495122</v>
      </c>
      <c r="AT461">
        <v>1184.619766151538</v>
      </c>
      <c r="AU461">
        <v>77.911491266756101</v>
      </c>
      <c r="AV461">
        <v>1299.2603886823319</v>
      </c>
      <c r="AW461">
        <v>2469.4419523928059</v>
      </c>
      <c r="AX461">
        <v>1170.1815637104739</v>
      </c>
      <c r="AY461">
        <v>7.6427081687195999</v>
      </c>
      <c r="AZ461" t="s">
        <v>127</v>
      </c>
      <c r="BA461" t="str">
        <f>VLOOKUP($AZ461,Sheet1!$A$2:$B$58,2)</f>
        <v>Gamma Butyrolactone</v>
      </c>
      <c r="BB461" t="s">
        <v>177</v>
      </c>
      <c r="BC461">
        <v>86.08784</v>
      </c>
      <c r="BD461">
        <v>4.5</v>
      </c>
      <c r="BE461">
        <v>204</v>
      </c>
      <c r="BF461" t="s">
        <v>72</v>
      </c>
      <c r="BG461">
        <v>-0.1081125461217179</v>
      </c>
      <c r="BH461">
        <v>0.527910447761194</v>
      </c>
      <c r="BI461">
        <v>0.98652475937872897</v>
      </c>
      <c r="BJ461">
        <v>80</v>
      </c>
      <c r="BK461">
        <v>3128.9660103766109</v>
      </c>
      <c r="BL461">
        <v>1482.7067853413589</v>
      </c>
      <c r="BM461">
        <v>9.7919903404467323</v>
      </c>
      <c r="BN461">
        <v>1664.6383578759439</v>
      </c>
      <c r="BO461">
        <v>1464.327652500667</v>
      </c>
    </row>
    <row r="462" spans="1:67" x14ac:dyDescent="0.25">
      <c r="A462" s="1">
        <v>460</v>
      </c>
      <c r="B462" t="s">
        <v>72</v>
      </c>
      <c r="C462" t="s">
        <v>84</v>
      </c>
      <c r="D462">
        <v>2</v>
      </c>
      <c r="E462">
        <v>6</v>
      </c>
      <c r="F462">
        <v>1</v>
      </c>
      <c r="G462">
        <v>46.067439999999998</v>
      </c>
      <c r="H462">
        <v>12</v>
      </c>
      <c r="I462" t="s">
        <v>89</v>
      </c>
      <c r="J462">
        <v>2.5</v>
      </c>
      <c r="K462">
        <v>200</v>
      </c>
      <c r="L462">
        <v>50</v>
      </c>
      <c r="N462" t="s">
        <v>90</v>
      </c>
      <c r="O462">
        <v>50</v>
      </c>
      <c r="P462">
        <v>0.33333333333333343</v>
      </c>
      <c r="Q462">
        <v>3.2500000000000001E-2</v>
      </c>
      <c r="R462">
        <v>77.5</v>
      </c>
      <c r="S462">
        <v>170</v>
      </c>
      <c r="T462">
        <v>50</v>
      </c>
      <c r="U462">
        <v>1812.1301775147931</v>
      </c>
      <c r="V462">
        <v>20</v>
      </c>
      <c r="W462">
        <v>0.95</v>
      </c>
      <c r="X462">
        <v>1</v>
      </c>
      <c r="Y462">
        <v>104234.9453119215</v>
      </c>
      <c r="Z462">
        <v>208469890.62384301</v>
      </c>
      <c r="AA462">
        <v>521174726.55960739</v>
      </c>
      <c r="AB462">
        <v>521174.72655960743</v>
      </c>
      <c r="AC462">
        <v>0</v>
      </c>
      <c r="AD462">
        <v>2160.638144244233</v>
      </c>
      <c r="AE462">
        <v>648191.44327326969</v>
      </c>
      <c r="AF462">
        <v>324095.72163663479</v>
      </c>
      <c r="AG462">
        <v>14.93026021075238</v>
      </c>
      <c r="AH462">
        <v>228.2152433476528</v>
      </c>
      <c r="AI462">
        <v>114.1076216738264</v>
      </c>
      <c r="AJ462">
        <v>16938.17861318724</v>
      </c>
      <c r="AK462">
        <v>854.70085470085473</v>
      </c>
      <c r="AL462" t="s">
        <v>93</v>
      </c>
      <c r="AM462">
        <v>17686.68135944309</v>
      </c>
      <c r="AN462">
        <v>1163.23883802043</v>
      </c>
      <c r="AO462">
        <v>19398.295684550489</v>
      </c>
      <c r="AP462">
        <v>36642.799665351617</v>
      </c>
      <c r="AQ462">
        <v>17244.503980801121</v>
      </c>
      <c r="AR462">
        <v>5.2262888654166673E-2</v>
      </c>
      <c r="AS462">
        <v>1134.486497495122</v>
      </c>
      <c r="AT462">
        <v>1184.619766151538</v>
      </c>
      <c r="AU462">
        <v>77.911491266756116</v>
      </c>
      <c r="AV462">
        <v>1299.2603886823319</v>
      </c>
      <c r="AW462">
        <v>2454.263967815004</v>
      </c>
      <c r="AX462">
        <v>1155.003579132672</v>
      </c>
      <c r="AY462">
        <v>7.642708168719599</v>
      </c>
      <c r="AZ462" t="s">
        <v>128</v>
      </c>
      <c r="BA462" t="str">
        <f>VLOOKUP($AZ462,Sheet1!$A$2:$B$58,2)</f>
        <v>L-Glutamate</v>
      </c>
      <c r="BB462" t="s">
        <v>178</v>
      </c>
      <c r="BC462">
        <v>146.11892</v>
      </c>
      <c r="BD462">
        <v>3.4</v>
      </c>
      <c r="BE462">
        <v>333.8</v>
      </c>
      <c r="BF462" t="s">
        <v>72</v>
      </c>
      <c r="BG462">
        <v>-0.36488892453160121</v>
      </c>
      <c r="BH462">
        <v>0.527910447761194</v>
      </c>
      <c r="BI462">
        <v>1.6744517273714801</v>
      </c>
      <c r="BJ462">
        <v>80</v>
      </c>
      <c r="BK462">
        <v>1832.1399832675811</v>
      </c>
      <c r="BL462">
        <v>862.22519904005628</v>
      </c>
      <c r="BM462">
        <v>6.0702700082229217</v>
      </c>
      <c r="BN462">
        <v>1031.9459013978969</v>
      </c>
      <c r="BO462">
        <v>800.19408186968417</v>
      </c>
    </row>
    <row r="463" spans="1:67" x14ac:dyDescent="0.25">
      <c r="A463" s="1">
        <v>461</v>
      </c>
      <c r="B463" t="s">
        <v>72</v>
      </c>
      <c r="C463" t="s">
        <v>84</v>
      </c>
      <c r="D463">
        <v>2</v>
      </c>
      <c r="E463">
        <v>6</v>
      </c>
      <c r="F463">
        <v>1</v>
      </c>
      <c r="G463">
        <v>46.067439999999998</v>
      </c>
      <c r="H463">
        <v>12</v>
      </c>
      <c r="I463" t="s">
        <v>89</v>
      </c>
      <c r="J463">
        <v>2.5</v>
      </c>
      <c r="K463">
        <v>200</v>
      </c>
      <c r="L463">
        <v>50</v>
      </c>
      <c r="N463" t="s">
        <v>90</v>
      </c>
      <c r="O463">
        <v>50</v>
      </c>
      <c r="P463">
        <v>0.33333333333333343</v>
      </c>
      <c r="Q463">
        <v>3.2500000000000001E-2</v>
      </c>
      <c r="R463">
        <v>77.5</v>
      </c>
      <c r="S463">
        <v>170</v>
      </c>
      <c r="T463">
        <v>50</v>
      </c>
      <c r="U463">
        <v>1812.1301775147931</v>
      </c>
      <c r="V463">
        <v>20</v>
      </c>
      <c r="W463">
        <v>0.95</v>
      </c>
      <c r="X463">
        <v>1</v>
      </c>
      <c r="Y463">
        <v>163118.20648107649</v>
      </c>
      <c r="Z463">
        <v>326236412.9621529</v>
      </c>
      <c r="AA463">
        <v>815591032.40538228</v>
      </c>
      <c r="AB463">
        <v>815591.03240538226</v>
      </c>
      <c r="AC463">
        <v>0</v>
      </c>
      <c r="AD463">
        <v>3381.2021284133739</v>
      </c>
      <c r="AE463">
        <v>1014360.6385240121</v>
      </c>
      <c r="AF463">
        <v>507180.31926200609</v>
      </c>
      <c r="AG463">
        <v>23.364498926783309</v>
      </c>
      <c r="AH463">
        <v>357.13609361153419</v>
      </c>
      <c r="AI463">
        <v>178.5680468057671</v>
      </c>
      <c r="AJ463">
        <v>26506.708553174929</v>
      </c>
      <c r="AK463">
        <v>854.70085470085473</v>
      </c>
      <c r="AL463" t="s">
        <v>93</v>
      </c>
      <c r="AM463">
        <v>27678.0472548939</v>
      </c>
      <c r="AN463">
        <v>1820.36295408621</v>
      </c>
      <c r="AO463">
        <v>30356.567956980409</v>
      </c>
      <c r="AP463">
        <v>56859.819616855893</v>
      </c>
      <c r="AQ463">
        <v>26503.251659875481</v>
      </c>
      <c r="AR463">
        <v>5.2262888654166673E-2</v>
      </c>
      <c r="AS463">
        <v>1134.486497495122</v>
      </c>
      <c r="AT463">
        <v>1184.619766151538</v>
      </c>
      <c r="AU463">
        <v>77.911491266756101</v>
      </c>
      <c r="AV463">
        <v>1299.2603886823319</v>
      </c>
      <c r="AW463">
        <v>2433.5989312262141</v>
      </c>
      <c r="AX463">
        <v>1134.3385425438821</v>
      </c>
      <c r="AY463">
        <v>7.642708168719599</v>
      </c>
      <c r="AZ463" t="s">
        <v>129</v>
      </c>
      <c r="BA463" t="str">
        <f>VLOOKUP($AZ463,Sheet1!$A$2:$B$58,2)</f>
        <v>Glutarate</v>
      </c>
      <c r="BB463" t="s">
        <v>179</v>
      </c>
      <c r="BC463">
        <v>130.09654</v>
      </c>
      <c r="BD463">
        <v>3.6</v>
      </c>
      <c r="BE463">
        <v>200</v>
      </c>
      <c r="BF463" t="s">
        <v>72</v>
      </c>
      <c r="BG463">
        <v>9.4244246925266895E-2</v>
      </c>
      <c r="BH463">
        <v>0.378888888888889</v>
      </c>
      <c r="BI463">
        <v>1.0699994071493599</v>
      </c>
      <c r="BJ463">
        <v>80</v>
      </c>
      <c r="BK463">
        <v>2842.9909808427951</v>
      </c>
      <c r="BL463">
        <v>1325.1625829937741</v>
      </c>
      <c r="BM463">
        <v>8.8341580933630883</v>
      </c>
      <c r="BN463">
        <v>1501.806875871725</v>
      </c>
      <c r="BO463">
        <v>1341.1841049710699</v>
      </c>
    </row>
    <row r="464" spans="1:67" x14ac:dyDescent="0.25">
      <c r="A464" s="1">
        <v>462</v>
      </c>
      <c r="B464" t="s">
        <v>72</v>
      </c>
      <c r="C464" t="s">
        <v>84</v>
      </c>
      <c r="D464">
        <v>2</v>
      </c>
      <c r="E464">
        <v>6</v>
      </c>
      <c r="F464">
        <v>1</v>
      </c>
      <c r="G464">
        <v>46.067439999999998</v>
      </c>
      <c r="H464">
        <v>12</v>
      </c>
      <c r="I464" t="s">
        <v>89</v>
      </c>
      <c r="J464">
        <v>2.5</v>
      </c>
      <c r="K464">
        <v>200</v>
      </c>
      <c r="L464">
        <v>50</v>
      </c>
      <c r="N464" t="s">
        <v>90</v>
      </c>
      <c r="O464">
        <v>50</v>
      </c>
      <c r="P464">
        <v>0.33333333333333343</v>
      </c>
      <c r="Q464">
        <v>3.2500000000000001E-2</v>
      </c>
      <c r="R464">
        <v>77.5</v>
      </c>
      <c r="S464">
        <v>170</v>
      </c>
      <c r="T464">
        <v>50</v>
      </c>
      <c r="U464">
        <v>1812.1301775147931</v>
      </c>
      <c r="V464">
        <v>20</v>
      </c>
      <c r="W464">
        <v>0.95</v>
      </c>
      <c r="X464">
        <v>1</v>
      </c>
      <c r="Y464">
        <v>81790.86866587658</v>
      </c>
      <c r="Z464">
        <v>163581737.33175319</v>
      </c>
      <c r="AA464">
        <v>408954343.3293829</v>
      </c>
      <c r="AB464">
        <v>408954.34332938289</v>
      </c>
      <c r="AC464">
        <v>0</v>
      </c>
      <c r="AD464">
        <v>1695.405222898424</v>
      </c>
      <c r="AE464">
        <v>508621.56686952728</v>
      </c>
      <c r="AF464">
        <v>254310.7834347637</v>
      </c>
      <c r="AG464">
        <v>11.71544675723397</v>
      </c>
      <c r="AH464">
        <v>179.0754812634232</v>
      </c>
      <c r="AI464">
        <v>89.5377406317116</v>
      </c>
      <c r="AJ464">
        <v>13291.01615820494</v>
      </c>
      <c r="AK464">
        <v>854.70085470085473</v>
      </c>
      <c r="AL464" t="s">
        <v>93</v>
      </c>
      <c r="AM464">
        <v>13878.3497979153</v>
      </c>
      <c r="AN464">
        <v>912.76792771238036</v>
      </c>
      <c r="AO464">
        <v>15221.41590739097</v>
      </c>
      <c r="AP464">
        <v>28936.834738533478</v>
      </c>
      <c r="AQ464">
        <v>13715.41883114251</v>
      </c>
      <c r="AR464">
        <v>5.2262888654166659E-2</v>
      </c>
      <c r="AS464">
        <v>1134.4864974951211</v>
      </c>
      <c r="AT464">
        <v>1184.619766151538</v>
      </c>
      <c r="AU464">
        <v>77.911491266756087</v>
      </c>
      <c r="AV464">
        <v>1299.2603886823319</v>
      </c>
      <c r="AW464">
        <v>2469.9727921742101</v>
      </c>
      <c r="AX464">
        <v>1170.7124034918779</v>
      </c>
      <c r="AY464">
        <v>7.642708168719599</v>
      </c>
      <c r="AZ464" t="s">
        <v>130</v>
      </c>
      <c r="BA464" t="str">
        <f>VLOOKUP($AZ464,Sheet1!$A$2:$B$58,2)</f>
        <v>Glycolate</v>
      </c>
      <c r="BB464" t="s">
        <v>180</v>
      </c>
      <c r="BC464">
        <v>75.041920000000005</v>
      </c>
      <c r="BD464">
        <v>2.5</v>
      </c>
      <c r="BE464">
        <v>112</v>
      </c>
      <c r="BF464" t="s">
        <v>72</v>
      </c>
      <c r="BG464">
        <v>-0.27756699595830592</v>
      </c>
      <c r="BH464">
        <v>1.31</v>
      </c>
      <c r="BI464">
        <v>2.1339348398782301</v>
      </c>
      <c r="BJ464">
        <v>80</v>
      </c>
      <c r="BK464">
        <v>1446.841736926674</v>
      </c>
      <c r="BL464">
        <v>685.77094155712541</v>
      </c>
      <c r="BM464">
        <v>4.7544540275438862</v>
      </c>
      <c r="BN464">
        <v>808.25718468246066</v>
      </c>
      <c r="BO464">
        <v>638.58455224421289</v>
      </c>
    </row>
    <row r="465" spans="1:67" x14ac:dyDescent="0.25">
      <c r="A465" s="1">
        <v>463</v>
      </c>
      <c r="B465" t="s">
        <v>72</v>
      </c>
      <c r="C465" t="s">
        <v>84</v>
      </c>
      <c r="D465">
        <v>2</v>
      </c>
      <c r="E465">
        <v>6</v>
      </c>
      <c r="F465">
        <v>1</v>
      </c>
      <c r="G465">
        <v>46.067439999999998</v>
      </c>
      <c r="H465">
        <v>12</v>
      </c>
      <c r="I465" t="s">
        <v>89</v>
      </c>
      <c r="J465">
        <v>2.5</v>
      </c>
      <c r="K465">
        <v>200</v>
      </c>
      <c r="L465">
        <v>50</v>
      </c>
      <c r="N465" t="s">
        <v>90</v>
      </c>
      <c r="O465">
        <v>50</v>
      </c>
      <c r="P465">
        <v>0.33333333333333343</v>
      </c>
      <c r="Q465">
        <v>3.2500000000000001E-2</v>
      </c>
      <c r="R465">
        <v>77.5</v>
      </c>
      <c r="S465">
        <v>170</v>
      </c>
      <c r="T465">
        <v>50</v>
      </c>
      <c r="U465">
        <v>1812.1301775147931</v>
      </c>
      <c r="V465">
        <v>20</v>
      </c>
      <c r="W465">
        <v>0.95</v>
      </c>
      <c r="X465">
        <v>1</v>
      </c>
      <c r="Y465">
        <v>311404.16731707827</v>
      </c>
      <c r="Z465">
        <v>622808334.6341567</v>
      </c>
      <c r="AA465">
        <v>1557020836.585392</v>
      </c>
      <c r="AB465">
        <v>1557020.836585392</v>
      </c>
      <c r="AC465">
        <v>0</v>
      </c>
      <c r="AD465">
        <v>6454.9534723547267</v>
      </c>
      <c r="AE465">
        <v>1936486.0417064179</v>
      </c>
      <c r="AF465">
        <v>968243.02085320896</v>
      </c>
      <c r="AG465">
        <v>44.604477268573952</v>
      </c>
      <c r="AH465">
        <v>681.79800556399584</v>
      </c>
      <c r="AI465">
        <v>340.89900278199792</v>
      </c>
      <c r="AJ465">
        <v>50603.177189025228</v>
      </c>
      <c r="AK465">
        <v>854.70085470085473</v>
      </c>
      <c r="AL465" t="s">
        <v>93</v>
      </c>
      <c r="AM465">
        <v>52839.34543120968</v>
      </c>
      <c r="AN465">
        <v>3475.2013411687208</v>
      </c>
      <c r="AO465">
        <v>57952.830472939648</v>
      </c>
      <c r="AP465">
        <v>107772.4248161045</v>
      </c>
      <c r="AQ465">
        <v>49819.594343164848</v>
      </c>
      <c r="AR465">
        <v>5.2262888654166673E-2</v>
      </c>
      <c r="AS465">
        <v>1134.486497495122</v>
      </c>
      <c r="AT465">
        <v>1184.619766151538</v>
      </c>
      <c r="AU465">
        <v>77.911491266756101</v>
      </c>
      <c r="AV465">
        <v>1299.2603886823319</v>
      </c>
      <c r="AW465">
        <v>2416.1795276106841</v>
      </c>
      <c r="AX465">
        <v>1116.919138928351</v>
      </c>
      <c r="AY465">
        <v>7.6427081687196017</v>
      </c>
      <c r="AZ465" t="s">
        <v>131</v>
      </c>
      <c r="BA465" t="str">
        <f>VLOOKUP($AZ465,Sheet1!$A$2:$B$58,2)</f>
        <v>Heptane</v>
      </c>
      <c r="BB465" t="s">
        <v>181</v>
      </c>
      <c r="BC465">
        <v>100.20034</v>
      </c>
      <c r="BD465">
        <v>6.2857142857142856</v>
      </c>
      <c r="BE465">
        <v>98</v>
      </c>
      <c r="BF465" t="s">
        <v>72</v>
      </c>
      <c r="BG465">
        <v>0.33444956218882599</v>
      </c>
      <c r="BH465">
        <v>0.25768339768339799</v>
      </c>
      <c r="BI465">
        <v>0.560481851395078</v>
      </c>
      <c r="BJ465">
        <v>80</v>
      </c>
      <c r="BK465">
        <v>5388.6212408052243</v>
      </c>
      <c r="BL465">
        <v>2490.9797171582418</v>
      </c>
      <c r="BM465">
        <v>16.71050057691107</v>
      </c>
      <c r="BN465">
        <v>2840.7850980748822</v>
      </c>
      <c r="BO465">
        <v>2547.836142730343</v>
      </c>
    </row>
    <row r="466" spans="1:67" x14ac:dyDescent="0.25">
      <c r="A466" s="1">
        <v>464</v>
      </c>
      <c r="B466" t="s">
        <v>72</v>
      </c>
      <c r="C466" t="s">
        <v>84</v>
      </c>
      <c r="D466">
        <v>2</v>
      </c>
      <c r="E466">
        <v>6</v>
      </c>
      <c r="F466">
        <v>1</v>
      </c>
      <c r="G466">
        <v>46.067439999999998</v>
      </c>
      <c r="H466">
        <v>12</v>
      </c>
      <c r="I466" t="s">
        <v>89</v>
      </c>
      <c r="J466">
        <v>2.5</v>
      </c>
      <c r="K466">
        <v>200</v>
      </c>
      <c r="L466">
        <v>50</v>
      </c>
      <c r="N466" t="s">
        <v>90</v>
      </c>
      <c r="O466">
        <v>50</v>
      </c>
      <c r="P466">
        <v>0.33333333333333343</v>
      </c>
      <c r="Q466">
        <v>3.2500000000000001E-2</v>
      </c>
      <c r="R466">
        <v>77.5</v>
      </c>
      <c r="S466">
        <v>170</v>
      </c>
      <c r="T466">
        <v>50</v>
      </c>
      <c r="U466">
        <v>1812.1301775147931</v>
      </c>
      <c r="V466">
        <v>20</v>
      </c>
      <c r="W466">
        <v>0.95</v>
      </c>
      <c r="X466">
        <v>1</v>
      </c>
      <c r="Y466">
        <v>324436.47650102968</v>
      </c>
      <c r="Z466">
        <v>648872953.00205946</v>
      </c>
      <c r="AA466">
        <v>1622182382.5051489</v>
      </c>
      <c r="AB466">
        <v>1622182.3825051491</v>
      </c>
      <c r="AC466">
        <v>0</v>
      </c>
      <c r="AD466">
        <v>6725.094203432649</v>
      </c>
      <c r="AE466">
        <v>2017528.261029795</v>
      </c>
      <c r="AF466">
        <v>1008764.1305148971</v>
      </c>
      <c r="AG466">
        <v>46.471181056647211</v>
      </c>
      <c r="AH466">
        <v>710.33135014337017</v>
      </c>
      <c r="AI466">
        <v>355.16567507168509</v>
      </c>
      <c r="AJ466">
        <v>52720.927431417331</v>
      </c>
      <c r="AK466">
        <v>854.70085470085473</v>
      </c>
      <c r="AL466" t="s">
        <v>93</v>
      </c>
      <c r="AM466">
        <v>55050.679636111192</v>
      </c>
      <c r="AN466">
        <v>3620.6390170508098</v>
      </c>
      <c r="AO466">
        <v>60378.164762186461</v>
      </c>
      <c r="AP466">
        <v>112246.9469392802</v>
      </c>
      <c r="AQ466">
        <v>51868.782177093737</v>
      </c>
      <c r="AR466">
        <v>5.2262888654166673E-2</v>
      </c>
      <c r="AS466">
        <v>1134.486497495122</v>
      </c>
      <c r="AT466">
        <v>1184.619766151538</v>
      </c>
      <c r="AU466">
        <v>77.911491266756101</v>
      </c>
      <c r="AV466">
        <v>1299.2603886823319</v>
      </c>
      <c r="AW466">
        <v>2415.409817160747</v>
      </c>
      <c r="AX466">
        <v>1116.1494284784151</v>
      </c>
      <c r="AY466">
        <v>7.6427081687195981</v>
      </c>
      <c r="AZ466" t="s">
        <v>132</v>
      </c>
      <c r="BA466" t="str">
        <f>VLOOKUP($AZ466,Sheet1!$A$2:$B$58,2)</f>
        <v>Hexane</v>
      </c>
      <c r="BB466" t="s">
        <v>182</v>
      </c>
      <c r="BC466">
        <v>86.173959999999994</v>
      </c>
      <c r="BD466">
        <v>6.333333333333333</v>
      </c>
      <c r="BE466">
        <v>69</v>
      </c>
      <c r="BF466" t="s">
        <v>72</v>
      </c>
      <c r="BG466">
        <v>0.4873900047068086</v>
      </c>
      <c r="BH466">
        <v>0.28759036144578298</v>
      </c>
      <c r="BI466">
        <v>0.53796782073443805</v>
      </c>
      <c r="BJ466">
        <v>80</v>
      </c>
      <c r="BK466">
        <v>5612.3473469640094</v>
      </c>
      <c r="BL466">
        <v>2593.4391088546872</v>
      </c>
      <c r="BM466">
        <v>17.270893748877452</v>
      </c>
      <c r="BN466">
        <v>2936.0519373091661</v>
      </c>
      <c r="BO466">
        <v>2676.2954096548428</v>
      </c>
    </row>
    <row r="467" spans="1:67" x14ac:dyDescent="0.25">
      <c r="A467" s="1">
        <v>465</v>
      </c>
      <c r="B467" t="s">
        <v>72</v>
      </c>
      <c r="C467" t="s">
        <v>84</v>
      </c>
      <c r="D467">
        <v>2</v>
      </c>
      <c r="E467">
        <v>6</v>
      </c>
      <c r="F467">
        <v>1</v>
      </c>
      <c r="G467">
        <v>46.067439999999998</v>
      </c>
      <c r="H467">
        <v>12</v>
      </c>
      <c r="I467" t="s">
        <v>89</v>
      </c>
      <c r="J467">
        <v>2.5</v>
      </c>
      <c r="K467">
        <v>200</v>
      </c>
      <c r="L467">
        <v>50</v>
      </c>
      <c r="N467" t="s">
        <v>90</v>
      </c>
      <c r="O467">
        <v>50</v>
      </c>
      <c r="P467">
        <v>0.33333333333333343</v>
      </c>
      <c r="Q467">
        <v>3.2500000000000001E-2</v>
      </c>
      <c r="R467">
        <v>77.5</v>
      </c>
      <c r="S467">
        <v>170</v>
      </c>
      <c r="T467">
        <v>50</v>
      </c>
      <c r="U467">
        <v>1812.1301775147931</v>
      </c>
      <c r="V467">
        <v>20</v>
      </c>
      <c r="W467">
        <v>0.95</v>
      </c>
      <c r="X467">
        <v>1</v>
      </c>
      <c r="Y467">
        <v>202752.34919733959</v>
      </c>
      <c r="Z467">
        <v>405504698.39467913</v>
      </c>
      <c r="AA467">
        <v>1013761745.986698</v>
      </c>
      <c r="AB467">
        <v>1013761.745986698</v>
      </c>
      <c r="AC467">
        <v>0</v>
      </c>
      <c r="AD467">
        <v>4202.7600072122377</v>
      </c>
      <c r="AE467">
        <v>1260828.002163671</v>
      </c>
      <c r="AF467">
        <v>630414.00108183571</v>
      </c>
      <c r="AG467">
        <v>29.041559169997409</v>
      </c>
      <c r="AH467">
        <v>443.91232300178552</v>
      </c>
      <c r="AI467">
        <v>221.95616150089279</v>
      </c>
      <c r="AJ467">
        <v>32947.256744567683</v>
      </c>
      <c r="AK467">
        <v>854.70085470085473</v>
      </c>
      <c r="AL467" t="s">
        <v>93</v>
      </c>
      <c r="AM467">
        <v>34403.205032638383</v>
      </c>
      <c r="AN467">
        <v>2262.6711836462332</v>
      </c>
      <c r="AO467">
        <v>37732.547455151769</v>
      </c>
      <c r="AP467">
        <v>70467.833815553153</v>
      </c>
      <c r="AQ467">
        <v>32735.28636040138</v>
      </c>
      <c r="AR467">
        <v>5.2262888654166673E-2</v>
      </c>
      <c r="AS467">
        <v>1134.486497495122</v>
      </c>
      <c r="AT467">
        <v>1184.619766151538</v>
      </c>
      <c r="AU467">
        <v>77.911491266756101</v>
      </c>
      <c r="AV467">
        <v>1299.2603886823319</v>
      </c>
      <c r="AW467">
        <v>2426.448022403456</v>
      </c>
      <c r="AX467">
        <v>1127.187633721124</v>
      </c>
      <c r="AY467">
        <v>7.642708168719599</v>
      </c>
      <c r="AZ467" t="s">
        <v>133</v>
      </c>
      <c r="BA467" t="str">
        <f>VLOOKUP($AZ467,Sheet1!$A$2:$B$58,2)</f>
        <v>Isobutanol</v>
      </c>
      <c r="BB467" t="s">
        <v>183</v>
      </c>
      <c r="BC467">
        <v>86.130899999999997</v>
      </c>
      <c r="BD467">
        <v>5.6</v>
      </c>
      <c r="BE467">
        <v>108</v>
      </c>
      <c r="BF467" t="s">
        <v>72</v>
      </c>
      <c r="BG467">
        <v>0.17569582468281389</v>
      </c>
      <c r="BH467">
        <v>0.46042105263158001</v>
      </c>
      <c r="BI467">
        <v>0.86083532408367702</v>
      </c>
      <c r="BJ467">
        <v>80</v>
      </c>
      <c r="BK467">
        <v>3523.3916907776579</v>
      </c>
      <c r="BL467">
        <v>1636.7643180200689</v>
      </c>
      <c r="BM467">
        <v>10.92211225036182</v>
      </c>
      <c r="BN467">
        <v>1856.75908256151</v>
      </c>
      <c r="BO467">
        <v>1666.6326082161479</v>
      </c>
    </row>
    <row r="468" spans="1:67" x14ac:dyDescent="0.25">
      <c r="A468" s="1">
        <v>466</v>
      </c>
      <c r="B468" t="s">
        <v>72</v>
      </c>
      <c r="C468" t="s">
        <v>84</v>
      </c>
      <c r="D468">
        <v>2</v>
      </c>
      <c r="E468">
        <v>6</v>
      </c>
      <c r="F468">
        <v>1</v>
      </c>
      <c r="G468">
        <v>46.067439999999998</v>
      </c>
      <c r="H468">
        <v>12</v>
      </c>
      <c r="I468" t="s">
        <v>89</v>
      </c>
      <c r="J468">
        <v>2.5</v>
      </c>
      <c r="K468">
        <v>200</v>
      </c>
      <c r="L468">
        <v>50</v>
      </c>
      <c r="N468" t="s">
        <v>90</v>
      </c>
      <c r="O468">
        <v>50</v>
      </c>
      <c r="P468">
        <v>0.33333333333333343</v>
      </c>
      <c r="Q468">
        <v>3.2500000000000001E-2</v>
      </c>
      <c r="R468">
        <v>77.5</v>
      </c>
      <c r="S468">
        <v>170</v>
      </c>
      <c r="T468">
        <v>50</v>
      </c>
      <c r="U468">
        <v>1812.1301775147931</v>
      </c>
      <c r="V468">
        <v>20</v>
      </c>
      <c r="W468">
        <v>0.95</v>
      </c>
      <c r="X468">
        <v>1</v>
      </c>
      <c r="Y468">
        <v>174873.16977417251</v>
      </c>
      <c r="Z468">
        <v>349746339.54834509</v>
      </c>
      <c r="AA468">
        <v>874365848.87086272</v>
      </c>
      <c r="AB468">
        <v>874365.84887086274</v>
      </c>
      <c r="AC468">
        <v>0</v>
      </c>
      <c r="AD468">
        <v>3624.86534519015</v>
      </c>
      <c r="AE468">
        <v>1087459.6035570451</v>
      </c>
      <c r="AF468">
        <v>543729.80177852255</v>
      </c>
      <c r="AG468">
        <v>25.048240019643981</v>
      </c>
      <c r="AH468">
        <v>382.87277722036453</v>
      </c>
      <c r="AI468">
        <v>191.43638861018229</v>
      </c>
      <c r="AJ468">
        <v>28416.89008830304</v>
      </c>
      <c r="AK468">
        <v>854.70085470085473</v>
      </c>
      <c r="AL468" t="s">
        <v>93</v>
      </c>
      <c r="AM468">
        <v>29672.640234578252</v>
      </c>
      <c r="AN468">
        <v>1951.5457335381029</v>
      </c>
      <c r="AO468">
        <v>32544.18606373098</v>
      </c>
      <c r="AP468">
        <v>60895.776911120243</v>
      </c>
      <c r="AQ468">
        <v>28351.59084738926</v>
      </c>
      <c r="AR468">
        <v>5.2262888654166673E-2</v>
      </c>
      <c r="AS468">
        <v>1134.486497495122</v>
      </c>
      <c r="AT468">
        <v>1184.619766151538</v>
      </c>
      <c r="AU468">
        <v>77.911491266756116</v>
      </c>
      <c r="AV468">
        <v>1299.2603886823319</v>
      </c>
      <c r="AW468">
        <v>2431.139946892994</v>
      </c>
      <c r="AX468">
        <v>1131.879558210662</v>
      </c>
      <c r="AY468">
        <v>7.6427081687195999</v>
      </c>
      <c r="AZ468" t="s">
        <v>134</v>
      </c>
      <c r="BA468" t="str">
        <f>VLOOKUP($AZ468,Sheet1!$A$2:$B$58,2)</f>
        <v>Isobutyrate</v>
      </c>
      <c r="BB468" t="s">
        <v>170</v>
      </c>
      <c r="BC468">
        <v>87.095680000000002</v>
      </c>
      <c r="BD468">
        <v>4.75</v>
      </c>
      <c r="BE468">
        <v>155</v>
      </c>
      <c r="BF468" t="s">
        <v>72</v>
      </c>
      <c r="BG468">
        <v>-0.1068615064779226</v>
      </c>
      <c r="BH468">
        <v>0.527910447761194</v>
      </c>
      <c r="BI468">
        <v>0.99807411540267299</v>
      </c>
      <c r="BJ468">
        <v>80</v>
      </c>
      <c r="BK468">
        <v>3044.7888455560119</v>
      </c>
      <c r="BL468">
        <v>1417.5795423694631</v>
      </c>
      <c r="BM468">
        <v>9.6786809369870372</v>
      </c>
      <c r="BN468">
        <v>1645.375759287796</v>
      </c>
      <c r="BO468">
        <v>1399.413086268215</v>
      </c>
    </row>
    <row r="469" spans="1:67" x14ac:dyDescent="0.25">
      <c r="A469" s="1">
        <v>467</v>
      </c>
      <c r="B469" t="s">
        <v>72</v>
      </c>
      <c r="C469" t="s">
        <v>84</v>
      </c>
      <c r="D469">
        <v>2</v>
      </c>
      <c r="E469">
        <v>6</v>
      </c>
      <c r="F469">
        <v>1</v>
      </c>
      <c r="G469">
        <v>46.067439999999998</v>
      </c>
      <c r="H469">
        <v>12</v>
      </c>
      <c r="I469" t="s">
        <v>89</v>
      </c>
      <c r="J469">
        <v>2.5</v>
      </c>
      <c r="K469">
        <v>200</v>
      </c>
      <c r="L469">
        <v>50</v>
      </c>
      <c r="N469" t="s">
        <v>90</v>
      </c>
      <c r="O469">
        <v>50</v>
      </c>
      <c r="P469">
        <v>0.33333333333333343</v>
      </c>
      <c r="Q469">
        <v>3.2500000000000001E-2</v>
      </c>
      <c r="R469">
        <v>77.5</v>
      </c>
      <c r="S469">
        <v>170</v>
      </c>
      <c r="T469">
        <v>50</v>
      </c>
      <c r="U469">
        <v>1812.1301775147931</v>
      </c>
      <c r="V469">
        <v>20</v>
      </c>
      <c r="W469">
        <v>0.95</v>
      </c>
      <c r="X469">
        <v>1</v>
      </c>
      <c r="Y469">
        <v>326770.04988042609</v>
      </c>
      <c r="Z469">
        <v>653540099.76085222</v>
      </c>
      <c r="AA469">
        <v>1633850249.4021311</v>
      </c>
      <c r="AB469">
        <v>1633850.24940213</v>
      </c>
      <c r="AC469">
        <v>66773.504273504266</v>
      </c>
      <c r="AD469">
        <v>6773.4657705767449</v>
      </c>
      <c r="AE469">
        <v>2032039.731173024</v>
      </c>
      <c r="AF469">
        <v>1016019.865586512</v>
      </c>
      <c r="AG469">
        <v>46.8054341967147</v>
      </c>
      <c r="AH469">
        <v>715.44054855139814</v>
      </c>
      <c r="AI469">
        <v>357.72027427569913</v>
      </c>
      <c r="AJ469">
        <v>53100.133105569243</v>
      </c>
      <c r="AK469">
        <v>2170.1388888888891</v>
      </c>
      <c r="AL469" t="s">
        <v>95</v>
      </c>
      <c r="AM469">
        <v>55446.642512733357</v>
      </c>
      <c r="AN469">
        <v>3646.6811776540658</v>
      </c>
      <c r="AO469">
        <v>60812.446626868841</v>
      </c>
      <c r="AP469">
        <v>114363.5956848456</v>
      </c>
      <c r="AQ469">
        <v>53551.149057976727</v>
      </c>
      <c r="AR469">
        <v>5.2262888654166659E-2</v>
      </c>
      <c r="AS469">
        <v>1134.4864974951211</v>
      </c>
      <c r="AT469">
        <v>1184.619766151538</v>
      </c>
      <c r="AU469">
        <v>77.91149126675613</v>
      </c>
      <c r="AV469">
        <v>1299.2603886823319</v>
      </c>
      <c r="AW469">
        <v>2443.3828602934491</v>
      </c>
      <c r="AX469">
        <v>1144.1224716111169</v>
      </c>
      <c r="AY469">
        <v>7.6427081687195981</v>
      </c>
      <c r="AZ469" t="s">
        <v>135</v>
      </c>
      <c r="BA469" t="str">
        <f>VLOOKUP($AZ469,Sheet1!$A$2:$B$58,2)</f>
        <v>Isoprene</v>
      </c>
      <c r="BB469" t="s">
        <v>184</v>
      </c>
      <c r="BC469">
        <v>68.116219999999998</v>
      </c>
      <c r="BD469">
        <v>5.6</v>
      </c>
      <c r="BE469">
        <v>34.07</v>
      </c>
      <c r="BF469" t="s">
        <v>72</v>
      </c>
      <c r="BG469">
        <v>0.34669464938364342</v>
      </c>
      <c r="BH469">
        <v>0.36123287671232901</v>
      </c>
      <c r="BI469">
        <v>0.53412601397798298</v>
      </c>
      <c r="BJ469">
        <v>80</v>
      </c>
      <c r="BK469">
        <v>5718.1797842422793</v>
      </c>
      <c r="BL469">
        <v>2677.5574528988368</v>
      </c>
      <c r="BM469">
        <v>17.539319064401312</v>
      </c>
      <c r="BN469">
        <v>2981.6842409482229</v>
      </c>
      <c r="BO469">
        <v>2736.495543294056</v>
      </c>
    </row>
    <row r="470" spans="1:67" x14ac:dyDescent="0.25">
      <c r="A470" s="1">
        <v>468</v>
      </c>
      <c r="B470" t="s">
        <v>72</v>
      </c>
      <c r="C470" t="s">
        <v>84</v>
      </c>
      <c r="D470">
        <v>2</v>
      </c>
      <c r="E470">
        <v>6</v>
      </c>
      <c r="F470">
        <v>1</v>
      </c>
      <c r="G470">
        <v>46.067439999999998</v>
      </c>
      <c r="H470">
        <v>12</v>
      </c>
      <c r="I470" t="s">
        <v>89</v>
      </c>
      <c r="J470">
        <v>2.5</v>
      </c>
      <c r="K470">
        <v>200</v>
      </c>
      <c r="L470">
        <v>50</v>
      </c>
      <c r="N470" t="s">
        <v>90</v>
      </c>
      <c r="O470">
        <v>50</v>
      </c>
      <c r="P470">
        <v>0.33333333333333343</v>
      </c>
      <c r="Q470">
        <v>3.2500000000000001E-2</v>
      </c>
      <c r="R470">
        <v>77.5</v>
      </c>
      <c r="S470">
        <v>170</v>
      </c>
      <c r="T470">
        <v>50</v>
      </c>
      <c r="U470">
        <v>1812.1301775147931</v>
      </c>
      <c r="V470">
        <v>20</v>
      </c>
      <c r="W470">
        <v>0.95</v>
      </c>
      <c r="X470">
        <v>1</v>
      </c>
      <c r="Y470">
        <v>226968.94153380001</v>
      </c>
      <c r="Z470">
        <v>453937883.06760007</v>
      </c>
      <c r="AA470">
        <v>1134844707.6689999</v>
      </c>
      <c r="AB470">
        <v>1134844.7076689999</v>
      </c>
      <c r="AC470">
        <v>0</v>
      </c>
      <c r="AD470">
        <v>4704.7345894331274</v>
      </c>
      <c r="AE470">
        <v>1411420.376829938</v>
      </c>
      <c r="AF470">
        <v>705710.18841496925</v>
      </c>
      <c r="AG470">
        <v>32.510261762195292</v>
      </c>
      <c r="AH470">
        <v>496.93288627428473</v>
      </c>
      <c r="AI470">
        <v>248.46644313714239</v>
      </c>
      <c r="AJ470">
        <v>36882.452999242509</v>
      </c>
      <c r="AK470">
        <v>854.70085470085473</v>
      </c>
      <c r="AL470" t="s">
        <v>93</v>
      </c>
      <c r="AM470">
        <v>38512.298686257069</v>
      </c>
      <c r="AN470">
        <v>2532.922975365233</v>
      </c>
      <c r="AO470">
        <v>42239.2953333142</v>
      </c>
      <c r="AP470">
        <v>78782.375515565669</v>
      </c>
      <c r="AQ470">
        <v>36543.08018225147</v>
      </c>
      <c r="AR470">
        <v>5.2262888654166652E-2</v>
      </c>
      <c r="AS470">
        <v>1134.4864974951211</v>
      </c>
      <c r="AT470">
        <v>1184.619766151538</v>
      </c>
      <c r="AU470">
        <v>77.911491266756101</v>
      </c>
      <c r="AV470">
        <v>1299.260388682331</v>
      </c>
      <c r="AW470">
        <v>2423.307941715133</v>
      </c>
      <c r="AX470">
        <v>1124.047553032801</v>
      </c>
      <c r="AY470">
        <v>7.6427081687195981</v>
      </c>
      <c r="AZ470" t="s">
        <v>136</v>
      </c>
      <c r="BA470" t="str">
        <f>VLOOKUP($AZ470,Sheet1!$A$2:$B$58,2)</f>
        <v>Isopropanol</v>
      </c>
      <c r="BB470" t="s">
        <v>156</v>
      </c>
      <c r="BC470">
        <v>60.093820000000001</v>
      </c>
      <c r="BD470">
        <v>6</v>
      </c>
      <c r="BE470">
        <v>82.5</v>
      </c>
      <c r="BF470" t="s">
        <v>72</v>
      </c>
      <c r="BG470">
        <v>0.28759990793124218</v>
      </c>
      <c r="BH470">
        <v>0.58950000000000002</v>
      </c>
      <c r="BI470">
        <v>0.76898796395024305</v>
      </c>
      <c r="BJ470">
        <v>80</v>
      </c>
      <c r="BK470">
        <v>3939.1187757782841</v>
      </c>
      <c r="BL470">
        <v>1827.1540091125739</v>
      </c>
      <c r="BM470">
        <v>12.13572224892588</v>
      </c>
      <c r="BN470">
        <v>2063.0727823173988</v>
      </c>
      <c r="BO470">
        <v>1876.045993460885</v>
      </c>
    </row>
    <row r="471" spans="1:67" x14ac:dyDescent="0.25">
      <c r="A471" s="1">
        <v>469</v>
      </c>
      <c r="B471" t="s">
        <v>72</v>
      </c>
      <c r="C471" t="s">
        <v>84</v>
      </c>
      <c r="D471">
        <v>2</v>
      </c>
      <c r="E471">
        <v>6</v>
      </c>
      <c r="F471">
        <v>1</v>
      </c>
      <c r="G471">
        <v>46.067439999999998</v>
      </c>
      <c r="H471">
        <v>12</v>
      </c>
      <c r="I471" t="s">
        <v>89</v>
      </c>
      <c r="J471">
        <v>2.5</v>
      </c>
      <c r="K471">
        <v>200</v>
      </c>
      <c r="L471">
        <v>50</v>
      </c>
      <c r="N471" t="s">
        <v>90</v>
      </c>
      <c r="O471">
        <v>50</v>
      </c>
      <c r="P471">
        <v>0.33333333333333343</v>
      </c>
      <c r="Q471">
        <v>3.2500000000000001E-2</v>
      </c>
      <c r="R471">
        <v>77.5</v>
      </c>
      <c r="S471">
        <v>170</v>
      </c>
      <c r="T471">
        <v>50</v>
      </c>
      <c r="U471">
        <v>1812.1301775147931</v>
      </c>
      <c r="V471">
        <v>20</v>
      </c>
      <c r="W471">
        <v>0.95</v>
      </c>
      <c r="X471">
        <v>1</v>
      </c>
      <c r="Y471">
        <v>118914.7046267253</v>
      </c>
      <c r="Z471">
        <v>237829409.25345069</v>
      </c>
      <c r="AA471">
        <v>594573523.1336267</v>
      </c>
      <c r="AB471">
        <v>594573.52313362667</v>
      </c>
      <c r="AC471">
        <v>0</v>
      </c>
      <c r="AD471">
        <v>2464.9281098500592</v>
      </c>
      <c r="AE471">
        <v>739478.43295501755</v>
      </c>
      <c r="AF471">
        <v>369739.21647750877</v>
      </c>
      <c r="AG471">
        <v>17.032939170724649</v>
      </c>
      <c r="AH471">
        <v>260.35556667480262</v>
      </c>
      <c r="AI471">
        <v>130.17778333740131</v>
      </c>
      <c r="AJ471">
        <v>19323.63950184287</v>
      </c>
      <c r="AK471">
        <v>854.70085470085473</v>
      </c>
      <c r="AL471" t="s">
        <v>93</v>
      </c>
      <c r="AM471">
        <v>20177.556417297201</v>
      </c>
      <c r="AN471">
        <v>1327.061691447102</v>
      </c>
      <c r="AO471">
        <v>22130.223167358221</v>
      </c>
      <c r="AP471">
        <v>41682.958465288022</v>
      </c>
      <c r="AQ471">
        <v>19552.735297929801</v>
      </c>
      <c r="AR471">
        <v>5.2262888654166673E-2</v>
      </c>
      <c r="AS471">
        <v>1134.486497495122</v>
      </c>
      <c r="AT471">
        <v>1184.619766151538</v>
      </c>
      <c r="AU471">
        <v>77.911491266756116</v>
      </c>
      <c r="AV471">
        <v>1299.2603886823319</v>
      </c>
      <c r="AW471">
        <v>2447.197048465398</v>
      </c>
      <c r="AX471">
        <v>1147.936659783066</v>
      </c>
      <c r="AY471">
        <v>7.642708168719599</v>
      </c>
      <c r="AZ471" t="s">
        <v>137</v>
      </c>
      <c r="BA471" t="str">
        <f>VLOOKUP($AZ471,Sheet1!$A$2:$B$58,2)</f>
        <v>Itaconate</v>
      </c>
      <c r="BB471" t="s">
        <v>185</v>
      </c>
      <c r="BC471">
        <v>128.08086</v>
      </c>
      <c r="BD471">
        <v>3.2</v>
      </c>
      <c r="BE471">
        <v>381</v>
      </c>
      <c r="BF471" t="s">
        <v>72</v>
      </c>
      <c r="BG471">
        <v>-0.41627746388116688</v>
      </c>
      <c r="BH471">
        <v>0.527910447761195</v>
      </c>
      <c r="BI471">
        <v>1.4677443363954901</v>
      </c>
      <c r="BJ471">
        <v>80</v>
      </c>
      <c r="BK471">
        <v>2084.147923264401</v>
      </c>
      <c r="BL471">
        <v>977.63676489649026</v>
      </c>
      <c r="BM471">
        <v>6.9251666307512334</v>
      </c>
      <c r="BN471">
        <v>1177.278327227709</v>
      </c>
      <c r="BO471">
        <v>906.86959603669152</v>
      </c>
    </row>
    <row r="472" spans="1:67" x14ac:dyDescent="0.25">
      <c r="A472" s="1">
        <v>470</v>
      </c>
      <c r="B472" t="s">
        <v>72</v>
      </c>
      <c r="C472" t="s">
        <v>84</v>
      </c>
      <c r="D472">
        <v>2</v>
      </c>
      <c r="E472">
        <v>6</v>
      </c>
      <c r="F472">
        <v>1</v>
      </c>
      <c r="G472">
        <v>46.067439999999998</v>
      </c>
      <c r="H472">
        <v>12</v>
      </c>
      <c r="I472" t="s">
        <v>89</v>
      </c>
      <c r="J472">
        <v>2.5</v>
      </c>
      <c r="K472">
        <v>200</v>
      </c>
      <c r="L472">
        <v>50</v>
      </c>
      <c r="N472" t="s">
        <v>90</v>
      </c>
      <c r="O472">
        <v>50</v>
      </c>
      <c r="P472">
        <v>0.33333333333333343</v>
      </c>
      <c r="Q472">
        <v>3.2500000000000001E-2</v>
      </c>
      <c r="R472">
        <v>77.5</v>
      </c>
      <c r="S472">
        <v>170</v>
      </c>
      <c r="T472">
        <v>50</v>
      </c>
      <c r="U472">
        <v>1812.1301775147931</v>
      </c>
      <c r="V472">
        <v>20</v>
      </c>
      <c r="W472">
        <v>0.95</v>
      </c>
      <c r="X472">
        <v>1</v>
      </c>
      <c r="Y472">
        <v>325650.97436713747</v>
      </c>
      <c r="Z472">
        <v>651301948.73427498</v>
      </c>
      <c r="AA472">
        <v>1628254871.8356869</v>
      </c>
      <c r="AB472">
        <v>1628254.871835687</v>
      </c>
      <c r="AC472">
        <v>0</v>
      </c>
      <c r="AD472">
        <v>6750.2689699925886</v>
      </c>
      <c r="AE472">
        <v>2025080.690997777</v>
      </c>
      <c r="AF472">
        <v>1012540.3454988881</v>
      </c>
      <c r="AG472">
        <v>46.645141613849312</v>
      </c>
      <c r="AH472">
        <v>712.99040968649729</v>
      </c>
      <c r="AI472">
        <v>356.49520484324859</v>
      </c>
      <c r="AJ472">
        <v>52918.283334659842</v>
      </c>
      <c r="AK472">
        <v>854.70085470085473</v>
      </c>
      <c r="AL472" t="s">
        <v>93</v>
      </c>
      <c r="AM472">
        <v>55256.756750703542</v>
      </c>
      <c r="AN472">
        <v>3634.1925434840218</v>
      </c>
      <c r="AO472">
        <v>60604.184823352269</v>
      </c>
      <c r="AP472">
        <v>112663.9334835483</v>
      </c>
      <c r="AQ472">
        <v>52059.74866019599</v>
      </c>
      <c r="AR472">
        <v>5.2262888654166673E-2</v>
      </c>
      <c r="AS472">
        <v>1134.486497495122</v>
      </c>
      <c r="AT472">
        <v>1184.619766151538</v>
      </c>
      <c r="AU472">
        <v>77.911491266756116</v>
      </c>
      <c r="AV472">
        <v>1299.2603886823319</v>
      </c>
      <c r="AW472">
        <v>2415.341224949726</v>
      </c>
      <c r="AX472">
        <v>1116.0808362673949</v>
      </c>
      <c r="AY472">
        <v>7.642708168719599</v>
      </c>
      <c r="AZ472" t="s">
        <v>138</v>
      </c>
      <c r="BA472" t="str">
        <f>VLOOKUP($AZ472,Sheet1!$A$2:$B$58,2)</f>
        <v>Limonene</v>
      </c>
      <c r="BB472" t="s">
        <v>186</v>
      </c>
      <c r="BC472">
        <v>136.23244</v>
      </c>
      <c r="BD472">
        <v>5.6</v>
      </c>
      <c r="BE472">
        <v>176</v>
      </c>
      <c r="BF472" t="s">
        <v>72</v>
      </c>
      <c r="BG472">
        <v>0.33444395505912888</v>
      </c>
      <c r="BH472">
        <v>0.181237113402062</v>
      </c>
      <c r="BI472">
        <v>0.53596149856209896</v>
      </c>
      <c r="BJ472">
        <v>80</v>
      </c>
      <c r="BK472">
        <v>5633.1966741774122</v>
      </c>
      <c r="BL472">
        <v>2602.9874330098</v>
      </c>
      <c r="BM472">
        <v>17.490316287103301</v>
      </c>
      <c r="BN472">
        <v>2973.3537688075612</v>
      </c>
      <c r="BO472">
        <v>2659.842905369851</v>
      </c>
    </row>
    <row r="473" spans="1:67" x14ac:dyDescent="0.25">
      <c r="A473" s="1">
        <v>471</v>
      </c>
      <c r="B473" t="s">
        <v>72</v>
      </c>
      <c r="C473" t="s">
        <v>84</v>
      </c>
      <c r="D473">
        <v>2</v>
      </c>
      <c r="E473">
        <v>6</v>
      </c>
      <c r="F473">
        <v>1</v>
      </c>
      <c r="G473">
        <v>46.067439999999998</v>
      </c>
      <c r="H473">
        <v>12</v>
      </c>
      <c r="I473" t="s">
        <v>89</v>
      </c>
      <c r="J473">
        <v>2.5</v>
      </c>
      <c r="K473">
        <v>200</v>
      </c>
      <c r="L473">
        <v>50</v>
      </c>
      <c r="N473" t="s">
        <v>90</v>
      </c>
      <c r="O473">
        <v>50</v>
      </c>
      <c r="P473">
        <v>0.33333333333333343</v>
      </c>
      <c r="Q473">
        <v>3.2500000000000001E-2</v>
      </c>
      <c r="R473">
        <v>77.5</v>
      </c>
      <c r="S473">
        <v>170</v>
      </c>
      <c r="T473">
        <v>50</v>
      </c>
      <c r="U473">
        <v>1812.1301775147931</v>
      </c>
      <c r="V473">
        <v>20</v>
      </c>
      <c r="W473">
        <v>0.95</v>
      </c>
      <c r="X473">
        <v>1</v>
      </c>
      <c r="Y473">
        <v>162479.37366625949</v>
      </c>
      <c r="Z473">
        <v>324958747.33251899</v>
      </c>
      <c r="AA473">
        <v>812396868.33129752</v>
      </c>
      <c r="AB473">
        <v>812396.86833129753</v>
      </c>
      <c r="AC473">
        <v>0</v>
      </c>
      <c r="AD473">
        <v>3367.9600574039059</v>
      </c>
      <c r="AE473">
        <v>1010388.017221172</v>
      </c>
      <c r="AF473">
        <v>505194.00861058588</v>
      </c>
      <c r="AG473">
        <v>23.272994680027651</v>
      </c>
      <c r="AH473">
        <v>355.73741310323021</v>
      </c>
      <c r="AI473">
        <v>177.86870655161511</v>
      </c>
      <c r="AJ473">
        <v>26402.898220767169</v>
      </c>
      <c r="AK473">
        <v>854.70085470085473</v>
      </c>
      <c r="AL473" t="s">
        <v>93</v>
      </c>
      <c r="AM473">
        <v>27569.649515500339</v>
      </c>
      <c r="AN473">
        <v>1813.233721764236</v>
      </c>
      <c r="AO473">
        <v>30237.680113774572</v>
      </c>
      <c r="AP473">
        <v>56640.482312732602</v>
      </c>
      <c r="AQ473">
        <v>26402.80219895803</v>
      </c>
      <c r="AR473">
        <v>5.2262888654166673E-2</v>
      </c>
      <c r="AS473">
        <v>1134.486497495122</v>
      </c>
      <c r="AT473">
        <v>1184.619766151538</v>
      </c>
      <c r="AU473">
        <v>77.911491266756116</v>
      </c>
      <c r="AV473">
        <v>1299.2603886823319</v>
      </c>
      <c r="AW473">
        <v>2433.7427602877492</v>
      </c>
      <c r="AX473">
        <v>1134.482371605417</v>
      </c>
      <c r="AY473">
        <v>7.642708168719599</v>
      </c>
      <c r="AZ473" t="s">
        <v>139</v>
      </c>
      <c r="BA473" t="str">
        <f>VLOOKUP($AZ473,Sheet1!$A$2:$B$58,2)</f>
        <v>L-Lysine</v>
      </c>
      <c r="BB473" t="s">
        <v>187</v>
      </c>
      <c r="BC473">
        <v>147.19319999999999</v>
      </c>
      <c r="BD473">
        <v>4.833333333333333</v>
      </c>
      <c r="BF473" t="s">
        <v>72</v>
      </c>
      <c r="BG473">
        <v>-1.5281677605138931E-2</v>
      </c>
      <c r="BH473">
        <v>0.33619718309859098</v>
      </c>
      <c r="BI473">
        <v>1.0742064071992601</v>
      </c>
      <c r="BJ473">
        <v>80</v>
      </c>
      <c r="BK473">
        <v>2832.0241156366301</v>
      </c>
      <c r="BL473">
        <v>1320.1401099479019</v>
      </c>
      <c r="BM473">
        <v>8.9087170051858937</v>
      </c>
      <c r="BN473">
        <v>1514.4818908816021</v>
      </c>
      <c r="BO473">
        <v>1317.542224755028</v>
      </c>
    </row>
    <row r="474" spans="1:67" x14ac:dyDescent="0.25">
      <c r="A474" s="1">
        <v>472</v>
      </c>
      <c r="B474" t="s">
        <v>72</v>
      </c>
      <c r="C474" t="s">
        <v>84</v>
      </c>
      <c r="D474">
        <v>2</v>
      </c>
      <c r="E474">
        <v>6</v>
      </c>
      <c r="F474">
        <v>1</v>
      </c>
      <c r="G474">
        <v>46.067439999999998</v>
      </c>
      <c r="H474">
        <v>12</v>
      </c>
      <c r="I474" t="s">
        <v>89</v>
      </c>
      <c r="J474">
        <v>2.5</v>
      </c>
      <c r="K474">
        <v>200</v>
      </c>
      <c r="L474">
        <v>50</v>
      </c>
      <c r="N474" t="s">
        <v>90</v>
      </c>
      <c r="O474">
        <v>50</v>
      </c>
      <c r="P474">
        <v>0.33333333333333343</v>
      </c>
      <c r="Q474">
        <v>3.2500000000000001E-2</v>
      </c>
      <c r="R474">
        <v>77.5</v>
      </c>
      <c r="S474">
        <v>170</v>
      </c>
      <c r="T474">
        <v>50</v>
      </c>
      <c r="U474">
        <v>1812.1301775147931</v>
      </c>
      <c r="V474">
        <v>20</v>
      </c>
      <c r="W474">
        <v>0.95</v>
      </c>
      <c r="X474">
        <v>1</v>
      </c>
      <c r="Y474">
        <v>79065.662227563938</v>
      </c>
      <c r="Z474">
        <v>158131324.45512789</v>
      </c>
      <c r="AA474">
        <v>395328311.13781983</v>
      </c>
      <c r="AB474">
        <v>395328.31113781978</v>
      </c>
      <c r="AC474">
        <v>0</v>
      </c>
      <c r="AD474">
        <v>1638.915674561847</v>
      </c>
      <c r="AE474">
        <v>491674.70236855431</v>
      </c>
      <c r="AF474">
        <v>245837.3511842771</v>
      </c>
      <c r="AG474">
        <v>11.325097425440619</v>
      </c>
      <c r="AH474">
        <v>173.1088292099206</v>
      </c>
      <c r="AI474">
        <v>86.554414604960286</v>
      </c>
      <c r="AJ474">
        <v>12848.17011197914</v>
      </c>
      <c r="AK474">
        <v>854.70085470085473</v>
      </c>
      <c r="AL474" t="s">
        <v>93</v>
      </c>
      <c r="AM474">
        <v>13415.934263768841</v>
      </c>
      <c r="AN474">
        <v>882.35522915737852</v>
      </c>
      <c r="AO474">
        <v>14714.25048284325</v>
      </c>
      <c r="AP474">
        <v>28001.160459606221</v>
      </c>
      <c r="AQ474">
        <v>13286.90997676297</v>
      </c>
      <c r="AR474">
        <v>5.2262888654166673E-2</v>
      </c>
      <c r="AS474">
        <v>1134.486497495122</v>
      </c>
      <c r="AT474">
        <v>1184.619766151538</v>
      </c>
      <c r="AU474">
        <v>77.911491266756101</v>
      </c>
      <c r="AV474">
        <v>1299.260388682331</v>
      </c>
      <c r="AW474">
        <v>2472.4873798175558</v>
      </c>
      <c r="AX474">
        <v>1173.226991135225</v>
      </c>
      <c r="AY474">
        <v>7.6427081687195972</v>
      </c>
      <c r="AZ474" t="s">
        <v>140</v>
      </c>
      <c r="BA474" t="str">
        <f>VLOOKUP($AZ474,Sheet1!$A$2:$B$58,2)</f>
        <v>L-Malate</v>
      </c>
      <c r="BB474" t="s">
        <v>188</v>
      </c>
      <c r="BC474">
        <v>132.06916000000001</v>
      </c>
      <c r="BD474">
        <v>2.5</v>
      </c>
      <c r="BF474" t="s">
        <v>72</v>
      </c>
      <c r="BG474">
        <v>-0.46739383886678521</v>
      </c>
      <c r="BH474">
        <v>0.77</v>
      </c>
      <c r="BI474">
        <v>2.20748652844612</v>
      </c>
      <c r="BJ474">
        <v>80</v>
      </c>
      <c r="BK474">
        <v>1400.0580229803111</v>
      </c>
      <c r="BL474">
        <v>664.34549883814873</v>
      </c>
      <c r="BM474">
        <v>4.7951145691147996</v>
      </c>
      <c r="BN474">
        <v>815.16947674951598</v>
      </c>
      <c r="BO474">
        <v>584.8885462307951</v>
      </c>
    </row>
    <row r="475" spans="1:67" x14ac:dyDescent="0.25">
      <c r="A475" s="1">
        <v>473</v>
      </c>
      <c r="B475" t="s">
        <v>72</v>
      </c>
      <c r="C475" t="s">
        <v>84</v>
      </c>
      <c r="D475">
        <v>2</v>
      </c>
      <c r="E475">
        <v>6</v>
      </c>
      <c r="F475">
        <v>1</v>
      </c>
      <c r="G475">
        <v>46.067439999999998</v>
      </c>
      <c r="H475">
        <v>12</v>
      </c>
      <c r="I475" t="s">
        <v>89</v>
      </c>
      <c r="J475">
        <v>2.5</v>
      </c>
      <c r="K475">
        <v>200</v>
      </c>
      <c r="L475">
        <v>50</v>
      </c>
      <c r="N475" t="s">
        <v>90</v>
      </c>
      <c r="O475">
        <v>50</v>
      </c>
      <c r="P475">
        <v>0.33333333333333343</v>
      </c>
      <c r="Q475">
        <v>3.2500000000000001E-2</v>
      </c>
      <c r="R475">
        <v>77.5</v>
      </c>
      <c r="S475">
        <v>170</v>
      </c>
      <c r="T475">
        <v>50</v>
      </c>
      <c r="U475">
        <v>1812.1301775147931</v>
      </c>
      <c r="V475">
        <v>20</v>
      </c>
      <c r="W475">
        <v>0.95</v>
      </c>
      <c r="X475">
        <v>1</v>
      </c>
      <c r="Y475">
        <v>74628.250909741968</v>
      </c>
      <c r="Z475">
        <v>149256501.81948391</v>
      </c>
      <c r="AA475">
        <v>373141254.54870981</v>
      </c>
      <c r="AB475">
        <v>373141.25454870972</v>
      </c>
      <c r="AC475">
        <v>0</v>
      </c>
      <c r="AD475">
        <v>1546.9346203549651</v>
      </c>
      <c r="AE475">
        <v>464080.38610648952</v>
      </c>
      <c r="AF475">
        <v>232040.1930532447</v>
      </c>
      <c r="AG475">
        <v>10.68949767106877</v>
      </c>
      <c r="AH475">
        <v>163.39342234037281</v>
      </c>
      <c r="AI475">
        <v>81.696711170186418</v>
      </c>
      <c r="AJ475">
        <v>12127.090772833069</v>
      </c>
      <c r="AK475">
        <v>854.70085470085473</v>
      </c>
      <c r="AL475" t="s">
        <v>93</v>
      </c>
      <c r="AM475">
        <v>12662.990231378901</v>
      </c>
      <c r="AN475">
        <v>832.83470444548448</v>
      </c>
      <c r="AO475">
        <v>13888.440898931691</v>
      </c>
      <c r="AP475">
        <v>26477.6165633583</v>
      </c>
      <c r="AQ475">
        <v>12589.17566442661</v>
      </c>
      <c r="AR475">
        <v>5.2262888654166659E-2</v>
      </c>
      <c r="AS475">
        <v>1134.4864974951211</v>
      </c>
      <c r="AT475">
        <v>1184.619766151538</v>
      </c>
      <c r="AU475">
        <v>77.91149126675613</v>
      </c>
      <c r="AV475">
        <v>1299.2603886823319</v>
      </c>
      <c r="AW475">
        <v>2476.9748194080471</v>
      </c>
      <c r="AX475">
        <v>1177.7144307257149</v>
      </c>
      <c r="AY475">
        <v>7.642708168719599</v>
      </c>
      <c r="AZ475" t="s">
        <v>141</v>
      </c>
      <c r="BA475" t="str">
        <f>VLOOKUP($AZ475,Sheet1!$A$2:$B$58,2)</f>
        <v>Malonate</v>
      </c>
      <c r="BB475" t="s">
        <v>189</v>
      </c>
      <c r="BC475">
        <v>102.04378</v>
      </c>
      <c r="BD475">
        <v>2</v>
      </c>
      <c r="BE475">
        <v>199</v>
      </c>
      <c r="BF475" t="s">
        <v>72</v>
      </c>
      <c r="BG475">
        <v>-0.47688930953223901</v>
      </c>
      <c r="BH475">
        <v>1.05582089552239</v>
      </c>
      <c r="BI475">
        <v>2.3387441364679602</v>
      </c>
      <c r="BJ475">
        <v>80</v>
      </c>
      <c r="BK475">
        <v>1323.8808281679151</v>
      </c>
      <c r="BL475">
        <v>629.45878322133069</v>
      </c>
      <c r="BM475">
        <v>4.5617248680415594</v>
      </c>
      <c r="BN475">
        <v>775.49322756706511</v>
      </c>
      <c r="BO475">
        <v>548.38760060084996</v>
      </c>
    </row>
    <row r="476" spans="1:67" x14ac:dyDescent="0.25">
      <c r="A476" s="1">
        <v>474</v>
      </c>
      <c r="B476" t="s">
        <v>72</v>
      </c>
      <c r="C476" t="s">
        <v>84</v>
      </c>
      <c r="D476">
        <v>2</v>
      </c>
      <c r="E476">
        <v>6</v>
      </c>
      <c r="F476">
        <v>1</v>
      </c>
      <c r="G476">
        <v>46.067439999999998</v>
      </c>
      <c r="H476">
        <v>12</v>
      </c>
      <c r="I476" t="s">
        <v>89</v>
      </c>
      <c r="J476">
        <v>2.5</v>
      </c>
      <c r="K476">
        <v>200</v>
      </c>
      <c r="L476">
        <v>50</v>
      </c>
      <c r="N476" t="s">
        <v>90</v>
      </c>
      <c r="O476">
        <v>50</v>
      </c>
      <c r="P476">
        <v>0.33333333333333343</v>
      </c>
      <c r="Q476">
        <v>3.2500000000000001E-2</v>
      </c>
      <c r="R476">
        <v>77.5</v>
      </c>
      <c r="S476">
        <v>170</v>
      </c>
      <c r="T476">
        <v>50</v>
      </c>
      <c r="U476">
        <v>1812.1301775147931</v>
      </c>
      <c r="V476">
        <v>20</v>
      </c>
      <c r="W476">
        <v>0.95</v>
      </c>
      <c r="X476">
        <v>1</v>
      </c>
      <c r="Y476">
        <v>307166.41759984329</v>
      </c>
      <c r="Z476">
        <v>614332835.19968653</v>
      </c>
      <c r="AA476">
        <v>1535832087.9992161</v>
      </c>
      <c r="AB476">
        <v>1535832.087999216</v>
      </c>
      <c r="AC476">
        <v>0</v>
      </c>
      <c r="AD476">
        <v>6367.1111114514961</v>
      </c>
      <c r="AE476">
        <v>1910133.3334354491</v>
      </c>
      <c r="AF476">
        <v>955066.66671772441</v>
      </c>
      <c r="AG476">
        <v>43.99747636501877</v>
      </c>
      <c r="AH476">
        <v>672.51974403595295</v>
      </c>
      <c r="AI476">
        <v>336.25987201797648</v>
      </c>
      <c r="AJ476">
        <v>49914.542859974528</v>
      </c>
      <c r="AK476">
        <v>854.70085470085473</v>
      </c>
      <c r="AL476" t="s">
        <v>93</v>
      </c>
      <c r="AM476">
        <v>52120.280162786352</v>
      </c>
      <c r="AN476">
        <v>3427.908995572468</v>
      </c>
      <c r="AO476">
        <v>57164.178243055998</v>
      </c>
      <c r="AP476">
        <v>106317.43287303419</v>
      </c>
      <c r="AQ476">
        <v>49153.254629978212</v>
      </c>
      <c r="AR476">
        <v>5.2262888654166659E-2</v>
      </c>
      <c r="AS476">
        <v>1134.4864974951211</v>
      </c>
      <c r="AT476">
        <v>1184.619766151538</v>
      </c>
      <c r="AU476">
        <v>77.911491266756101</v>
      </c>
      <c r="AV476">
        <v>1299.2603886823319</v>
      </c>
      <c r="AW476">
        <v>2416.4438885309428</v>
      </c>
      <c r="AX476">
        <v>1117.1834998486111</v>
      </c>
      <c r="AY476">
        <v>7.6427081687195999</v>
      </c>
      <c r="AZ476" t="s">
        <v>142</v>
      </c>
      <c r="BA476" t="str">
        <f>VLOOKUP($AZ476,Sheet1!$A$2:$B$58,2)</f>
        <v>Nonane</v>
      </c>
      <c r="BB476" t="s">
        <v>190</v>
      </c>
      <c r="BC476">
        <v>128.25309999999999</v>
      </c>
      <c r="BD476">
        <v>6.2222222222222223</v>
      </c>
      <c r="BE476">
        <v>151</v>
      </c>
      <c r="BF476" t="s">
        <v>72</v>
      </c>
      <c r="BG476">
        <v>0.27425231763668001</v>
      </c>
      <c r="BH476">
        <v>0.204097859327218</v>
      </c>
      <c r="BI476">
        <v>0.568214408312674</v>
      </c>
      <c r="BJ476">
        <v>80</v>
      </c>
      <c r="BK476">
        <v>5315.8716436517097</v>
      </c>
      <c r="BL476">
        <v>2457.66273149891</v>
      </c>
      <c r="BM476">
        <v>16.538741283262141</v>
      </c>
      <c r="BN476">
        <v>2811.586018154564</v>
      </c>
      <c r="BO476">
        <v>2504.2856254971448</v>
      </c>
    </row>
    <row r="477" spans="1:67" x14ac:dyDescent="0.25">
      <c r="A477" s="1">
        <v>475</v>
      </c>
      <c r="B477" t="s">
        <v>72</v>
      </c>
      <c r="C477" t="s">
        <v>84</v>
      </c>
      <c r="D477">
        <v>2</v>
      </c>
      <c r="E477">
        <v>6</v>
      </c>
      <c r="F477">
        <v>1</v>
      </c>
      <c r="G477">
        <v>46.067439999999998</v>
      </c>
      <c r="H477">
        <v>12</v>
      </c>
      <c r="I477" t="s">
        <v>89</v>
      </c>
      <c r="J477">
        <v>2.5</v>
      </c>
      <c r="K477">
        <v>200</v>
      </c>
      <c r="L477">
        <v>50</v>
      </c>
      <c r="N477" t="s">
        <v>90</v>
      </c>
      <c r="O477">
        <v>50</v>
      </c>
      <c r="P477">
        <v>0.33333333333333343</v>
      </c>
      <c r="Q477">
        <v>3.2500000000000001E-2</v>
      </c>
      <c r="R477">
        <v>77.5</v>
      </c>
      <c r="S477">
        <v>170</v>
      </c>
      <c r="T477">
        <v>50</v>
      </c>
      <c r="U477">
        <v>1812.1301775147931</v>
      </c>
      <c r="V477">
        <v>20</v>
      </c>
      <c r="W477">
        <v>0.95</v>
      </c>
      <c r="X477">
        <v>1</v>
      </c>
      <c r="Y477">
        <v>317006.66446183529</v>
      </c>
      <c r="Z477">
        <v>634013328.92367053</v>
      </c>
      <c r="AA477">
        <v>1585033322.309176</v>
      </c>
      <c r="AB477">
        <v>1585033.322309176</v>
      </c>
      <c r="AC477">
        <v>0</v>
      </c>
      <c r="AD477">
        <v>6571.0850537332872</v>
      </c>
      <c r="AE477">
        <v>1971325.5161199861</v>
      </c>
      <c r="AF477">
        <v>985662.75805999304</v>
      </c>
      <c r="AG477">
        <v>45.406959967163253</v>
      </c>
      <c r="AH477">
        <v>694.06428771552476</v>
      </c>
      <c r="AI477">
        <v>347.03214385776238</v>
      </c>
      <c r="AJ477">
        <v>51513.582975048237</v>
      </c>
      <c r="AK477">
        <v>854.70085470085473</v>
      </c>
      <c r="AL477" t="s">
        <v>93</v>
      </c>
      <c r="AM477">
        <v>53789.982297953167</v>
      </c>
      <c r="AN477">
        <v>3537.7239649315829</v>
      </c>
      <c r="AO477">
        <v>58995.464455819601</v>
      </c>
      <c r="AP477">
        <v>109695.9900926339</v>
      </c>
      <c r="AQ477">
        <v>50700.525636814258</v>
      </c>
      <c r="AR477">
        <v>5.2262888654166673E-2</v>
      </c>
      <c r="AS477">
        <v>1134.486497495122</v>
      </c>
      <c r="AT477">
        <v>1184.619766151538</v>
      </c>
      <c r="AU477">
        <v>77.911491266756087</v>
      </c>
      <c r="AV477">
        <v>1299.2603886823319</v>
      </c>
      <c r="AW477">
        <v>2415.8408792828718</v>
      </c>
      <c r="AX477">
        <v>1116.580490600541</v>
      </c>
      <c r="AY477">
        <v>7.6427081687195981</v>
      </c>
      <c r="AZ477" t="s">
        <v>143</v>
      </c>
      <c r="BA477" t="str">
        <f>VLOOKUP($AZ477,Sheet1!$A$2:$B$58,2)</f>
        <v>Octane</v>
      </c>
      <c r="BB477" t="s">
        <v>191</v>
      </c>
      <c r="BC477">
        <v>114.22672</v>
      </c>
      <c r="BD477">
        <v>6.25</v>
      </c>
      <c r="BE477">
        <v>126</v>
      </c>
      <c r="BF477" t="s">
        <v>72</v>
      </c>
      <c r="BG477">
        <v>0.38803035992281809</v>
      </c>
      <c r="BH477">
        <v>0.22204651162790701</v>
      </c>
      <c r="BI477">
        <v>0.550576387806608</v>
      </c>
      <c r="BJ477">
        <v>80</v>
      </c>
      <c r="BK477">
        <v>5484.7995046316928</v>
      </c>
      <c r="BL477">
        <v>2535.0262818407118</v>
      </c>
      <c r="BM477">
        <v>16.963576832965298</v>
      </c>
      <c r="BN477">
        <v>2883.8080616041011</v>
      </c>
      <c r="BO477">
        <v>2600.9914430275921</v>
      </c>
    </row>
    <row r="478" spans="1:67" x14ac:dyDescent="0.25">
      <c r="A478" s="1">
        <v>476</v>
      </c>
      <c r="B478" t="s">
        <v>72</v>
      </c>
      <c r="C478" t="s">
        <v>84</v>
      </c>
      <c r="D478">
        <v>2</v>
      </c>
      <c r="E478">
        <v>6</v>
      </c>
      <c r="F478">
        <v>1</v>
      </c>
      <c r="G478">
        <v>46.067439999999998</v>
      </c>
      <c r="H478">
        <v>12</v>
      </c>
      <c r="I478" t="s">
        <v>89</v>
      </c>
      <c r="J478">
        <v>2.5</v>
      </c>
      <c r="K478">
        <v>200</v>
      </c>
      <c r="L478">
        <v>50</v>
      </c>
      <c r="N478" t="s">
        <v>90</v>
      </c>
      <c r="O478">
        <v>50</v>
      </c>
      <c r="P478">
        <v>0.33333333333333343</v>
      </c>
      <c r="Q478">
        <v>3.2500000000000001E-2</v>
      </c>
      <c r="R478">
        <v>77.5</v>
      </c>
      <c r="S478">
        <v>170</v>
      </c>
      <c r="T478">
        <v>50</v>
      </c>
      <c r="U478">
        <v>1812.1301775147931</v>
      </c>
      <c r="V478">
        <v>20</v>
      </c>
      <c r="W478">
        <v>0.95</v>
      </c>
      <c r="X478">
        <v>1</v>
      </c>
      <c r="Y478">
        <v>320607.22974585783</v>
      </c>
      <c r="Z478">
        <v>641214459.49171555</v>
      </c>
      <c r="AA478">
        <v>1603036148.7292891</v>
      </c>
      <c r="AB478">
        <v>1603036.148729289</v>
      </c>
      <c r="AC478">
        <v>66773.504273504266</v>
      </c>
      <c r="AD478">
        <v>6645.7195121696641</v>
      </c>
      <c r="AE478">
        <v>1993715.8536508989</v>
      </c>
      <c r="AF478">
        <v>996857.92682544969</v>
      </c>
      <c r="AG478">
        <v>45.922692732555802</v>
      </c>
      <c r="AH478">
        <v>701.94747775340852</v>
      </c>
      <c r="AI478">
        <v>350.97373887670432</v>
      </c>
      <c r="AJ478">
        <v>52098.674833701887</v>
      </c>
      <c r="AK478">
        <v>2170.1388888888891</v>
      </c>
      <c r="AL478" t="s">
        <v>95</v>
      </c>
      <c r="AM478">
        <v>54400.929525889158</v>
      </c>
      <c r="AN478">
        <v>3577.905473778445</v>
      </c>
      <c r="AO478">
        <v>59665.535609039733</v>
      </c>
      <c r="AP478">
        <v>112247.6487222584</v>
      </c>
      <c r="AQ478">
        <v>52582.113113218657</v>
      </c>
      <c r="AR478">
        <v>5.2262888654166652E-2</v>
      </c>
      <c r="AS478">
        <v>1134.4864974951211</v>
      </c>
      <c r="AT478">
        <v>1184.619766151538</v>
      </c>
      <c r="AU478">
        <v>77.911491266756116</v>
      </c>
      <c r="AV478">
        <v>1299.260388682331</v>
      </c>
      <c r="AW478">
        <v>2444.2741059624991</v>
      </c>
      <c r="AX478">
        <v>1145.0137172801681</v>
      </c>
      <c r="AY478">
        <v>7.6427081687195964</v>
      </c>
      <c r="AZ478" t="s">
        <v>144</v>
      </c>
      <c r="BA478" t="str">
        <f>VLOOKUP($AZ478,Sheet1!$A$2:$B$58,2)</f>
        <v>Pentane</v>
      </c>
      <c r="BB478" t="s">
        <v>192</v>
      </c>
      <c r="BC478">
        <v>72.147580000000005</v>
      </c>
      <c r="BD478">
        <v>6.4</v>
      </c>
      <c r="BE478">
        <v>36.1</v>
      </c>
      <c r="BF478" t="s">
        <v>72</v>
      </c>
      <c r="BG478">
        <v>0.45973903816401662</v>
      </c>
      <c r="BH478">
        <v>0.34760416666666699</v>
      </c>
      <c r="BI478">
        <v>0.54439316408545102</v>
      </c>
      <c r="BJ478">
        <v>80</v>
      </c>
      <c r="BK478">
        <v>5612.3824361129191</v>
      </c>
      <c r="BL478">
        <v>2629.1056556609328</v>
      </c>
      <c r="BM478">
        <v>17.088947905671201</v>
      </c>
      <c r="BN478">
        <v>2905.1211439641038</v>
      </c>
      <c r="BO478">
        <v>2707.2612921488148</v>
      </c>
    </row>
    <row r="479" spans="1:67" x14ac:dyDescent="0.25">
      <c r="A479" s="1">
        <v>477</v>
      </c>
      <c r="B479" t="s">
        <v>72</v>
      </c>
      <c r="C479" t="s">
        <v>84</v>
      </c>
      <c r="D479">
        <v>2</v>
      </c>
      <c r="E479">
        <v>6</v>
      </c>
      <c r="F479">
        <v>1</v>
      </c>
      <c r="G479">
        <v>46.067439999999998</v>
      </c>
      <c r="H479">
        <v>12</v>
      </c>
      <c r="I479" t="s">
        <v>89</v>
      </c>
      <c r="J479">
        <v>2.5</v>
      </c>
      <c r="K479">
        <v>200</v>
      </c>
      <c r="L479">
        <v>50</v>
      </c>
      <c r="N479" t="s">
        <v>90</v>
      </c>
      <c r="O479">
        <v>50</v>
      </c>
      <c r="P479">
        <v>0.33333333333333343</v>
      </c>
      <c r="Q479">
        <v>3.2500000000000001E-2</v>
      </c>
      <c r="R479">
        <v>77.5</v>
      </c>
      <c r="S479">
        <v>170</v>
      </c>
      <c r="T479">
        <v>50</v>
      </c>
      <c r="U479">
        <v>1812.1301775147931</v>
      </c>
      <c r="V479">
        <v>20</v>
      </c>
      <c r="W479">
        <v>0.95</v>
      </c>
      <c r="X479">
        <v>1</v>
      </c>
      <c r="Y479">
        <v>257944.30312465489</v>
      </c>
      <c r="Z479">
        <v>515888606.24930978</v>
      </c>
      <c r="AA479">
        <v>1289721515.6232741</v>
      </c>
      <c r="AB479">
        <v>1289721.515623274</v>
      </c>
      <c r="AC479">
        <v>0</v>
      </c>
      <c r="AD479">
        <v>5346.8085847202356</v>
      </c>
      <c r="AE479">
        <v>1604042.5754160711</v>
      </c>
      <c r="AF479">
        <v>802021.28770803544</v>
      </c>
      <c r="AG479">
        <v>36.947067550212672</v>
      </c>
      <c r="AH479">
        <v>564.75130995249026</v>
      </c>
      <c r="AI479">
        <v>282.37565497624507</v>
      </c>
      <c r="AJ479">
        <v>41915.949257756423</v>
      </c>
      <c r="AK479">
        <v>854.70085470085473</v>
      </c>
      <c r="AL479" t="s">
        <v>93</v>
      </c>
      <c r="AM479">
        <v>43768.226521317993</v>
      </c>
      <c r="AN479">
        <v>2878.6011307706431</v>
      </c>
      <c r="AO479">
        <v>48003.861345961683</v>
      </c>
      <c r="AP479">
        <v>89417.477764545896</v>
      </c>
      <c r="AQ479">
        <v>41413.616418584221</v>
      </c>
      <c r="AR479">
        <v>5.2262888654166659E-2</v>
      </c>
      <c r="AS479">
        <v>1134.4864974951211</v>
      </c>
      <c r="AT479">
        <v>1184.619766151538</v>
      </c>
      <c r="AU479">
        <v>77.91149126675613</v>
      </c>
      <c r="AV479">
        <v>1299.2603886823319</v>
      </c>
      <c r="AW479">
        <v>2420.150872407497</v>
      </c>
      <c r="AX479">
        <v>1120.890483725165</v>
      </c>
      <c r="AY479">
        <v>7.6427081687195981</v>
      </c>
      <c r="AZ479" t="s">
        <v>145</v>
      </c>
      <c r="BA479" t="str">
        <f>VLOOKUP($AZ479,Sheet1!$A$2:$B$58,2)</f>
        <v>Pentanol (PW1)</v>
      </c>
      <c r="BB479" t="s">
        <v>157</v>
      </c>
      <c r="BC479">
        <v>88.14658</v>
      </c>
      <c r="BD479">
        <v>6</v>
      </c>
      <c r="BE479">
        <v>138</v>
      </c>
      <c r="BF479" t="s">
        <v>72</v>
      </c>
      <c r="BG479">
        <v>0.32734659262061011</v>
      </c>
      <c r="BH479">
        <v>0.35362962962963002</v>
      </c>
      <c r="BI479">
        <v>0.67664368670189901</v>
      </c>
      <c r="BJ479">
        <v>80</v>
      </c>
      <c r="BK479">
        <v>4470.8738882272946</v>
      </c>
      <c r="BL479">
        <v>2070.6808209292112</v>
      </c>
      <c r="BM479">
        <v>13.791436156191651</v>
      </c>
      <c r="BN479">
        <v>2344.5441465525801</v>
      </c>
      <c r="BO479">
        <v>2126.329741674715</v>
      </c>
    </row>
    <row r="480" spans="1:67" x14ac:dyDescent="0.25">
      <c r="A480" s="1">
        <v>478</v>
      </c>
      <c r="B480" t="s">
        <v>72</v>
      </c>
      <c r="C480" t="s">
        <v>84</v>
      </c>
      <c r="D480">
        <v>2</v>
      </c>
      <c r="E480">
        <v>6</v>
      </c>
      <c r="F480">
        <v>1</v>
      </c>
      <c r="G480">
        <v>46.067439999999998</v>
      </c>
      <c r="H480">
        <v>12</v>
      </c>
      <c r="I480" t="s">
        <v>89</v>
      </c>
      <c r="J480">
        <v>2.5</v>
      </c>
      <c r="K480">
        <v>200</v>
      </c>
      <c r="L480">
        <v>50</v>
      </c>
      <c r="N480" t="s">
        <v>90</v>
      </c>
      <c r="O480">
        <v>50</v>
      </c>
      <c r="P480">
        <v>0.33333333333333343</v>
      </c>
      <c r="Q480">
        <v>3.2500000000000001E-2</v>
      </c>
      <c r="R480">
        <v>77.5</v>
      </c>
      <c r="S480">
        <v>170</v>
      </c>
      <c r="T480">
        <v>50</v>
      </c>
      <c r="U480">
        <v>1812.1301775147931</v>
      </c>
      <c r="V480">
        <v>20</v>
      </c>
      <c r="W480">
        <v>0.95</v>
      </c>
      <c r="X480">
        <v>1</v>
      </c>
      <c r="Y480">
        <v>284694.08270795259</v>
      </c>
      <c r="Z480">
        <v>569388165.41590536</v>
      </c>
      <c r="AA480">
        <v>1423470413.539763</v>
      </c>
      <c r="AB480">
        <v>1423470.413539764</v>
      </c>
      <c r="AC480">
        <v>0</v>
      </c>
      <c r="AD480">
        <v>5901.2924379504884</v>
      </c>
      <c r="AE480">
        <v>1770387.731385146</v>
      </c>
      <c r="AF480">
        <v>885193.86569257313</v>
      </c>
      <c r="AG480">
        <v>40.778615296160673</v>
      </c>
      <c r="AH480">
        <v>623.31811246608231</v>
      </c>
      <c r="AI480">
        <v>311.65905623304121</v>
      </c>
      <c r="AJ480">
        <v>46262.788440042314</v>
      </c>
      <c r="AK480">
        <v>854.70085470085473</v>
      </c>
      <c r="AL480" t="s">
        <v>93</v>
      </c>
      <c r="AM480">
        <v>48307.153716121378</v>
      </c>
      <c r="AN480">
        <v>3177.1227295172289</v>
      </c>
      <c r="AO480">
        <v>52982.039559616998</v>
      </c>
      <c r="AP480">
        <v>98601.765740381772</v>
      </c>
      <c r="AQ480">
        <v>45619.726180764766</v>
      </c>
      <c r="AR480">
        <v>5.2262888654166673E-2</v>
      </c>
      <c r="AS480">
        <v>1134.486497495122</v>
      </c>
      <c r="AT480">
        <v>1184.619766151538</v>
      </c>
      <c r="AU480">
        <v>77.911491266756116</v>
      </c>
      <c r="AV480">
        <v>1299.2603886823319</v>
      </c>
      <c r="AW480">
        <v>2417.9772908979862</v>
      </c>
      <c r="AX480">
        <v>1118.716902215654</v>
      </c>
      <c r="AY480">
        <v>7.642708168719599</v>
      </c>
      <c r="AZ480" t="s">
        <v>146</v>
      </c>
      <c r="BA480" t="str">
        <f>VLOOKUP($AZ480,Sheet1!$A$2:$B$58,2)</f>
        <v>Pentanol (PW2)</v>
      </c>
      <c r="BB480" t="s">
        <v>157</v>
      </c>
      <c r="BC480">
        <v>88.14658</v>
      </c>
      <c r="BD480">
        <v>6</v>
      </c>
      <c r="BE480">
        <v>138</v>
      </c>
      <c r="BF480" t="s">
        <v>72</v>
      </c>
      <c r="BG480">
        <v>0.62018060518856744</v>
      </c>
      <c r="BH480">
        <v>0.32040268456375798</v>
      </c>
      <c r="BI480">
        <v>0.6130664275487</v>
      </c>
      <c r="BJ480">
        <v>80</v>
      </c>
      <c r="BK480">
        <v>4930.088287019089</v>
      </c>
      <c r="BL480">
        <v>2280.9863090382391</v>
      </c>
      <c r="BM480">
        <v>14.962772206463489</v>
      </c>
      <c r="BN480">
        <v>2543.671275098794</v>
      </c>
      <c r="BO480">
        <v>2386.417011920295</v>
      </c>
    </row>
    <row r="481" spans="1:67" x14ac:dyDescent="0.25">
      <c r="A481" s="1">
        <v>479</v>
      </c>
      <c r="B481" t="s">
        <v>72</v>
      </c>
      <c r="C481" t="s">
        <v>84</v>
      </c>
      <c r="D481">
        <v>2</v>
      </c>
      <c r="E481">
        <v>6</v>
      </c>
      <c r="F481">
        <v>1</v>
      </c>
      <c r="G481">
        <v>46.067439999999998</v>
      </c>
      <c r="H481">
        <v>12</v>
      </c>
      <c r="I481" t="s">
        <v>89</v>
      </c>
      <c r="J481">
        <v>2.5</v>
      </c>
      <c r="K481">
        <v>200</v>
      </c>
      <c r="L481">
        <v>50</v>
      </c>
      <c r="N481" t="s">
        <v>90</v>
      </c>
      <c r="O481">
        <v>50</v>
      </c>
      <c r="P481">
        <v>0.33333333333333343</v>
      </c>
      <c r="Q481">
        <v>3.2500000000000001E-2</v>
      </c>
      <c r="R481">
        <v>77.5</v>
      </c>
      <c r="S481">
        <v>170</v>
      </c>
      <c r="T481">
        <v>50</v>
      </c>
      <c r="U481">
        <v>1812.1301775147931</v>
      </c>
      <c r="V481">
        <v>20</v>
      </c>
      <c r="W481">
        <v>0.95</v>
      </c>
      <c r="X481">
        <v>1</v>
      </c>
      <c r="Y481">
        <v>290387.55354610941</v>
      </c>
      <c r="Z481">
        <v>580775107.09221864</v>
      </c>
      <c r="AA481">
        <v>1451937767.730546</v>
      </c>
      <c r="AB481">
        <v>1451937.767730546</v>
      </c>
      <c r="AC481">
        <v>0</v>
      </c>
      <c r="AD481">
        <v>6019.3097710939101</v>
      </c>
      <c r="AE481">
        <v>1805792.931328173</v>
      </c>
      <c r="AF481">
        <v>902896.46566408651</v>
      </c>
      <c r="AG481">
        <v>41.594128758192369</v>
      </c>
      <c r="AH481">
        <v>635.78357526202308</v>
      </c>
      <c r="AI481">
        <v>317.89178763101148</v>
      </c>
      <c r="AJ481">
        <v>47187.977451242761</v>
      </c>
      <c r="AK481">
        <v>854.70085470085473</v>
      </c>
      <c r="AL481" t="s">
        <v>93</v>
      </c>
      <c r="AM481">
        <v>49273.227082806778</v>
      </c>
      <c r="AN481">
        <v>3240.6605994922338</v>
      </c>
      <c r="AO481">
        <v>54041.603897271962</v>
      </c>
      <c r="AP481">
        <v>100556.5659882426</v>
      </c>
      <c r="AQ481">
        <v>46514.962090970679</v>
      </c>
      <c r="AR481">
        <v>5.2262888654166659E-2</v>
      </c>
      <c r="AS481">
        <v>1134.4864974951211</v>
      </c>
      <c r="AT481">
        <v>1184.619766151538</v>
      </c>
      <c r="AU481">
        <v>77.911491266756116</v>
      </c>
      <c r="AV481">
        <v>1299.260388682331</v>
      </c>
      <c r="AW481">
        <v>2417.5663486745598</v>
      </c>
      <c r="AX481">
        <v>1118.305959992229</v>
      </c>
      <c r="AY481">
        <v>7.6427081687195972</v>
      </c>
      <c r="AZ481" t="s">
        <v>147</v>
      </c>
      <c r="BA481" t="str">
        <f>VLOOKUP($AZ481,Sheet1!$A$2:$B$58,2)</f>
        <v>Phenol</v>
      </c>
      <c r="BB481" t="s">
        <v>193</v>
      </c>
      <c r="BC481">
        <v>94.11023999999999</v>
      </c>
      <c r="BD481">
        <v>4.666666666666667</v>
      </c>
      <c r="BE481">
        <v>181.7</v>
      </c>
      <c r="BF481" t="s">
        <v>72</v>
      </c>
      <c r="BG481">
        <v>0.37305955526024848</v>
      </c>
      <c r="BH481">
        <v>0.29421524663677101</v>
      </c>
      <c r="BI481">
        <v>0.60104636751349205</v>
      </c>
      <c r="BJ481">
        <v>80</v>
      </c>
      <c r="BK481">
        <v>5027.8282994121328</v>
      </c>
      <c r="BL481">
        <v>2325.7481045485338</v>
      </c>
      <c r="BM481">
        <v>15.52152982629033</v>
      </c>
      <c r="BN481">
        <v>2638.660070469356</v>
      </c>
      <c r="BO481">
        <v>2389.1682289427772</v>
      </c>
    </row>
    <row r="482" spans="1:67" x14ac:dyDescent="0.25">
      <c r="A482" s="1">
        <v>480</v>
      </c>
      <c r="B482" t="s">
        <v>72</v>
      </c>
      <c r="C482" t="s">
        <v>84</v>
      </c>
      <c r="D482">
        <v>2</v>
      </c>
      <c r="E482">
        <v>6</v>
      </c>
      <c r="F482">
        <v>1</v>
      </c>
      <c r="G482">
        <v>46.067439999999998</v>
      </c>
      <c r="H482">
        <v>12</v>
      </c>
      <c r="I482" t="s">
        <v>89</v>
      </c>
      <c r="J482">
        <v>2.5</v>
      </c>
      <c r="K482">
        <v>200</v>
      </c>
      <c r="L482">
        <v>50</v>
      </c>
      <c r="N482" t="s">
        <v>90</v>
      </c>
      <c r="O482">
        <v>50</v>
      </c>
      <c r="P482">
        <v>0.33333333333333343</v>
      </c>
      <c r="Q482">
        <v>3.2500000000000001E-2</v>
      </c>
      <c r="R482">
        <v>77.5</v>
      </c>
      <c r="S482">
        <v>170</v>
      </c>
      <c r="T482">
        <v>50</v>
      </c>
      <c r="U482">
        <v>1812.1301775147931</v>
      </c>
      <c r="V482">
        <v>20</v>
      </c>
      <c r="W482">
        <v>0.95</v>
      </c>
      <c r="X482">
        <v>1</v>
      </c>
      <c r="Y482">
        <v>338787.95573224209</v>
      </c>
      <c r="Z482">
        <v>677575911.46448433</v>
      </c>
      <c r="AA482">
        <v>1693939778.661211</v>
      </c>
      <c r="AB482">
        <v>1693939.778661211</v>
      </c>
      <c r="AC482">
        <v>66773.504273504266</v>
      </c>
      <c r="AD482">
        <v>7022.5794024750094</v>
      </c>
      <c r="AE482">
        <v>2106773.8207425028</v>
      </c>
      <c r="AF482">
        <v>1053386.9103712509</v>
      </c>
      <c r="AG482">
        <v>48.526838290313009</v>
      </c>
      <c r="AH482">
        <v>741.75292680702057</v>
      </c>
      <c r="AI482">
        <v>370.87646340351029</v>
      </c>
      <c r="AJ482">
        <v>55053.042806489349</v>
      </c>
      <c r="AK482">
        <v>2170.1388888888891</v>
      </c>
      <c r="AL482" t="s">
        <v>95</v>
      </c>
      <c r="AM482">
        <v>57485.851827544087</v>
      </c>
      <c r="AN482">
        <v>3780.7983376590068</v>
      </c>
      <c r="AO482">
        <v>63048.998778596753</v>
      </c>
      <c r="AP482">
        <v>118489.8318605813</v>
      </c>
      <c r="AQ482">
        <v>55440.833081984587</v>
      </c>
      <c r="AR482">
        <v>5.2262888654166659E-2</v>
      </c>
      <c r="AS482">
        <v>1134.4864974951211</v>
      </c>
      <c r="AT482">
        <v>1184.619766151538</v>
      </c>
      <c r="AU482">
        <v>77.911491266756087</v>
      </c>
      <c r="AV482">
        <v>1299.2603886823319</v>
      </c>
      <c r="AW482">
        <v>2441.7381398662942</v>
      </c>
      <c r="AX482">
        <v>1142.477751183962</v>
      </c>
      <c r="AY482">
        <v>7.6427081687195999</v>
      </c>
      <c r="AZ482" t="s">
        <v>148</v>
      </c>
      <c r="BA482" t="str">
        <f>VLOOKUP($AZ482,Sheet1!$A$2:$B$58,2)</f>
        <v>Propane (PW1)</v>
      </c>
      <c r="BB482" t="s">
        <v>194</v>
      </c>
      <c r="BC482">
        <v>44.094819999999999</v>
      </c>
      <c r="BD482">
        <v>6.666666666666667</v>
      </c>
      <c r="BE482">
        <v>-42</v>
      </c>
      <c r="BF482" t="s">
        <v>72</v>
      </c>
      <c r="BG482">
        <v>0.71453537989595628</v>
      </c>
      <c r="BH482">
        <v>0.538225806451613</v>
      </c>
      <c r="BI482">
        <v>0.51517883465716197</v>
      </c>
      <c r="BJ482">
        <v>80</v>
      </c>
      <c r="BK482">
        <v>5924.4915930290663</v>
      </c>
      <c r="BL482">
        <v>2772.0416540992292</v>
      </c>
      <c r="BM482">
        <v>17.829287790279562</v>
      </c>
      <c r="BN482">
        <v>3030.9789243475252</v>
      </c>
      <c r="BO482">
        <v>2893.512668681542</v>
      </c>
    </row>
    <row r="483" spans="1:67" x14ac:dyDescent="0.25">
      <c r="A483" s="1">
        <v>481</v>
      </c>
      <c r="B483" t="s">
        <v>72</v>
      </c>
      <c r="C483" t="s">
        <v>84</v>
      </c>
      <c r="D483">
        <v>2</v>
      </c>
      <c r="E483">
        <v>6</v>
      </c>
      <c r="F483">
        <v>1</v>
      </c>
      <c r="G483">
        <v>46.067439999999998</v>
      </c>
      <c r="H483">
        <v>12</v>
      </c>
      <c r="I483" t="s">
        <v>89</v>
      </c>
      <c r="J483">
        <v>2.5</v>
      </c>
      <c r="K483">
        <v>200</v>
      </c>
      <c r="L483">
        <v>50</v>
      </c>
      <c r="N483" t="s">
        <v>90</v>
      </c>
      <c r="O483">
        <v>50</v>
      </c>
      <c r="P483">
        <v>0.33333333333333343</v>
      </c>
      <c r="Q483">
        <v>3.2500000000000001E-2</v>
      </c>
      <c r="R483">
        <v>77.5</v>
      </c>
      <c r="S483">
        <v>170</v>
      </c>
      <c r="T483">
        <v>50</v>
      </c>
      <c r="U483">
        <v>1812.1301775147931</v>
      </c>
      <c r="V483">
        <v>20</v>
      </c>
      <c r="W483">
        <v>0.95</v>
      </c>
      <c r="X483">
        <v>1</v>
      </c>
      <c r="Y483">
        <v>425220.18542268203</v>
      </c>
      <c r="Z483">
        <v>850440370.84536409</v>
      </c>
      <c r="AA483">
        <v>2126100927.11341</v>
      </c>
      <c r="AB483">
        <v>2126100.9271134101</v>
      </c>
      <c r="AC483">
        <v>66773.504273504266</v>
      </c>
      <c r="AD483">
        <v>8814.1932590602501</v>
      </c>
      <c r="AE483">
        <v>2644257.9777180748</v>
      </c>
      <c r="AF483">
        <v>1322128.9888590369</v>
      </c>
      <c r="AG483">
        <v>60.907097866524381</v>
      </c>
      <c r="AH483">
        <v>930.99034879497992</v>
      </c>
      <c r="AI483">
        <v>465.49517439749002</v>
      </c>
      <c r="AJ483">
        <v>69098.280131185835</v>
      </c>
      <c r="AK483">
        <v>2170.1388888888891</v>
      </c>
      <c r="AL483" t="s">
        <v>95</v>
      </c>
      <c r="AM483">
        <v>72151.752031610944</v>
      </c>
      <c r="AN483">
        <v>4745.3628235111737</v>
      </c>
      <c r="AO483">
        <v>79134.179647573299</v>
      </c>
      <c r="AP483">
        <v>148165.53387519679</v>
      </c>
      <c r="AQ483">
        <v>69031.354227623524</v>
      </c>
      <c r="AR483">
        <v>5.2262888654166673E-2</v>
      </c>
      <c r="AS483">
        <v>1134.486497495122</v>
      </c>
      <c r="AT483">
        <v>1184.619766151538</v>
      </c>
      <c r="AU483">
        <v>77.911491266756116</v>
      </c>
      <c r="AV483">
        <v>1299.2603886823319</v>
      </c>
      <c r="AW483">
        <v>2432.6480667310079</v>
      </c>
      <c r="AX483">
        <v>1133.387678048676</v>
      </c>
      <c r="AY483">
        <v>7.642708168719599</v>
      </c>
      <c r="AZ483" t="s">
        <v>149</v>
      </c>
      <c r="BA483" t="str">
        <f>VLOOKUP($AZ483,Sheet1!$A$2:$B$58,2)</f>
        <v>Propane (PW2)</v>
      </c>
      <c r="BB483" t="s">
        <v>194</v>
      </c>
      <c r="BC483">
        <v>44.094819999999999</v>
      </c>
      <c r="BD483">
        <v>6.666666666666667</v>
      </c>
      <c r="BE483">
        <v>-42</v>
      </c>
      <c r="BF483" t="s">
        <v>72</v>
      </c>
      <c r="BG483">
        <v>1.6607224898357491</v>
      </c>
      <c r="BH483">
        <v>0.42882352941176399</v>
      </c>
      <c r="BI483">
        <v>0.410461192138666</v>
      </c>
      <c r="BJ483">
        <v>80</v>
      </c>
      <c r="BK483">
        <v>7408.2766937598417</v>
      </c>
      <c r="BL483">
        <v>3451.5677113811771</v>
      </c>
      <c r="BM483">
        <v>21.614036230038749</v>
      </c>
      <c r="BN483">
        <v>3674.3861591065879</v>
      </c>
      <c r="BO483">
        <v>3733.8905346532538</v>
      </c>
    </row>
    <row r="484" spans="1:67" x14ac:dyDescent="0.25">
      <c r="A484" s="1">
        <v>482</v>
      </c>
      <c r="B484" t="s">
        <v>72</v>
      </c>
      <c r="C484" t="s">
        <v>84</v>
      </c>
      <c r="D484">
        <v>2</v>
      </c>
      <c r="E484">
        <v>6</v>
      </c>
      <c r="F484">
        <v>1</v>
      </c>
      <c r="G484">
        <v>46.067439999999998</v>
      </c>
      <c r="H484">
        <v>12</v>
      </c>
      <c r="I484" t="s">
        <v>89</v>
      </c>
      <c r="J484">
        <v>2.5</v>
      </c>
      <c r="K484">
        <v>200</v>
      </c>
      <c r="L484">
        <v>50</v>
      </c>
      <c r="N484" t="s">
        <v>90</v>
      </c>
      <c r="O484">
        <v>50</v>
      </c>
      <c r="P484">
        <v>0.33333333333333343</v>
      </c>
      <c r="Q484">
        <v>3.2500000000000001E-2</v>
      </c>
      <c r="R484">
        <v>77.5</v>
      </c>
      <c r="S484">
        <v>170</v>
      </c>
      <c r="T484">
        <v>50</v>
      </c>
      <c r="U484">
        <v>1812.1301775147931</v>
      </c>
      <c r="V484">
        <v>20</v>
      </c>
      <c r="W484">
        <v>0.95</v>
      </c>
      <c r="X484">
        <v>1</v>
      </c>
      <c r="Y484">
        <v>144037.5953392974</v>
      </c>
      <c r="Z484">
        <v>288075190.67859483</v>
      </c>
      <c r="AA484">
        <v>720187976.69648695</v>
      </c>
      <c r="AB484">
        <v>720187.97669648693</v>
      </c>
      <c r="AC484">
        <v>0</v>
      </c>
      <c r="AD484">
        <v>2985.6889334378279</v>
      </c>
      <c r="AE484">
        <v>895706.68003134825</v>
      </c>
      <c r="AF484">
        <v>447853.34001567413</v>
      </c>
      <c r="AG484">
        <v>20.631456869971672</v>
      </c>
      <c r="AH484">
        <v>315.36040790543723</v>
      </c>
      <c r="AI484">
        <v>157.68020395271861</v>
      </c>
      <c r="AJ484">
        <v>23406.10924263583</v>
      </c>
      <c r="AK484">
        <v>854.70085470085473</v>
      </c>
      <c r="AL484" t="s">
        <v>93</v>
      </c>
      <c r="AM484">
        <v>24440.431612671389</v>
      </c>
      <c r="AN484">
        <v>1607.427571745254</v>
      </c>
      <c r="AO484">
        <v>26805.634671962169</v>
      </c>
      <c r="AP484">
        <v>50308.669281753319</v>
      </c>
      <c r="AQ484">
        <v>23503.03460979115</v>
      </c>
      <c r="AR484">
        <v>5.226288865416668E-2</v>
      </c>
      <c r="AS484">
        <v>1134.486497495122</v>
      </c>
      <c r="AT484">
        <v>1184.619766151538</v>
      </c>
      <c r="AU484">
        <v>77.91149126675613</v>
      </c>
      <c r="AV484">
        <v>1299.2603886823319</v>
      </c>
      <c r="AW484">
        <v>2438.4448271792062</v>
      </c>
      <c r="AX484">
        <v>1139.184438496874</v>
      </c>
      <c r="AY484">
        <v>7.6427081687196008</v>
      </c>
      <c r="AZ484" t="s">
        <v>150</v>
      </c>
      <c r="BA484" t="str">
        <f>VLOOKUP($AZ484,Sheet1!$A$2:$B$58,2)</f>
        <v>Shikimate</v>
      </c>
      <c r="BB484" t="s">
        <v>195</v>
      </c>
      <c r="BC484">
        <v>173.14045999999999</v>
      </c>
      <c r="BD484">
        <v>3.8571428571428572</v>
      </c>
      <c r="BE484">
        <v>400.5</v>
      </c>
      <c r="BF484" t="s">
        <v>72</v>
      </c>
      <c r="BG484">
        <v>-0.2025047729879243</v>
      </c>
      <c r="BH484">
        <v>0.32240786240786301</v>
      </c>
      <c r="BI484">
        <v>1.21174186377437</v>
      </c>
      <c r="BJ484">
        <v>80</v>
      </c>
      <c r="BK484">
        <v>2515.433464087665</v>
      </c>
      <c r="BL484">
        <v>1175.1517304895569</v>
      </c>
      <c r="BM484">
        <v>8.0865149706238544</v>
      </c>
      <c r="BN484">
        <v>1374.7075450060549</v>
      </c>
      <c r="BO484">
        <v>1140.7259190816101</v>
      </c>
    </row>
    <row r="485" spans="1:67" x14ac:dyDescent="0.25">
      <c r="A485" s="1">
        <v>483</v>
      </c>
      <c r="B485" t="s">
        <v>72</v>
      </c>
      <c r="C485" t="s">
        <v>84</v>
      </c>
      <c r="D485">
        <v>2</v>
      </c>
      <c r="E485">
        <v>6</v>
      </c>
      <c r="F485">
        <v>1</v>
      </c>
      <c r="G485">
        <v>46.067439999999998</v>
      </c>
      <c r="H485">
        <v>12</v>
      </c>
      <c r="I485" t="s">
        <v>89</v>
      </c>
      <c r="J485">
        <v>2.5</v>
      </c>
      <c r="K485">
        <v>200</v>
      </c>
      <c r="L485">
        <v>50</v>
      </c>
      <c r="N485" t="s">
        <v>90</v>
      </c>
      <c r="O485">
        <v>50</v>
      </c>
      <c r="P485">
        <v>0.33333333333333343</v>
      </c>
      <c r="Q485">
        <v>3.2500000000000001E-2</v>
      </c>
      <c r="R485">
        <v>77.5</v>
      </c>
      <c r="S485">
        <v>170</v>
      </c>
      <c r="T485">
        <v>50</v>
      </c>
      <c r="U485">
        <v>1812.1301775147931</v>
      </c>
      <c r="V485">
        <v>20</v>
      </c>
      <c r="W485">
        <v>0.95</v>
      </c>
      <c r="X485">
        <v>1</v>
      </c>
      <c r="Y485">
        <v>345355.0831384316</v>
      </c>
      <c r="Z485">
        <v>690710166.27686322</v>
      </c>
      <c r="AA485">
        <v>1726775415.692158</v>
      </c>
      <c r="AB485">
        <v>1726775.415692158</v>
      </c>
      <c r="AC485">
        <v>0</v>
      </c>
      <c r="AD485">
        <v>7158.7063599887651</v>
      </c>
      <c r="AE485">
        <v>2147611.9079966298</v>
      </c>
      <c r="AF485">
        <v>1073805.9539983149</v>
      </c>
      <c r="AG485">
        <v>49.46749135746014</v>
      </c>
      <c r="AH485">
        <v>756.13120056745333</v>
      </c>
      <c r="AI485">
        <v>378.06560028372672</v>
      </c>
      <c r="AJ485">
        <v>56120.201009995137</v>
      </c>
      <c r="AK485">
        <v>854.70085470085473</v>
      </c>
      <c r="AL485" t="s">
        <v>93</v>
      </c>
      <c r="AM485">
        <v>58600.168043977632</v>
      </c>
      <c r="AN485">
        <v>3854.0860208850868</v>
      </c>
      <c r="AO485">
        <v>64271.152048233533</v>
      </c>
      <c r="AP485">
        <v>119429.15592955871</v>
      </c>
      <c r="AQ485">
        <v>55158.003881325189</v>
      </c>
      <c r="AR485">
        <v>5.2262888654166659E-2</v>
      </c>
      <c r="AS485">
        <v>1134.4864974951211</v>
      </c>
      <c r="AT485">
        <v>1184.619766151538</v>
      </c>
      <c r="AU485">
        <v>77.911491266756087</v>
      </c>
      <c r="AV485">
        <v>1299.260388682331</v>
      </c>
      <c r="AW485">
        <v>2414.295786025295</v>
      </c>
      <c r="AX485">
        <v>1115.035397342964</v>
      </c>
      <c r="AY485">
        <v>7.6427081687195964</v>
      </c>
      <c r="AZ485" t="s">
        <v>151</v>
      </c>
      <c r="BA485" t="str">
        <f>VLOOKUP($AZ485,Sheet1!$A$2:$B$58,2)</f>
        <v>Styrene</v>
      </c>
      <c r="BB485" t="s">
        <v>196</v>
      </c>
      <c r="BC485">
        <v>104.14832</v>
      </c>
      <c r="BD485">
        <v>5</v>
      </c>
      <c r="BE485">
        <v>145</v>
      </c>
      <c r="BF485" t="s">
        <v>72</v>
      </c>
      <c r="BG485">
        <v>0.40009259096464822</v>
      </c>
      <c r="BH485">
        <v>0.22354344122657499</v>
      </c>
      <c r="BI485">
        <v>0.50538241002249196</v>
      </c>
      <c r="BJ485">
        <v>80</v>
      </c>
      <c r="BK485">
        <v>5971.4577964779364</v>
      </c>
      <c r="BL485">
        <v>2757.9001940662588</v>
      </c>
      <c r="BM485">
        <v>18.503187423221689</v>
      </c>
      <c r="BN485">
        <v>3145.5418619476859</v>
      </c>
      <c r="BO485">
        <v>2825.9159345302501</v>
      </c>
    </row>
    <row r="486" spans="1:67" x14ac:dyDescent="0.25">
      <c r="A486" s="1">
        <v>484</v>
      </c>
      <c r="B486" t="s">
        <v>72</v>
      </c>
      <c r="C486" t="s">
        <v>84</v>
      </c>
      <c r="D486">
        <v>2</v>
      </c>
      <c r="E486">
        <v>6</v>
      </c>
      <c r="F486">
        <v>1</v>
      </c>
      <c r="G486">
        <v>46.067439999999998</v>
      </c>
      <c r="H486">
        <v>12</v>
      </c>
      <c r="I486" t="s">
        <v>89</v>
      </c>
      <c r="J486">
        <v>2.5</v>
      </c>
      <c r="K486">
        <v>200</v>
      </c>
      <c r="L486">
        <v>50</v>
      </c>
      <c r="N486" t="s">
        <v>90</v>
      </c>
      <c r="O486">
        <v>50</v>
      </c>
      <c r="P486">
        <v>0.33333333333333343</v>
      </c>
      <c r="Q486">
        <v>3.2500000000000001E-2</v>
      </c>
      <c r="R486">
        <v>77.5</v>
      </c>
      <c r="S486">
        <v>170</v>
      </c>
      <c r="T486">
        <v>50</v>
      </c>
      <c r="U486">
        <v>1812.1301775147931</v>
      </c>
      <c r="V486">
        <v>20</v>
      </c>
      <c r="W486">
        <v>0.95</v>
      </c>
      <c r="X486">
        <v>1</v>
      </c>
      <c r="Y486">
        <v>95768.126473443059</v>
      </c>
      <c r="Z486">
        <v>191536252.94688609</v>
      </c>
      <c r="AA486">
        <v>478840632.36721528</v>
      </c>
      <c r="AB486">
        <v>478840.63236721529</v>
      </c>
      <c r="AC486">
        <v>0</v>
      </c>
      <c r="AD486">
        <v>1985.1333585115931</v>
      </c>
      <c r="AE486">
        <v>595540.007553478</v>
      </c>
      <c r="AF486">
        <v>297770.003776739</v>
      </c>
      <c r="AG486">
        <v>13.7175017827847</v>
      </c>
      <c r="AH486">
        <v>209.67772585942859</v>
      </c>
      <c r="AI486">
        <v>104.8388629297143</v>
      </c>
      <c r="AJ486">
        <v>15562.320551934499</v>
      </c>
      <c r="AK486">
        <v>854.70085470085473</v>
      </c>
      <c r="AL486" t="s">
        <v>93</v>
      </c>
      <c r="AM486">
        <v>16250.02375410571</v>
      </c>
      <c r="AN486">
        <v>1068.7510203511411</v>
      </c>
      <c r="AO486">
        <v>17822.60669805143</v>
      </c>
      <c r="AP486">
        <v>33735.796181092213</v>
      </c>
      <c r="AQ486">
        <v>15913.18948304078</v>
      </c>
      <c r="AR486">
        <v>5.2262888654166673E-2</v>
      </c>
      <c r="AS486">
        <v>1134.486497495122</v>
      </c>
      <c r="AT486">
        <v>1184.619766151538</v>
      </c>
      <c r="AU486">
        <v>77.911491266756087</v>
      </c>
      <c r="AV486">
        <v>1299.2603886823319</v>
      </c>
      <c r="AW486">
        <v>2459.325080856212</v>
      </c>
      <c r="AX486">
        <v>1160.0646921738801</v>
      </c>
      <c r="AY486">
        <v>7.6427081687195999</v>
      </c>
      <c r="AZ486" t="s">
        <v>152</v>
      </c>
      <c r="BA486" t="str">
        <f>VLOOKUP($AZ486,Sheet1!$A$2:$B$58,2)</f>
        <v>Succinate</v>
      </c>
      <c r="BB486" t="s">
        <v>197</v>
      </c>
      <c r="BC486">
        <v>116.07016</v>
      </c>
      <c r="BD486">
        <v>3</v>
      </c>
      <c r="BE486">
        <v>235</v>
      </c>
      <c r="BF486" t="s">
        <v>72</v>
      </c>
      <c r="BG486">
        <v>-0.46828025441939142</v>
      </c>
      <c r="BH486">
        <v>0.72333333333333405</v>
      </c>
      <c r="BI486">
        <v>1.8224892838267901</v>
      </c>
      <c r="BJ486">
        <v>80</v>
      </c>
      <c r="BK486">
        <v>1686.78980905461</v>
      </c>
      <c r="BL486">
        <v>795.65947415203891</v>
      </c>
      <c r="BM486">
        <v>5.7102234009051047</v>
      </c>
      <c r="BN486">
        <v>970.73797815386786</v>
      </c>
      <c r="BO486">
        <v>716.05183090074217</v>
      </c>
    </row>
    <row r="487" spans="1:67" x14ac:dyDescent="0.25">
      <c r="A487" s="1">
        <v>485</v>
      </c>
      <c r="B487" t="s">
        <v>73</v>
      </c>
      <c r="C487" t="s">
        <v>85</v>
      </c>
      <c r="D487">
        <v>1</v>
      </c>
      <c r="E487">
        <v>1</v>
      </c>
      <c r="F487">
        <v>2</v>
      </c>
      <c r="G487">
        <v>45.016539999999999</v>
      </c>
      <c r="H487">
        <v>2</v>
      </c>
      <c r="I487" t="s">
        <v>89</v>
      </c>
      <c r="J487">
        <v>4</v>
      </c>
      <c r="K487">
        <v>300</v>
      </c>
      <c r="L487">
        <v>70</v>
      </c>
      <c r="N487" t="s">
        <v>82</v>
      </c>
      <c r="O487">
        <v>30</v>
      </c>
      <c r="P487">
        <v>0.5</v>
      </c>
      <c r="Q487">
        <v>3.2500000000000001E-2</v>
      </c>
      <c r="R487">
        <v>77.5</v>
      </c>
      <c r="S487">
        <v>170</v>
      </c>
      <c r="T487">
        <v>20</v>
      </c>
      <c r="U487">
        <v>1812.1301775147931</v>
      </c>
      <c r="V487">
        <v>20</v>
      </c>
      <c r="W487">
        <v>0.95</v>
      </c>
      <c r="X487">
        <v>1</v>
      </c>
      <c r="Y487">
        <v>79644.12199609229</v>
      </c>
      <c r="Z487">
        <v>238932365.9882769</v>
      </c>
      <c r="AA487">
        <v>955729463.9531076</v>
      </c>
      <c r="AB487">
        <v>955729.4639531076</v>
      </c>
      <c r="AC487">
        <v>0</v>
      </c>
      <c r="AD487">
        <v>2476.3594507769681</v>
      </c>
      <c r="AE487">
        <v>4457447.0113985427</v>
      </c>
      <c r="AF487">
        <v>3120212.9079789789</v>
      </c>
      <c r="AG487">
        <v>140.461189180552</v>
      </c>
      <c r="AH487">
        <v>980.86121485824924</v>
      </c>
      <c r="AI487">
        <v>196.17224297164989</v>
      </c>
      <c r="AJ487">
        <v>31061.207578476002</v>
      </c>
      <c r="AK487">
        <v>854.70085470085473</v>
      </c>
      <c r="AL487" t="s">
        <v>93</v>
      </c>
      <c r="AM487">
        <v>76016.744151514315</v>
      </c>
      <c r="AN487">
        <v>888.81071169225072</v>
      </c>
      <c r="AO487">
        <v>33349.281305180477</v>
      </c>
      <c r="AP487">
        <v>108821.4632963834</v>
      </c>
      <c r="AQ487">
        <v>75472.181991202931</v>
      </c>
      <c r="AR487">
        <v>9.9548359341269845E-3</v>
      </c>
      <c r="AS487">
        <v>221.13729607222109</v>
      </c>
      <c r="AT487">
        <v>541.19393830420051</v>
      </c>
      <c r="AU487">
        <v>6.3278028391867949</v>
      </c>
      <c r="AV487">
        <v>237.4270180947461</v>
      </c>
      <c r="AW487">
        <v>774.74399819085841</v>
      </c>
      <c r="AX487">
        <v>537.31698009611227</v>
      </c>
      <c r="AY487">
        <v>1.3966295182043891</v>
      </c>
      <c r="AZ487" t="s">
        <v>96</v>
      </c>
      <c r="BA487" t="str">
        <f>VLOOKUP($AZ487,Sheet1!$A$2:$B$58,2)</f>
        <v>1,3-Butanediol (PW1)</v>
      </c>
      <c r="BB487" t="s">
        <v>153</v>
      </c>
      <c r="BC487">
        <v>90.119200000000006</v>
      </c>
      <c r="BD487">
        <v>5.5</v>
      </c>
      <c r="BE487">
        <v>207</v>
      </c>
      <c r="BF487" t="s">
        <v>206</v>
      </c>
      <c r="BG487">
        <v>3.4184724231906172</v>
      </c>
      <c r="BH487">
        <v>9.0909090909090995E-2</v>
      </c>
      <c r="BI487">
        <v>0.17798510852606</v>
      </c>
      <c r="BJ487">
        <v>80</v>
      </c>
      <c r="BK487">
        <v>5441.0731648191704</v>
      </c>
      <c r="BL487">
        <v>3773.6090995601471</v>
      </c>
      <c r="BM487">
        <v>6.3901397253918777</v>
      </c>
      <c r="BN487">
        <v>1086.3237533166191</v>
      </c>
      <c r="BO487">
        <v>4354.7494115025511</v>
      </c>
    </row>
    <row r="488" spans="1:67" x14ac:dyDescent="0.25">
      <c r="A488" s="1">
        <v>486</v>
      </c>
      <c r="B488" t="s">
        <v>73</v>
      </c>
      <c r="C488" t="s">
        <v>85</v>
      </c>
      <c r="D488">
        <v>1</v>
      </c>
      <c r="E488">
        <v>1</v>
      </c>
      <c r="F488">
        <v>2</v>
      </c>
      <c r="G488">
        <v>45.016539999999999</v>
      </c>
      <c r="H488">
        <v>2</v>
      </c>
      <c r="I488" t="s">
        <v>89</v>
      </c>
      <c r="J488">
        <v>4</v>
      </c>
      <c r="K488">
        <v>300</v>
      </c>
      <c r="L488">
        <v>70</v>
      </c>
      <c r="N488" t="s">
        <v>82</v>
      </c>
      <c r="O488">
        <v>30</v>
      </c>
      <c r="P488">
        <v>0.5</v>
      </c>
      <c r="Q488">
        <v>3.2500000000000001E-2</v>
      </c>
      <c r="R488">
        <v>77.5</v>
      </c>
      <c r="S488">
        <v>170</v>
      </c>
      <c r="T488">
        <v>20</v>
      </c>
      <c r="U488">
        <v>1812.1301775147931</v>
      </c>
      <c r="V488">
        <v>20</v>
      </c>
      <c r="W488">
        <v>0.95</v>
      </c>
      <c r="X488">
        <v>1</v>
      </c>
      <c r="Y488">
        <v>79643.429889883453</v>
      </c>
      <c r="Z488">
        <v>238930289.66965029</v>
      </c>
      <c r="AA488">
        <v>955721158.67860138</v>
      </c>
      <c r="AB488">
        <v>955721.15867860138</v>
      </c>
      <c r="AC488">
        <v>0</v>
      </c>
      <c r="AD488">
        <v>2476.3379312510028</v>
      </c>
      <c r="AE488">
        <v>4457408.2762518059</v>
      </c>
      <c r="AF488">
        <v>3120185.7933762642</v>
      </c>
      <c r="AG488">
        <v>140.4599685749543</v>
      </c>
      <c r="AH488">
        <v>980.85269118920974</v>
      </c>
      <c r="AI488">
        <v>196.17053823784201</v>
      </c>
      <c r="AJ488">
        <v>31060.93765705455</v>
      </c>
      <c r="AK488">
        <v>854.70085470085473</v>
      </c>
      <c r="AL488" t="s">
        <v>93</v>
      </c>
      <c r="AM488">
        <v>76016.083567163761</v>
      </c>
      <c r="AN488">
        <v>888.80298794068426</v>
      </c>
      <c r="AO488">
        <v>33348.991500433127</v>
      </c>
      <c r="AP488">
        <v>108820.5250668598</v>
      </c>
      <c r="AQ488">
        <v>75471.533566426719</v>
      </c>
      <c r="AR488">
        <v>9.9548359341269845E-3</v>
      </c>
      <c r="AS488">
        <v>221.13729607222109</v>
      </c>
      <c r="AT488">
        <v>541.19393830420051</v>
      </c>
      <c r="AU488">
        <v>6.3278028391867984</v>
      </c>
      <c r="AV488">
        <v>237.42701809474599</v>
      </c>
      <c r="AW488">
        <v>774.74405106953611</v>
      </c>
      <c r="AX488">
        <v>537.3170329747901</v>
      </c>
      <c r="AY488">
        <v>1.396629518204388</v>
      </c>
      <c r="AZ488" t="s">
        <v>97</v>
      </c>
      <c r="BA488" t="str">
        <f>VLOOKUP($AZ488,Sheet1!$A$2:$B$58,2)</f>
        <v>1,3-Butanediol (PW2)</v>
      </c>
      <c r="BB488" t="s">
        <v>153</v>
      </c>
      <c r="BC488">
        <v>90.119200000000006</v>
      </c>
      <c r="BD488">
        <v>5.5</v>
      </c>
      <c r="BE488">
        <v>207</v>
      </c>
      <c r="BF488" t="s">
        <v>206</v>
      </c>
      <c r="BG488">
        <v>3.4184724231906172</v>
      </c>
      <c r="BH488">
        <v>9.0909090909090995E-2</v>
      </c>
      <c r="BI488">
        <v>0.17798665522738699</v>
      </c>
      <c r="BJ488">
        <v>80</v>
      </c>
      <c r="BK488">
        <v>5441.0262533429895</v>
      </c>
      <c r="BL488">
        <v>3773.5766783213339</v>
      </c>
      <c r="BM488">
        <v>6.3900544887014821</v>
      </c>
      <c r="BN488">
        <v>1086.3092630792521</v>
      </c>
      <c r="BO488">
        <v>4354.7169902637388</v>
      </c>
    </row>
    <row r="489" spans="1:67" x14ac:dyDescent="0.25">
      <c r="A489" s="1">
        <v>487</v>
      </c>
      <c r="B489" t="s">
        <v>73</v>
      </c>
      <c r="C489" t="s">
        <v>85</v>
      </c>
      <c r="D489">
        <v>1</v>
      </c>
      <c r="E489">
        <v>1</v>
      </c>
      <c r="F489">
        <v>2</v>
      </c>
      <c r="G489">
        <v>45.016539999999999</v>
      </c>
      <c r="H489">
        <v>2</v>
      </c>
      <c r="I489" t="s">
        <v>89</v>
      </c>
      <c r="J489">
        <v>4</v>
      </c>
      <c r="K489">
        <v>300</v>
      </c>
      <c r="L489">
        <v>70</v>
      </c>
      <c r="N489" t="s">
        <v>82</v>
      </c>
      <c r="O489">
        <v>30</v>
      </c>
      <c r="P489">
        <v>0.5</v>
      </c>
      <c r="Q489">
        <v>3.2500000000000001E-2</v>
      </c>
      <c r="R489">
        <v>77.5</v>
      </c>
      <c r="S489">
        <v>170</v>
      </c>
      <c r="T489">
        <v>20</v>
      </c>
      <c r="U489">
        <v>1812.1301775147931</v>
      </c>
      <c r="V489">
        <v>20</v>
      </c>
      <c r="W489">
        <v>0.95</v>
      </c>
      <c r="X489">
        <v>1</v>
      </c>
      <c r="Y489">
        <v>104117.49130523</v>
      </c>
      <c r="Z489">
        <v>312352473.91569</v>
      </c>
      <c r="AA489">
        <v>1249409895.66276</v>
      </c>
      <c r="AB489">
        <v>1249409.8956627599</v>
      </c>
      <c r="AC489">
        <v>0</v>
      </c>
      <c r="AD489">
        <v>3237.305241403069</v>
      </c>
      <c r="AE489">
        <v>5827149.4345255252</v>
      </c>
      <c r="AF489">
        <v>4079004.604167867</v>
      </c>
      <c r="AG489">
        <v>183.622673923707</v>
      </c>
      <c r="AH489">
        <v>1282.264233067342</v>
      </c>
      <c r="AI489">
        <v>256.45284661346841</v>
      </c>
      <c r="AJ489">
        <v>40605.821609039704</v>
      </c>
      <c r="AK489">
        <v>854.70085470085473</v>
      </c>
      <c r="AL489" t="s">
        <v>93</v>
      </c>
      <c r="AM489">
        <v>99375.478062718976</v>
      </c>
      <c r="AN489">
        <v>1161.9280773935041</v>
      </c>
      <c r="AO489">
        <v>43596.98392428962</v>
      </c>
      <c r="AP489">
        <v>141997.92860385301</v>
      </c>
      <c r="AQ489">
        <v>98400.944679563399</v>
      </c>
      <c r="AR489">
        <v>9.9548359341269845E-3</v>
      </c>
      <c r="AS489">
        <v>221.13729607222109</v>
      </c>
      <c r="AT489">
        <v>541.1939383042004</v>
      </c>
      <c r="AU489">
        <v>6.3278028391867931</v>
      </c>
      <c r="AV489">
        <v>237.42701809474599</v>
      </c>
      <c r="AW489">
        <v>773.31369579582235</v>
      </c>
      <c r="AX489">
        <v>535.88667770107634</v>
      </c>
      <c r="AY489">
        <v>1.396629518204388</v>
      </c>
      <c r="AZ489" t="s">
        <v>98</v>
      </c>
      <c r="BA489" t="str">
        <f>VLOOKUP($AZ489,Sheet1!$A$2:$B$58,2)</f>
        <v>1,3-Diaminopropane</v>
      </c>
      <c r="BB489" t="s">
        <v>154</v>
      </c>
      <c r="BC489">
        <v>76.139580000000009</v>
      </c>
      <c r="BD489">
        <v>6</v>
      </c>
      <c r="BE489">
        <v>139.30000000000001</v>
      </c>
      <c r="BF489" t="s">
        <v>206</v>
      </c>
      <c r="BG489">
        <v>4.0893378619860972</v>
      </c>
      <c r="BH489">
        <v>8.2307692307691999E-2</v>
      </c>
      <c r="BI489">
        <v>0.13614876347126501</v>
      </c>
      <c r="BJ489">
        <v>80</v>
      </c>
      <c r="BK489">
        <v>7099.8964301926499</v>
      </c>
      <c r="BL489">
        <v>4920.0472339781691</v>
      </c>
      <c r="BM489">
        <v>8.7333044686873187</v>
      </c>
      <c r="BN489">
        <v>1484.661759676844</v>
      </c>
      <c r="BO489">
        <v>5615.2346705158052</v>
      </c>
    </row>
    <row r="490" spans="1:67" x14ac:dyDescent="0.25">
      <c r="A490" s="1">
        <v>488</v>
      </c>
      <c r="B490" t="s">
        <v>73</v>
      </c>
      <c r="C490" t="s">
        <v>85</v>
      </c>
      <c r="D490">
        <v>1</v>
      </c>
      <c r="E490">
        <v>1</v>
      </c>
      <c r="F490">
        <v>2</v>
      </c>
      <c r="G490">
        <v>45.016539999999999</v>
      </c>
      <c r="H490">
        <v>2</v>
      </c>
      <c r="I490" t="s">
        <v>89</v>
      </c>
      <c r="J490">
        <v>4</v>
      </c>
      <c r="K490">
        <v>300</v>
      </c>
      <c r="L490">
        <v>70</v>
      </c>
      <c r="N490" t="s">
        <v>82</v>
      </c>
      <c r="O490">
        <v>30</v>
      </c>
      <c r="P490">
        <v>0.5</v>
      </c>
      <c r="Q490">
        <v>3.2500000000000001E-2</v>
      </c>
      <c r="R490">
        <v>77.5</v>
      </c>
      <c r="S490">
        <v>170</v>
      </c>
      <c r="T490">
        <v>20</v>
      </c>
      <c r="U490">
        <v>1812.1301775147931</v>
      </c>
      <c r="V490">
        <v>20</v>
      </c>
      <c r="W490">
        <v>0.95</v>
      </c>
      <c r="X490">
        <v>1</v>
      </c>
      <c r="Y490">
        <v>68599.49287230437</v>
      </c>
      <c r="Z490">
        <v>205798478.61691311</v>
      </c>
      <c r="AA490">
        <v>823193914.46765244</v>
      </c>
      <c r="AB490">
        <v>823193.91446765244</v>
      </c>
      <c r="AC490">
        <v>0</v>
      </c>
      <c r="AD490">
        <v>2132.9509100643122</v>
      </c>
      <c r="AE490">
        <v>3839311.6381157618</v>
      </c>
      <c r="AF490">
        <v>2687518.146681034</v>
      </c>
      <c r="AG490">
        <v>120.98276815079259</v>
      </c>
      <c r="AH490">
        <v>844.84052596737342</v>
      </c>
      <c r="AI490">
        <v>168.96810519347471</v>
      </c>
      <c r="AJ490">
        <v>26753.802220198701</v>
      </c>
      <c r="AK490">
        <v>854.70085470085473</v>
      </c>
      <c r="AL490" t="s">
        <v>93</v>
      </c>
      <c r="AM490">
        <v>65475.140762471441</v>
      </c>
      <c r="AN490">
        <v>765.55510379726343</v>
      </c>
      <c r="AO490">
        <v>28724.577882890699</v>
      </c>
      <c r="AP490">
        <v>93849.198941168273</v>
      </c>
      <c r="AQ490">
        <v>65124.621058277582</v>
      </c>
      <c r="AR490">
        <v>9.9548359341269828E-3</v>
      </c>
      <c r="AS490">
        <v>221.13729607222109</v>
      </c>
      <c r="AT490">
        <v>541.1939383042004</v>
      </c>
      <c r="AU490">
        <v>6.3278028391867966</v>
      </c>
      <c r="AV490">
        <v>237.42701809474599</v>
      </c>
      <c r="AW490">
        <v>775.72368673359233</v>
      </c>
      <c r="AX490">
        <v>538.29666863884631</v>
      </c>
      <c r="AY490">
        <v>1.396629518204388</v>
      </c>
      <c r="AZ490" t="s">
        <v>99</v>
      </c>
      <c r="BA490" t="str">
        <f>VLOOKUP($AZ490,Sheet1!$A$2:$B$58,2)</f>
        <v>1,3-Propanediol</v>
      </c>
      <c r="BB490" t="s">
        <v>155</v>
      </c>
      <c r="BC490">
        <v>76.092820000000003</v>
      </c>
      <c r="BD490">
        <v>5.333333333333333</v>
      </c>
      <c r="BE490">
        <v>213</v>
      </c>
      <c r="BF490" t="s">
        <v>206</v>
      </c>
      <c r="BG490">
        <v>2.891862859071328</v>
      </c>
      <c r="BH490">
        <v>0.125</v>
      </c>
      <c r="BI490">
        <v>0.20664099840102901</v>
      </c>
      <c r="BJ490">
        <v>80</v>
      </c>
      <c r="BK490">
        <v>4692.4599470584126</v>
      </c>
      <c r="BL490">
        <v>3256.231052913879</v>
      </c>
      <c r="BM490">
        <v>5.5565424006024058</v>
      </c>
      <c r="BN490">
        <v>944.612208102409</v>
      </c>
      <c r="BO490">
        <v>3747.8477389560039</v>
      </c>
    </row>
    <row r="491" spans="1:67" x14ac:dyDescent="0.25">
      <c r="A491" s="1">
        <v>489</v>
      </c>
      <c r="B491" t="s">
        <v>73</v>
      </c>
      <c r="C491" t="s">
        <v>85</v>
      </c>
      <c r="D491">
        <v>1</v>
      </c>
      <c r="E491">
        <v>1</v>
      </c>
      <c r="F491">
        <v>2</v>
      </c>
      <c r="G491">
        <v>45.016539999999999</v>
      </c>
      <c r="H491">
        <v>2</v>
      </c>
      <c r="I491" t="s">
        <v>89</v>
      </c>
      <c r="J491">
        <v>4</v>
      </c>
      <c r="K491">
        <v>300</v>
      </c>
      <c r="L491">
        <v>70</v>
      </c>
      <c r="N491" t="s">
        <v>82</v>
      </c>
      <c r="O491">
        <v>30</v>
      </c>
      <c r="P491">
        <v>0.5</v>
      </c>
      <c r="Q491">
        <v>3.2500000000000001E-2</v>
      </c>
      <c r="R491">
        <v>77.5</v>
      </c>
      <c r="S491">
        <v>170</v>
      </c>
      <c r="T491">
        <v>20</v>
      </c>
      <c r="U491">
        <v>1812.1301775147931</v>
      </c>
      <c r="V491">
        <v>20</v>
      </c>
      <c r="W491">
        <v>0.95</v>
      </c>
      <c r="X491">
        <v>1</v>
      </c>
      <c r="Y491">
        <v>133641.2693564308</v>
      </c>
      <c r="Z491">
        <v>400923808.06929231</v>
      </c>
      <c r="AA491">
        <v>1603695232.277169</v>
      </c>
      <c r="AB491">
        <v>1603695.2322771689</v>
      </c>
      <c r="AC491">
        <v>0</v>
      </c>
      <c r="AD491">
        <v>4155.2824249963523</v>
      </c>
      <c r="AE491">
        <v>7479508.3649934344</v>
      </c>
      <c r="AF491">
        <v>5235655.8554954045</v>
      </c>
      <c r="AG491">
        <v>235.69111124514299</v>
      </c>
      <c r="AH491">
        <v>1645.8658157168049</v>
      </c>
      <c r="AI491">
        <v>329.17316314336102</v>
      </c>
      <c r="AJ491">
        <v>52120.095049007999</v>
      </c>
      <c r="AK491">
        <v>854.70085470085473</v>
      </c>
      <c r="AL491" t="s">
        <v>93</v>
      </c>
      <c r="AM491">
        <v>127554.6007180524</v>
      </c>
      <c r="AN491">
        <v>1491.406882908107</v>
      </c>
      <c r="AO491">
        <v>55959.437734371371</v>
      </c>
      <c r="AP491">
        <v>182020.80350466931</v>
      </c>
      <c r="AQ491">
        <v>126061.365770298</v>
      </c>
      <c r="AR491">
        <v>9.9548359341269845E-3</v>
      </c>
      <c r="AS491">
        <v>221.13729607222109</v>
      </c>
      <c r="AT491">
        <v>541.1939383042004</v>
      </c>
      <c r="AU491">
        <v>6.3278028391867966</v>
      </c>
      <c r="AV491">
        <v>237.42701809474599</v>
      </c>
      <c r="AW491">
        <v>772.2853973705819</v>
      </c>
      <c r="AX491">
        <v>534.85837927583589</v>
      </c>
      <c r="AY491">
        <v>1.396629518204388</v>
      </c>
      <c r="AZ491" t="s">
        <v>100</v>
      </c>
      <c r="BA491" t="str">
        <f>VLOOKUP($AZ491,Sheet1!$A$2:$B$58,2)</f>
        <v>1,4-Butanediol</v>
      </c>
      <c r="BB491" t="s">
        <v>153</v>
      </c>
      <c r="BC491">
        <v>90.119200000000006</v>
      </c>
      <c r="BD491">
        <v>5.5</v>
      </c>
      <c r="BE491">
        <v>230</v>
      </c>
      <c r="BF491" t="s">
        <v>206</v>
      </c>
      <c r="BG491">
        <v>5.2395278261987057</v>
      </c>
      <c r="BH491">
        <v>5.4177215189873E-2</v>
      </c>
      <c r="BI491">
        <v>0.10607103453298</v>
      </c>
      <c r="BJ491">
        <v>80</v>
      </c>
      <c r="BK491">
        <v>9101.0401752334656</v>
      </c>
      <c r="BL491">
        <v>6303.0682885148972</v>
      </c>
      <c r="BM491">
        <v>11.21913033096935</v>
      </c>
      <c r="BN491">
        <v>1907.2521562647889</v>
      </c>
      <c r="BO491">
        <v>7193.7880189686766</v>
      </c>
    </row>
    <row r="492" spans="1:67" x14ac:dyDescent="0.25">
      <c r="A492" s="1">
        <v>490</v>
      </c>
      <c r="B492" t="s">
        <v>73</v>
      </c>
      <c r="C492" t="s">
        <v>85</v>
      </c>
      <c r="D492">
        <v>1</v>
      </c>
      <c r="E492">
        <v>1</v>
      </c>
      <c r="F492">
        <v>2</v>
      </c>
      <c r="G492">
        <v>45.016539999999999</v>
      </c>
      <c r="H492">
        <v>2</v>
      </c>
      <c r="I492" t="s">
        <v>89</v>
      </c>
      <c r="J492">
        <v>4</v>
      </c>
      <c r="K492">
        <v>300</v>
      </c>
      <c r="L492">
        <v>70</v>
      </c>
      <c r="N492" t="s">
        <v>82</v>
      </c>
      <c r="O492">
        <v>30</v>
      </c>
      <c r="P492">
        <v>0.5</v>
      </c>
      <c r="Q492">
        <v>3.2500000000000001E-2</v>
      </c>
      <c r="R492">
        <v>77.5</v>
      </c>
      <c r="S492">
        <v>170</v>
      </c>
      <c r="T492">
        <v>20</v>
      </c>
      <c r="U492">
        <v>1812.1301775147931</v>
      </c>
      <c r="V492">
        <v>20</v>
      </c>
      <c r="W492">
        <v>0.95</v>
      </c>
      <c r="X492">
        <v>1</v>
      </c>
      <c r="Y492">
        <v>134454.97810039591</v>
      </c>
      <c r="Z492">
        <v>403364934.30118781</v>
      </c>
      <c r="AA492">
        <v>1613459737.204751</v>
      </c>
      <c r="AB492">
        <v>1613459.737204751</v>
      </c>
      <c r="AC492">
        <v>0</v>
      </c>
      <c r="AD492">
        <v>4180.5829153250279</v>
      </c>
      <c r="AE492">
        <v>7525049.2475850498</v>
      </c>
      <c r="AF492">
        <v>5267534.4733095346</v>
      </c>
      <c r="AG492">
        <v>237.1261763191176</v>
      </c>
      <c r="AH492">
        <v>1655.8870869310899</v>
      </c>
      <c r="AI492">
        <v>331.17741738621811</v>
      </c>
      <c r="AJ492">
        <v>52437.441459154419</v>
      </c>
      <c r="AK492">
        <v>854.70085470085473</v>
      </c>
      <c r="AL492" t="s">
        <v>93</v>
      </c>
      <c r="AM492">
        <v>128331.2492371595</v>
      </c>
      <c r="AN492">
        <v>1500.487691757621</v>
      </c>
      <c r="AO492">
        <v>56300.160955657069</v>
      </c>
      <c r="AP492">
        <v>183123.87924277241</v>
      </c>
      <c r="AQ492">
        <v>126823.71828711531</v>
      </c>
      <c r="AR492">
        <v>9.9548359341269863E-3</v>
      </c>
      <c r="AS492">
        <v>221.13729607222109</v>
      </c>
      <c r="AT492">
        <v>541.1939383042004</v>
      </c>
      <c r="AU492">
        <v>6.3278028391867958</v>
      </c>
      <c r="AV492">
        <v>237.42701809474599</v>
      </c>
      <c r="AW492">
        <v>772.26345098370564</v>
      </c>
      <c r="AX492">
        <v>534.83643288895962</v>
      </c>
      <c r="AY492">
        <v>1.396629518204388</v>
      </c>
      <c r="AZ492" t="s">
        <v>101</v>
      </c>
      <c r="BA492" t="str">
        <f>VLOOKUP($AZ492,Sheet1!$A$2:$B$58,2)</f>
        <v>1-Propanol (PW1)</v>
      </c>
      <c r="BB492" t="s">
        <v>156</v>
      </c>
      <c r="BC492">
        <v>60.093820000000001</v>
      </c>
      <c r="BD492">
        <v>6</v>
      </c>
      <c r="BE492">
        <v>97</v>
      </c>
      <c r="BF492" t="s">
        <v>206</v>
      </c>
      <c r="BG492">
        <v>5.6329722828388409</v>
      </c>
      <c r="BH492">
        <v>8.0754716981131999E-2</v>
      </c>
      <c r="BI492">
        <v>0.105429102716841</v>
      </c>
      <c r="BJ492">
        <v>80</v>
      </c>
      <c r="BK492">
        <v>9156.1939621386191</v>
      </c>
      <c r="BL492">
        <v>6341.1859143557667</v>
      </c>
      <c r="BM492">
        <v>10.92589858647206</v>
      </c>
      <c r="BN492">
        <v>1857.40275970025</v>
      </c>
      <c r="BO492">
        <v>7298.7912024383686</v>
      </c>
    </row>
    <row r="493" spans="1:67" x14ac:dyDescent="0.25">
      <c r="A493" s="1">
        <v>491</v>
      </c>
      <c r="B493" t="s">
        <v>73</v>
      </c>
      <c r="C493" t="s">
        <v>85</v>
      </c>
      <c r="D493">
        <v>1</v>
      </c>
      <c r="E493">
        <v>1</v>
      </c>
      <c r="F493">
        <v>2</v>
      </c>
      <c r="G493">
        <v>45.016539999999999</v>
      </c>
      <c r="H493">
        <v>2</v>
      </c>
      <c r="I493" t="s">
        <v>89</v>
      </c>
      <c r="J493">
        <v>4</v>
      </c>
      <c r="K493">
        <v>300</v>
      </c>
      <c r="L493">
        <v>70</v>
      </c>
      <c r="N493" t="s">
        <v>82</v>
      </c>
      <c r="O493">
        <v>30</v>
      </c>
      <c r="P493">
        <v>0.5</v>
      </c>
      <c r="Q493">
        <v>3.2500000000000001E-2</v>
      </c>
      <c r="R493">
        <v>77.5</v>
      </c>
      <c r="S493">
        <v>170</v>
      </c>
      <c r="T493">
        <v>20</v>
      </c>
      <c r="U493">
        <v>1812.1301775147931</v>
      </c>
      <c r="V493">
        <v>20</v>
      </c>
      <c r="W493">
        <v>0.95</v>
      </c>
      <c r="X493">
        <v>1</v>
      </c>
      <c r="Y493">
        <v>97720.863328816253</v>
      </c>
      <c r="Z493">
        <v>293162589.98644882</v>
      </c>
      <c r="AA493">
        <v>1172650359.9457951</v>
      </c>
      <c r="AB493">
        <v>1172650.359945795</v>
      </c>
      <c r="AC493">
        <v>0</v>
      </c>
      <c r="AD493">
        <v>3038.4161112890638</v>
      </c>
      <c r="AE493">
        <v>5469149.0003203154</v>
      </c>
      <c r="AF493">
        <v>3828404.3002242199</v>
      </c>
      <c r="AG493">
        <v>172.3415153172156</v>
      </c>
      <c r="AH493">
        <v>1203.486237520485</v>
      </c>
      <c r="AI493">
        <v>240.69724750409711</v>
      </c>
      <c r="AJ493">
        <v>38111.136698238341</v>
      </c>
      <c r="AK493">
        <v>854.70085470085473</v>
      </c>
      <c r="AL493" t="s">
        <v>93</v>
      </c>
      <c r="AM493">
        <v>93270.183407837612</v>
      </c>
      <c r="AN493">
        <v>1090.543129934031</v>
      </c>
      <c r="AO493">
        <v>40918.532075696501</v>
      </c>
      <c r="AP493">
        <v>133326.5640907108</v>
      </c>
      <c r="AQ493">
        <v>92408.032015014323</v>
      </c>
      <c r="AR493">
        <v>9.9548359341269845E-3</v>
      </c>
      <c r="AS493">
        <v>221.13729607222109</v>
      </c>
      <c r="AT493">
        <v>541.19393830420051</v>
      </c>
      <c r="AU493">
        <v>6.3278028391867949</v>
      </c>
      <c r="AV493">
        <v>237.42701809474599</v>
      </c>
      <c r="AW493">
        <v>773.61838118521246</v>
      </c>
      <c r="AX493">
        <v>536.19136309046644</v>
      </c>
      <c r="AY493">
        <v>1.396629518204388</v>
      </c>
      <c r="AZ493" t="s">
        <v>102</v>
      </c>
      <c r="BA493" t="str">
        <f>VLOOKUP($AZ493,Sheet1!$A$2:$B$58,2)</f>
        <v>1-Propanol (PW2)</v>
      </c>
      <c r="BB493" t="s">
        <v>156</v>
      </c>
      <c r="BC493">
        <v>60.093820000000001</v>
      </c>
      <c r="BD493">
        <v>6</v>
      </c>
      <c r="BE493">
        <v>97</v>
      </c>
      <c r="BF493" t="s">
        <v>206</v>
      </c>
      <c r="BG493">
        <v>4.3941290468803667</v>
      </c>
      <c r="BH493">
        <v>0.11111111111111099</v>
      </c>
      <c r="BI493">
        <v>0.14506081111091801</v>
      </c>
      <c r="BJ493">
        <v>80</v>
      </c>
      <c r="BK493">
        <v>6666.3282045355418</v>
      </c>
      <c r="BL493">
        <v>4620.4016007507171</v>
      </c>
      <c r="BM493">
        <v>7.6407333283244894</v>
      </c>
      <c r="BN493">
        <v>1298.9246658151631</v>
      </c>
      <c r="BO493">
        <v>5367.4035387203776</v>
      </c>
    </row>
    <row r="494" spans="1:67" x14ac:dyDescent="0.25">
      <c r="A494" s="1">
        <v>492</v>
      </c>
      <c r="B494" t="s">
        <v>73</v>
      </c>
      <c r="C494" t="s">
        <v>85</v>
      </c>
      <c r="D494">
        <v>1</v>
      </c>
      <c r="E494">
        <v>1</v>
      </c>
      <c r="F494">
        <v>2</v>
      </c>
      <c r="G494">
        <v>45.016539999999999</v>
      </c>
      <c r="H494">
        <v>2</v>
      </c>
      <c r="I494" t="s">
        <v>89</v>
      </c>
      <c r="J494">
        <v>4</v>
      </c>
      <c r="K494">
        <v>300</v>
      </c>
      <c r="L494">
        <v>70</v>
      </c>
      <c r="N494" t="s">
        <v>82</v>
      </c>
      <c r="O494">
        <v>30</v>
      </c>
      <c r="P494">
        <v>0.5</v>
      </c>
      <c r="Q494">
        <v>3.2500000000000001E-2</v>
      </c>
      <c r="R494">
        <v>77.5</v>
      </c>
      <c r="S494">
        <v>170</v>
      </c>
      <c r="T494">
        <v>20</v>
      </c>
      <c r="U494">
        <v>1812.1301775147931</v>
      </c>
      <c r="V494">
        <v>20</v>
      </c>
      <c r="W494">
        <v>0.95</v>
      </c>
      <c r="X494">
        <v>1</v>
      </c>
      <c r="Y494">
        <v>79643.429889883453</v>
      </c>
      <c r="Z494">
        <v>238930289.66965029</v>
      </c>
      <c r="AA494">
        <v>955721158.67860138</v>
      </c>
      <c r="AB494">
        <v>955721.15867860138</v>
      </c>
      <c r="AC494">
        <v>0</v>
      </c>
      <c r="AD494">
        <v>2476.3379312510028</v>
      </c>
      <c r="AE494">
        <v>4457408.2762518059</v>
      </c>
      <c r="AF494">
        <v>3120185.7933762642</v>
      </c>
      <c r="AG494">
        <v>140.4599685749543</v>
      </c>
      <c r="AH494">
        <v>980.85269118920974</v>
      </c>
      <c r="AI494">
        <v>196.17053823784201</v>
      </c>
      <c r="AJ494">
        <v>31060.93765705455</v>
      </c>
      <c r="AK494">
        <v>854.70085470085473</v>
      </c>
      <c r="AL494" t="s">
        <v>93</v>
      </c>
      <c r="AM494">
        <v>76016.083567163761</v>
      </c>
      <c r="AN494">
        <v>888.80298794068426</v>
      </c>
      <c r="AO494">
        <v>33348.991500433127</v>
      </c>
      <c r="AP494">
        <v>108820.5250668598</v>
      </c>
      <c r="AQ494">
        <v>75471.533566426719</v>
      </c>
      <c r="AR494">
        <v>9.9548359341269845E-3</v>
      </c>
      <c r="AS494">
        <v>221.13729607222109</v>
      </c>
      <c r="AT494">
        <v>541.19393830420051</v>
      </c>
      <c r="AU494">
        <v>6.3278028391867984</v>
      </c>
      <c r="AV494">
        <v>237.42701809474599</v>
      </c>
      <c r="AW494">
        <v>774.74405106953611</v>
      </c>
      <c r="AX494">
        <v>537.3170329747901</v>
      </c>
      <c r="AY494">
        <v>1.396629518204388</v>
      </c>
      <c r="AZ494" t="s">
        <v>103</v>
      </c>
      <c r="BA494" t="str">
        <f>VLOOKUP($AZ494,Sheet1!$A$2:$B$58,2)</f>
        <v>2,3-Butanediol</v>
      </c>
      <c r="BB494" t="s">
        <v>153</v>
      </c>
      <c r="BC494">
        <v>90.119200000000006</v>
      </c>
      <c r="BD494">
        <v>5.5</v>
      </c>
      <c r="BE494">
        <v>177</v>
      </c>
      <c r="BF494" t="s">
        <v>206</v>
      </c>
      <c r="BG494">
        <v>3.4184724231906172</v>
      </c>
      <c r="BH494">
        <v>9.0909090909090995E-2</v>
      </c>
      <c r="BI494">
        <v>0.17798665522738699</v>
      </c>
      <c r="BJ494">
        <v>80</v>
      </c>
      <c r="BK494">
        <v>5441.0262533429895</v>
      </c>
      <c r="BL494">
        <v>3773.5766783213339</v>
      </c>
      <c r="BM494">
        <v>6.3900544887014821</v>
      </c>
      <c r="BN494">
        <v>1086.3092630792521</v>
      </c>
      <c r="BO494">
        <v>4354.7169902637388</v>
      </c>
    </row>
    <row r="495" spans="1:67" x14ac:dyDescent="0.25">
      <c r="A495" s="1">
        <v>493</v>
      </c>
      <c r="B495" t="s">
        <v>73</v>
      </c>
      <c r="C495" t="s">
        <v>85</v>
      </c>
      <c r="D495">
        <v>1</v>
      </c>
      <c r="E495">
        <v>1</v>
      </c>
      <c r="F495">
        <v>2</v>
      </c>
      <c r="G495">
        <v>45.016539999999999</v>
      </c>
      <c r="H495">
        <v>2</v>
      </c>
      <c r="I495" t="s">
        <v>89</v>
      </c>
      <c r="J495">
        <v>4</v>
      </c>
      <c r="K495">
        <v>300</v>
      </c>
      <c r="L495">
        <v>70</v>
      </c>
      <c r="N495" t="s">
        <v>82</v>
      </c>
      <c r="O495">
        <v>30</v>
      </c>
      <c r="P495">
        <v>0.5</v>
      </c>
      <c r="Q495">
        <v>3.2500000000000001E-2</v>
      </c>
      <c r="R495">
        <v>77.5</v>
      </c>
      <c r="S495">
        <v>170</v>
      </c>
      <c r="T495">
        <v>20</v>
      </c>
      <c r="U495">
        <v>1812.1301775147931</v>
      </c>
      <c r="V495">
        <v>20</v>
      </c>
      <c r="W495">
        <v>0.95</v>
      </c>
      <c r="X495">
        <v>1</v>
      </c>
      <c r="Y495">
        <v>111035.12602013729</v>
      </c>
      <c r="Z495">
        <v>333105378.06041187</v>
      </c>
      <c r="AA495">
        <v>1332421512.241648</v>
      </c>
      <c r="AB495">
        <v>1332421.512241648</v>
      </c>
      <c r="AC495">
        <v>0</v>
      </c>
      <c r="AD495">
        <v>3452.3939343781021</v>
      </c>
      <c r="AE495">
        <v>6214309.0818805834</v>
      </c>
      <c r="AF495">
        <v>4350016.3573164083</v>
      </c>
      <c r="AG495">
        <v>195.8226853497884</v>
      </c>
      <c r="AH495">
        <v>1367.458713467822</v>
      </c>
      <c r="AI495">
        <v>273.49174269356439</v>
      </c>
      <c r="AJ495">
        <v>43303.699147853556</v>
      </c>
      <c r="AK495">
        <v>854.70085470085473</v>
      </c>
      <c r="AL495" t="s">
        <v>93</v>
      </c>
      <c r="AM495">
        <v>105978.0502937562</v>
      </c>
      <c r="AN495">
        <v>1239.127344333574</v>
      </c>
      <c r="AO495">
        <v>46493.596257905963</v>
      </c>
      <c r="AP495">
        <v>151375.57764064419</v>
      </c>
      <c r="AQ495">
        <v>104881.9813827382</v>
      </c>
      <c r="AR495">
        <v>9.9548359341269863E-3</v>
      </c>
      <c r="AS495">
        <v>221.13729607222109</v>
      </c>
      <c r="AT495">
        <v>541.1939383042004</v>
      </c>
      <c r="AU495">
        <v>6.3278028391867958</v>
      </c>
      <c r="AV495">
        <v>237.42701809474599</v>
      </c>
      <c r="AW495">
        <v>773.02370443061534</v>
      </c>
      <c r="AX495">
        <v>535.59668633586932</v>
      </c>
      <c r="AY495">
        <v>1.396629518204388</v>
      </c>
      <c r="AZ495" t="s">
        <v>104</v>
      </c>
      <c r="BA495" t="str">
        <f>VLOOKUP($AZ495,Sheet1!$A$2:$B$58,2)</f>
        <v>2-Methyl-1-Butanol</v>
      </c>
      <c r="BB495" t="s">
        <v>157</v>
      </c>
      <c r="BC495">
        <v>88.14658</v>
      </c>
      <c r="BD495">
        <v>6</v>
      </c>
      <c r="BE495">
        <v>129</v>
      </c>
      <c r="BF495" t="s">
        <v>206</v>
      </c>
      <c r="BG495">
        <v>4.992819914283678</v>
      </c>
      <c r="BH495">
        <v>6.6666666666666999E-2</v>
      </c>
      <c r="BI495">
        <v>0.12766651603895501</v>
      </c>
      <c r="BJ495">
        <v>80</v>
      </c>
      <c r="BK495">
        <v>7568.7788820322094</v>
      </c>
      <c r="BL495">
        <v>5244.0990691369116</v>
      </c>
      <c r="BM495">
        <v>8.6817672203945442</v>
      </c>
      <c r="BN495">
        <v>1475.9004274670719</v>
      </c>
      <c r="BO495">
        <v>6092.878454565137</v>
      </c>
    </row>
    <row r="496" spans="1:67" x14ac:dyDescent="0.25">
      <c r="A496" s="1">
        <v>494</v>
      </c>
      <c r="B496" t="s">
        <v>73</v>
      </c>
      <c r="C496" t="s">
        <v>85</v>
      </c>
      <c r="D496">
        <v>1</v>
      </c>
      <c r="E496">
        <v>1</v>
      </c>
      <c r="F496">
        <v>2</v>
      </c>
      <c r="G496">
        <v>45.016539999999999</v>
      </c>
      <c r="H496">
        <v>2</v>
      </c>
      <c r="I496" t="s">
        <v>89</v>
      </c>
      <c r="J496">
        <v>4</v>
      </c>
      <c r="K496">
        <v>300</v>
      </c>
      <c r="L496">
        <v>70</v>
      </c>
      <c r="N496" t="s">
        <v>82</v>
      </c>
      <c r="O496">
        <v>30</v>
      </c>
      <c r="P496">
        <v>0.5</v>
      </c>
      <c r="Q496">
        <v>3.2500000000000001E-2</v>
      </c>
      <c r="R496">
        <v>77.5</v>
      </c>
      <c r="S496">
        <v>170</v>
      </c>
      <c r="T496">
        <v>20</v>
      </c>
      <c r="U496">
        <v>1812.1301775147931</v>
      </c>
      <c r="V496">
        <v>20</v>
      </c>
      <c r="W496">
        <v>0.95</v>
      </c>
      <c r="X496">
        <v>1</v>
      </c>
      <c r="Y496">
        <v>116382.97537774019</v>
      </c>
      <c r="Z496">
        <v>349148926.13322049</v>
      </c>
      <c r="AA496">
        <v>1396595704.532882</v>
      </c>
      <c r="AB496">
        <v>1396595.704532882</v>
      </c>
      <c r="AC496">
        <v>0</v>
      </c>
      <c r="AD496">
        <v>3618.6735915093741</v>
      </c>
      <c r="AE496">
        <v>6513612.4647168722</v>
      </c>
      <c r="AF496">
        <v>4559528.7253018105</v>
      </c>
      <c r="AG496">
        <v>205.254207243698</v>
      </c>
      <c r="AH496">
        <v>1433.320422860947</v>
      </c>
      <c r="AI496">
        <v>286.66408457218949</v>
      </c>
      <c r="AJ496">
        <v>45389.360397318662</v>
      </c>
      <c r="AK496">
        <v>854.70085470085473</v>
      </c>
      <c r="AL496" t="s">
        <v>93</v>
      </c>
      <c r="AM496">
        <v>111082.33277172341</v>
      </c>
      <c r="AN496">
        <v>1298.808155351707</v>
      </c>
      <c r="AO496">
        <v>48732.894377272212</v>
      </c>
      <c r="AP496">
        <v>158625.2021790946</v>
      </c>
      <c r="AQ496">
        <v>109892.3078018224</v>
      </c>
      <c r="AR496">
        <v>9.9548359341269828E-3</v>
      </c>
      <c r="AS496">
        <v>221.13729607222109</v>
      </c>
      <c r="AT496">
        <v>541.1939383042004</v>
      </c>
      <c r="AU496">
        <v>6.3278028391867958</v>
      </c>
      <c r="AV496">
        <v>237.4270180947459</v>
      </c>
      <c r="AW496">
        <v>772.82314603548764</v>
      </c>
      <c r="AX496">
        <v>535.39612794074174</v>
      </c>
      <c r="AY496">
        <v>1.396629518204388</v>
      </c>
      <c r="AZ496" t="s">
        <v>106</v>
      </c>
      <c r="BA496" t="str">
        <f>VLOOKUP($AZ496,Sheet1!$A$2:$B$58,2)</f>
        <v>3-Methyl-1-Pentanol</v>
      </c>
      <c r="BB496" t="s">
        <v>159</v>
      </c>
      <c r="BC496">
        <v>102.17296</v>
      </c>
      <c r="BD496">
        <v>6</v>
      </c>
      <c r="BE496">
        <v>153</v>
      </c>
      <c r="BF496" t="s">
        <v>206</v>
      </c>
      <c r="BG496">
        <v>5.2171895669321859</v>
      </c>
      <c r="BH496">
        <v>5.4871794871794999E-2</v>
      </c>
      <c r="BI496">
        <v>0.12180018298147501</v>
      </c>
      <c r="BJ496">
        <v>80</v>
      </c>
      <c r="BK496">
        <v>7931.2601089547306</v>
      </c>
      <c r="BL496">
        <v>5494.6153900911186</v>
      </c>
      <c r="BM496">
        <v>9.1160146616772852</v>
      </c>
      <c r="BN496">
        <v>1549.722492485138</v>
      </c>
      <c r="BO496">
        <v>6381.5376164695917</v>
      </c>
    </row>
    <row r="497" spans="1:67" x14ac:dyDescent="0.25">
      <c r="A497" s="1">
        <v>495</v>
      </c>
      <c r="B497" t="s">
        <v>73</v>
      </c>
      <c r="C497" t="s">
        <v>85</v>
      </c>
      <c r="D497">
        <v>1</v>
      </c>
      <c r="E497">
        <v>1</v>
      </c>
      <c r="F497">
        <v>2</v>
      </c>
      <c r="G497">
        <v>45.016539999999999</v>
      </c>
      <c r="H497">
        <v>2</v>
      </c>
      <c r="I497" t="s">
        <v>89</v>
      </c>
      <c r="J497">
        <v>4</v>
      </c>
      <c r="K497">
        <v>300</v>
      </c>
      <c r="L497">
        <v>70</v>
      </c>
      <c r="N497" t="s">
        <v>82</v>
      </c>
      <c r="O497">
        <v>30</v>
      </c>
      <c r="P497">
        <v>0.5</v>
      </c>
      <c r="Q497">
        <v>3.2500000000000001E-2</v>
      </c>
      <c r="R497">
        <v>77.5</v>
      </c>
      <c r="S497">
        <v>170</v>
      </c>
      <c r="T497">
        <v>20</v>
      </c>
      <c r="U497">
        <v>1812.1301775147931</v>
      </c>
      <c r="V497">
        <v>20</v>
      </c>
      <c r="W497">
        <v>0.95</v>
      </c>
      <c r="X497">
        <v>1</v>
      </c>
      <c r="Y497">
        <v>267731.33029385528</v>
      </c>
      <c r="Z497">
        <v>803193990.88156593</v>
      </c>
      <c r="AA497">
        <v>3212775963.5262642</v>
      </c>
      <c r="AB497">
        <v>3212775.9635262638</v>
      </c>
      <c r="AC497">
        <v>0</v>
      </c>
      <c r="AD497">
        <v>8324.5190407750142</v>
      </c>
      <c r="AE497">
        <v>14984134.27339503</v>
      </c>
      <c r="AF497">
        <v>10488893.991376519</v>
      </c>
      <c r="AG497">
        <v>472.17371591856062</v>
      </c>
      <c r="AH497">
        <v>3297.2587468605748</v>
      </c>
      <c r="AI497">
        <v>659.45174937211505</v>
      </c>
      <c r="AJ497">
        <v>104415.21881460361</v>
      </c>
      <c r="AK497">
        <v>854.70085470085473</v>
      </c>
      <c r="AL497" t="s">
        <v>93</v>
      </c>
      <c r="AM497">
        <v>255537.5528816946</v>
      </c>
      <c r="AN497">
        <v>2987.8221801788482</v>
      </c>
      <c r="AO497">
        <v>112106.79739325961</v>
      </c>
      <c r="AP497">
        <v>363795.29473117791</v>
      </c>
      <c r="AQ497">
        <v>251688.49733791829</v>
      </c>
      <c r="AR497">
        <v>9.9548359341269845E-3</v>
      </c>
      <c r="AS497">
        <v>221.13729607222109</v>
      </c>
      <c r="AT497">
        <v>541.1939383042004</v>
      </c>
      <c r="AU497">
        <v>6.3278028391867966</v>
      </c>
      <c r="AV497">
        <v>237.42701809474599</v>
      </c>
      <c r="AW497">
        <v>770.46917790299949</v>
      </c>
      <c r="AX497">
        <v>533.04215980825347</v>
      </c>
      <c r="AY497">
        <v>1.396629518204388</v>
      </c>
      <c r="AZ497" t="s">
        <v>107</v>
      </c>
      <c r="BA497" t="str">
        <f>VLOOKUP($AZ497,Sheet1!$A$2:$B$58,2)</f>
        <v>4-Hydroxystyrene</v>
      </c>
      <c r="BB497" t="s">
        <v>160</v>
      </c>
      <c r="BC497">
        <v>120.14731999999999</v>
      </c>
      <c r="BD497">
        <v>4.75</v>
      </c>
      <c r="BE497">
        <v>229</v>
      </c>
      <c r="BF497" t="s">
        <v>206</v>
      </c>
      <c r="BG497">
        <v>9.5785818158860021</v>
      </c>
      <c r="BH497">
        <v>2.0284360189574E-2</v>
      </c>
      <c r="BI497">
        <v>5.2946615106191003E-2</v>
      </c>
      <c r="BJ497">
        <v>80</v>
      </c>
      <c r="BK497">
        <v>18189.764736558889</v>
      </c>
      <c r="BL497">
        <v>12584.42486689591</v>
      </c>
      <c r="BM497">
        <v>23.394005652719748</v>
      </c>
      <c r="BN497">
        <v>3976.9809609623571</v>
      </c>
      <c r="BO497">
        <v>14212.78377559653</v>
      </c>
    </row>
    <row r="498" spans="1:67" x14ac:dyDescent="0.25">
      <c r="A498" s="1">
        <v>496</v>
      </c>
      <c r="B498" t="s">
        <v>73</v>
      </c>
      <c r="C498" t="s">
        <v>85</v>
      </c>
      <c r="D498">
        <v>1</v>
      </c>
      <c r="E498">
        <v>1</v>
      </c>
      <c r="F498">
        <v>2</v>
      </c>
      <c r="G498">
        <v>45.016539999999999</v>
      </c>
      <c r="H498">
        <v>2</v>
      </c>
      <c r="I498" t="s">
        <v>89</v>
      </c>
      <c r="J498">
        <v>4</v>
      </c>
      <c r="K498">
        <v>300</v>
      </c>
      <c r="L498">
        <v>70</v>
      </c>
      <c r="N498" t="s">
        <v>82</v>
      </c>
      <c r="O498">
        <v>30</v>
      </c>
      <c r="P498">
        <v>0.5</v>
      </c>
      <c r="Q498">
        <v>3.2500000000000001E-2</v>
      </c>
      <c r="R498">
        <v>77.5</v>
      </c>
      <c r="S498">
        <v>170</v>
      </c>
      <c r="T498">
        <v>20</v>
      </c>
      <c r="U498">
        <v>1812.1301775147931</v>
      </c>
      <c r="V498">
        <v>20</v>
      </c>
      <c r="W498">
        <v>0.95</v>
      </c>
      <c r="X498">
        <v>1</v>
      </c>
      <c r="Y498">
        <v>89877.686565436525</v>
      </c>
      <c r="Z498">
        <v>269633059.69630963</v>
      </c>
      <c r="AA498">
        <v>1078532238.785238</v>
      </c>
      <c r="AB498">
        <v>1078532.238785238</v>
      </c>
      <c r="AC498">
        <v>0</v>
      </c>
      <c r="AD498">
        <v>2794.549716439954</v>
      </c>
      <c r="AE498">
        <v>5030189.489591918</v>
      </c>
      <c r="AF498">
        <v>3521132.642714343</v>
      </c>
      <c r="AG498">
        <v>158.50920845605589</v>
      </c>
      <c r="AH498">
        <v>1106.893197184701</v>
      </c>
      <c r="AI498">
        <v>221.37863943694029</v>
      </c>
      <c r="AJ498">
        <v>35052.297760520247</v>
      </c>
      <c r="AK498">
        <v>854.70085470085473</v>
      </c>
      <c r="AL498" t="s">
        <v>93</v>
      </c>
      <c r="AM498">
        <v>85784.222781814358</v>
      </c>
      <c r="AN498">
        <v>1003.015019305482</v>
      </c>
      <c r="AO498">
        <v>37634.368704279863</v>
      </c>
      <c r="AP498">
        <v>122694.23641634099</v>
      </c>
      <c r="AQ498">
        <v>85059.867712061096</v>
      </c>
      <c r="AR498">
        <v>9.9548359341269828E-3</v>
      </c>
      <c r="AS498">
        <v>221.13729607222109</v>
      </c>
      <c r="AT498">
        <v>541.1939383042004</v>
      </c>
      <c r="AU498">
        <v>6.3278028391867958</v>
      </c>
      <c r="AV498">
        <v>237.42701809474599</v>
      </c>
      <c r="AW498">
        <v>774.051158361288</v>
      </c>
      <c r="AX498">
        <v>536.62414026654199</v>
      </c>
      <c r="AY498">
        <v>1.396629518204388</v>
      </c>
      <c r="AZ498" t="s">
        <v>109</v>
      </c>
      <c r="BA498" t="str">
        <f>VLOOKUP($AZ498,Sheet1!$A$2:$B$58,2)</f>
        <v>Acetone</v>
      </c>
      <c r="BB498" t="s">
        <v>162</v>
      </c>
      <c r="BC498">
        <v>58.078139999999998</v>
      </c>
      <c r="BD498">
        <v>5.333333333333333</v>
      </c>
      <c r="BE498">
        <v>56</v>
      </c>
      <c r="BF498" t="s">
        <v>206</v>
      </c>
      <c r="BG498">
        <v>3.7888610069124109</v>
      </c>
      <c r="BH498">
        <v>0.125</v>
      </c>
      <c r="BI498">
        <v>0.15771954351113199</v>
      </c>
      <c r="BJ498">
        <v>80</v>
      </c>
      <c r="BK498">
        <v>6134.7118208170468</v>
      </c>
      <c r="BL498">
        <v>4252.9933856030539</v>
      </c>
      <c r="BM498">
        <v>7.2800709649346036</v>
      </c>
      <c r="BN498">
        <v>1237.6120640388831</v>
      </c>
      <c r="BO498">
        <v>4897.0997567781642</v>
      </c>
    </row>
    <row r="499" spans="1:67" x14ac:dyDescent="0.25">
      <c r="A499" s="1">
        <v>497</v>
      </c>
      <c r="B499" t="s">
        <v>73</v>
      </c>
      <c r="C499" t="s">
        <v>85</v>
      </c>
      <c r="D499">
        <v>1</v>
      </c>
      <c r="E499">
        <v>1</v>
      </c>
      <c r="F499">
        <v>2</v>
      </c>
      <c r="G499">
        <v>45.016539999999999</v>
      </c>
      <c r="H499">
        <v>2</v>
      </c>
      <c r="I499" t="s">
        <v>89</v>
      </c>
      <c r="J499">
        <v>4</v>
      </c>
      <c r="K499">
        <v>300</v>
      </c>
      <c r="L499">
        <v>70</v>
      </c>
      <c r="N499" t="s">
        <v>82</v>
      </c>
      <c r="O499">
        <v>30</v>
      </c>
      <c r="P499">
        <v>0.5</v>
      </c>
      <c r="Q499">
        <v>3.2500000000000001E-2</v>
      </c>
      <c r="R499">
        <v>77.5</v>
      </c>
      <c r="S499">
        <v>170</v>
      </c>
      <c r="T499">
        <v>20</v>
      </c>
      <c r="U499">
        <v>1812.1301775147931</v>
      </c>
      <c r="V499">
        <v>20</v>
      </c>
      <c r="W499">
        <v>0.95</v>
      </c>
      <c r="X499">
        <v>1</v>
      </c>
      <c r="Y499">
        <v>184519.84058564439</v>
      </c>
      <c r="Z499">
        <v>553559521.75693321</v>
      </c>
      <c r="AA499">
        <v>2214238087.0277328</v>
      </c>
      <c r="AB499">
        <v>2214238.0870277332</v>
      </c>
      <c r="AC499">
        <v>0</v>
      </c>
      <c r="AD499">
        <v>5737.2401080966083</v>
      </c>
      <c r="AE499">
        <v>10327032.19457389</v>
      </c>
      <c r="AF499">
        <v>7228922.5362017257</v>
      </c>
      <c r="AG499">
        <v>325.42108050782639</v>
      </c>
      <c r="AH499">
        <v>2272.4634344159849</v>
      </c>
      <c r="AI499">
        <v>454.49268688319711</v>
      </c>
      <c r="AJ499">
        <v>71962.73782840131</v>
      </c>
      <c r="AK499">
        <v>854.70085470085473</v>
      </c>
      <c r="AL499" t="s">
        <v>93</v>
      </c>
      <c r="AM499">
        <v>176115.91616723881</v>
      </c>
      <c r="AN499">
        <v>2059.2004371686589</v>
      </c>
      <c r="AO499">
        <v>77263.756770143504</v>
      </c>
      <c r="AP499">
        <v>250992.55528750969</v>
      </c>
      <c r="AQ499">
        <v>173728.7985173662</v>
      </c>
      <c r="AR499">
        <v>9.9548359341269845E-3</v>
      </c>
      <c r="AS499">
        <v>221.13729607222109</v>
      </c>
      <c r="AT499">
        <v>541.1939383042004</v>
      </c>
      <c r="AU499">
        <v>6.3278028391867966</v>
      </c>
      <c r="AV499">
        <v>237.42701809474599</v>
      </c>
      <c r="AW499">
        <v>771.2854830911092</v>
      </c>
      <c r="AX499">
        <v>533.85846499636318</v>
      </c>
      <c r="AY499">
        <v>1.396629518204388</v>
      </c>
      <c r="AZ499" t="s">
        <v>110</v>
      </c>
      <c r="BA499" t="str">
        <f>VLOOKUP($AZ499,Sheet1!$A$2:$B$58,2)</f>
        <v>Acrylate (PW1)</v>
      </c>
      <c r="BB499" t="s">
        <v>163</v>
      </c>
      <c r="BC499">
        <v>71.053619999999995</v>
      </c>
      <c r="BD499">
        <v>3.666666666666667</v>
      </c>
      <c r="BE499">
        <v>80</v>
      </c>
      <c r="BF499" t="s">
        <v>206</v>
      </c>
      <c r="BG499">
        <v>6.222857358373493</v>
      </c>
      <c r="BH499">
        <v>4.9767441860465202E-2</v>
      </c>
      <c r="BI499">
        <v>7.6823541858403802E-2</v>
      </c>
      <c r="BJ499">
        <v>80</v>
      </c>
      <c r="BK499">
        <v>12549.62776437548</v>
      </c>
      <c r="BL499">
        <v>8686.4399258683079</v>
      </c>
      <c r="BM499">
        <v>16.501776985786361</v>
      </c>
      <c r="BN499">
        <v>2805.3020875836819</v>
      </c>
      <c r="BO499">
        <v>9744.3256767918028</v>
      </c>
    </row>
    <row r="500" spans="1:67" x14ac:dyDescent="0.25">
      <c r="A500" s="1">
        <v>498</v>
      </c>
      <c r="B500" t="s">
        <v>73</v>
      </c>
      <c r="C500" t="s">
        <v>85</v>
      </c>
      <c r="D500">
        <v>1</v>
      </c>
      <c r="E500">
        <v>1</v>
      </c>
      <c r="F500">
        <v>2</v>
      </c>
      <c r="G500">
        <v>45.016539999999999</v>
      </c>
      <c r="H500">
        <v>2</v>
      </c>
      <c r="I500" t="s">
        <v>89</v>
      </c>
      <c r="J500">
        <v>4</v>
      </c>
      <c r="K500">
        <v>300</v>
      </c>
      <c r="L500">
        <v>70</v>
      </c>
      <c r="N500" t="s">
        <v>82</v>
      </c>
      <c r="O500">
        <v>30</v>
      </c>
      <c r="P500">
        <v>0.5</v>
      </c>
      <c r="Q500">
        <v>3.2500000000000001E-2</v>
      </c>
      <c r="R500">
        <v>77.5</v>
      </c>
      <c r="S500">
        <v>170</v>
      </c>
      <c r="T500">
        <v>20</v>
      </c>
      <c r="U500">
        <v>1812.1301775147931</v>
      </c>
      <c r="V500">
        <v>20</v>
      </c>
      <c r="W500">
        <v>0.95</v>
      </c>
      <c r="X500">
        <v>1</v>
      </c>
      <c r="Y500">
        <v>72949.704417580506</v>
      </c>
      <c r="Z500">
        <v>218849113.25274149</v>
      </c>
      <c r="AA500">
        <v>875396453.01096606</v>
      </c>
      <c r="AB500">
        <v>875396.45301096607</v>
      </c>
      <c r="AC500">
        <v>0</v>
      </c>
      <c r="AD500">
        <v>2268.2112055265711</v>
      </c>
      <c r="AE500">
        <v>4082780.1699478282</v>
      </c>
      <c r="AF500">
        <v>2857946.1189634791</v>
      </c>
      <c r="AG500">
        <v>128.65484578216419</v>
      </c>
      <c r="AH500">
        <v>898.4157763970195</v>
      </c>
      <c r="AI500">
        <v>179.68315527940391</v>
      </c>
      <c r="AJ500">
        <v>28450.384722856401</v>
      </c>
      <c r="AK500">
        <v>854.70085470085473</v>
      </c>
      <c r="AL500" t="s">
        <v>93</v>
      </c>
      <c r="AM500">
        <v>69627.222670769013</v>
      </c>
      <c r="AN500">
        <v>814.1024984155182</v>
      </c>
      <c r="AO500">
        <v>30546.13639749866</v>
      </c>
      <c r="AP500">
        <v>99746.410746741793</v>
      </c>
      <c r="AQ500">
        <v>69200.274349243133</v>
      </c>
      <c r="AR500">
        <v>9.9548359341269845E-3</v>
      </c>
      <c r="AS500">
        <v>221.13729607222109</v>
      </c>
      <c r="AT500">
        <v>541.19393830420051</v>
      </c>
      <c r="AU500">
        <v>6.3278028391867966</v>
      </c>
      <c r="AV500">
        <v>237.42701809474599</v>
      </c>
      <c r="AW500">
        <v>775.30240031246399</v>
      </c>
      <c r="AX500">
        <v>537.87538221771797</v>
      </c>
      <c r="AY500">
        <v>1.396629518204388</v>
      </c>
      <c r="AZ500" t="s">
        <v>111</v>
      </c>
      <c r="BA500" t="str">
        <f>VLOOKUP($AZ500,Sheet1!$A$2:$B$58,2)</f>
        <v>Acrylate (PW2)</v>
      </c>
      <c r="BB500" t="s">
        <v>163</v>
      </c>
      <c r="BC500">
        <v>71.053619999999995</v>
      </c>
      <c r="BD500">
        <v>3.666666666666667</v>
      </c>
      <c r="BE500">
        <v>80</v>
      </c>
      <c r="BF500" t="s">
        <v>206</v>
      </c>
      <c r="BG500">
        <v>2.4601994207523048</v>
      </c>
      <c r="BH500">
        <v>0.125882352941177</v>
      </c>
      <c r="BI500">
        <v>0.19431837058302101</v>
      </c>
      <c r="BJ500">
        <v>80</v>
      </c>
      <c r="BK500">
        <v>4987.3205373370893</v>
      </c>
      <c r="BL500">
        <v>3460.0137174621559</v>
      </c>
      <c r="BM500">
        <v>6.5239583432178883</v>
      </c>
      <c r="BN500">
        <v>1109.072918347041</v>
      </c>
      <c r="BO500">
        <v>3878.2476189900481</v>
      </c>
    </row>
    <row r="501" spans="1:67" x14ac:dyDescent="0.25">
      <c r="A501" s="1">
        <v>499</v>
      </c>
      <c r="B501" t="s">
        <v>73</v>
      </c>
      <c r="C501" t="s">
        <v>85</v>
      </c>
      <c r="D501">
        <v>1</v>
      </c>
      <c r="E501">
        <v>1</v>
      </c>
      <c r="F501">
        <v>2</v>
      </c>
      <c r="G501">
        <v>45.016539999999999</v>
      </c>
      <c r="H501">
        <v>2</v>
      </c>
      <c r="I501" t="s">
        <v>89</v>
      </c>
      <c r="J501">
        <v>4</v>
      </c>
      <c r="K501">
        <v>300</v>
      </c>
      <c r="L501">
        <v>70</v>
      </c>
      <c r="N501" t="s">
        <v>82</v>
      </c>
      <c r="O501">
        <v>30</v>
      </c>
      <c r="P501">
        <v>0.5</v>
      </c>
      <c r="Q501">
        <v>3.2500000000000001E-2</v>
      </c>
      <c r="R501">
        <v>77.5</v>
      </c>
      <c r="S501">
        <v>170</v>
      </c>
      <c r="T501">
        <v>20</v>
      </c>
      <c r="U501">
        <v>1812.1301775147931</v>
      </c>
      <c r="V501">
        <v>20</v>
      </c>
      <c r="W501">
        <v>0.95</v>
      </c>
      <c r="X501">
        <v>1</v>
      </c>
      <c r="Y501">
        <v>270633.62445686432</v>
      </c>
      <c r="Z501">
        <v>811900873.37059295</v>
      </c>
      <c r="AA501">
        <v>3247603493.4823718</v>
      </c>
      <c r="AB501">
        <v>3247603.4934823718</v>
      </c>
      <c r="AC501">
        <v>0</v>
      </c>
      <c r="AD501">
        <v>8414.7595180302578</v>
      </c>
      <c r="AE501">
        <v>15146567.13245446</v>
      </c>
      <c r="AF501">
        <v>10602596.992718119</v>
      </c>
      <c r="AG501">
        <v>477.29223162657519</v>
      </c>
      <c r="AH501">
        <v>3333.0020974966051</v>
      </c>
      <c r="AI501">
        <v>666.60041949932099</v>
      </c>
      <c r="AJ501">
        <v>105547.1135381771</v>
      </c>
      <c r="AK501">
        <v>854.70085470085473</v>
      </c>
      <c r="AL501" t="s">
        <v>93</v>
      </c>
      <c r="AM501">
        <v>258307.6625559869</v>
      </c>
      <c r="AN501">
        <v>3020.2111384084451</v>
      </c>
      <c r="AO501">
        <v>113322.0713148846</v>
      </c>
      <c r="AP501">
        <v>367729.68808727327</v>
      </c>
      <c r="AQ501">
        <v>254407.61677238869</v>
      </c>
      <c r="AR501">
        <v>9.9548359341269845E-3</v>
      </c>
      <c r="AS501">
        <v>221.13729607222109</v>
      </c>
      <c r="AT501">
        <v>541.1939383042004</v>
      </c>
      <c r="AU501">
        <v>6.3278028391867966</v>
      </c>
      <c r="AV501">
        <v>237.42701809474599</v>
      </c>
      <c r="AW501">
        <v>770.44976582601976</v>
      </c>
      <c r="AX501">
        <v>533.02274773127374</v>
      </c>
      <c r="AY501">
        <v>1.396629518204388</v>
      </c>
      <c r="AZ501" t="s">
        <v>113</v>
      </c>
      <c r="BA501" t="str">
        <f>VLOOKUP($AZ501,Sheet1!$A$2:$B$58,2)</f>
        <v>Benzoate (PW1)</v>
      </c>
      <c r="BB501" t="s">
        <v>165</v>
      </c>
      <c r="BC501">
        <v>121.1121</v>
      </c>
      <c r="BD501">
        <v>4.1428571428571432</v>
      </c>
      <c r="BE501">
        <v>249.2</v>
      </c>
      <c r="BF501" t="s">
        <v>206</v>
      </c>
      <c r="BG501">
        <v>9.3087012374501281</v>
      </c>
      <c r="BH501">
        <v>1.9906976744186001E-2</v>
      </c>
      <c r="BI501">
        <v>5.2378811854536002E-2</v>
      </c>
      <c r="BJ501">
        <v>80</v>
      </c>
      <c r="BK501">
        <v>18386.484404363659</v>
      </c>
      <c r="BL501">
        <v>12720.380838619431</v>
      </c>
      <c r="BM501">
        <v>24.02131973751592</v>
      </c>
      <c r="BN501">
        <v>4083.6243553777058</v>
      </c>
      <c r="BO501">
        <v>14302.86004898596</v>
      </c>
    </row>
    <row r="502" spans="1:67" x14ac:dyDescent="0.25">
      <c r="A502" s="1">
        <v>500</v>
      </c>
      <c r="B502" t="s">
        <v>73</v>
      </c>
      <c r="C502" t="s">
        <v>85</v>
      </c>
      <c r="D502">
        <v>1</v>
      </c>
      <c r="E502">
        <v>1</v>
      </c>
      <c r="F502">
        <v>2</v>
      </c>
      <c r="G502">
        <v>45.016539999999999</v>
      </c>
      <c r="H502">
        <v>2</v>
      </c>
      <c r="I502" t="s">
        <v>89</v>
      </c>
      <c r="J502">
        <v>4</v>
      </c>
      <c r="K502">
        <v>300</v>
      </c>
      <c r="L502">
        <v>70</v>
      </c>
      <c r="N502" t="s">
        <v>82</v>
      </c>
      <c r="O502">
        <v>30</v>
      </c>
      <c r="P502">
        <v>0.5</v>
      </c>
      <c r="Q502">
        <v>3.2500000000000001E-2</v>
      </c>
      <c r="R502">
        <v>77.5</v>
      </c>
      <c r="S502">
        <v>170</v>
      </c>
      <c r="T502">
        <v>20</v>
      </c>
      <c r="U502">
        <v>1812.1301775147931</v>
      </c>
      <c r="V502">
        <v>20</v>
      </c>
      <c r="W502">
        <v>0.95</v>
      </c>
      <c r="X502">
        <v>1</v>
      </c>
      <c r="Y502">
        <v>290773.80116062972</v>
      </c>
      <c r="Z502">
        <v>872321403.48188889</v>
      </c>
      <c r="AA502">
        <v>3489285613.927556</v>
      </c>
      <c r="AB502">
        <v>3489285.6139275562</v>
      </c>
      <c r="AC502">
        <v>0</v>
      </c>
      <c r="AD502">
        <v>9040.9741798371197</v>
      </c>
      <c r="AE502">
        <v>16273753.523706811</v>
      </c>
      <c r="AF502">
        <v>11391627.466594771</v>
      </c>
      <c r="AG502">
        <v>512.81165351506206</v>
      </c>
      <c r="AH502">
        <v>3581.0394628916838</v>
      </c>
      <c r="AI502">
        <v>716.20789257833678</v>
      </c>
      <c r="AJ502">
        <v>113401.7824526456</v>
      </c>
      <c r="AK502">
        <v>854.70085470085473</v>
      </c>
      <c r="AL502" t="s">
        <v>93</v>
      </c>
      <c r="AM502">
        <v>277530.55837410549</v>
      </c>
      <c r="AN502">
        <v>3244.9710370806852</v>
      </c>
      <c r="AO502">
        <v>121755.34173831721</v>
      </c>
      <c r="AP502">
        <v>395032.01271853258</v>
      </c>
      <c r="AQ502">
        <v>273276.67098021542</v>
      </c>
      <c r="AR502">
        <v>9.9548359341269863E-3</v>
      </c>
      <c r="AS502">
        <v>221.13729607222109</v>
      </c>
      <c r="AT502">
        <v>541.1939383042004</v>
      </c>
      <c r="AU502">
        <v>6.3278028391867958</v>
      </c>
      <c r="AV502">
        <v>237.42701809474599</v>
      </c>
      <c r="AW502">
        <v>770.32573267551527</v>
      </c>
      <c r="AX502">
        <v>532.89871458076925</v>
      </c>
      <c r="AY502">
        <v>1.396629518204388</v>
      </c>
      <c r="AZ502" t="s">
        <v>114</v>
      </c>
      <c r="BA502" t="str">
        <f>VLOOKUP($AZ502,Sheet1!$A$2:$B$58,2)</f>
        <v>Benzoate (PW2)</v>
      </c>
      <c r="BB502" t="s">
        <v>165</v>
      </c>
      <c r="BC502">
        <v>121.1121</v>
      </c>
      <c r="BD502">
        <v>4.1428571428571432</v>
      </c>
      <c r="BE502">
        <v>249.2</v>
      </c>
      <c r="BF502" t="s">
        <v>206</v>
      </c>
      <c r="BG502">
        <v>9.9879205907847446</v>
      </c>
      <c r="BH502">
        <v>1.8528138528139001E-2</v>
      </c>
      <c r="BI502">
        <v>4.8750842202273999E-2</v>
      </c>
      <c r="BJ502">
        <v>80</v>
      </c>
      <c r="BK502">
        <v>19751.600635926628</v>
      </c>
      <c r="BL502">
        <v>13663.833549010769</v>
      </c>
      <c r="BM502">
        <v>25.822474038132089</v>
      </c>
      <c r="BN502">
        <v>4389.8205864824558</v>
      </c>
      <c r="BO502">
        <v>15361.78004944418</v>
      </c>
    </row>
    <row r="503" spans="1:67" x14ac:dyDescent="0.25">
      <c r="A503" s="1">
        <v>501</v>
      </c>
      <c r="B503" t="s">
        <v>73</v>
      </c>
      <c r="C503" t="s">
        <v>85</v>
      </c>
      <c r="D503">
        <v>1</v>
      </c>
      <c r="E503">
        <v>1</v>
      </c>
      <c r="F503">
        <v>2</v>
      </c>
      <c r="G503">
        <v>45.016539999999999</v>
      </c>
      <c r="H503">
        <v>2</v>
      </c>
      <c r="I503" t="s">
        <v>89</v>
      </c>
      <c r="J503">
        <v>4</v>
      </c>
      <c r="K503">
        <v>300</v>
      </c>
      <c r="L503">
        <v>70</v>
      </c>
      <c r="N503" t="s">
        <v>82</v>
      </c>
      <c r="O503">
        <v>30</v>
      </c>
      <c r="P503">
        <v>0.5</v>
      </c>
      <c r="Q503">
        <v>3.2500000000000001E-2</v>
      </c>
      <c r="R503">
        <v>77.5</v>
      </c>
      <c r="S503">
        <v>170</v>
      </c>
      <c r="T503">
        <v>20</v>
      </c>
      <c r="U503">
        <v>1812.1301775147931</v>
      </c>
      <c r="V503">
        <v>20</v>
      </c>
      <c r="W503">
        <v>0.95</v>
      </c>
      <c r="X503">
        <v>1</v>
      </c>
      <c r="Y503">
        <v>191478.10301188679</v>
      </c>
      <c r="Z503">
        <v>574434309.03566027</v>
      </c>
      <c r="AA503">
        <v>2297737236.1426411</v>
      </c>
      <c r="AB503">
        <v>2297737.2361426409</v>
      </c>
      <c r="AC503">
        <v>66773.504273504266</v>
      </c>
      <c r="AD503">
        <v>5953.5920307288516</v>
      </c>
      <c r="AE503">
        <v>10716465.655311931</v>
      </c>
      <c r="AF503">
        <v>7501525.958718352</v>
      </c>
      <c r="AG503">
        <v>337.69274338168299</v>
      </c>
      <c r="AH503">
        <v>2358.1582674513902</v>
      </c>
      <c r="AI503">
        <v>471.6316534902781</v>
      </c>
      <c r="AJ503">
        <v>74676.460174635838</v>
      </c>
      <c r="AK503">
        <v>2170.1388888888891</v>
      </c>
      <c r="AL503" t="s">
        <v>95</v>
      </c>
      <c r="AM503">
        <v>182757.26572748271</v>
      </c>
      <c r="AN503">
        <v>2136.8531003433918</v>
      </c>
      <c r="AO503">
        <v>80177.381093347271</v>
      </c>
      <c r="AP503">
        <v>261740.71789135091</v>
      </c>
      <c r="AQ503">
        <v>181563.33679800361</v>
      </c>
      <c r="AR503">
        <v>9.9548359341269863E-3</v>
      </c>
      <c r="AS503">
        <v>221.13729607222109</v>
      </c>
      <c r="AT503">
        <v>541.19393830420029</v>
      </c>
      <c r="AU503">
        <v>6.3278028391867966</v>
      </c>
      <c r="AV503">
        <v>237.42701809474599</v>
      </c>
      <c r="AW503">
        <v>775.08540832194888</v>
      </c>
      <c r="AX503">
        <v>537.65839022720286</v>
      </c>
      <c r="AY503">
        <v>1.396629518204388</v>
      </c>
      <c r="AZ503" t="s">
        <v>117</v>
      </c>
      <c r="BA503" t="str">
        <f>VLOOKUP($AZ503,Sheet1!$A$2:$B$58,2)</f>
        <v>Butane</v>
      </c>
      <c r="BB503" t="s">
        <v>168</v>
      </c>
      <c r="BC503">
        <v>58.121200000000002</v>
      </c>
      <c r="BD503">
        <v>6.5</v>
      </c>
      <c r="BE503">
        <v>-1</v>
      </c>
      <c r="BF503" t="s">
        <v>206</v>
      </c>
      <c r="BG503">
        <v>8.3505489431333864</v>
      </c>
      <c r="BH503">
        <v>5.8630136986301998E-2</v>
      </c>
      <c r="BI503">
        <v>7.4031795145042004E-2</v>
      </c>
      <c r="BJ503">
        <v>80</v>
      </c>
      <c r="BK503">
        <v>13087.035894567551</v>
      </c>
      <c r="BL503">
        <v>9078.166839900181</v>
      </c>
      <c r="BM503">
        <v>15.231033731380521</v>
      </c>
      <c r="BN503">
        <v>2589.275734334688</v>
      </c>
      <c r="BO503">
        <v>10497.76016023286</v>
      </c>
    </row>
    <row r="504" spans="1:67" x14ac:dyDescent="0.25">
      <c r="A504" s="1">
        <v>502</v>
      </c>
      <c r="B504" t="s">
        <v>73</v>
      </c>
      <c r="C504" t="s">
        <v>85</v>
      </c>
      <c r="D504">
        <v>1</v>
      </c>
      <c r="E504">
        <v>1</v>
      </c>
      <c r="F504">
        <v>2</v>
      </c>
      <c r="G504">
        <v>45.016539999999999</v>
      </c>
      <c r="H504">
        <v>2</v>
      </c>
      <c r="I504" t="s">
        <v>89</v>
      </c>
      <c r="J504">
        <v>4</v>
      </c>
      <c r="K504">
        <v>300</v>
      </c>
      <c r="L504">
        <v>70</v>
      </c>
      <c r="N504" t="s">
        <v>82</v>
      </c>
      <c r="O504">
        <v>30</v>
      </c>
      <c r="P504">
        <v>0.5</v>
      </c>
      <c r="Q504">
        <v>3.2500000000000001E-2</v>
      </c>
      <c r="R504">
        <v>77.5</v>
      </c>
      <c r="S504">
        <v>170</v>
      </c>
      <c r="T504">
        <v>20</v>
      </c>
      <c r="U504">
        <v>1812.1301775147931</v>
      </c>
      <c r="V504">
        <v>20</v>
      </c>
      <c r="W504">
        <v>0.95</v>
      </c>
      <c r="X504">
        <v>1</v>
      </c>
      <c r="Y504">
        <v>105637.7788353959</v>
      </c>
      <c r="Z504">
        <v>316913336.50618762</v>
      </c>
      <c r="AA504">
        <v>1267653346.02475</v>
      </c>
      <c r="AB504">
        <v>1267653.34602475</v>
      </c>
      <c r="AC504">
        <v>0</v>
      </c>
      <c r="AD504">
        <v>3284.5752507756301</v>
      </c>
      <c r="AE504">
        <v>5912235.4513961338</v>
      </c>
      <c r="AF504">
        <v>4138564.8159772931</v>
      </c>
      <c r="AG504">
        <v>186.30386858103449</v>
      </c>
      <c r="AH504">
        <v>1300.9874110797191</v>
      </c>
      <c r="AI504">
        <v>260.19748221594392</v>
      </c>
      <c r="AJ504">
        <v>41198.733745804391</v>
      </c>
      <c r="AK504">
        <v>854.70085470085473</v>
      </c>
      <c r="AL504" t="s">
        <v>93</v>
      </c>
      <c r="AM504">
        <v>100826.5243586782</v>
      </c>
      <c r="AN504">
        <v>1178.894148558554</v>
      </c>
      <c r="AO504">
        <v>44233.57197671046</v>
      </c>
      <c r="AP504">
        <v>144058.853107742</v>
      </c>
      <c r="AQ504">
        <v>99825.281131031574</v>
      </c>
      <c r="AR504">
        <v>9.9548359341269845E-3</v>
      </c>
      <c r="AS504">
        <v>221.13729607222109</v>
      </c>
      <c r="AT504">
        <v>541.19393830420051</v>
      </c>
      <c r="AU504">
        <v>6.3278028391867966</v>
      </c>
      <c r="AV504">
        <v>237.4270180947461</v>
      </c>
      <c r="AW504">
        <v>773.24670821358939</v>
      </c>
      <c r="AX504">
        <v>535.81969011884325</v>
      </c>
      <c r="AY504">
        <v>1.396629518204388</v>
      </c>
      <c r="AZ504" t="s">
        <v>118</v>
      </c>
      <c r="BA504" t="str">
        <f>VLOOKUP($AZ504,Sheet1!$A$2:$B$58,2)</f>
        <v>Butanol (PW1)</v>
      </c>
      <c r="BB504" t="s">
        <v>169</v>
      </c>
      <c r="BC504">
        <v>74.120199999999997</v>
      </c>
      <c r="BD504">
        <v>6</v>
      </c>
      <c r="BE504">
        <v>117.7</v>
      </c>
      <c r="BF504" t="s">
        <v>206</v>
      </c>
      <c r="BG504">
        <v>4.7501220989689763</v>
      </c>
      <c r="BH504">
        <v>8.3333333333332996E-2</v>
      </c>
      <c r="BI504">
        <v>0.134189376690941</v>
      </c>
      <c r="BJ504">
        <v>80</v>
      </c>
      <c r="BK504">
        <v>7202.9426553871026</v>
      </c>
      <c r="BL504">
        <v>4991.2640565515794</v>
      </c>
      <c r="BM504">
        <v>8.2597520118282155</v>
      </c>
      <c r="BN504">
        <v>1404.1578420107969</v>
      </c>
      <c r="BO504">
        <v>5798.7848133763046</v>
      </c>
    </row>
    <row r="505" spans="1:67" x14ac:dyDescent="0.25">
      <c r="A505" s="1">
        <v>503</v>
      </c>
      <c r="B505" t="s">
        <v>73</v>
      </c>
      <c r="C505" t="s">
        <v>85</v>
      </c>
      <c r="D505">
        <v>1</v>
      </c>
      <c r="E505">
        <v>1</v>
      </c>
      <c r="F505">
        <v>2</v>
      </c>
      <c r="G505">
        <v>45.016539999999999</v>
      </c>
      <c r="H505">
        <v>2</v>
      </c>
      <c r="I505" t="s">
        <v>89</v>
      </c>
      <c r="J505">
        <v>4</v>
      </c>
      <c r="K505">
        <v>300</v>
      </c>
      <c r="L505">
        <v>70</v>
      </c>
      <c r="N505" t="s">
        <v>82</v>
      </c>
      <c r="O505">
        <v>30</v>
      </c>
      <c r="P505">
        <v>0.5</v>
      </c>
      <c r="Q505">
        <v>3.2500000000000001E-2</v>
      </c>
      <c r="R505">
        <v>77.5</v>
      </c>
      <c r="S505">
        <v>170</v>
      </c>
      <c r="T505">
        <v>20</v>
      </c>
      <c r="U505">
        <v>1812.1301775147931</v>
      </c>
      <c r="V505">
        <v>20</v>
      </c>
      <c r="W505">
        <v>0.95</v>
      </c>
      <c r="X505">
        <v>1</v>
      </c>
      <c r="Y505">
        <v>105637.7788353959</v>
      </c>
      <c r="Z505">
        <v>316913336.50618762</v>
      </c>
      <c r="AA505">
        <v>1267653346.02475</v>
      </c>
      <c r="AB505">
        <v>1267653.34602475</v>
      </c>
      <c r="AC505">
        <v>0</v>
      </c>
      <c r="AD505">
        <v>3284.5752507756301</v>
      </c>
      <c r="AE505">
        <v>5912235.4513961338</v>
      </c>
      <c r="AF505">
        <v>4138564.8159772931</v>
      </c>
      <c r="AG505">
        <v>186.30386858103449</v>
      </c>
      <c r="AH505">
        <v>1300.9874110797191</v>
      </c>
      <c r="AI505">
        <v>260.19748221594392</v>
      </c>
      <c r="AJ505">
        <v>41198.733745804391</v>
      </c>
      <c r="AK505">
        <v>854.70085470085473</v>
      </c>
      <c r="AL505" t="s">
        <v>93</v>
      </c>
      <c r="AM505">
        <v>100826.5243586782</v>
      </c>
      <c r="AN505">
        <v>1178.894148558554</v>
      </c>
      <c r="AO505">
        <v>44233.57197671046</v>
      </c>
      <c r="AP505">
        <v>144058.853107742</v>
      </c>
      <c r="AQ505">
        <v>99825.281131031574</v>
      </c>
      <c r="AR505">
        <v>9.9548359341269845E-3</v>
      </c>
      <c r="AS505">
        <v>221.13729607222109</v>
      </c>
      <c r="AT505">
        <v>541.19393830420051</v>
      </c>
      <c r="AU505">
        <v>6.3278028391867966</v>
      </c>
      <c r="AV505">
        <v>237.4270180947461</v>
      </c>
      <c r="AW505">
        <v>773.24670821358939</v>
      </c>
      <c r="AX505">
        <v>535.81969011884325</v>
      </c>
      <c r="AY505">
        <v>1.396629518204388</v>
      </c>
      <c r="AZ505" t="s">
        <v>119</v>
      </c>
      <c r="BA505" t="str">
        <f>VLOOKUP($AZ505,Sheet1!$A$2:$B$58,2)</f>
        <v>Butanol (PW2)</v>
      </c>
      <c r="BB505" t="s">
        <v>169</v>
      </c>
      <c r="BC505">
        <v>74.120199999999997</v>
      </c>
      <c r="BD505">
        <v>6</v>
      </c>
      <c r="BE505">
        <v>117.7</v>
      </c>
      <c r="BF505" t="s">
        <v>206</v>
      </c>
      <c r="BG505">
        <v>4.7501220989689763</v>
      </c>
      <c r="BH505">
        <v>8.3333333333333301E-2</v>
      </c>
      <c r="BI505">
        <v>0.134189376690941</v>
      </c>
      <c r="BJ505">
        <v>80</v>
      </c>
      <c r="BK505">
        <v>7202.9426553871026</v>
      </c>
      <c r="BL505">
        <v>4991.2640565515794</v>
      </c>
      <c r="BM505">
        <v>8.2597520118282155</v>
      </c>
      <c r="BN505">
        <v>1404.1578420107969</v>
      </c>
      <c r="BO505">
        <v>5798.7848133763046</v>
      </c>
    </row>
    <row r="506" spans="1:67" x14ac:dyDescent="0.25">
      <c r="A506" s="1">
        <v>504</v>
      </c>
      <c r="B506" t="s">
        <v>73</v>
      </c>
      <c r="C506" t="s">
        <v>85</v>
      </c>
      <c r="D506">
        <v>1</v>
      </c>
      <c r="E506">
        <v>1</v>
      </c>
      <c r="F506">
        <v>2</v>
      </c>
      <c r="G506">
        <v>45.016539999999999</v>
      </c>
      <c r="H506">
        <v>2</v>
      </c>
      <c r="I506" t="s">
        <v>89</v>
      </c>
      <c r="J506">
        <v>4</v>
      </c>
      <c r="K506">
        <v>300</v>
      </c>
      <c r="L506">
        <v>70</v>
      </c>
      <c r="N506" t="s">
        <v>82</v>
      </c>
      <c r="O506">
        <v>30</v>
      </c>
      <c r="P506">
        <v>0.5</v>
      </c>
      <c r="Q506">
        <v>3.2500000000000001E-2</v>
      </c>
      <c r="R506">
        <v>77.5</v>
      </c>
      <c r="S506">
        <v>170</v>
      </c>
      <c r="T506">
        <v>20</v>
      </c>
      <c r="U506">
        <v>1812.1301775147931</v>
      </c>
      <c r="V506">
        <v>20</v>
      </c>
      <c r="W506">
        <v>0.95</v>
      </c>
      <c r="X506">
        <v>1</v>
      </c>
      <c r="Y506">
        <v>74916.586896496257</v>
      </c>
      <c r="Z506">
        <v>224749760.6894888</v>
      </c>
      <c r="AA506">
        <v>898999042.75795507</v>
      </c>
      <c r="AB506">
        <v>898999.04275795503</v>
      </c>
      <c r="AC506">
        <v>0</v>
      </c>
      <c r="AD506">
        <v>2329.367106215258</v>
      </c>
      <c r="AE506">
        <v>4192860.7911874638</v>
      </c>
      <c r="AF506">
        <v>2935002.5538312239</v>
      </c>
      <c r="AG506">
        <v>132.1236598646455</v>
      </c>
      <c r="AH506">
        <v>922.63901710080131</v>
      </c>
      <c r="AI506">
        <v>184.5278034201603</v>
      </c>
      <c r="AJ506">
        <v>29217.468889633539</v>
      </c>
      <c r="AK506">
        <v>854.70085470085473</v>
      </c>
      <c r="AL506" t="s">
        <v>93</v>
      </c>
      <c r="AM506">
        <v>71504.523825312106</v>
      </c>
      <c r="AN506">
        <v>836.05247001525413</v>
      </c>
      <c r="AO506">
        <v>31369.72658142725</v>
      </c>
      <c r="AP506">
        <v>102412.7460396618</v>
      </c>
      <c r="AQ506">
        <v>71043.019458234514</v>
      </c>
      <c r="AR506">
        <v>9.9548359341269845E-3</v>
      </c>
      <c r="AS506">
        <v>221.13729607222109</v>
      </c>
      <c r="AT506">
        <v>541.19393830420051</v>
      </c>
      <c r="AU506">
        <v>6.3278028391867958</v>
      </c>
      <c r="AV506">
        <v>237.42701809474599</v>
      </c>
      <c r="AW506">
        <v>775.12798347077933</v>
      </c>
      <c r="AX506">
        <v>537.70096537603331</v>
      </c>
      <c r="AY506">
        <v>1.396629518204388</v>
      </c>
      <c r="AZ506" t="s">
        <v>120</v>
      </c>
      <c r="BA506" t="str">
        <f>VLOOKUP($AZ506,Sheet1!$A$2:$B$58,2)</f>
        <v>Butyrate</v>
      </c>
      <c r="BB506" t="s">
        <v>170</v>
      </c>
      <c r="BC506">
        <v>87.095680000000002</v>
      </c>
      <c r="BD506">
        <v>4.75</v>
      </c>
      <c r="BE506">
        <v>163.5</v>
      </c>
      <c r="BF506" t="s">
        <v>206</v>
      </c>
      <c r="BG506">
        <v>3.0318380888696201</v>
      </c>
      <c r="BH506">
        <v>0.1</v>
      </c>
      <c r="BI506">
        <v>0.189216677963745</v>
      </c>
      <c r="BJ506">
        <v>80</v>
      </c>
      <c r="BK506">
        <v>5120.6373019830889</v>
      </c>
      <c r="BL506">
        <v>3552.1509729117261</v>
      </c>
      <c r="BM506">
        <v>6.1945520821383919</v>
      </c>
      <c r="BN506">
        <v>1053.073853963527</v>
      </c>
      <c r="BO506">
        <v>4067.5634480195622</v>
      </c>
    </row>
    <row r="507" spans="1:67" x14ac:dyDescent="0.25">
      <c r="A507" s="1">
        <v>505</v>
      </c>
      <c r="B507" t="s">
        <v>73</v>
      </c>
      <c r="C507" t="s">
        <v>85</v>
      </c>
      <c r="D507">
        <v>1</v>
      </c>
      <c r="E507">
        <v>1</v>
      </c>
      <c r="F507">
        <v>2</v>
      </c>
      <c r="G507">
        <v>45.016539999999999</v>
      </c>
      <c r="H507">
        <v>2</v>
      </c>
      <c r="I507" t="s">
        <v>89</v>
      </c>
      <c r="J507">
        <v>4</v>
      </c>
      <c r="K507">
        <v>300</v>
      </c>
      <c r="L507">
        <v>70</v>
      </c>
      <c r="N507" t="s">
        <v>82</v>
      </c>
      <c r="O507">
        <v>30</v>
      </c>
      <c r="P507">
        <v>0.5</v>
      </c>
      <c r="Q507">
        <v>3.2500000000000001E-2</v>
      </c>
      <c r="R507">
        <v>77.5</v>
      </c>
      <c r="S507">
        <v>170</v>
      </c>
      <c r="T507">
        <v>20</v>
      </c>
      <c r="U507">
        <v>1812.1301775147931</v>
      </c>
      <c r="V507">
        <v>20</v>
      </c>
      <c r="W507">
        <v>0.95</v>
      </c>
      <c r="X507">
        <v>1</v>
      </c>
      <c r="Y507">
        <v>189682.6596989643</v>
      </c>
      <c r="Z507">
        <v>569047979.09689295</v>
      </c>
      <c r="AA507">
        <v>2276191916.3875718</v>
      </c>
      <c r="AB507">
        <v>2276191.916387572</v>
      </c>
      <c r="AC507">
        <v>0</v>
      </c>
      <c r="AD507">
        <v>5897.7666552352539</v>
      </c>
      <c r="AE507">
        <v>10615979.97942346</v>
      </c>
      <c r="AF507">
        <v>7431185.9855964193</v>
      </c>
      <c r="AG507">
        <v>334.52628116804061</v>
      </c>
      <c r="AH507">
        <v>2336.0463944721309</v>
      </c>
      <c r="AI507">
        <v>467.20927889442629</v>
      </c>
      <c r="AJ507">
        <v>73976.237282596092</v>
      </c>
      <c r="AK507">
        <v>854.70085470085473</v>
      </c>
      <c r="AL507" t="s">
        <v>93</v>
      </c>
      <c r="AM507">
        <v>181043.59557159021</v>
      </c>
      <c r="AN507">
        <v>2116.8163517577282</v>
      </c>
      <c r="AO507">
        <v>79425.577412052473</v>
      </c>
      <c r="AP507">
        <v>257991.35006064491</v>
      </c>
      <c r="AQ507">
        <v>178565.77264859239</v>
      </c>
      <c r="AR507">
        <v>9.9548359341269845E-3</v>
      </c>
      <c r="AS507">
        <v>221.13729607222109</v>
      </c>
      <c r="AT507">
        <v>541.1939383042004</v>
      </c>
      <c r="AU507">
        <v>6.3278028391867966</v>
      </c>
      <c r="AV507">
        <v>237.42701809474599</v>
      </c>
      <c r="AW507">
        <v>771.21399598212599</v>
      </c>
      <c r="AX507">
        <v>533.78697788737998</v>
      </c>
      <c r="AY507">
        <v>1.396629518204388</v>
      </c>
      <c r="AZ507" t="s">
        <v>121</v>
      </c>
      <c r="BA507" t="str">
        <f>VLOOKUP($AZ507,Sheet1!$A$2:$B$58,2)</f>
        <v>Catechol</v>
      </c>
      <c r="BB507" t="s">
        <v>171</v>
      </c>
      <c r="BC507">
        <v>110.10924</v>
      </c>
      <c r="BD507">
        <v>4.333333333333333</v>
      </c>
      <c r="BE507">
        <v>245</v>
      </c>
      <c r="BF507" t="s">
        <v>206</v>
      </c>
      <c r="BG507">
        <v>6.596818343361611</v>
      </c>
      <c r="BH507">
        <v>3.1240875912408799E-2</v>
      </c>
      <c r="BI507">
        <v>7.4732543920643102E-2</v>
      </c>
      <c r="BJ507">
        <v>80</v>
      </c>
      <c r="BK507">
        <v>12899.56750303224</v>
      </c>
      <c r="BL507">
        <v>8928.2886324296178</v>
      </c>
      <c r="BM507">
        <v>16.763645601359709</v>
      </c>
      <c r="BN507">
        <v>2849.8197522311498</v>
      </c>
      <c r="BO507">
        <v>10049.747750801091</v>
      </c>
    </row>
    <row r="508" spans="1:67" x14ac:dyDescent="0.25">
      <c r="A508" s="1">
        <v>506</v>
      </c>
      <c r="B508" t="s">
        <v>73</v>
      </c>
      <c r="C508" t="s">
        <v>85</v>
      </c>
      <c r="D508">
        <v>1</v>
      </c>
      <c r="E508">
        <v>1</v>
      </c>
      <c r="F508">
        <v>2</v>
      </c>
      <c r="G508">
        <v>45.016539999999999</v>
      </c>
      <c r="H508">
        <v>2</v>
      </c>
      <c r="I508" t="s">
        <v>89</v>
      </c>
      <c r="J508">
        <v>4</v>
      </c>
      <c r="K508">
        <v>300</v>
      </c>
      <c r="L508">
        <v>70</v>
      </c>
      <c r="N508" t="s">
        <v>82</v>
      </c>
      <c r="O508">
        <v>30</v>
      </c>
      <c r="P508">
        <v>0.5</v>
      </c>
      <c r="Q508">
        <v>3.2500000000000001E-2</v>
      </c>
      <c r="R508">
        <v>77.5</v>
      </c>
      <c r="S508">
        <v>170</v>
      </c>
      <c r="T508">
        <v>20</v>
      </c>
      <c r="U508">
        <v>1812.1301775147931</v>
      </c>
      <c r="V508">
        <v>20</v>
      </c>
      <c r="W508">
        <v>0.95</v>
      </c>
      <c r="X508">
        <v>1</v>
      </c>
      <c r="Y508">
        <v>55628.411471785847</v>
      </c>
      <c r="Z508">
        <v>166885234.41535759</v>
      </c>
      <c r="AA508">
        <v>667540937.66143024</v>
      </c>
      <c r="AB508">
        <v>667540.93766143022</v>
      </c>
      <c r="AC508">
        <v>0</v>
      </c>
      <c r="AD508">
        <v>1729.6435572059629</v>
      </c>
      <c r="AE508">
        <v>3113358.4029707341</v>
      </c>
      <c r="AF508">
        <v>2179350.8820795142</v>
      </c>
      <c r="AG508">
        <v>98.10683615716772</v>
      </c>
      <c r="AH508">
        <v>685.09451657370994</v>
      </c>
      <c r="AI508">
        <v>137.018903314742</v>
      </c>
      <c r="AJ508">
        <v>21695.080473996481</v>
      </c>
      <c r="AK508">
        <v>854.70085470085473</v>
      </c>
      <c r="AL508" t="s">
        <v>93</v>
      </c>
      <c r="AM508">
        <v>53094.825034462519</v>
      </c>
      <c r="AN508">
        <v>620.80071637895969</v>
      </c>
      <c r="AO508">
        <v>23293.213563506139</v>
      </c>
      <c r="AP508">
        <v>76265.407079538825</v>
      </c>
      <c r="AQ508">
        <v>52972.193516032683</v>
      </c>
      <c r="AR508">
        <v>9.9548359341269845E-3</v>
      </c>
      <c r="AS508">
        <v>221.13729607222109</v>
      </c>
      <c r="AT508">
        <v>541.1939383042004</v>
      </c>
      <c r="AU508">
        <v>6.3278028391867958</v>
      </c>
      <c r="AV508">
        <v>237.42701809474599</v>
      </c>
      <c r="AW508">
        <v>777.37097705771703</v>
      </c>
      <c r="AX508">
        <v>539.94395896297101</v>
      </c>
      <c r="AY508">
        <v>1.396629518204388</v>
      </c>
      <c r="AZ508" t="s">
        <v>123</v>
      </c>
      <c r="BA508" t="str">
        <f>VLOOKUP($AZ508,Sheet1!$A$2:$B$58,2)</f>
        <v>Citrate</v>
      </c>
      <c r="BB508" t="s">
        <v>173</v>
      </c>
      <c r="BC508">
        <v>189.09639999999999</v>
      </c>
      <c r="BD508">
        <v>2.5</v>
      </c>
      <c r="BF508" t="s">
        <v>206</v>
      </c>
      <c r="BG508">
        <v>1.526938136701157</v>
      </c>
      <c r="BH508">
        <v>6.2028985507246399E-2</v>
      </c>
      <c r="BI508">
        <v>0.254824240381678</v>
      </c>
      <c r="BJ508">
        <v>80</v>
      </c>
      <c r="BK508">
        <v>3813.2703539769409</v>
      </c>
      <c r="BL508">
        <v>2648.6096758016338</v>
      </c>
      <c r="BM508">
        <v>5.3240070290359407</v>
      </c>
      <c r="BN508">
        <v>905.08119493610991</v>
      </c>
      <c r="BO508">
        <v>2908.1891590408309</v>
      </c>
    </row>
    <row r="509" spans="1:67" x14ac:dyDescent="0.25">
      <c r="A509" s="1">
        <v>507</v>
      </c>
      <c r="B509" t="s">
        <v>73</v>
      </c>
      <c r="C509" t="s">
        <v>85</v>
      </c>
      <c r="D509">
        <v>1</v>
      </c>
      <c r="E509">
        <v>1</v>
      </c>
      <c r="F509">
        <v>2</v>
      </c>
      <c r="G509">
        <v>45.016539999999999</v>
      </c>
      <c r="H509">
        <v>2</v>
      </c>
      <c r="I509" t="s">
        <v>89</v>
      </c>
      <c r="J509">
        <v>4</v>
      </c>
      <c r="K509">
        <v>300</v>
      </c>
      <c r="L509">
        <v>70</v>
      </c>
      <c r="N509" t="s">
        <v>82</v>
      </c>
      <c r="O509">
        <v>30</v>
      </c>
      <c r="P509">
        <v>0.5</v>
      </c>
      <c r="Q509">
        <v>3.2500000000000001E-2</v>
      </c>
      <c r="R509">
        <v>77.5</v>
      </c>
      <c r="S509">
        <v>170</v>
      </c>
      <c r="T509">
        <v>20</v>
      </c>
      <c r="U509">
        <v>1812.1301775147931</v>
      </c>
      <c r="V509">
        <v>20</v>
      </c>
      <c r="W509">
        <v>0.95</v>
      </c>
      <c r="X509">
        <v>1</v>
      </c>
      <c r="Y509">
        <v>200903.29287511759</v>
      </c>
      <c r="Z509">
        <v>602709878.62535286</v>
      </c>
      <c r="AA509">
        <v>2410839514.501411</v>
      </c>
      <c r="AB509">
        <v>2410839.514501411</v>
      </c>
      <c r="AC509">
        <v>0</v>
      </c>
      <c r="AD509">
        <v>6246.6476562817861</v>
      </c>
      <c r="AE509">
        <v>11243965.781307209</v>
      </c>
      <c r="AF509">
        <v>7870776.0469150497</v>
      </c>
      <c r="AG509">
        <v>354.3151047469932</v>
      </c>
      <c r="AH509">
        <v>2474.2346701766519</v>
      </c>
      <c r="AI509">
        <v>494.84693403533049</v>
      </c>
      <c r="AJ509">
        <v>78352.284221295879</v>
      </c>
      <c r="AK509">
        <v>854.70085470085473</v>
      </c>
      <c r="AL509" t="s">
        <v>93</v>
      </c>
      <c r="AM509">
        <v>191753.18693869049</v>
      </c>
      <c r="AN509">
        <v>2242.0361257847908</v>
      </c>
      <c r="AO509">
        <v>84123.978786006177</v>
      </c>
      <c r="AP509">
        <v>273202.20814047212</v>
      </c>
      <c r="AQ509">
        <v>189078.22935446599</v>
      </c>
      <c r="AR509">
        <v>9.9548359341269845E-3</v>
      </c>
      <c r="AS509">
        <v>221.13729607222109</v>
      </c>
      <c r="AT509">
        <v>541.1939383042004</v>
      </c>
      <c r="AU509">
        <v>6.3278028391867966</v>
      </c>
      <c r="AV509">
        <v>237.42701809474599</v>
      </c>
      <c r="AW509">
        <v>771.07129919160081</v>
      </c>
      <c r="AX509">
        <v>533.6442810968548</v>
      </c>
      <c r="AY509">
        <v>1.396629518204388</v>
      </c>
      <c r="AZ509" t="s">
        <v>124</v>
      </c>
      <c r="BA509" t="str">
        <f>VLOOKUP($AZ509,Sheet1!$A$2:$B$58,2)</f>
        <v>Coumaric Acid</v>
      </c>
      <c r="BB509" t="s">
        <v>174</v>
      </c>
      <c r="BC509">
        <v>163.14818</v>
      </c>
      <c r="BD509">
        <v>4.1111111111111107</v>
      </c>
      <c r="BE509">
        <v>346</v>
      </c>
      <c r="BF509" t="s">
        <v>206</v>
      </c>
      <c r="BG509">
        <v>6.9102600785383537</v>
      </c>
      <c r="BH509">
        <v>1.9906976744186001E-2</v>
      </c>
      <c r="BI509">
        <v>7.0558662797770996E-2</v>
      </c>
      <c r="BJ509">
        <v>80</v>
      </c>
      <c r="BK509">
        <v>13660.110407023611</v>
      </c>
      <c r="BL509">
        <v>9453.9114677232974</v>
      </c>
      <c r="BM509">
        <v>17.832086623228172</v>
      </c>
      <c r="BN509">
        <v>3031.454725948789</v>
      </c>
      <c r="BO509">
        <v>10628.655681074821</v>
      </c>
    </row>
    <row r="510" spans="1:67" x14ac:dyDescent="0.25">
      <c r="A510" s="1">
        <v>508</v>
      </c>
      <c r="B510" t="s">
        <v>73</v>
      </c>
      <c r="C510" t="s">
        <v>85</v>
      </c>
      <c r="D510">
        <v>1</v>
      </c>
      <c r="E510">
        <v>1</v>
      </c>
      <c r="F510">
        <v>2</v>
      </c>
      <c r="G510">
        <v>45.016539999999999</v>
      </c>
      <c r="H510">
        <v>2</v>
      </c>
      <c r="I510" t="s">
        <v>89</v>
      </c>
      <c r="J510">
        <v>4</v>
      </c>
      <c r="K510">
        <v>300</v>
      </c>
      <c r="L510">
        <v>70</v>
      </c>
      <c r="N510" t="s">
        <v>82</v>
      </c>
      <c r="O510">
        <v>30</v>
      </c>
      <c r="P510">
        <v>0.5</v>
      </c>
      <c r="Q510">
        <v>3.2500000000000001E-2</v>
      </c>
      <c r="R510">
        <v>77.5</v>
      </c>
      <c r="S510">
        <v>170</v>
      </c>
      <c r="T510">
        <v>20</v>
      </c>
      <c r="U510">
        <v>1812.1301775147931</v>
      </c>
      <c r="V510">
        <v>20</v>
      </c>
      <c r="W510">
        <v>0.95</v>
      </c>
      <c r="X510">
        <v>1</v>
      </c>
      <c r="Y510">
        <v>74059.595791739543</v>
      </c>
      <c r="Z510">
        <v>222178787.37521869</v>
      </c>
      <c r="AA510">
        <v>888715149.50087464</v>
      </c>
      <c r="AB510">
        <v>888715.14950087469</v>
      </c>
      <c r="AC510">
        <v>0</v>
      </c>
      <c r="AD510">
        <v>2302.7208457216061</v>
      </c>
      <c r="AE510">
        <v>4144897.5222988902</v>
      </c>
      <c r="AF510">
        <v>2901428.2656092229</v>
      </c>
      <c r="AG510">
        <v>130.61226157592819</v>
      </c>
      <c r="AH510">
        <v>912.08469978187077</v>
      </c>
      <c r="AI510">
        <v>182.41693995637419</v>
      </c>
      <c r="AJ510">
        <v>28883.242358778429</v>
      </c>
      <c r="AK510">
        <v>854.70085470085473</v>
      </c>
      <c r="AL510" t="s">
        <v>93</v>
      </c>
      <c r="AM510">
        <v>70686.564233094978</v>
      </c>
      <c r="AN510">
        <v>826.48863963276688</v>
      </c>
      <c r="AO510">
        <v>31010.879792583612</v>
      </c>
      <c r="AP510">
        <v>101250.996086207</v>
      </c>
      <c r="AQ510">
        <v>70240.116293623418</v>
      </c>
      <c r="AR510">
        <v>9.9548359341269863E-3</v>
      </c>
      <c r="AS510">
        <v>221.13729607222109</v>
      </c>
      <c r="AT510">
        <v>541.1939383042004</v>
      </c>
      <c r="AU510">
        <v>6.3278028391867958</v>
      </c>
      <c r="AV510">
        <v>237.42701809474599</v>
      </c>
      <c r="AW510">
        <v>775.20283979882902</v>
      </c>
      <c r="AX510">
        <v>537.775821704083</v>
      </c>
      <c r="AY510">
        <v>1.396629518204388</v>
      </c>
      <c r="AZ510" t="s">
        <v>125</v>
      </c>
      <c r="BA510" t="str">
        <f>VLOOKUP($AZ510,Sheet1!$A$2:$B$58,2)</f>
        <v>Ethyl Acetate</v>
      </c>
      <c r="BB510" t="s">
        <v>175</v>
      </c>
      <c r="BC510">
        <v>88.103520000000003</v>
      </c>
      <c r="BD510">
        <v>5</v>
      </c>
      <c r="BE510">
        <v>77.099999999999994</v>
      </c>
      <c r="BF510" t="s">
        <v>206</v>
      </c>
      <c r="BG510">
        <v>2.9971560727653102</v>
      </c>
      <c r="BH510">
        <v>0.1</v>
      </c>
      <c r="BI510">
        <v>0.191406225559205</v>
      </c>
      <c r="BJ510">
        <v>80</v>
      </c>
      <c r="BK510">
        <v>5062.5498043103516</v>
      </c>
      <c r="BL510">
        <v>3512.0058146811712</v>
      </c>
      <c r="BM510">
        <v>6.1236909250533973</v>
      </c>
      <c r="BN510">
        <v>1041.027457259077</v>
      </c>
      <c r="BO510">
        <v>4021.5223470512742</v>
      </c>
    </row>
    <row r="511" spans="1:67" x14ac:dyDescent="0.25">
      <c r="A511" s="1">
        <v>509</v>
      </c>
      <c r="B511" t="s">
        <v>73</v>
      </c>
      <c r="C511" t="s">
        <v>85</v>
      </c>
      <c r="D511">
        <v>1</v>
      </c>
      <c r="E511">
        <v>1</v>
      </c>
      <c r="F511">
        <v>2</v>
      </c>
      <c r="G511">
        <v>45.016539999999999</v>
      </c>
      <c r="H511">
        <v>2</v>
      </c>
      <c r="I511" t="s">
        <v>89</v>
      </c>
      <c r="J511">
        <v>4</v>
      </c>
      <c r="K511">
        <v>300</v>
      </c>
      <c r="L511">
        <v>70</v>
      </c>
      <c r="N511" t="s">
        <v>82</v>
      </c>
      <c r="O511">
        <v>30</v>
      </c>
      <c r="P511">
        <v>0.5</v>
      </c>
      <c r="Q511">
        <v>3.2500000000000001E-2</v>
      </c>
      <c r="R511">
        <v>77.5</v>
      </c>
      <c r="S511">
        <v>170</v>
      </c>
      <c r="T511">
        <v>20</v>
      </c>
      <c r="U511">
        <v>1812.1301775147931</v>
      </c>
      <c r="V511">
        <v>20</v>
      </c>
      <c r="W511">
        <v>0.95</v>
      </c>
      <c r="X511">
        <v>1</v>
      </c>
      <c r="Y511">
        <v>216350.06608914101</v>
      </c>
      <c r="Z511">
        <v>649050198.26742315</v>
      </c>
      <c r="AA511">
        <v>2596200793.0696931</v>
      </c>
      <c r="AB511">
        <v>2596200.7930696928</v>
      </c>
      <c r="AC511">
        <v>0</v>
      </c>
      <c r="AD511">
        <v>6726.9312211433871</v>
      </c>
      <c r="AE511">
        <v>12108476.1980581</v>
      </c>
      <c r="AF511">
        <v>8475933.3386406675</v>
      </c>
      <c r="AG511">
        <v>381.55719217625119</v>
      </c>
      <c r="AH511">
        <v>2664.470187382683</v>
      </c>
      <c r="AI511">
        <v>532.89403747653671</v>
      </c>
      <c r="AJ511">
        <v>84376.525774765018</v>
      </c>
      <c r="AK511">
        <v>1835.336538461539</v>
      </c>
      <c r="AL511" t="s">
        <v>94</v>
      </c>
      <c r="AM511">
        <v>206496.43952215801</v>
      </c>
      <c r="AN511">
        <v>2414.4186839650229</v>
      </c>
      <c r="AO511">
        <v>90591.98637101124</v>
      </c>
      <c r="AP511">
        <v>295122.72051934962</v>
      </c>
      <c r="AQ511">
        <v>204530.73414833841</v>
      </c>
      <c r="AR511">
        <v>9.9548359341269845E-3</v>
      </c>
      <c r="AS511">
        <v>221.13729607222109</v>
      </c>
      <c r="AT511">
        <v>541.19393830420029</v>
      </c>
      <c r="AU511">
        <v>6.3278028391867949</v>
      </c>
      <c r="AV511">
        <v>237.4270180947459</v>
      </c>
      <c r="AW511">
        <v>773.46915893810421</v>
      </c>
      <c r="AX511">
        <v>536.04214084335831</v>
      </c>
      <c r="AY511">
        <v>1.396629518204388</v>
      </c>
      <c r="AZ511" t="s">
        <v>126</v>
      </c>
      <c r="BA511" t="str">
        <f>VLOOKUP($AZ511,Sheet1!$A$2:$B$58,2)</f>
        <v>Farnesene</v>
      </c>
      <c r="BB511" t="s">
        <v>176</v>
      </c>
      <c r="BC511">
        <v>204.34866</v>
      </c>
      <c r="BD511">
        <v>5.6</v>
      </c>
      <c r="BE511" t="s">
        <v>198</v>
      </c>
      <c r="BF511" t="s">
        <v>206</v>
      </c>
      <c r="BG511">
        <v>8.5885221398280862</v>
      </c>
      <c r="BH511">
        <v>1.4758620689655199E-2</v>
      </c>
      <c r="BI511">
        <v>6.5520976966545699E-2</v>
      </c>
      <c r="BJ511">
        <v>80</v>
      </c>
      <c r="BK511">
        <v>14756.13602596748</v>
      </c>
      <c r="BL511">
        <v>10226.536707416921</v>
      </c>
      <c r="BM511">
        <v>18.056179733998739</v>
      </c>
      <c r="BN511">
        <v>3069.5505547797861</v>
      </c>
      <c r="BO511">
        <v>11686.585471187689</v>
      </c>
    </row>
    <row r="512" spans="1:67" x14ac:dyDescent="0.25">
      <c r="A512" s="1">
        <v>510</v>
      </c>
      <c r="B512" t="s">
        <v>73</v>
      </c>
      <c r="C512" t="s">
        <v>85</v>
      </c>
      <c r="D512">
        <v>1</v>
      </c>
      <c r="E512">
        <v>1</v>
      </c>
      <c r="F512">
        <v>2</v>
      </c>
      <c r="G512">
        <v>45.016539999999999</v>
      </c>
      <c r="H512">
        <v>2</v>
      </c>
      <c r="I512" t="s">
        <v>89</v>
      </c>
      <c r="J512">
        <v>4</v>
      </c>
      <c r="K512">
        <v>300</v>
      </c>
      <c r="L512">
        <v>70</v>
      </c>
      <c r="N512" t="s">
        <v>82</v>
      </c>
      <c r="O512">
        <v>30</v>
      </c>
      <c r="P512">
        <v>0.5</v>
      </c>
      <c r="Q512">
        <v>3.2500000000000001E-2</v>
      </c>
      <c r="R512">
        <v>77.5</v>
      </c>
      <c r="S512">
        <v>170</v>
      </c>
      <c r="T512">
        <v>20</v>
      </c>
      <c r="U512">
        <v>1812.1301775147931</v>
      </c>
      <c r="V512">
        <v>20</v>
      </c>
      <c r="W512">
        <v>0.95</v>
      </c>
      <c r="X512">
        <v>1</v>
      </c>
      <c r="Y512">
        <v>150524.75984991249</v>
      </c>
      <c r="Z512">
        <v>451574279.54973757</v>
      </c>
      <c r="AA512">
        <v>1806297118.1989501</v>
      </c>
      <c r="AB512">
        <v>1806297.1181989501</v>
      </c>
      <c r="AC512">
        <v>0</v>
      </c>
      <c r="AD512">
        <v>4680.2375654107072</v>
      </c>
      <c r="AE512">
        <v>8424427.6177392732</v>
      </c>
      <c r="AF512">
        <v>5897099.3324174909</v>
      </c>
      <c r="AG512">
        <v>265.46700798174533</v>
      </c>
      <c r="AH512">
        <v>1853.7952972835269</v>
      </c>
      <c r="AI512">
        <v>370.75905945670542</v>
      </c>
      <c r="AJ512">
        <v>58704.656341465889</v>
      </c>
      <c r="AK512">
        <v>1835.336538461539</v>
      </c>
      <c r="AL512" t="s">
        <v>94</v>
      </c>
      <c r="AM512">
        <v>143669.1355394733</v>
      </c>
      <c r="AN512">
        <v>1679.822886817311</v>
      </c>
      <c r="AO512">
        <v>63029.040107639921</v>
      </c>
      <c r="AP512">
        <v>205888.95130621799</v>
      </c>
      <c r="AQ512">
        <v>142859.91119857811</v>
      </c>
      <c r="AR512">
        <v>9.9548359341269845E-3</v>
      </c>
      <c r="AS512">
        <v>221.13729607222109</v>
      </c>
      <c r="AT512">
        <v>541.1939383042004</v>
      </c>
      <c r="AU512">
        <v>6.3278028391867958</v>
      </c>
      <c r="AV512">
        <v>237.42701809474599</v>
      </c>
      <c r="AW512">
        <v>775.57265165084436</v>
      </c>
      <c r="AX512">
        <v>538.14563355609835</v>
      </c>
      <c r="AY512">
        <v>1.396629518204388</v>
      </c>
      <c r="AZ512" t="s">
        <v>127</v>
      </c>
      <c r="BA512" t="str">
        <f>VLOOKUP($AZ512,Sheet1!$A$2:$B$58,2)</f>
        <v>Gamma Butyrolactone</v>
      </c>
      <c r="BB512" t="s">
        <v>177</v>
      </c>
      <c r="BC512">
        <v>86.08784</v>
      </c>
      <c r="BD512">
        <v>4.5</v>
      </c>
      <c r="BE512">
        <v>204</v>
      </c>
      <c r="BF512" t="s">
        <v>206</v>
      </c>
      <c r="BG512">
        <v>5.3319979559934074</v>
      </c>
      <c r="BH512">
        <v>5.03529411764706E-2</v>
      </c>
      <c r="BI512">
        <v>9.4173660938383405E-2</v>
      </c>
      <c r="BJ512">
        <v>80</v>
      </c>
      <c r="BK512">
        <v>10294.4475653109</v>
      </c>
      <c r="BL512">
        <v>7142.995559928906</v>
      </c>
      <c r="BM512">
        <v>13.205955016841861</v>
      </c>
      <c r="BN512">
        <v>2245.012352863117</v>
      </c>
      <c r="BO512">
        <v>8049.4352124477846</v>
      </c>
    </row>
    <row r="513" spans="1:67" x14ac:dyDescent="0.25">
      <c r="A513" s="1">
        <v>511</v>
      </c>
      <c r="B513" t="s">
        <v>73</v>
      </c>
      <c r="C513" t="s">
        <v>85</v>
      </c>
      <c r="D513">
        <v>1</v>
      </c>
      <c r="E513">
        <v>1</v>
      </c>
      <c r="F513">
        <v>2</v>
      </c>
      <c r="G513">
        <v>45.016539999999999</v>
      </c>
      <c r="H513">
        <v>2</v>
      </c>
      <c r="I513" t="s">
        <v>89</v>
      </c>
      <c r="J513">
        <v>4</v>
      </c>
      <c r="K513">
        <v>300</v>
      </c>
      <c r="L513">
        <v>70</v>
      </c>
      <c r="N513" t="s">
        <v>82</v>
      </c>
      <c r="O513">
        <v>30</v>
      </c>
      <c r="P513">
        <v>0.5</v>
      </c>
      <c r="Q513">
        <v>3.2500000000000001E-2</v>
      </c>
      <c r="R513">
        <v>77.5</v>
      </c>
      <c r="S513">
        <v>170</v>
      </c>
      <c r="T513">
        <v>20</v>
      </c>
      <c r="U513">
        <v>1812.1301775147931</v>
      </c>
      <c r="V513">
        <v>20</v>
      </c>
      <c r="W513">
        <v>0.95</v>
      </c>
      <c r="X513">
        <v>1</v>
      </c>
      <c r="Y513">
        <v>63643.522683792777</v>
      </c>
      <c r="Z513">
        <v>190930568.05137831</v>
      </c>
      <c r="AA513">
        <v>763722272.20551336</v>
      </c>
      <c r="AB513">
        <v>763722.27220551332</v>
      </c>
      <c r="AC513">
        <v>0</v>
      </c>
      <c r="AD513">
        <v>1978.8558769783581</v>
      </c>
      <c r="AE513">
        <v>3561940.5785610452</v>
      </c>
      <c r="AF513">
        <v>2493358.4049927308</v>
      </c>
      <c r="AG513">
        <v>112.2423683726915</v>
      </c>
      <c r="AH513">
        <v>783.80502431235789</v>
      </c>
      <c r="AI513">
        <v>156.76100486247159</v>
      </c>
      <c r="AJ513">
        <v>24820.973846679179</v>
      </c>
      <c r="AK513">
        <v>854.70085470085473</v>
      </c>
      <c r="AL513" t="s">
        <v>93</v>
      </c>
      <c r="AM513">
        <v>60744.889384207738</v>
      </c>
      <c r="AN513">
        <v>710.2475772657674</v>
      </c>
      <c r="AO513">
        <v>26649.370826620168</v>
      </c>
      <c r="AP513">
        <v>87130.81166285355</v>
      </c>
      <c r="AQ513">
        <v>60481.440836233378</v>
      </c>
      <c r="AR513">
        <v>9.9548359341269845E-3</v>
      </c>
      <c r="AS513">
        <v>221.13729607222109</v>
      </c>
      <c r="AT513">
        <v>541.19393830420051</v>
      </c>
      <c r="AU513">
        <v>6.3278028391867958</v>
      </c>
      <c r="AV513">
        <v>237.42701809474599</v>
      </c>
      <c r="AW513">
        <v>776.27381643928709</v>
      </c>
      <c r="AX513">
        <v>538.84679834454107</v>
      </c>
      <c r="AY513">
        <v>1.396629518204388</v>
      </c>
      <c r="AZ513" t="s">
        <v>128</v>
      </c>
      <c r="BA513" t="str">
        <f>VLOOKUP($AZ513,Sheet1!$A$2:$B$58,2)</f>
        <v>L-Glutamate</v>
      </c>
      <c r="BB513" t="s">
        <v>178</v>
      </c>
      <c r="BC513">
        <v>146.11892</v>
      </c>
      <c r="BD513">
        <v>3.4</v>
      </c>
      <c r="BE513">
        <v>333.8</v>
      </c>
      <c r="BF513" t="s">
        <v>206</v>
      </c>
      <c r="BG513">
        <v>1.995755673196882</v>
      </c>
      <c r="BH513">
        <v>7.0163934426229604E-2</v>
      </c>
      <c r="BI513">
        <v>0.2227322922926</v>
      </c>
      <c r="BJ513">
        <v>80</v>
      </c>
      <c r="BK513">
        <v>4356.540583142677</v>
      </c>
      <c r="BL513">
        <v>3024.0720418116689</v>
      </c>
      <c r="BM513">
        <v>5.8422945699266968</v>
      </c>
      <c r="BN513">
        <v>993.19007688753845</v>
      </c>
      <c r="BO513">
        <v>3363.350506255138</v>
      </c>
    </row>
    <row r="514" spans="1:67" x14ac:dyDescent="0.25">
      <c r="A514" s="1">
        <v>512</v>
      </c>
      <c r="B514" t="s">
        <v>73</v>
      </c>
      <c r="C514" t="s">
        <v>85</v>
      </c>
      <c r="D514">
        <v>1</v>
      </c>
      <c r="E514">
        <v>1</v>
      </c>
      <c r="F514">
        <v>2</v>
      </c>
      <c r="G514">
        <v>45.016539999999999</v>
      </c>
      <c r="H514">
        <v>2</v>
      </c>
      <c r="I514" t="s">
        <v>89</v>
      </c>
      <c r="J514">
        <v>4</v>
      </c>
      <c r="K514">
        <v>300</v>
      </c>
      <c r="L514">
        <v>70</v>
      </c>
      <c r="N514" t="s">
        <v>82</v>
      </c>
      <c r="O514">
        <v>30</v>
      </c>
      <c r="P514">
        <v>0.5</v>
      </c>
      <c r="Q514">
        <v>3.2500000000000001E-2</v>
      </c>
      <c r="R514">
        <v>77.5</v>
      </c>
      <c r="S514">
        <v>170</v>
      </c>
      <c r="T514">
        <v>20</v>
      </c>
      <c r="U514">
        <v>1812.1301775147931</v>
      </c>
      <c r="V514">
        <v>20</v>
      </c>
      <c r="W514">
        <v>0.95</v>
      </c>
      <c r="X514">
        <v>1</v>
      </c>
      <c r="Y514">
        <v>117829.7306258356</v>
      </c>
      <c r="Z514">
        <v>353489191.87750667</v>
      </c>
      <c r="AA514">
        <v>1413956767.5100269</v>
      </c>
      <c r="AB514">
        <v>1413956.7675100269</v>
      </c>
      <c r="AC514">
        <v>0</v>
      </c>
      <c r="AD514">
        <v>3663.657275700883</v>
      </c>
      <c r="AE514">
        <v>6594583.0962615889</v>
      </c>
      <c r="AF514">
        <v>4616208.167383112</v>
      </c>
      <c r="AG514">
        <v>207.80571961532851</v>
      </c>
      <c r="AH514">
        <v>1451.138010332362</v>
      </c>
      <c r="AI514">
        <v>290.22760206647251</v>
      </c>
      <c r="AJ514">
        <v>45953.594944075878</v>
      </c>
      <c r="AK514">
        <v>854.70085470085473</v>
      </c>
      <c r="AL514" t="s">
        <v>93</v>
      </c>
      <c r="AM514">
        <v>112463.1958007581</v>
      </c>
      <c r="AN514">
        <v>1314.953622581131</v>
      </c>
      <c r="AO514">
        <v>49338.692351300328</v>
      </c>
      <c r="AP514">
        <v>160586.4452221159</v>
      </c>
      <c r="AQ514">
        <v>111247.7528708156</v>
      </c>
      <c r="AR514">
        <v>9.9548359341269845E-3</v>
      </c>
      <c r="AS514">
        <v>221.13729607222109</v>
      </c>
      <c r="AT514">
        <v>541.19393830420029</v>
      </c>
      <c r="AU514">
        <v>6.3278028391867958</v>
      </c>
      <c r="AV514">
        <v>237.42701809474599</v>
      </c>
      <c r="AW514">
        <v>772.77201762963637</v>
      </c>
      <c r="AX514">
        <v>535.34499953489035</v>
      </c>
      <c r="AY514">
        <v>1.396629518204388</v>
      </c>
      <c r="AZ514" t="s">
        <v>130</v>
      </c>
      <c r="BA514" t="str">
        <f>VLOOKUP($AZ514,Sheet1!$A$2:$B$58,2)</f>
        <v>Glycolate</v>
      </c>
      <c r="BB514" t="s">
        <v>180</v>
      </c>
      <c r="BC514">
        <v>75.041920000000005</v>
      </c>
      <c r="BD514">
        <v>2.5</v>
      </c>
      <c r="BE514">
        <v>112</v>
      </c>
      <c r="BF514" t="s">
        <v>206</v>
      </c>
      <c r="BG514">
        <v>3.387288040215934</v>
      </c>
      <c r="BH514">
        <v>7.3793103448275901E-2</v>
      </c>
      <c r="BI514">
        <v>0.120304677110321</v>
      </c>
      <c r="BJ514">
        <v>80</v>
      </c>
      <c r="BK514">
        <v>8029.3222611057963</v>
      </c>
      <c r="BL514">
        <v>5562.3876435407801</v>
      </c>
      <c r="BM514">
        <v>11.124092063107691</v>
      </c>
      <c r="BN514">
        <v>1891.0956507283081</v>
      </c>
      <c r="BO514">
        <v>6138.2266103774891</v>
      </c>
    </row>
    <row r="515" spans="1:67" x14ac:dyDescent="0.25">
      <c r="A515" s="1">
        <v>513</v>
      </c>
      <c r="B515" t="s">
        <v>73</v>
      </c>
      <c r="C515" t="s">
        <v>85</v>
      </c>
      <c r="D515">
        <v>1</v>
      </c>
      <c r="E515">
        <v>1</v>
      </c>
      <c r="F515">
        <v>2</v>
      </c>
      <c r="G515">
        <v>45.016539999999999</v>
      </c>
      <c r="H515">
        <v>2</v>
      </c>
      <c r="I515" t="s">
        <v>89</v>
      </c>
      <c r="J515">
        <v>4</v>
      </c>
      <c r="K515">
        <v>300</v>
      </c>
      <c r="L515">
        <v>70</v>
      </c>
      <c r="N515" t="s">
        <v>82</v>
      </c>
      <c r="O515">
        <v>30</v>
      </c>
      <c r="P515">
        <v>0.5</v>
      </c>
      <c r="Q515">
        <v>3.2500000000000001E-2</v>
      </c>
      <c r="R515">
        <v>77.5</v>
      </c>
      <c r="S515">
        <v>170</v>
      </c>
      <c r="T515">
        <v>20</v>
      </c>
      <c r="U515">
        <v>1812.1301775147931</v>
      </c>
      <c r="V515">
        <v>20</v>
      </c>
      <c r="W515">
        <v>0.95</v>
      </c>
      <c r="X515">
        <v>1</v>
      </c>
      <c r="Y515">
        <v>143261.03458196591</v>
      </c>
      <c r="Z515">
        <v>429783103.74589783</v>
      </c>
      <c r="AA515">
        <v>1719132414.9835911</v>
      </c>
      <c r="AB515">
        <v>1719132.4149835911</v>
      </c>
      <c r="AC515">
        <v>0</v>
      </c>
      <c r="AD515">
        <v>4454.3879450707464</v>
      </c>
      <c r="AE515">
        <v>8017898.3011273434</v>
      </c>
      <c r="AF515">
        <v>5612528.8107891399</v>
      </c>
      <c r="AG515">
        <v>252.65662771204171</v>
      </c>
      <c r="AH515">
        <v>1764.3385211630721</v>
      </c>
      <c r="AI515">
        <v>352.86770423261441</v>
      </c>
      <c r="AJ515">
        <v>55871.803486966717</v>
      </c>
      <c r="AK515">
        <v>854.70085470085473</v>
      </c>
      <c r="AL515" t="s">
        <v>93</v>
      </c>
      <c r="AM515">
        <v>136736.23539013811</v>
      </c>
      <c r="AN515">
        <v>1598.7613261756189</v>
      </c>
      <c r="AO515">
        <v>59987.509719544447</v>
      </c>
      <c r="AP515">
        <v>195061.50105798131</v>
      </c>
      <c r="AQ515">
        <v>135073.99133843681</v>
      </c>
      <c r="AR515">
        <v>9.9548359341269845E-3</v>
      </c>
      <c r="AS515">
        <v>221.13729607222109</v>
      </c>
      <c r="AT515">
        <v>541.19393830420051</v>
      </c>
      <c r="AU515">
        <v>6.3278028391867966</v>
      </c>
      <c r="AV515">
        <v>237.4270180947461</v>
      </c>
      <c r="AW515">
        <v>772.04189268407845</v>
      </c>
      <c r="AX515">
        <v>534.61487458933243</v>
      </c>
      <c r="AY515">
        <v>1.3966295182043891</v>
      </c>
      <c r="AZ515" t="s">
        <v>131</v>
      </c>
      <c r="BA515" t="str">
        <f>VLOOKUP($AZ515,Sheet1!$A$2:$B$58,2)</f>
        <v>Heptane</v>
      </c>
      <c r="BB515" t="s">
        <v>181</v>
      </c>
      <c r="BC515">
        <v>100.20034</v>
      </c>
      <c r="BD515">
        <v>6.2857142857142856</v>
      </c>
      <c r="BE515">
        <v>98</v>
      </c>
      <c r="BF515" t="s">
        <v>206</v>
      </c>
      <c r="BG515">
        <v>6.5883009977810554</v>
      </c>
      <c r="BH515">
        <v>4.54545454545454E-2</v>
      </c>
      <c r="BI515">
        <v>9.8948522452745796E-2</v>
      </c>
      <c r="BJ515">
        <v>80</v>
      </c>
      <c r="BK515">
        <v>9753.0750528990648</v>
      </c>
      <c r="BL515">
        <v>6753.6995669218422</v>
      </c>
      <c r="BM515">
        <v>11.055084213849669</v>
      </c>
      <c r="BN515">
        <v>1879.3643163544441</v>
      </c>
      <c r="BO515">
        <v>7873.7107365446209</v>
      </c>
    </row>
    <row r="516" spans="1:67" x14ac:dyDescent="0.25">
      <c r="A516" s="1">
        <v>514</v>
      </c>
      <c r="B516" t="s">
        <v>73</v>
      </c>
      <c r="C516" t="s">
        <v>85</v>
      </c>
      <c r="D516">
        <v>1</v>
      </c>
      <c r="E516">
        <v>1</v>
      </c>
      <c r="F516">
        <v>2</v>
      </c>
      <c r="G516">
        <v>45.016539999999999</v>
      </c>
      <c r="H516">
        <v>2</v>
      </c>
      <c r="I516" t="s">
        <v>89</v>
      </c>
      <c r="J516">
        <v>4</v>
      </c>
      <c r="K516">
        <v>300</v>
      </c>
      <c r="L516">
        <v>70</v>
      </c>
      <c r="N516" t="s">
        <v>82</v>
      </c>
      <c r="O516">
        <v>30</v>
      </c>
      <c r="P516">
        <v>0.5</v>
      </c>
      <c r="Q516">
        <v>3.2500000000000001E-2</v>
      </c>
      <c r="R516">
        <v>77.5</v>
      </c>
      <c r="S516">
        <v>170</v>
      </c>
      <c r="T516">
        <v>20</v>
      </c>
      <c r="U516">
        <v>1812.1301775147931</v>
      </c>
      <c r="V516">
        <v>20</v>
      </c>
      <c r="W516">
        <v>0.95</v>
      </c>
      <c r="X516">
        <v>1</v>
      </c>
      <c r="Y516">
        <v>143864.00543918271</v>
      </c>
      <c r="Z516">
        <v>431592016.3175481</v>
      </c>
      <c r="AA516">
        <v>1726368065.2701919</v>
      </c>
      <c r="AB516">
        <v>1726368.065270192</v>
      </c>
      <c r="AC516">
        <v>0</v>
      </c>
      <c r="AD516">
        <v>4473.1360025970134</v>
      </c>
      <c r="AE516">
        <v>8051644.8046746245</v>
      </c>
      <c r="AF516">
        <v>5636151.3632722367</v>
      </c>
      <c r="AG516">
        <v>253.72003329079919</v>
      </c>
      <c r="AH516">
        <v>1771.7644392686509</v>
      </c>
      <c r="AI516">
        <v>354.35288785373018</v>
      </c>
      <c r="AJ516">
        <v>56106.962121281264</v>
      </c>
      <c r="AK516">
        <v>854.70085470085473</v>
      </c>
      <c r="AL516" t="s">
        <v>93</v>
      </c>
      <c r="AM516">
        <v>137311.74404332039</v>
      </c>
      <c r="AN516">
        <v>1605.4903470160871</v>
      </c>
      <c r="AO516">
        <v>60239.990935134127</v>
      </c>
      <c r="AP516">
        <v>195878.89736631859</v>
      </c>
      <c r="AQ516">
        <v>135638.9064311845</v>
      </c>
      <c r="AR516">
        <v>9.9548359341269845E-3</v>
      </c>
      <c r="AS516">
        <v>221.13729607222109</v>
      </c>
      <c r="AT516">
        <v>541.1939383042004</v>
      </c>
      <c r="AU516">
        <v>6.3278028391867958</v>
      </c>
      <c r="AV516">
        <v>237.42701809474599</v>
      </c>
      <c r="AW516">
        <v>772.02771427124014</v>
      </c>
      <c r="AX516">
        <v>534.60069617649413</v>
      </c>
      <c r="AY516">
        <v>1.396629518204388</v>
      </c>
      <c r="AZ516" t="s">
        <v>132</v>
      </c>
      <c r="BA516" t="str">
        <f>VLOOKUP($AZ516,Sheet1!$A$2:$B$58,2)</f>
        <v>Hexane</v>
      </c>
      <c r="BB516" t="s">
        <v>182</v>
      </c>
      <c r="BC516">
        <v>86.173959999999994</v>
      </c>
      <c r="BD516">
        <v>6.333333333333333</v>
      </c>
      <c r="BE516">
        <v>69</v>
      </c>
      <c r="BF516" t="s">
        <v>206</v>
      </c>
      <c r="BG516">
        <v>6.6392446163551124</v>
      </c>
      <c r="BH516">
        <v>5.2631578947368397E-2</v>
      </c>
      <c r="BI516">
        <v>9.85338038772305E-2</v>
      </c>
      <c r="BJ516">
        <v>80</v>
      </c>
      <c r="BK516">
        <v>9793.9448683159317</v>
      </c>
      <c r="BL516">
        <v>6781.9453215592248</v>
      </c>
      <c r="BM516">
        <v>11.0783997763314</v>
      </c>
      <c r="BN516">
        <v>1883.327961976338</v>
      </c>
      <c r="BO516">
        <v>7910.6169063395937</v>
      </c>
    </row>
    <row r="517" spans="1:67" x14ac:dyDescent="0.25">
      <c r="A517" s="1">
        <v>515</v>
      </c>
      <c r="B517" t="s">
        <v>73</v>
      </c>
      <c r="C517" t="s">
        <v>85</v>
      </c>
      <c r="D517">
        <v>1</v>
      </c>
      <c r="E517">
        <v>1</v>
      </c>
      <c r="F517">
        <v>2</v>
      </c>
      <c r="G517">
        <v>45.016539999999999</v>
      </c>
      <c r="H517">
        <v>2</v>
      </c>
      <c r="I517" t="s">
        <v>89</v>
      </c>
      <c r="J517">
        <v>4</v>
      </c>
      <c r="K517">
        <v>300</v>
      </c>
      <c r="L517">
        <v>70</v>
      </c>
      <c r="N517" t="s">
        <v>82</v>
      </c>
      <c r="O517">
        <v>30</v>
      </c>
      <c r="P517">
        <v>0.5</v>
      </c>
      <c r="Q517">
        <v>3.2500000000000001E-2</v>
      </c>
      <c r="R517">
        <v>77.5</v>
      </c>
      <c r="S517">
        <v>170</v>
      </c>
      <c r="T517">
        <v>20</v>
      </c>
      <c r="U517">
        <v>1812.1301775147931</v>
      </c>
      <c r="V517">
        <v>20</v>
      </c>
      <c r="W517">
        <v>0.95</v>
      </c>
      <c r="X517">
        <v>1</v>
      </c>
      <c r="Y517">
        <v>90906.902108712864</v>
      </c>
      <c r="Z517">
        <v>272720706.32613862</v>
      </c>
      <c r="AA517">
        <v>1090882825.304554</v>
      </c>
      <c r="AB517">
        <v>1090882.825304555</v>
      </c>
      <c r="AC517">
        <v>0</v>
      </c>
      <c r="AD517">
        <v>2826.550918457147</v>
      </c>
      <c r="AE517">
        <v>5087791.6532228654</v>
      </c>
      <c r="AF517">
        <v>3561454.1572560049</v>
      </c>
      <c r="AG517">
        <v>160.32434352828119</v>
      </c>
      <c r="AH517">
        <v>1119.5685532916921</v>
      </c>
      <c r="AI517">
        <v>223.91371065833829</v>
      </c>
      <c r="AJ517">
        <v>35453.691822398017</v>
      </c>
      <c r="AK517">
        <v>854.70085470085473</v>
      </c>
      <c r="AL517" t="s">
        <v>93</v>
      </c>
      <c r="AM517">
        <v>86766.562880106096</v>
      </c>
      <c r="AN517">
        <v>1014.500836169017</v>
      </c>
      <c r="AO517">
        <v>38065.330811917513</v>
      </c>
      <c r="AP517">
        <v>124089.456393374</v>
      </c>
      <c r="AQ517">
        <v>86024.125581456465</v>
      </c>
      <c r="AR517">
        <v>9.9548359341269863E-3</v>
      </c>
      <c r="AS517">
        <v>221.13729607222109</v>
      </c>
      <c r="AT517">
        <v>541.19393830420051</v>
      </c>
      <c r="AU517">
        <v>6.3278028391867958</v>
      </c>
      <c r="AV517">
        <v>237.42701809474599</v>
      </c>
      <c r="AW517">
        <v>773.99011068761729</v>
      </c>
      <c r="AX517">
        <v>536.56309259287127</v>
      </c>
      <c r="AY517">
        <v>1.3966295182043891</v>
      </c>
      <c r="AZ517" t="s">
        <v>133</v>
      </c>
      <c r="BA517" t="str">
        <f>VLOOKUP($AZ517,Sheet1!$A$2:$B$58,2)</f>
        <v>Isobutanol</v>
      </c>
      <c r="BB517" t="s">
        <v>183</v>
      </c>
      <c r="BC517">
        <v>86.130899999999997</v>
      </c>
      <c r="BD517">
        <v>5.6</v>
      </c>
      <c r="BE517">
        <v>108</v>
      </c>
      <c r="BF517" t="s">
        <v>206</v>
      </c>
      <c r="BG517">
        <v>4.0877315806522372</v>
      </c>
      <c r="BH517">
        <v>8.3333333333333301E-2</v>
      </c>
      <c r="BI517">
        <v>0.15593389905625901</v>
      </c>
      <c r="BJ517">
        <v>80</v>
      </c>
      <c r="BK517">
        <v>6204.4728196686992</v>
      </c>
      <c r="BL517">
        <v>4301.2062790728232</v>
      </c>
      <c r="BM517">
        <v>7.1079539522646797</v>
      </c>
      <c r="BN517">
        <v>1208.3521718849961</v>
      </c>
      <c r="BO517">
        <v>4996.120647783704</v>
      </c>
    </row>
    <row r="518" spans="1:67" x14ac:dyDescent="0.25">
      <c r="A518" s="1">
        <v>516</v>
      </c>
      <c r="B518" t="s">
        <v>73</v>
      </c>
      <c r="C518" t="s">
        <v>85</v>
      </c>
      <c r="D518">
        <v>1</v>
      </c>
      <c r="E518">
        <v>1</v>
      </c>
      <c r="F518">
        <v>2</v>
      </c>
      <c r="G518">
        <v>45.016539999999999</v>
      </c>
      <c r="H518">
        <v>2</v>
      </c>
      <c r="I518" t="s">
        <v>89</v>
      </c>
      <c r="J518">
        <v>4</v>
      </c>
      <c r="K518">
        <v>300</v>
      </c>
      <c r="L518">
        <v>70</v>
      </c>
      <c r="N518" t="s">
        <v>82</v>
      </c>
      <c r="O518">
        <v>30</v>
      </c>
      <c r="P518">
        <v>0.5</v>
      </c>
      <c r="Q518">
        <v>3.2500000000000001E-2</v>
      </c>
      <c r="R518">
        <v>77.5</v>
      </c>
      <c r="S518">
        <v>170</v>
      </c>
      <c r="T518">
        <v>20</v>
      </c>
      <c r="U518">
        <v>1812.1301775147931</v>
      </c>
      <c r="V518">
        <v>20</v>
      </c>
      <c r="W518">
        <v>0.95</v>
      </c>
      <c r="X518">
        <v>1</v>
      </c>
      <c r="Y518">
        <v>74916.586896496257</v>
      </c>
      <c r="Z518">
        <v>224749760.6894888</v>
      </c>
      <c r="AA518">
        <v>898999042.75795507</v>
      </c>
      <c r="AB518">
        <v>898999.04275795503</v>
      </c>
      <c r="AC518">
        <v>0</v>
      </c>
      <c r="AD518">
        <v>2329.367106215258</v>
      </c>
      <c r="AE518">
        <v>4192860.7911874638</v>
      </c>
      <c r="AF518">
        <v>2935002.5538312239</v>
      </c>
      <c r="AG518">
        <v>132.1236598646455</v>
      </c>
      <c r="AH518">
        <v>922.63901710080131</v>
      </c>
      <c r="AI518">
        <v>184.5278034201603</v>
      </c>
      <c r="AJ518">
        <v>29217.468889633539</v>
      </c>
      <c r="AK518">
        <v>854.70085470085473</v>
      </c>
      <c r="AL518" t="s">
        <v>93</v>
      </c>
      <c r="AM518">
        <v>71504.523825312106</v>
      </c>
      <c r="AN518">
        <v>836.05247001525413</v>
      </c>
      <c r="AO518">
        <v>31369.72658142725</v>
      </c>
      <c r="AP518">
        <v>102412.7460396618</v>
      </c>
      <c r="AQ518">
        <v>71043.019458234514</v>
      </c>
      <c r="AR518">
        <v>9.9548359341269845E-3</v>
      </c>
      <c r="AS518">
        <v>221.13729607222109</v>
      </c>
      <c r="AT518">
        <v>541.19393830420051</v>
      </c>
      <c r="AU518">
        <v>6.3278028391867958</v>
      </c>
      <c r="AV518">
        <v>237.42701809474599</v>
      </c>
      <c r="AW518">
        <v>775.12798347077933</v>
      </c>
      <c r="AX518">
        <v>537.70096537603331</v>
      </c>
      <c r="AY518">
        <v>1.396629518204388</v>
      </c>
      <c r="AZ518" t="s">
        <v>134</v>
      </c>
      <c r="BA518" t="str">
        <f>VLOOKUP($AZ518,Sheet1!$A$2:$B$58,2)</f>
        <v>Isobutyrate</v>
      </c>
      <c r="BB518" t="s">
        <v>170</v>
      </c>
      <c r="BC518">
        <v>87.095680000000002</v>
      </c>
      <c r="BD518">
        <v>4.75</v>
      </c>
      <c r="BE518">
        <v>155</v>
      </c>
      <c r="BF518" t="s">
        <v>206</v>
      </c>
      <c r="BG518">
        <v>3.0318380888696201</v>
      </c>
      <c r="BH518">
        <v>0.1</v>
      </c>
      <c r="BI518">
        <v>0.189216677963745</v>
      </c>
      <c r="BJ518">
        <v>80</v>
      </c>
      <c r="BK518">
        <v>5120.6373019830889</v>
      </c>
      <c r="BL518">
        <v>3552.1509729117261</v>
      </c>
      <c r="BM518">
        <v>6.1945520821383919</v>
      </c>
      <c r="BN518">
        <v>1053.073853963527</v>
      </c>
      <c r="BO518">
        <v>4067.5634480195622</v>
      </c>
    </row>
    <row r="519" spans="1:67" x14ac:dyDescent="0.25">
      <c r="A519" s="1">
        <v>517</v>
      </c>
      <c r="B519" t="s">
        <v>73</v>
      </c>
      <c r="C519" t="s">
        <v>85</v>
      </c>
      <c r="D519">
        <v>1</v>
      </c>
      <c r="E519">
        <v>1</v>
      </c>
      <c r="F519">
        <v>2</v>
      </c>
      <c r="G519">
        <v>45.016539999999999</v>
      </c>
      <c r="H519">
        <v>2</v>
      </c>
      <c r="I519" t="s">
        <v>89</v>
      </c>
      <c r="J519">
        <v>4</v>
      </c>
      <c r="K519">
        <v>300</v>
      </c>
      <c r="L519">
        <v>70</v>
      </c>
      <c r="N519" t="s">
        <v>82</v>
      </c>
      <c r="O519">
        <v>30</v>
      </c>
      <c r="P519">
        <v>0.5</v>
      </c>
      <c r="Q519">
        <v>3.2500000000000001E-2</v>
      </c>
      <c r="R519">
        <v>77.5</v>
      </c>
      <c r="S519">
        <v>170</v>
      </c>
      <c r="T519">
        <v>20</v>
      </c>
      <c r="U519">
        <v>1812.1301775147931</v>
      </c>
      <c r="V519">
        <v>20</v>
      </c>
      <c r="W519">
        <v>0.95</v>
      </c>
      <c r="X519">
        <v>1</v>
      </c>
      <c r="Y519">
        <v>219334.2049317499</v>
      </c>
      <c r="Z519">
        <v>658002614.79524958</v>
      </c>
      <c r="AA519">
        <v>2632010459.1809978</v>
      </c>
      <c r="AB519">
        <v>2632010.4591809982</v>
      </c>
      <c r="AC519">
        <v>66773.504273504266</v>
      </c>
      <c r="AD519">
        <v>6819.7164793660531</v>
      </c>
      <c r="AE519">
        <v>12275489.6628589</v>
      </c>
      <c r="AF519">
        <v>8592842.7640012261</v>
      </c>
      <c r="AG519">
        <v>386.82004999937169</v>
      </c>
      <c r="AH519">
        <v>2701.2215003121</v>
      </c>
      <c r="AI519">
        <v>540.24430006242005</v>
      </c>
      <c r="AJ519">
        <v>85540.339923382446</v>
      </c>
      <c r="AK519">
        <v>2170.1388888888891</v>
      </c>
      <c r="AL519" t="s">
        <v>95</v>
      </c>
      <c r="AM519">
        <v>209344.6662741878</v>
      </c>
      <c r="AN519">
        <v>2447.7210106404032</v>
      </c>
      <c r="AO519">
        <v>91841.531010611405</v>
      </c>
      <c r="AP519">
        <v>299502.8660970995</v>
      </c>
      <c r="AQ519">
        <v>207661.33508648811</v>
      </c>
      <c r="AR519">
        <v>9.9548359341269845E-3</v>
      </c>
      <c r="AS519">
        <v>221.13729607222109</v>
      </c>
      <c r="AT519">
        <v>541.19393830420051</v>
      </c>
      <c r="AU519">
        <v>6.3278028391867966</v>
      </c>
      <c r="AV519">
        <v>237.4270180947461</v>
      </c>
      <c r="AW519">
        <v>774.26923991552644</v>
      </c>
      <c r="AX519">
        <v>536.84222182078042</v>
      </c>
      <c r="AY519">
        <v>1.3966295182043891</v>
      </c>
      <c r="AZ519" t="s">
        <v>135</v>
      </c>
      <c r="BA519" t="str">
        <f>VLOOKUP($AZ519,Sheet1!$A$2:$B$58,2)</f>
        <v>Isoprene</v>
      </c>
      <c r="BB519" t="s">
        <v>184</v>
      </c>
      <c r="BC519">
        <v>68.116219999999998</v>
      </c>
      <c r="BD519">
        <v>5.6</v>
      </c>
      <c r="BE519">
        <v>34.07</v>
      </c>
      <c r="BF519" t="s">
        <v>206</v>
      </c>
      <c r="BG519">
        <v>8.6891610212415955</v>
      </c>
      <c r="BH519">
        <v>4.3673469387755202E-2</v>
      </c>
      <c r="BI519">
        <v>6.4629535103055302E-2</v>
      </c>
      <c r="BJ519">
        <v>80</v>
      </c>
      <c r="BK519">
        <v>14975.14330485497</v>
      </c>
      <c r="BL519">
        <v>10383.0667543244</v>
      </c>
      <c r="BM519">
        <v>18.323053981879401</v>
      </c>
      <c r="BN519">
        <v>3114.919176919499</v>
      </c>
      <c r="BO519">
        <v>11860.224127935469</v>
      </c>
    </row>
    <row r="520" spans="1:67" x14ac:dyDescent="0.25">
      <c r="A520" s="1">
        <v>518</v>
      </c>
      <c r="B520" t="s">
        <v>73</v>
      </c>
      <c r="C520" t="s">
        <v>85</v>
      </c>
      <c r="D520">
        <v>1</v>
      </c>
      <c r="E520">
        <v>1</v>
      </c>
      <c r="F520">
        <v>2</v>
      </c>
      <c r="G520">
        <v>45.016539999999999</v>
      </c>
      <c r="H520">
        <v>2</v>
      </c>
      <c r="I520" t="s">
        <v>89</v>
      </c>
      <c r="J520">
        <v>4</v>
      </c>
      <c r="K520">
        <v>300</v>
      </c>
      <c r="L520">
        <v>70</v>
      </c>
      <c r="N520" t="s">
        <v>82</v>
      </c>
      <c r="O520">
        <v>30</v>
      </c>
      <c r="P520">
        <v>0.5</v>
      </c>
      <c r="Q520">
        <v>3.2500000000000001E-2</v>
      </c>
      <c r="R520">
        <v>77.5</v>
      </c>
      <c r="S520">
        <v>170</v>
      </c>
      <c r="T520">
        <v>20</v>
      </c>
      <c r="U520">
        <v>1812.1301775147931</v>
      </c>
      <c r="V520">
        <v>20</v>
      </c>
      <c r="W520">
        <v>0.95</v>
      </c>
      <c r="X520">
        <v>1</v>
      </c>
      <c r="Y520">
        <v>97720.863328816253</v>
      </c>
      <c r="Z520">
        <v>293162589.98644882</v>
      </c>
      <c r="AA520">
        <v>1172650359.9457951</v>
      </c>
      <c r="AB520">
        <v>1172650.359945795</v>
      </c>
      <c r="AC520">
        <v>0</v>
      </c>
      <c r="AD520">
        <v>3038.4161112890638</v>
      </c>
      <c r="AE520">
        <v>5469149.0003203154</v>
      </c>
      <c r="AF520">
        <v>3828404.3002242199</v>
      </c>
      <c r="AG520">
        <v>172.3415153172156</v>
      </c>
      <c r="AH520">
        <v>1203.486237520485</v>
      </c>
      <c r="AI520">
        <v>240.69724750409711</v>
      </c>
      <c r="AJ520">
        <v>38111.136698238341</v>
      </c>
      <c r="AK520">
        <v>854.70085470085473</v>
      </c>
      <c r="AL520" t="s">
        <v>93</v>
      </c>
      <c r="AM520">
        <v>93270.183407837612</v>
      </c>
      <c r="AN520">
        <v>1090.543129934031</v>
      </c>
      <c r="AO520">
        <v>40918.532075696501</v>
      </c>
      <c r="AP520">
        <v>133326.5640907108</v>
      </c>
      <c r="AQ520">
        <v>92408.032015014323</v>
      </c>
      <c r="AR520">
        <v>9.9548359341269845E-3</v>
      </c>
      <c r="AS520">
        <v>221.13729607222109</v>
      </c>
      <c r="AT520">
        <v>541.19393830420051</v>
      </c>
      <c r="AU520">
        <v>6.3278028391867949</v>
      </c>
      <c r="AV520">
        <v>237.42701809474599</v>
      </c>
      <c r="AW520">
        <v>773.61838118521246</v>
      </c>
      <c r="AX520">
        <v>536.19136309046644</v>
      </c>
      <c r="AY520">
        <v>1.396629518204388</v>
      </c>
      <c r="AZ520" t="s">
        <v>136</v>
      </c>
      <c r="BA520" t="str">
        <f>VLOOKUP($AZ520,Sheet1!$A$2:$B$58,2)</f>
        <v>Isopropanol</v>
      </c>
      <c r="BB520" t="s">
        <v>156</v>
      </c>
      <c r="BC520">
        <v>60.093820000000001</v>
      </c>
      <c r="BD520">
        <v>6</v>
      </c>
      <c r="BE520">
        <v>82.5</v>
      </c>
      <c r="BF520" t="s">
        <v>206</v>
      </c>
      <c r="BG520">
        <v>4.3941290468803667</v>
      </c>
      <c r="BH520">
        <v>0.11111111111111099</v>
      </c>
      <c r="BI520">
        <v>0.14506081111091801</v>
      </c>
      <c r="BJ520">
        <v>80</v>
      </c>
      <c r="BK520">
        <v>6666.3282045355418</v>
      </c>
      <c r="BL520">
        <v>4620.4016007507171</v>
      </c>
      <c r="BM520">
        <v>7.6407333283244894</v>
      </c>
      <c r="BN520">
        <v>1298.9246658151631</v>
      </c>
      <c r="BO520">
        <v>5367.4035387203776</v>
      </c>
    </row>
    <row r="521" spans="1:67" x14ac:dyDescent="0.25">
      <c r="A521" s="1">
        <v>519</v>
      </c>
      <c r="B521" t="s">
        <v>73</v>
      </c>
      <c r="C521" t="s">
        <v>85</v>
      </c>
      <c r="D521">
        <v>1</v>
      </c>
      <c r="E521">
        <v>1</v>
      </c>
      <c r="F521">
        <v>2</v>
      </c>
      <c r="G521">
        <v>45.016539999999999</v>
      </c>
      <c r="H521">
        <v>2</v>
      </c>
      <c r="I521" t="s">
        <v>89</v>
      </c>
      <c r="J521">
        <v>4</v>
      </c>
      <c r="K521">
        <v>300</v>
      </c>
      <c r="L521">
        <v>70</v>
      </c>
      <c r="N521" t="s">
        <v>82</v>
      </c>
      <c r="O521">
        <v>30</v>
      </c>
      <c r="P521">
        <v>0.5</v>
      </c>
      <c r="Q521">
        <v>3.2500000000000001E-2</v>
      </c>
      <c r="R521">
        <v>77.5</v>
      </c>
      <c r="S521">
        <v>170</v>
      </c>
      <c r="T521">
        <v>20</v>
      </c>
      <c r="U521">
        <v>1812.1301775147931</v>
      </c>
      <c r="V521">
        <v>20</v>
      </c>
      <c r="W521">
        <v>0.95</v>
      </c>
      <c r="X521">
        <v>1</v>
      </c>
      <c r="Y521">
        <v>67845.562762541158</v>
      </c>
      <c r="Z521">
        <v>203536688.28762349</v>
      </c>
      <c r="AA521">
        <v>814146753.15049386</v>
      </c>
      <c r="AB521">
        <v>814146.75315049384</v>
      </c>
      <c r="AC521">
        <v>0</v>
      </c>
      <c r="AD521">
        <v>2109.5091053743308</v>
      </c>
      <c r="AE521">
        <v>3797116.3896737951</v>
      </c>
      <c r="AF521">
        <v>2657981.4727716558</v>
      </c>
      <c r="AG521">
        <v>119.65312928828421</v>
      </c>
      <c r="AH521">
        <v>835.55546154771855</v>
      </c>
      <c r="AI521">
        <v>167.11109230954369</v>
      </c>
      <c r="AJ521">
        <v>26459.769477391052</v>
      </c>
      <c r="AK521">
        <v>854.70085470085473</v>
      </c>
      <c r="AL521" t="s">
        <v>93</v>
      </c>
      <c r="AM521">
        <v>64755.548269948187</v>
      </c>
      <c r="AN521">
        <v>757.14141122798947</v>
      </c>
      <c r="AO521">
        <v>28408.885692622429</v>
      </c>
      <c r="AP521">
        <v>92827.160013268091</v>
      </c>
      <c r="AQ521">
        <v>64418.274320645658</v>
      </c>
      <c r="AR521">
        <v>9.9548359341269863E-3</v>
      </c>
      <c r="AS521">
        <v>221.13729607222109</v>
      </c>
      <c r="AT521">
        <v>541.19393830420051</v>
      </c>
      <c r="AU521">
        <v>6.3278028391867966</v>
      </c>
      <c r="AV521">
        <v>237.42701809474599</v>
      </c>
      <c r="AW521">
        <v>775.8021922654159</v>
      </c>
      <c r="AX521">
        <v>538.37517417066988</v>
      </c>
      <c r="AY521">
        <v>1.3966295182043891</v>
      </c>
      <c r="AZ521" t="s">
        <v>137</v>
      </c>
      <c r="BA521" t="str">
        <f>VLOOKUP($AZ521,Sheet1!$A$2:$B$58,2)</f>
        <v>Itaconate</v>
      </c>
      <c r="BB521" t="s">
        <v>185</v>
      </c>
      <c r="BC521">
        <v>128.08086</v>
      </c>
      <c r="BD521">
        <v>3.2</v>
      </c>
      <c r="BE521">
        <v>381</v>
      </c>
      <c r="BF521" t="s">
        <v>206</v>
      </c>
      <c r="BG521">
        <v>2.1162587680208751</v>
      </c>
      <c r="BH521">
        <v>7.5087719298245606E-2</v>
      </c>
      <c r="BI521">
        <v>0.208937285206864</v>
      </c>
      <c r="BJ521">
        <v>80</v>
      </c>
      <c r="BK521">
        <v>4641.3580006634047</v>
      </c>
      <c r="BL521">
        <v>3220.913716032283</v>
      </c>
      <c r="BM521">
        <v>6.2392958474563116</v>
      </c>
      <c r="BN521">
        <v>1060.680294067573</v>
      </c>
      <c r="BO521">
        <v>3580.6777065958308</v>
      </c>
    </row>
    <row r="522" spans="1:67" x14ac:dyDescent="0.25">
      <c r="A522" s="1">
        <v>520</v>
      </c>
      <c r="B522" t="s">
        <v>73</v>
      </c>
      <c r="C522" t="s">
        <v>85</v>
      </c>
      <c r="D522">
        <v>1</v>
      </c>
      <c r="E522">
        <v>1</v>
      </c>
      <c r="F522">
        <v>2</v>
      </c>
      <c r="G522">
        <v>45.016539999999999</v>
      </c>
      <c r="H522">
        <v>2</v>
      </c>
      <c r="I522" t="s">
        <v>89</v>
      </c>
      <c r="J522">
        <v>4</v>
      </c>
      <c r="K522">
        <v>300</v>
      </c>
      <c r="L522">
        <v>70</v>
      </c>
      <c r="N522" t="s">
        <v>82</v>
      </c>
      <c r="O522">
        <v>30</v>
      </c>
      <c r="P522">
        <v>0.5</v>
      </c>
      <c r="Q522">
        <v>3.2500000000000001E-2</v>
      </c>
      <c r="R522">
        <v>77.5</v>
      </c>
      <c r="S522">
        <v>170</v>
      </c>
      <c r="T522">
        <v>20</v>
      </c>
      <c r="U522">
        <v>1812.1301775147931</v>
      </c>
      <c r="V522">
        <v>20</v>
      </c>
      <c r="W522">
        <v>0.95</v>
      </c>
      <c r="X522">
        <v>1</v>
      </c>
      <c r="Y522">
        <v>214857.99666783659</v>
      </c>
      <c r="Z522">
        <v>644573990.00350976</v>
      </c>
      <c r="AA522">
        <v>2578295960.014039</v>
      </c>
      <c r="AB522">
        <v>2578295.9600140392</v>
      </c>
      <c r="AC522">
        <v>0</v>
      </c>
      <c r="AD522">
        <v>6680.5385920320523</v>
      </c>
      <c r="AE522">
        <v>12024969.465657691</v>
      </c>
      <c r="AF522">
        <v>8417478.6259603854</v>
      </c>
      <c r="AG522">
        <v>378.92576326469072</v>
      </c>
      <c r="AH522">
        <v>2646.0945309179751</v>
      </c>
      <c r="AI522">
        <v>529.2189061835951</v>
      </c>
      <c r="AJ522">
        <v>83794.618700456282</v>
      </c>
      <c r="AK522">
        <v>854.70085470085473</v>
      </c>
      <c r="AL522" t="s">
        <v>93</v>
      </c>
      <c r="AM522">
        <v>205072.32614614311</v>
      </c>
      <c r="AN522">
        <v>2397.7675206273339</v>
      </c>
      <c r="AO522">
        <v>89967.214051211165</v>
      </c>
      <c r="AP522">
        <v>292119.41322192759</v>
      </c>
      <c r="AQ522">
        <v>202152.1991707164</v>
      </c>
      <c r="AR522">
        <v>9.9548359341269845E-3</v>
      </c>
      <c r="AS522">
        <v>221.13729607222109</v>
      </c>
      <c r="AT522">
        <v>541.1939383042004</v>
      </c>
      <c r="AU522">
        <v>6.3278028391867966</v>
      </c>
      <c r="AV522">
        <v>237.42701809474599</v>
      </c>
      <c r="AW522">
        <v>770.91462640367808</v>
      </c>
      <c r="AX522">
        <v>533.48760830893207</v>
      </c>
      <c r="AY522">
        <v>1.396629518204388</v>
      </c>
      <c r="AZ522" t="s">
        <v>138</v>
      </c>
      <c r="BA522" t="str">
        <f>VLOOKUP($AZ522,Sheet1!$A$2:$B$58,2)</f>
        <v>Limonene</v>
      </c>
      <c r="BB522" t="s">
        <v>186</v>
      </c>
      <c r="BC522">
        <v>136.23244</v>
      </c>
      <c r="BD522">
        <v>5.6</v>
      </c>
      <c r="BE522">
        <v>176</v>
      </c>
      <c r="BF522" t="s">
        <v>206</v>
      </c>
      <c r="BG522">
        <v>8.5382026991213458</v>
      </c>
      <c r="BH522">
        <v>2.2291666666666699E-2</v>
      </c>
      <c r="BI522">
        <v>6.5975983751035597E-2</v>
      </c>
      <c r="BJ522">
        <v>80</v>
      </c>
      <c r="BK522">
        <v>14605.97066109638</v>
      </c>
      <c r="BL522">
        <v>10107.609958535821</v>
      </c>
      <c r="BM522">
        <v>17.922742610058421</v>
      </c>
      <c r="BN522">
        <v>3046.866243709931</v>
      </c>
      <c r="BO522">
        <v>11559.10441738645</v>
      </c>
    </row>
    <row r="523" spans="1:67" x14ac:dyDescent="0.25">
      <c r="A523" s="1">
        <v>521</v>
      </c>
      <c r="B523" t="s">
        <v>73</v>
      </c>
      <c r="C523" t="s">
        <v>85</v>
      </c>
      <c r="D523">
        <v>1</v>
      </c>
      <c r="E523">
        <v>1</v>
      </c>
      <c r="F523">
        <v>2</v>
      </c>
      <c r="G523">
        <v>45.016539999999999</v>
      </c>
      <c r="H523">
        <v>2</v>
      </c>
      <c r="I523" t="s">
        <v>89</v>
      </c>
      <c r="J523">
        <v>4</v>
      </c>
      <c r="K523">
        <v>300</v>
      </c>
      <c r="L523">
        <v>70</v>
      </c>
      <c r="N523" t="s">
        <v>82</v>
      </c>
      <c r="O523">
        <v>30</v>
      </c>
      <c r="P523">
        <v>0.5</v>
      </c>
      <c r="Q523">
        <v>3.2500000000000001E-2</v>
      </c>
      <c r="R523">
        <v>77.5</v>
      </c>
      <c r="S523">
        <v>170</v>
      </c>
      <c r="T523">
        <v>20</v>
      </c>
      <c r="U523">
        <v>1812.1301775147931</v>
      </c>
      <c r="V523">
        <v>20</v>
      </c>
      <c r="W523">
        <v>0.95</v>
      </c>
      <c r="X523">
        <v>1</v>
      </c>
      <c r="Y523">
        <v>80786.29371432132</v>
      </c>
      <c r="Z523">
        <v>242358881.14296389</v>
      </c>
      <c r="AA523">
        <v>969435524.57185578</v>
      </c>
      <c r="AB523">
        <v>969435.52457185579</v>
      </c>
      <c r="AC523">
        <v>0</v>
      </c>
      <c r="AD523">
        <v>2511.8727775355369</v>
      </c>
      <c r="AE523">
        <v>4521370.9995639669</v>
      </c>
      <c r="AF523">
        <v>3164959.699694776</v>
      </c>
      <c r="AG523">
        <v>142.47553491969791</v>
      </c>
      <c r="AH523">
        <v>994.92768845405078</v>
      </c>
      <c r="AI523">
        <v>198.98553769081019</v>
      </c>
      <c r="AJ523">
        <v>31506.654548585309</v>
      </c>
      <c r="AK523">
        <v>854.70085470085473</v>
      </c>
      <c r="AL523" t="s">
        <v>93</v>
      </c>
      <c r="AM523">
        <v>77106.895855188937</v>
      </c>
      <c r="AN523">
        <v>901.55709437952203</v>
      </c>
      <c r="AO523">
        <v>33827.541407437733</v>
      </c>
      <c r="AP523">
        <v>110369.8083528546</v>
      </c>
      <c r="AQ523">
        <v>76542.266945416894</v>
      </c>
      <c r="AR523">
        <v>9.9548359341269863E-3</v>
      </c>
      <c r="AS523">
        <v>221.13729607222109</v>
      </c>
      <c r="AT523">
        <v>541.19393830420051</v>
      </c>
      <c r="AU523">
        <v>6.3278028391867966</v>
      </c>
      <c r="AV523">
        <v>237.42701809474599</v>
      </c>
      <c r="AW523">
        <v>774.65796787540614</v>
      </c>
      <c r="AX523">
        <v>537.23094978066013</v>
      </c>
      <c r="AY523">
        <v>1.396629518204388</v>
      </c>
      <c r="AZ523" t="s">
        <v>139</v>
      </c>
      <c r="BA523" t="str">
        <f>VLOOKUP($AZ523,Sheet1!$A$2:$B$58,2)</f>
        <v>L-Lysine</v>
      </c>
      <c r="BB523" t="s">
        <v>187</v>
      </c>
      <c r="BC523">
        <v>147.19319999999999</v>
      </c>
      <c r="BD523">
        <v>4.833333333333333</v>
      </c>
      <c r="BF523" t="s">
        <v>206</v>
      </c>
      <c r="BG523">
        <v>3.023480031241792</v>
      </c>
      <c r="BH523">
        <v>5.4871794871794902E-2</v>
      </c>
      <c r="BI523">
        <v>0.17546872179908299</v>
      </c>
      <c r="BJ523">
        <v>80</v>
      </c>
      <c r="BK523">
        <v>5518.4904176427308</v>
      </c>
      <c r="BL523">
        <v>3827.1133472708452</v>
      </c>
      <c r="BM523">
        <v>6.9257968532987153</v>
      </c>
      <c r="BN523">
        <v>1177.3854650607821</v>
      </c>
      <c r="BO523">
        <v>4341.104952581949</v>
      </c>
    </row>
    <row r="524" spans="1:67" x14ac:dyDescent="0.25">
      <c r="A524" s="1">
        <v>522</v>
      </c>
      <c r="B524" t="s">
        <v>73</v>
      </c>
      <c r="C524" t="s">
        <v>85</v>
      </c>
      <c r="D524">
        <v>1</v>
      </c>
      <c r="E524">
        <v>1</v>
      </c>
      <c r="F524">
        <v>2</v>
      </c>
      <c r="G524">
        <v>45.016539999999999</v>
      </c>
      <c r="H524">
        <v>2</v>
      </c>
      <c r="I524" t="s">
        <v>89</v>
      </c>
      <c r="J524">
        <v>4</v>
      </c>
      <c r="K524">
        <v>300</v>
      </c>
      <c r="L524">
        <v>70</v>
      </c>
      <c r="N524" t="s">
        <v>82</v>
      </c>
      <c r="O524">
        <v>30</v>
      </c>
      <c r="P524">
        <v>0.5</v>
      </c>
      <c r="Q524">
        <v>3.2500000000000001E-2</v>
      </c>
      <c r="R524">
        <v>77.5</v>
      </c>
      <c r="S524">
        <v>170</v>
      </c>
      <c r="T524">
        <v>20</v>
      </c>
      <c r="U524">
        <v>1812.1301775147931</v>
      </c>
      <c r="V524">
        <v>20</v>
      </c>
      <c r="W524">
        <v>0.95</v>
      </c>
      <c r="X524">
        <v>1</v>
      </c>
      <c r="Y524">
        <v>53099.110329938339</v>
      </c>
      <c r="Z524">
        <v>159297330.989815</v>
      </c>
      <c r="AA524">
        <v>637189323.95926011</v>
      </c>
      <c r="AB524">
        <v>637189.32395926013</v>
      </c>
      <c r="AC524">
        <v>0</v>
      </c>
      <c r="AD524">
        <v>1651.000480611028</v>
      </c>
      <c r="AE524">
        <v>2971800.865099851</v>
      </c>
      <c r="AF524">
        <v>2080260.6055698949</v>
      </c>
      <c r="AG524">
        <v>93.646134761061404</v>
      </c>
      <c r="AH524">
        <v>653.94478036522207</v>
      </c>
      <c r="AI524">
        <v>130.7889560730444</v>
      </c>
      <c r="AJ524">
        <v>20708.653028675959</v>
      </c>
      <c r="AK524">
        <v>854.70085470085473</v>
      </c>
      <c r="AL524" t="s">
        <v>93</v>
      </c>
      <c r="AM524">
        <v>50680.720478304713</v>
      </c>
      <c r="AN524">
        <v>592.57427741991364</v>
      </c>
      <c r="AO524">
        <v>22234.12253241755</v>
      </c>
      <c r="AP524">
        <v>72836.648639101448</v>
      </c>
      <c r="AQ524">
        <v>50602.526106683887</v>
      </c>
      <c r="AR524">
        <v>9.9548359341269863E-3</v>
      </c>
      <c r="AS524">
        <v>221.13729607222109</v>
      </c>
      <c r="AT524">
        <v>541.19393830420051</v>
      </c>
      <c r="AU524">
        <v>6.3278028391867958</v>
      </c>
      <c r="AV524">
        <v>237.4270180947461</v>
      </c>
      <c r="AW524">
        <v>777.78595801038159</v>
      </c>
      <c r="AX524">
        <v>540.35893991563557</v>
      </c>
      <c r="AY524">
        <v>1.3966295182043891</v>
      </c>
      <c r="AZ524" t="s">
        <v>140</v>
      </c>
      <c r="BA524" t="str">
        <f>VLOOKUP($AZ524,Sheet1!$A$2:$B$58,2)</f>
        <v>L-Malate</v>
      </c>
      <c r="BB524" t="s">
        <v>188</v>
      </c>
      <c r="BC524">
        <v>132.06916000000001</v>
      </c>
      <c r="BD524">
        <v>2.5</v>
      </c>
      <c r="BF524" t="s">
        <v>206</v>
      </c>
      <c r="BG524">
        <v>1.457511628366515</v>
      </c>
      <c r="BH524">
        <v>9.3043478260869603E-2</v>
      </c>
      <c r="BI524">
        <v>0.266962433247113</v>
      </c>
      <c r="BJ524">
        <v>80</v>
      </c>
      <c r="BK524">
        <v>3641.8324319550711</v>
      </c>
      <c r="BL524">
        <v>2530.1263053341941</v>
      </c>
      <c r="BM524">
        <v>5.0819361752857057</v>
      </c>
      <c r="BN524">
        <v>863.92914979856994</v>
      </c>
      <c r="BO524">
        <v>2777.9032821565011</v>
      </c>
    </row>
    <row r="525" spans="1:67" x14ac:dyDescent="0.25">
      <c r="A525" s="1">
        <v>523</v>
      </c>
      <c r="B525" t="s">
        <v>73</v>
      </c>
      <c r="C525" t="s">
        <v>85</v>
      </c>
      <c r="D525">
        <v>1</v>
      </c>
      <c r="E525">
        <v>1</v>
      </c>
      <c r="F525">
        <v>2</v>
      </c>
      <c r="G525">
        <v>45.016539999999999</v>
      </c>
      <c r="H525">
        <v>2</v>
      </c>
      <c r="I525" t="s">
        <v>89</v>
      </c>
      <c r="J525">
        <v>4</v>
      </c>
      <c r="K525">
        <v>300</v>
      </c>
      <c r="L525">
        <v>70</v>
      </c>
      <c r="N525" t="s">
        <v>82</v>
      </c>
      <c r="O525">
        <v>30</v>
      </c>
      <c r="P525">
        <v>0.5</v>
      </c>
      <c r="Q525">
        <v>3.2500000000000001E-2</v>
      </c>
      <c r="R525">
        <v>77.5</v>
      </c>
      <c r="S525">
        <v>170</v>
      </c>
      <c r="T525">
        <v>20</v>
      </c>
      <c r="U525">
        <v>1812.1301775147931</v>
      </c>
      <c r="V525">
        <v>20</v>
      </c>
      <c r="W525">
        <v>0.95</v>
      </c>
      <c r="X525">
        <v>1</v>
      </c>
      <c r="Y525">
        <v>59759.132182389549</v>
      </c>
      <c r="Z525">
        <v>179277396.54716861</v>
      </c>
      <c r="AA525">
        <v>717109586.18867457</v>
      </c>
      <c r="AB525">
        <v>717109.58618867456</v>
      </c>
      <c r="AC525">
        <v>0</v>
      </c>
      <c r="AD525">
        <v>1858.0792661302889</v>
      </c>
      <c r="AE525">
        <v>3344542.6790345209</v>
      </c>
      <c r="AF525">
        <v>2341179.875324165</v>
      </c>
      <c r="AG525">
        <v>105.3918175047253</v>
      </c>
      <c r="AH525">
        <v>735.96661652154614</v>
      </c>
      <c r="AI525">
        <v>147.19332330430919</v>
      </c>
      <c r="AJ525">
        <v>23306.061551131919</v>
      </c>
      <c r="AK525">
        <v>854.70085470085473</v>
      </c>
      <c r="AL525" t="s">
        <v>93</v>
      </c>
      <c r="AM525">
        <v>57037.412780419829</v>
      </c>
      <c r="AN525">
        <v>666.89864203345712</v>
      </c>
      <c r="AO525">
        <v>25022.864961732568</v>
      </c>
      <c r="AP525">
        <v>81865.073828286069</v>
      </c>
      <c r="AQ525">
        <v>56842.208866553498</v>
      </c>
      <c r="AR525">
        <v>9.9548359341269828E-3</v>
      </c>
      <c r="AS525">
        <v>221.13729607222109</v>
      </c>
      <c r="AT525">
        <v>541.19393830420029</v>
      </c>
      <c r="AU525">
        <v>6.3278028391867958</v>
      </c>
      <c r="AV525">
        <v>237.42701809474599</v>
      </c>
      <c r="AW525">
        <v>776.76878306625292</v>
      </c>
      <c r="AX525">
        <v>539.3417649715069</v>
      </c>
      <c r="AY525">
        <v>1.396629518204388</v>
      </c>
      <c r="AZ525" t="s">
        <v>141</v>
      </c>
      <c r="BA525" t="str">
        <f>VLOOKUP($AZ525,Sheet1!$A$2:$B$58,2)</f>
        <v>Malonate</v>
      </c>
      <c r="BB525" t="s">
        <v>189</v>
      </c>
      <c r="BC525">
        <v>102.04378</v>
      </c>
      <c r="BD525">
        <v>2</v>
      </c>
      <c r="BE525">
        <v>199</v>
      </c>
      <c r="BF525" t="s">
        <v>206</v>
      </c>
      <c r="BG525">
        <v>1.5840672073053019</v>
      </c>
      <c r="BH525">
        <v>0.107</v>
      </c>
      <c r="BI525">
        <v>0.237210066131359</v>
      </c>
      <c r="BJ525">
        <v>80</v>
      </c>
      <c r="BK525">
        <v>4093.2536914143029</v>
      </c>
      <c r="BL525">
        <v>2842.1104433276741</v>
      </c>
      <c r="BM525">
        <v>5.7755989579101614</v>
      </c>
      <c r="BN525">
        <v>981.85182284472728</v>
      </c>
      <c r="BO525">
        <v>3111.401868569576</v>
      </c>
    </row>
    <row r="526" spans="1:67" x14ac:dyDescent="0.25">
      <c r="A526" s="1">
        <v>524</v>
      </c>
      <c r="B526" t="s">
        <v>73</v>
      </c>
      <c r="C526" t="s">
        <v>85</v>
      </c>
      <c r="D526">
        <v>1</v>
      </c>
      <c r="E526">
        <v>1</v>
      </c>
      <c r="F526">
        <v>2</v>
      </c>
      <c r="G526">
        <v>45.016539999999999</v>
      </c>
      <c r="H526">
        <v>2</v>
      </c>
      <c r="I526" t="s">
        <v>89</v>
      </c>
      <c r="J526">
        <v>4</v>
      </c>
      <c r="K526">
        <v>300</v>
      </c>
      <c r="L526">
        <v>70</v>
      </c>
      <c r="N526" t="s">
        <v>82</v>
      </c>
      <c r="O526">
        <v>30</v>
      </c>
      <c r="P526">
        <v>0.5</v>
      </c>
      <c r="Q526">
        <v>3.2500000000000001E-2</v>
      </c>
      <c r="R526">
        <v>77.5</v>
      </c>
      <c r="S526">
        <v>170</v>
      </c>
      <c r="T526">
        <v>20</v>
      </c>
      <c r="U526">
        <v>1812.1301775147931</v>
      </c>
      <c r="V526">
        <v>20</v>
      </c>
      <c r="W526">
        <v>0.95</v>
      </c>
      <c r="X526">
        <v>1</v>
      </c>
      <c r="Y526">
        <v>142450.7557422191</v>
      </c>
      <c r="Z526">
        <v>427352267.22665727</v>
      </c>
      <c r="AA526">
        <v>1709409068.9066291</v>
      </c>
      <c r="AB526">
        <v>1709409.068906629</v>
      </c>
      <c r="AC526">
        <v>0</v>
      </c>
      <c r="AD526">
        <v>4429.1941000978541</v>
      </c>
      <c r="AE526">
        <v>7972549.3801761372</v>
      </c>
      <c r="AF526">
        <v>5580784.5661232956</v>
      </c>
      <c r="AG526">
        <v>251.227611652272</v>
      </c>
      <c r="AH526">
        <v>1754.359491107758</v>
      </c>
      <c r="AI526">
        <v>350.8718982215517</v>
      </c>
      <c r="AJ526">
        <v>55555.794739465447</v>
      </c>
      <c r="AK526">
        <v>854.70085470085473</v>
      </c>
      <c r="AL526" t="s">
        <v>93</v>
      </c>
      <c r="AM526">
        <v>135962.86056085129</v>
      </c>
      <c r="AN526">
        <v>1589.718794295364</v>
      </c>
      <c r="AO526">
        <v>59648.22269766379</v>
      </c>
      <c r="AP526">
        <v>193963.07494931301</v>
      </c>
      <c r="AQ526">
        <v>134314.85225164919</v>
      </c>
      <c r="AR526">
        <v>9.9548359341269845E-3</v>
      </c>
      <c r="AS526">
        <v>221.13729607222109</v>
      </c>
      <c r="AT526">
        <v>541.19393830420029</v>
      </c>
      <c r="AU526">
        <v>6.3278028391867958</v>
      </c>
      <c r="AV526">
        <v>237.42701809474599</v>
      </c>
      <c r="AW526">
        <v>772.06113481578711</v>
      </c>
      <c r="AX526">
        <v>534.6341167210411</v>
      </c>
      <c r="AY526">
        <v>1.396629518204388</v>
      </c>
      <c r="AZ526" t="s">
        <v>142</v>
      </c>
      <c r="BA526" t="str">
        <f>VLOOKUP($AZ526,Sheet1!$A$2:$B$58,2)</f>
        <v>Nonane</v>
      </c>
      <c r="BB526" t="s">
        <v>190</v>
      </c>
      <c r="BC526">
        <v>128.25309999999999</v>
      </c>
      <c r="BD526">
        <v>6.2222222222222223</v>
      </c>
      <c r="BE526">
        <v>151</v>
      </c>
      <c r="BF526" t="s">
        <v>206</v>
      </c>
      <c r="BG526">
        <v>6.5198424053687667</v>
      </c>
      <c r="BH526">
        <v>3.5714285714285698E-2</v>
      </c>
      <c r="BI526">
        <v>9.9511354805230906E-2</v>
      </c>
      <c r="BJ526">
        <v>80</v>
      </c>
      <c r="BK526">
        <v>9698.1537474656488</v>
      </c>
      <c r="BL526">
        <v>6715.7426125824586</v>
      </c>
      <c r="BM526">
        <v>11.023752505708821</v>
      </c>
      <c r="BN526">
        <v>1874.0379259705001</v>
      </c>
      <c r="BO526">
        <v>7824.1158214951492</v>
      </c>
    </row>
    <row r="527" spans="1:67" x14ac:dyDescent="0.25">
      <c r="A527" s="1">
        <v>525</v>
      </c>
      <c r="B527" t="s">
        <v>73</v>
      </c>
      <c r="C527" t="s">
        <v>85</v>
      </c>
      <c r="D527">
        <v>1</v>
      </c>
      <c r="E527">
        <v>1</v>
      </c>
      <c r="F527">
        <v>2</v>
      </c>
      <c r="G527">
        <v>45.016539999999999</v>
      </c>
      <c r="H527">
        <v>2</v>
      </c>
      <c r="I527" t="s">
        <v>89</v>
      </c>
      <c r="J527">
        <v>4</v>
      </c>
      <c r="K527">
        <v>300</v>
      </c>
      <c r="L527">
        <v>70</v>
      </c>
      <c r="N527" t="s">
        <v>82</v>
      </c>
      <c r="O527">
        <v>30</v>
      </c>
      <c r="P527">
        <v>0.5</v>
      </c>
      <c r="Q527">
        <v>3.2500000000000001E-2</v>
      </c>
      <c r="R527">
        <v>77.5</v>
      </c>
      <c r="S527">
        <v>170</v>
      </c>
      <c r="T527">
        <v>20</v>
      </c>
      <c r="U527">
        <v>1812.1301775147931</v>
      </c>
      <c r="V527">
        <v>20</v>
      </c>
      <c r="W527">
        <v>0.95</v>
      </c>
      <c r="X527">
        <v>1</v>
      </c>
      <c r="Y527">
        <v>142806.14638653351</v>
      </c>
      <c r="Z527">
        <v>428418439.15960032</v>
      </c>
      <c r="AA527">
        <v>1713673756.638401</v>
      </c>
      <c r="AB527">
        <v>1713673.756638401</v>
      </c>
      <c r="AC527">
        <v>0</v>
      </c>
      <c r="AD527">
        <v>4440.2441934218623</v>
      </c>
      <c r="AE527">
        <v>7992439.5481593516</v>
      </c>
      <c r="AF527">
        <v>5594707.6837115455</v>
      </c>
      <c r="AG527">
        <v>251.85438223210821</v>
      </c>
      <c r="AH527">
        <v>1758.736322572465</v>
      </c>
      <c r="AI527">
        <v>351.747264514493</v>
      </c>
      <c r="AJ527">
        <v>55694.39709074804</v>
      </c>
      <c r="AK527">
        <v>854.70085470085473</v>
      </c>
      <c r="AL527" t="s">
        <v>93</v>
      </c>
      <c r="AM527">
        <v>136302.064999366</v>
      </c>
      <c r="AN527">
        <v>1593.6848749499709</v>
      </c>
      <c r="AO527">
        <v>59797.034967463813</v>
      </c>
      <c r="AP527">
        <v>194444.84781976489</v>
      </c>
      <c r="AQ527">
        <v>134647.81285230111</v>
      </c>
      <c r="AR527">
        <v>9.9548359341269845E-3</v>
      </c>
      <c r="AS527">
        <v>221.13729607222109</v>
      </c>
      <c r="AT527">
        <v>541.1939383042004</v>
      </c>
      <c r="AU527">
        <v>6.3278028391867966</v>
      </c>
      <c r="AV527">
        <v>237.42701809474599</v>
      </c>
      <c r="AW527">
        <v>772.05266827783521</v>
      </c>
      <c r="AX527">
        <v>534.62565018308919</v>
      </c>
      <c r="AY527">
        <v>1.396629518204388</v>
      </c>
      <c r="AZ527" t="s">
        <v>143</v>
      </c>
      <c r="BA527" t="str">
        <f>VLOOKUP($AZ527,Sheet1!$A$2:$B$58,2)</f>
        <v>Octane</v>
      </c>
      <c r="BB527" t="s">
        <v>191</v>
      </c>
      <c r="BC527">
        <v>114.22672</v>
      </c>
      <c r="BD527">
        <v>6.25</v>
      </c>
      <c r="BE527">
        <v>126</v>
      </c>
      <c r="BF527" t="s">
        <v>206</v>
      </c>
      <c r="BG527">
        <v>6.5498685421414526</v>
      </c>
      <c r="BH527">
        <v>0.04</v>
      </c>
      <c r="BI527">
        <v>9.9263708570137499E-2</v>
      </c>
      <c r="BJ527">
        <v>80</v>
      </c>
      <c r="BK527">
        <v>9722.2423909882455</v>
      </c>
      <c r="BL527">
        <v>6732.3906426150534</v>
      </c>
      <c r="BM527">
        <v>11.037494683583191</v>
      </c>
      <c r="BN527">
        <v>1876.3740962091431</v>
      </c>
      <c r="BO527">
        <v>7845.8682947791021</v>
      </c>
    </row>
    <row r="528" spans="1:67" x14ac:dyDescent="0.25">
      <c r="A528" s="1">
        <v>526</v>
      </c>
      <c r="B528" t="s">
        <v>73</v>
      </c>
      <c r="C528" t="s">
        <v>85</v>
      </c>
      <c r="D528">
        <v>1</v>
      </c>
      <c r="E528">
        <v>1</v>
      </c>
      <c r="F528">
        <v>2</v>
      </c>
      <c r="G528">
        <v>45.016539999999999</v>
      </c>
      <c r="H528">
        <v>2</v>
      </c>
      <c r="I528" t="s">
        <v>89</v>
      </c>
      <c r="J528">
        <v>4</v>
      </c>
      <c r="K528">
        <v>300</v>
      </c>
      <c r="L528">
        <v>70</v>
      </c>
      <c r="N528" t="s">
        <v>82</v>
      </c>
      <c r="O528">
        <v>30</v>
      </c>
      <c r="P528">
        <v>0.5</v>
      </c>
      <c r="Q528">
        <v>3.2500000000000001E-2</v>
      </c>
      <c r="R528">
        <v>77.5</v>
      </c>
      <c r="S528">
        <v>170</v>
      </c>
      <c r="T528">
        <v>20</v>
      </c>
      <c r="U528">
        <v>1812.1301775147931</v>
      </c>
      <c r="V528">
        <v>20</v>
      </c>
      <c r="W528">
        <v>0.95</v>
      </c>
      <c r="X528">
        <v>1</v>
      </c>
      <c r="Y528">
        <v>144701.42624946099</v>
      </c>
      <c r="Z528">
        <v>434104278.74838299</v>
      </c>
      <c r="AA528">
        <v>1736417114.9935319</v>
      </c>
      <c r="AB528">
        <v>1736417.114993532</v>
      </c>
      <c r="AC528">
        <v>66773.504273504266</v>
      </c>
      <c r="AD528">
        <v>4499.173767667884</v>
      </c>
      <c r="AE528">
        <v>8098512.7818021895</v>
      </c>
      <c r="AF528">
        <v>5668958.9472615328</v>
      </c>
      <c r="AG528">
        <v>255.19691720775671</v>
      </c>
      <c r="AH528">
        <v>1782.077737635572</v>
      </c>
      <c r="AI528">
        <v>356.41554752711443</v>
      </c>
      <c r="AJ528">
        <v>56433.556237289798</v>
      </c>
      <c r="AK528">
        <v>2170.1388888888891</v>
      </c>
      <c r="AL528" t="s">
        <v>95</v>
      </c>
      <c r="AM528">
        <v>138111.0246667568</v>
      </c>
      <c r="AN528">
        <v>1614.8357772589609</v>
      </c>
      <c r="AO528">
        <v>60590.64307960945</v>
      </c>
      <c r="AP528">
        <v>198329.5555701945</v>
      </c>
      <c r="AQ528">
        <v>137738.912490585</v>
      </c>
      <c r="AR528">
        <v>9.9548359341269863E-3</v>
      </c>
      <c r="AS528">
        <v>221.13729607222109</v>
      </c>
      <c r="AT528">
        <v>541.19393830420051</v>
      </c>
      <c r="AU528">
        <v>6.3278028391867984</v>
      </c>
      <c r="AV528">
        <v>237.42701809474599</v>
      </c>
      <c r="AW528">
        <v>777.16281897219665</v>
      </c>
      <c r="AX528">
        <v>539.73580087745063</v>
      </c>
      <c r="AY528">
        <v>1.3966295182043891</v>
      </c>
      <c r="AZ528" t="s">
        <v>144</v>
      </c>
      <c r="BA528" t="str">
        <f>VLOOKUP($AZ528,Sheet1!$A$2:$B$58,2)</f>
        <v>Pentane</v>
      </c>
      <c r="BB528" t="s">
        <v>192</v>
      </c>
      <c r="BC528">
        <v>72.147580000000005</v>
      </c>
      <c r="BD528">
        <v>6.4</v>
      </c>
      <c r="BE528">
        <v>36.1</v>
      </c>
      <c r="BF528" t="s">
        <v>206</v>
      </c>
      <c r="BG528">
        <v>6.7099963713266604</v>
      </c>
      <c r="BH528">
        <v>6.25E-2</v>
      </c>
      <c r="BI528">
        <v>9.7963565835896896E-2</v>
      </c>
      <c r="BJ528">
        <v>80</v>
      </c>
      <c r="BK528">
        <v>9916.4777785097212</v>
      </c>
      <c r="BL528">
        <v>6886.9456245292504</v>
      </c>
      <c r="BM528">
        <v>11.110781005029059</v>
      </c>
      <c r="BN528">
        <v>1888.83277085494</v>
      </c>
      <c r="BO528">
        <v>8027.6450076547808</v>
      </c>
    </row>
    <row r="529" spans="1:67" x14ac:dyDescent="0.25">
      <c r="A529" s="1">
        <v>527</v>
      </c>
      <c r="B529" t="s">
        <v>73</v>
      </c>
      <c r="C529" t="s">
        <v>85</v>
      </c>
      <c r="D529">
        <v>1</v>
      </c>
      <c r="E529">
        <v>1</v>
      </c>
      <c r="F529">
        <v>2</v>
      </c>
      <c r="G529">
        <v>45.016539999999999</v>
      </c>
      <c r="H529">
        <v>2</v>
      </c>
      <c r="I529" t="s">
        <v>89</v>
      </c>
      <c r="J529">
        <v>4</v>
      </c>
      <c r="K529">
        <v>300</v>
      </c>
      <c r="L529">
        <v>70</v>
      </c>
      <c r="N529" t="s">
        <v>82</v>
      </c>
      <c r="O529">
        <v>30</v>
      </c>
      <c r="P529">
        <v>0.5</v>
      </c>
      <c r="Q529">
        <v>3.2500000000000001E-2</v>
      </c>
      <c r="R529">
        <v>77.5</v>
      </c>
      <c r="S529">
        <v>170</v>
      </c>
      <c r="T529">
        <v>20</v>
      </c>
      <c r="U529">
        <v>1812.1301775147931</v>
      </c>
      <c r="V529">
        <v>20</v>
      </c>
      <c r="W529">
        <v>0.95</v>
      </c>
      <c r="X529">
        <v>1</v>
      </c>
      <c r="Y529">
        <v>122795.8558789677</v>
      </c>
      <c r="Z529">
        <v>368387567.63690323</v>
      </c>
      <c r="AA529">
        <v>1473550270.5476129</v>
      </c>
      <c r="AB529">
        <v>1473550.270547613</v>
      </c>
      <c r="AC529">
        <v>0</v>
      </c>
      <c r="AD529">
        <v>3818.0680582686082</v>
      </c>
      <c r="AE529">
        <v>6872522.5048834942</v>
      </c>
      <c r="AF529">
        <v>4810765.7534184456</v>
      </c>
      <c r="AG529">
        <v>216.56402896939159</v>
      </c>
      <c r="AH529">
        <v>1512.2985771996121</v>
      </c>
      <c r="AI529">
        <v>302.45971543992249</v>
      </c>
      <c r="AJ529">
        <v>47890.383792797409</v>
      </c>
      <c r="AK529">
        <v>854.70085470085473</v>
      </c>
      <c r="AL529" t="s">
        <v>93</v>
      </c>
      <c r="AM529">
        <v>117203.13973297</v>
      </c>
      <c r="AN529">
        <v>1370.374477378248</v>
      </c>
      <c r="AO529">
        <v>51418.15162478682</v>
      </c>
      <c r="AP529">
        <v>167318.59885784649</v>
      </c>
      <c r="AQ529">
        <v>115900.4472330596</v>
      </c>
      <c r="AR529">
        <v>9.9548359341269828E-3</v>
      </c>
      <c r="AS529">
        <v>221.13729607222109</v>
      </c>
      <c r="AT529">
        <v>541.19393830420017</v>
      </c>
      <c r="AU529">
        <v>6.3278028391867958</v>
      </c>
      <c r="AV529">
        <v>237.4270180947459</v>
      </c>
      <c r="AW529">
        <v>772.60567996495251</v>
      </c>
      <c r="AX529">
        <v>535.17866187020661</v>
      </c>
      <c r="AY529">
        <v>1.396629518204388</v>
      </c>
      <c r="AZ529" t="s">
        <v>145</v>
      </c>
      <c r="BA529" t="str">
        <f>VLOOKUP($AZ529,Sheet1!$A$2:$B$58,2)</f>
        <v>Pentanol (PW1)</v>
      </c>
      <c r="BB529" t="s">
        <v>157</v>
      </c>
      <c r="BC529">
        <v>88.14658</v>
      </c>
      <c r="BD529">
        <v>6</v>
      </c>
      <c r="BE529">
        <v>138</v>
      </c>
      <c r="BF529" t="s">
        <v>206</v>
      </c>
      <c r="BG529">
        <v>5.389445795324912</v>
      </c>
      <c r="BH529">
        <v>6.0281690140845202E-2</v>
      </c>
      <c r="BI529">
        <v>0.115439300418323</v>
      </c>
      <c r="BJ529">
        <v>80</v>
      </c>
      <c r="BK529">
        <v>8365.9299428923223</v>
      </c>
      <c r="BL529">
        <v>5795.022361652982</v>
      </c>
      <c r="BM529">
        <v>9.7335399766712118</v>
      </c>
      <c r="BN529">
        <v>1654.7017960341061</v>
      </c>
      <c r="BO529">
        <v>6711.228146858216</v>
      </c>
    </row>
    <row r="530" spans="1:67" x14ac:dyDescent="0.25">
      <c r="A530" s="1">
        <v>528</v>
      </c>
      <c r="B530" t="s">
        <v>73</v>
      </c>
      <c r="C530" t="s">
        <v>85</v>
      </c>
      <c r="D530">
        <v>1</v>
      </c>
      <c r="E530">
        <v>1</v>
      </c>
      <c r="F530">
        <v>2</v>
      </c>
      <c r="G530">
        <v>45.016539999999999</v>
      </c>
      <c r="H530">
        <v>2</v>
      </c>
      <c r="I530" t="s">
        <v>89</v>
      </c>
      <c r="J530">
        <v>4</v>
      </c>
      <c r="K530">
        <v>300</v>
      </c>
      <c r="L530">
        <v>70</v>
      </c>
      <c r="N530" t="s">
        <v>82</v>
      </c>
      <c r="O530">
        <v>30</v>
      </c>
      <c r="P530">
        <v>0.5</v>
      </c>
      <c r="Q530">
        <v>3.2500000000000001E-2</v>
      </c>
      <c r="R530">
        <v>77.5</v>
      </c>
      <c r="S530">
        <v>170</v>
      </c>
      <c r="T530">
        <v>20</v>
      </c>
      <c r="U530">
        <v>1812.1301775147931</v>
      </c>
      <c r="V530">
        <v>20</v>
      </c>
      <c r="W530">
        <v>0.95</v>
      </c>
      <c r="X530">
        <v>1</v>
      </c>
      <c r="Y530">
        <v>122795.8558789688</v>
      </c>
      <c r="Z530">
        <v>368387567.63690639</v>
      </c>
      <c r="AA530">
        <v>1473550270.547626</v>
      </c>
      <c r="AB530">
        <v>1473550.2705476261</v>
      </c>
      <c r="AC530">
        <v>0</v>
      </c>
      <c r="AD530">
        <v>3818.0680582686409</v>
      </c>
      <c r="AE530">
        <v>6872522.5048835538</v>
      </c>
      <c r="AF530">
        <v>4810765.7534184866</v>
      </c>
      <c r="AG530">
        <v>216.56402896939349</v>
      </c>
      <c r="AH530">
        <v>1512.2985771996259</v>
      </c>
      <c r="AI530">
        <v>302.45971543992522</v>
      </c>
      <c r="AJ530">
        <v>47890.383792797831</v>
      </c>
      <c r="AK530">
        <v>854.70085470085473</v>
      </c>
      <c r="AL530" t="s">
        <v>93</v>
      </c>
      <c r="AM530">
        <v>117203.139732971</v>
      </c>
      <c r="AN530">
        <v>1370.3744773782589</v>
      </c>
      <c r="AO530">
        <v>51418.151624787293</v>
      </c>
      <c r="AP530">
        <v>167318.59885784789</v>
      </c>
      <c r="AQ530">
        <v>115900.44723306069</v>
      </c>
      <c r="AR530">
        <v>9.9548359341269828E-3</v>
      </c>
      <c r="AS530">
        <v>221.13729607222109</v>
      </c>
      <c r="AT530">
        <v>541.19393830420051</v>
      </c>
      <c r="AU530">
        <v>6.3278028391867949</v>
      </c>
      <c r="AV530">
        <v>237.42701809474599</v>
      </c>
      <c r="AW530">
        <v>772.60567996495263</v>
      </c>
      <c r="AX530">
        <v>535.17866187020661</v>
      </c>
      <c r="AY530">
        <v>1.396629518204388</v>
      </c>
      <c r="AZ530" t="s">
        <v>146</v>
      </c>
      <c r="BA530" t="str">
        <f>VLOOKUP($AZ530,Sheet1!$A$2:$B$58,2)</f>
        <v>Pentanol (PW2)</v>
      </c>
      <c r="BB530" t="s">
        <v>157</v>
      </c>
      <c r="BC530">
        <v>88.14658</v>
      </c>
      <c r="BD530">
        <v>6</v>
      </c>
      <c r="BE530">
        <v>138</v>
      </c>
      <c r="BF530" t="s">
        <v>206</v>
      </c>
      <c r="BG530">
        <v>5.389445795324912</v>
      </c>
      <c r="BH530">
        <v>6.0281690140845098E-2</v>
      </c>
      <c r="BI530">
        <v>0.115439300418322</v>
      </c>
      <c r="BJ530">
        <v>80</v>
      </c>
      <c r="BK530">
        <v>8365.929942892395</v>
      </c>
      <c r="BL530">
        <v>5795.0223616530329</v>
      </c>
      <c r="BM530">
        <v>9.7335399766713486</v>
      </c>
      <c r="BN530">
        <v>1654.7017960341291</v>
      </c>
      <c r="BO530">
        <v>6711.228146858266</v>
      </c>
    </row>
    <row r="531" spans="1:67" x14ac:dyDescent="0.25">
      <c r="A531" s="1">
        <v>529</v>
      </c>
      <c r="B531" t="s">
        <v>73</v>
      </c>
      <c r="C531" t="s">
        <v>85</v>
      </c>
      <c r="D531">
        <v>1</v>
      </c>
      <c r="E531">
        <v>1</v>
      </c>
      <c r="F531">
        <v>2</v>
      </c>
      <c r="G531">
        <v>45.016539999999999</v>
      </c>
      <c r="H531">
        <v>2</v>
      </c>
      <c r="I531" t="s">
        <v>89</v>
      </c>
      <c r="J531">
        <v>4</v>
      </c>
      <c r="K531">
        <v>300</v>
      </c>
      <c r="L531">
        <v>70</v>
      </c>
      <c r="N531" t="s">
        <v>82</v>
      </c>
      <c r="O531">
        <v>30</v>
      </c>
      <c r="P531">
        <v>0.5</v>
      </c>
      <c r="Q531">
        <v>3.2500000000000001E-2</v>
      </c>
      <c r="R531">
        <v>77.5</v>
      </c>
      <c r="S531">
        <v>170</v>
      </c>
      <c r="T531">
        <v>20</v>
      </c>
      <c r="U531">
        <v>1812.1301775147931</v>
      </c>
      <c r="V531">
        <v>20</v>
      </c>
      <c r="W531">
        <v>0.95</v>
      </c>
      <c r="X531">
        <v>1</v>
      </c>
      <c r="Y531">
        <v>307785.06943240919</v>
      </c>
      <c r="Z531">
        <v>923355208.29722774</v>
      </c>
      <c r="AA531">
        <v>3693420833.188911</v>
      </c>
      <c r="AB531">
        <v>3693420.833188911</v>
      </c>
      <c r="AC531">
        <v>0</v>
      </c>
      <c r="AD531">
        <v>9569.9022902705638</v>
      </c>
      <c r="AE531">
        <v>17225824.12248702</v>
      </c>
      <c r="AF531">
        <v>12058076.88574091</v>
      </c>
      <c r="AG531">
        <v>542.81290045003118</v>
      </c>
      <c r="AH531">
        <v>3790.542598153268</v>
      </c>
      <c r="AI531">
        <v>758.10851963065352</v>
      </c>
      <c r="AJ531">
        <v>120036.17707863959</v>
      </c>
      <c r="AK531">
        <v>854.70085470085473</v>
      </c>
      <c r="AL531" t="s">
        <v>93</v>
      </c>
      <c r="AM531">
        <v>293767.05135687819</v>
      </c>
      <c r="AN531">
        <v>3434.8130126149258</v>
      </c>
      <c r="AO531">
        <v>128878.4483372111</v>
      </c>
      <c r="AP531">
        <v>418092.74230283359</v>
      </c>
      <c r="AQ531">
        <v>289214.29396562249</v>
      </c>
      <c r="AR531">
        <v>9.9548359341269828E-3</v>
      </c>
      <c r="AS531">
        <v>221.13729607222109</v>
      </c>
      <c r="AT531">
        <v>541.1939383042004</v>
      </c>
      <c r="AU531">
        <v>6.3278028391867949</v>
      </c>
      <c r="AV531">
        <v>237.42701809474599</v>
      </c>
      <c r="AW531">
        <v>770.23361448522041</v>
      </c>
      <c r="AX531">
        <v>532.8065963904744</v>
      </c>
      <c r="AY531">
        <v>1.396629518204388</v>
      </c>
      <c r="AZ531" t="s">
        <v>147</v>
      </c>
      <c r="BA531" t="str">
        <f>VLOOKUP($AZ531,Sheet1!$A$2:$B$58,2)</f>
        <v>Phenol</v>
      </c>
      <c r="BB531" t="s">
        <v>193</v>
      </c>
      <c r="BC531">
        <v>94.11023999999999</v>
      </c>
      <c r="BD531">
        <v>4.666666666666667</v>
      </c>
      <c r="BE531">
        <v>181.7</v>
      </c>
      <c r="BF531" t="s">
        <v>206</v>
      </c>
      <c r="BG531">
        <v>10.847570643061941</v>
      </c>
      <c r="BH531">
        <v>2.25263157894737E-2</v>
      </c>
      <c r="BI531">
        <v>4.6056385136155002E-2</v>
      </c>
      <c r="BJ531">
        <v>80</v>
      </c>
      <c r="BK531">
        <v>20904.637115141679</v>
      </c>
      <c r="BL531">
        <v>14460.71469828113</v>
      </c>
      <c r="BM531">
        <v>27.057855338470731</v>
      </c>
      <c r="BN531">
        <v>4599.8354075400239</v>
      </c>
      <c r="BO531">
        <v>16304.801707601649</v>
      </c>
    </row>
    <row r="532" spans="1:67" x14ac:dyDescent="0.25">
      <c r="A532" s="1">
        <v>530</v>
      </c>
      <c r="B532" t="s">
        <v>73</v>
      </c>
      <c r="C532" t="s">
        <v>85</v>
      </c>
      <c r="D532">
        <v>1</v>
      </c>
      <c r="E532">
        <v>1</v>
      </c>
      <c r="F532">
        <v>2</v>
      </c>
      <c r="G532">
        <v>45.016539999999999</v>
      </c>
      <c r="H532">
        <v>2</v>
      </c>
      <c r="I532" t="s">
        <v>89</v>
      </c>
      <c r="J532">
        <v>4</v>
      </c>
      <c r="K532">
        <v>300</v>
      </c>
      <c r="L532">
        <v>70</v>
      </c>
      <c r="N532" t="s">
        <v>82</v>
      </c>
      <c r="O532">
        <v>30</v>
      </c>
      <c r="P532">
        <v>0.5</v>
      </c>
      <c r="Q532">
        <v>3.2500000000000001E-2</v>
      </c>
      <c r="R532">
        <v>77.5</v>
      </c>
      <c r="S532">
        <v>170</v>
      </c>
      <c r="T532">
        <v>20</v>
      </c>
      <c r="U532">
        <v>1812.1301775147931</v>
      </c>
      <c r="V532">
        <v>20</v>
      </c>
      <c r="W532">
        <v>0.95</v>
      </c>
      <c r="X532">
        <v>1</v>
      </c>
      <c r="Y532">
        <v>147974.54846236881</v>
      </c>
      <c r="Z532">
        <v>443923645.3871063</v>
      </c>
      <c r="AA532">
        <v>1775694581.548425</v>
      </c>
      <c r="AB532">
        <v>1775694.5815484249</v>
      </c>
      <c r="AC532">
        <v>66773.504273504266</v>
      </c>
      <c r="AD532">
        <v>4600.9443305460818</v>
      </c>
      <c r="AE532">
        <v>8281699.7949829455</v>
      </c>
      <c r="AF532">
        <v>5797189.8564880621</v>
      </c>
      <c r="AG532">
        <v>260.96942906218908</v>
      </c>
      <c r="AH532">
        <v>1822.3880398859969</v>
      </c>
      <c r="AI532">
        <v>364.47760797719951</v>
      </c>
      <c r="AJ532">
        <v>57710.07390032382</v>
      </c>
      <c r="AK532">
        <v>2170.1388888888891</v>
      </c>
      <c r="AL532" t="s">
        <v>95</v>
      </c>
      <c r="AM532">
        <v>141235.07309116481</v>
      </c>
      <c r="AN532">
        <v>1651.363094160678</v>
      </c>
      <c r="AO532">
        <v>61961.19335612392</v>
      </c>
      <c r="AP532">
        <v>202766.6489745382</v>
      </c>
      <c r="AQ532">
        <v>140805.45561841421</v>
      </c>
      <c r="AR532">
        <v>9.9548359341269845E-3</v>
      </c>
      <c r="AS532">
        <v>221.13729607222109</v>
      </c>
      <c r="AT532">
        <v>541.1939383042004</v>
      </c>
      <c r="AU532">
        <v>6.3278028391867966</v>
      </c>
      <c r="AV532">
        <v>237.4270180947461</v>
      </c>
      <c r="AW532">
        <v>776.97471961828444</v>
      </c>
      <c r="AX532">
        <v>539.54770152353831</v>
      </c>
      <c r="AY532">
        <v>1.3966295182043891</v>
      </c>
      <c r="AZ532" t="s">
        <v>148</v>
      </c>
      <c r="BA532" t="str">
        <f>VLOOKUP($AZ532,Sheet1!$A$2:$B$58,2)</f>
        <v>Propane (PW1)</v>
      </c>
      <c r="BB532" t="s">
        <v>194</v>
      </c>
      <c r="BC532">
        <v>44.094819999999999</v>
      </c>
      <c r="BD532">
        <v>6.666666666666667</v>
      </c>
      <c r="BE532">
        <v>-42</v>
      </c>
      <c r="BF532" t="s">
        <v>206</v>
      </c>
      <c r="BG532">
        <v>6.986534926324679</v>
      </c>
      <c r="BH532">
        <v>0.1</v>
      </c>
      <c r="BI532">
        <v>9.5796661278829298E-2</v>
      </c>
      <c r="BJ532">
        <v>80</v>
      </c>
      <c r="BK532">
        <v>10138.332448726909</v>
      </c>
      <c r="BL532">
        <v>7040.2727809207099</v>
      </c>
      <c r="BM532">
        <v>11.237345472535299</v>
      </c>
      <c r="BN532">
        <v>1910.3487303310001</v>
      </c>
      <c r="BO532">
        <v>8227.9837183959062</v>
      </c>
    </row>
    <row r="533" spans="1:67" x14ac:dyDescent="0.25">
      <c r="A533" s="1">
        <v>531</v>
      </c>
      <c r="B533" t="s">
        <v>73</v>
      </c>
      <c r="C533" t="s">
        <v>85</v>
      </c>
      <c r="D533">
        <v>1</v>
      </c>
      <c r="E533">
        <v>1</v>
      </c>
      <c r="F533">
        <v>2</v>
      </c>
      <c r="G533">
        <v>45.016539999999999</v>
      </c>
      <c r="H533">
        <v>2</v>
      </c>
      <c r="I533" t="s">
        <v>89</v>
      </c>
      <c r="J533">
        <v>4</v>
      </c>
      <c r="K533">
        <v>300</v>
      </c>
      <c r="L533">
        <v>70</v>
      </c>
      <c r="N533" t="s">
        <v>82</v>
      </c>
      <c r="O533">
        <v>30</v>
      </c>
      <c r="P533">
        <v>0.5</v>
      </c>
      <c r="Q533">
        <v>3.2500000000000001E-2</v>
      </c>
      <c r="R533">
        <v>77.5</v>
      </c>
      <c r="S533">
        <v>170</v>
      </c>
      <c r="T533">
        <v>20</v>
      </c>
      <c r="U533">
        <v>1812.1301775147931</v>
      </c>
      <c r="V533">
        <v>20</v>
      </c>
      <c r="W533">
        <v>0.95</v>
      </c>
      <c r="X533">
        <v>1</v>
      </c>
      <c r="Y533">
        <v>147974.54846236881</v>
      </c>
      <c r="Z533">
        <v>443923645.3871063</v>
      </c>
      <c r="AA533">
        <v>1775694581.548425</v>
      </c>
      <c r="AB533">
        <v>1775694.5815484249</v>
      </c>
      <c r="AC533">
        <v>66773.504273504266</v>
      </c>
      <c r="AD533">
        <v>4600.9443305460818</v>
      </c>
      <c r="AE533">
        <v>8281699.7949829455</v>
      </c>
      <c r="AF533">
        <v>5797189.8564880621</v>
      </c>
      <c r="AG533">
        <v>260.96942906218908</v>
      </c>
      <c r="AH533">
        <v>1822.3880398859969</v>
      </c>
      <c r="AI533">
        <v>364.47760797719951</v>
      </c>
      <c r="AJ533">
        <v>57710.07390032382</v>
      </c>
      <c r="AK533">
        <v>2170.1388888888891</v>
      </c>
      <c r="AL533" t="s">
        <v>95</v>
      </c>
      <c r="AM533">
        <v>141235.07309116481</v>
      </c>
      <c r="AN533">
        <v>1651.363094160678</v>
      </c>
      <c r="AO533">
        <v>61961.19335612392</v>
      </c>
      <c r="AP533">
        <v>202766.6489745382</v>
      </c>
      <c r="AQ533">
        <v>140805.45561841421</v>
      </c>
      <c r="AR533">
        <v>9.9548359341269845E-3</v>
      </c>
      <c r="AS533">
        <v>221.13729607222109</v>
      </c>
      <c r="AT533">
        <v>541.1939383042004</v>
      </c>
      <c r="AU533">
        <v>6.3278028391867966</v>
      </c>
      <c r="AV533">
        <v>237.4270180947461</v>
      </c>
      <c r="AW533">
        <v>776.97471961828444</v>
      </c>
      <c r="AX533">
        <v>539.54770152353831</v>
      </c>
      <c r="AY533">
        <v>1.3966295182043891</v>
      </c>
      <c r="AZ533" t="s">
        <v>149</v>
      </c>
      <c r="BA533" t="str">
        <f>VLOOKUP($AZ533,Sheet1!$A$2:$B$58,2)</f>
        <v>Propane (PW2)</v>
      </c>
      <c r="BB533" t="s">
        <v>194</v>
      </c>
      <c r="BC533">
        <v>44.094819999999999</v>
      </c>
      <c r="BD533">
        <v>6.666666666666667</v>
      </c>
      <c r="BE533">
        <v>-42</v>
      </c>
      <c r="BF533" t="s">
        <v>206</v>
      </c>
      <c r="BG533">
        <v>6.986534926324679</v>
      </c>
      <c r="BH533">
        <v>0.1</v>
      </c>
      <c r="BI533">
        <v>9.5796661278829298E-2</v>
      </c>
      <c r="BJ533">
        <v>80</v>
      </c>
      <c r="BK533">
        <v>10138.332448726909</v>
      </c>
      <c r="BL533">
        <v>7040.2727809207099</v>
      </c>
      <c r="BM533">
        <v>11.237345472535299</v>
      </c>
      <c r="BN533">
        <v>1910.3487303310001</v>
      </c>
      <c r="BO533">
        <v>8227.9837183959062</v>
      </c>
    </row>
    <row r="534" spans="1:67" x14ac:dyDescent="0.25">
      <c r="A534" s="1">
        <v>532</v>
      </c>
      <c r="B534" t="s">
        <v>73</v>
      </c>
      <c r="C534" t="s">
        <v>85</v>
      </c>
      <c r="D534">
        <v>1</v>
      </c>
      <c r="E534">
        <v>1</v>
      </c>
      <c r="F534">
        <v>2</v>
      </c>
      <c r="G534">
        <v>45.016539999999999</v>
      </c>
      <c r="H534">
        <v>2</v>
      </c>
      <c r="I534" t="s">
        <v>89</v>
      </c>
      <c r="J534">
        <v>4</v>
      </c>
      <c r="K534">
        <v>300</v>
      </c>
      <c r="L534">
        <v>70</v>
      </c>
      <c r="N534" t="s">
        <v>82</v>
      </c>
      <c r="O534">
        <v>30</v>
      </c>
      <c r="P534">
        <v>0.5</v>
      </c>
      <c r="Q534">
        <v>3.2500000000000001E-2</v>
      </c>
      <c r="R534">
        <v>77.5</v>
      </c>
      <c r="S534">
        <v>170</v>
      </c>
      <c r="T534">
        <v>20</v>
      </c>
      <c r="U534">
        <v>1812.1301775147931</v>
      </c>
      <c r="V534">
        <v>20</v>
      </c>
      <c r="W534">
        <v>0.95</v>
      </c>
      <c r="X534">
        <v>1</v>
      </c>
      <c r="Y534">
        <v>125031.8352383257</v>
      </c>
      <c r="Z534">
        <v>375095505.71497709</v>
      </c>
      <c r="AA534">
        <v>1500382022.8599081</v>
      </c>
      <c r="AB534">
        <v>1500382.0228599079</v>
      </c>
      <c r="AC534">
        <v>0</v>
      </c>
      <c r="AD534">
        <v>3887.5909367876279</v>
      </c>
      <c r="AE534">
        <v>6997663.6862177299</v>
      </c>
      <c r="AF534">
        <v>4898364.5803524107</v>
      </c>
      <c r="AG534">
        <v>220.5074250660175</v>
      </c>
      <c r="AH534">
        <v>1539.835894152211</v>
      </c>
      <c r="AI534">
        <v>307.96717883044232</v>
      </c>
      <c r="AJ534">
        <v>48762.415742947021</v>
      </c>
      <c r="AK534">
        <v>854.70085470085473</v>
      </c>
      <c r="AL534" t="s">
        <v>93</v>
      </c>
      <c r="AM534">
        <v>119337.28179679639</v>
      </c>
      <c r="AN534">
        <v>1395.327510394515</v>
      </c>
      <c r="AO534">
        <v>52354.420401175194</v>
      </c>
      <c r="AP534">
        <v>170349.72590483879</v>
      </c>
      <c r="AQ534">
        <v>117995.30550366361</v>
      </c>
      <c r="AR534">
        <v>9.9548359341269845E-3</v>
      </c>
      <c r="AS534">
        <v>221.13729607222109</v>
      </c>
      <c r="AT534">
        <v>541.19393830420051</v>
      </c>
      <c r="AU534">
        <v>6.3278028391867949</v>
      </c>
      <c r="AV534">
        <v>237.42701809474599</v>
      </c>
      <c r="AW534">
        <v>772.53510104631584</v>
      </c>
      <c r="AX534">
        <v>535.10808295156983</v>
      </c>
      <c r="AY534">
        <v>1.396629518204388</v>
      </c>
      <c r="AZ534" t="s">
        <v>150</v>
      </c>
      <c r="BA534" t="str">
        <f>VLOOKUP($AZ534,Sheet1!$A$2:$B$58,2)</f>
        <v>Shikimate</v>
      </c>
      <c r="BB534" t="s">
        <v>195</v>
      </c>
      <c r="BC534">
        <v>173.14045999999999</v>
      </c>
      <c r="BD534">
        <v>3.8571428571428572</v>
      </c>
      <c r="BE534">
        <v>400.5</v>
      </c>
      <c r="BF534" t="s">
        <v>206</v>
      </c>
      <c r="BG534">
        <v>4.2166483207133698</v>
      </c>
      <c r="BH534">
        <v>3.0140845070422601E-2</v>
      </c>
      <c r="BI534">
        <v>0.11337486704819701</v>
      </c>
      <c r="BJ534">
        <v>80</v>
      </c>
      <c r="BK534">
        <v>8517.4862952419371</v>
      </c>
      <c r="BL534">
        <v>5899.7652751831783</v>
      </c>
      <c r="BM534">
        <v>11.181710620808749</v>
      </c>
      <c r="BN534">
        <v>1900.890805537487</v>
      </c>
      <c r="BO534">
        <v>6616.5954897044503</v>
      </c>
    </row>
    <row r="535" spans="1:67" x14ac:dyDescent="0.25">
      <c r="A535" s="1">
        <v>533</v>
      </c>
      <c r="B535" t="s">
        <v>73</v>
      </c>
      <c r="C535" t="s">
        <v>85</v>
      </c>
      <c r="D535">
        <v>1</v>
      </c>
      <c r="E535">
        <v>1</v>
      </c>
      <c r="F535">
        <v>2</v>
      </c>
      <c r="G535">
        <v>45.016539999999999</v>
      </c>
      <c r="H535">
        <v>2</v>
      </c>
      <c r="I535" t="s">
        <v>89</v>
      </c>
      <c r="J535">
        <v>4</v>
      </c>
      <c r="K535">
        <v>300</v>
      </c>
      <c r="L535">
        <v>70</v>
      </c>
      <c r="N535" t="s">
        <v>82</v>
      </c>
      <c r="O535">
        <v>30</v>
      </c>
      <c r="P535">
        <v>0.5</v>
      </c>
      <c r="Q535">
        <v>3.2500000000000001E-2</v>
      </c>
      <c r="R535">
        <v>77.5</v>
      </c>
      <c r="S535">
        <v>170</v>
      </c>
      <c r="T535">
        <v>20</v>
      </c>
      <c r="U535">
        <v>1812.1301775147931</v>
      </c>
      <c r="V535">
        <v>20</v>
      </c>
      <c r="W535">
        <v>0.95</v>
      </c>
      <c r="X535">
        <v>1</v>
      </c>
      <c r="Y535">
        <v>304468.16842110851</v>
      </c>
      <c r="Z535">
        <v>913404505.26332545</v>
      </c>
      <c r="AA535">
        <v>3653618021.0533018</v>
      </c>
      <c r="AB535">
        <v>3653618.0210533021</v>
      </c>
      <c r="AC535">
        <v>0</v>
      </c>
      <c r="AD535">
        <v>9466.7705215880069</v>
      </c>
      <c r="AE535">
        <v>17040186.938858408</v>
      </c>
      <c r="AF535">
        <v>11928130.857200891</v>
      </c>
      <c r="AG535">
        <v>536.96317985841813</v>
      </c>
      <c r="AH535">
        <v>3749.6931358957941</v>
      </c>
      <c r="AI535">
        <v>749.93862717915874</v>
      </c>
      <c r="AJ535">
        <v>118742.5856842323</v>
      </c>
      <c r="AK535">
        <v>854.70085470085473</v>
      </c>
      <c r="AL535" t="s">
        <v>93</v>
      </c>
      <c r="AM535">
        <v>290601.21803192399</v>
      </c>
      <c r="AN535">
        <v>3397.797134046868</v>
      </c>
      <c r="AO535">
        <v>127489.566620457</v>
      </c>
      <c r="AP535">
        <v>413596.30170490401</v>
      </c>
      <c r="AQ535">
        <v>286106.73508444702</v>
      </c>
      <c r="AR535">
        <v>9.9548359341269845E-3</v>
      </c>
      <c r="AS535">
        <v>221.13729607222109</v>
      </c>
      <c r="AT535">
        <v>541.1939383042004</v>
      </c>
      <c r="AU535">
        <v>6.3278028391867958</v>
      </c>
      <c r="AV535">
        <v>237.42701809474599</v>
      </c>
      <c r="AW535">
        <v>770.25076805817037</v>
      </c>
      <c r="AX535">
        <v>532.82374996342435</v>
      </c>
      <c r="AY535">
        <v>1.396629518204388</v>
      </c>
      <c r="AZ535" t="s">
        <v>151</v>
      </c>
      <c r="BA535" t="str">
        <f>VLOOKUP($AZ535,Sheet1!$A$2:$B$58,2)</f>
        <v>Styrene</v>
      </c>
      <c r="BB535" t="s">
        <v>196</v>
      </c>
      <c r="BC535">
        <v>104.14832</v>
      </c>
      <c r="BD535">
        <v>5</v>
      </c>
      <c r="BE535">
        <v>145</v>
      </c>
      <c r="BF535" t="s">
        <v>206</v>
      </c>
      <c r="BG535">
        <v>11.11320729089895</v>
      </c>
      <c r="BH535">
        <v>2.05769230769231E-2</v>
      </c>
      <c r="BI535">
        <v>4.6558127144940897E-2</v>
      </c>
      <c r="BJ535">
        <v>80</v>
      </c>
      <c r="BK535">
        <v>20679.815085245202</v>
      </c>
      <c r="BL535">
        <v>14305.33675422235</v>
      </c>
      <c r="BM535">
        <v>26.383724068058999</v>
      </c>
      <c r="BN535">
        <v>4485.2330915700304</v>
      </c>
      <c r="BO535">
        <v>16194.58199367517</v>
      </c>
    </row>
    <row r="536" spans="1:67" x14ac:dyDescent="0.25">
      <c r="A536" s="1">
        <v>534</v>
      </c>
      <c r="B536" t="s">
        <v>73</v>
      </c>
      <c r="C536" t="s">
        <v>85</v>
      </c>
      <c r="D536">
        <v>1</v>
      </c>
      <c r="E536">
        <v>1</v>
      </c>
      <c r="F536">
        <v>2</v>
      </c>
      <c r="G536">
        <v>45.016539999999999</v>
      </c>
      <c r="H536">
        <v>2</v>
      </c>
      <c r="I536" t="s">
        <v>89</v>
      </c>
      <c r="J536">
        <v>4</v>
      </c>
      <c r="K536">
        <v>300</v>
      </c>
      <c r="L536">
        <v>70</v>
      </c>
      <c r="N536" t="s">
        <v>82</v>
      </c>
      <c r="O536">
        <v>30</v>
      </c>
      <c r="P536">
        <v>0.5</v>
      </c>
      <c r="Q536">
        <v>3.2500000000000001E-2</v>
      </c>
      <c r="R536">
        <v>77.5</v>
      </c>
      <c r="S536">
        <v>170</v>
      </c>
      <c r="T536">
        <v>20</v>
      </c>
      <c r="U536">
        <v>1812.1301775147931</v>
      </c>
      <c r="V536">
        <v>20</v>
      </c>
      <c r="W536">
        <v>0.95</v>
      </c>
      <c r="X536">
        <v>1</v>
      </c>
      <c r="Y536">
        <v>53851.040877741143</v>
      </c>
      <c r="Z536">
        <v>161553122.63322341</v>
      </c>
      <c r="AA536">
        <v>646212490.53289354</v>
      </c>
      <c r="AB536">
        <v>646212.49053289357</v>
      </c>
      <c r="AC536">
        <v>0</v>
      </c>
      <c r="AD536">
        <v>1674.3801133034531</v>
      </c>
      <c r="AE536">
        <v>3013884.203946216</v>
      </c>
      <c r="AF536">
        <v>2109718.9427623511</v>
      </c>
      <c r="AG536">
        <v>94.97224717561906</v>
      </c>
      <c r="AH536">
        <v>663.20521907836462</v>
      </c>
      <c r="AI536">
        <v>132.6410438156729</v>
      </c>
      <c r="AJ536">
        <v>21001.905942319041</v>
      </c>
      <c r="AK536">
        <v>854.70085470085473</v>
      </c>
      <c r="AL536" t="s">
        <v>93</v>
      </c>
      <c r="AM536">
        <v>51398.404478573248</v>
      </c>
      <c r="AN536">
        <v>600.96565532183263</v>
      </c>
      <c r="AO536">
        <v>22548.977448664398</v>
      </c>
      <c r="AP536">
        <v>73855.976930914985</v>
      </c>
      <c r="AQ536">
        <v>51306.999482250583</v>
      </c>
      <c r="AR536">
        <v>9.9548359341269845E-3</v>
      </c>
      <c r="AS536">
        <v>221.13729607222109</v>
      </c>
      <c r="AT536">
        <v>541.1939383042004</v>
      </c>
      <c r="AU536">
        <v>6.3278028391867966</v>
      </c>
      <c r="AV536">
        <v>237.42701809474599</v>
      </c>
      <c r="AW536">
        <v>777.65851738080198</v>
      </c>
      <c r="AX536">
        <v>540.23149928605596</v>
      </c>
      <c r="AY536">
        <v>1.396629518204388</v>
      </c>
      <c r="AZ536" t="s">
        <v>152</v>
      </c>
      <c r="BA536" t="str">
        <f>VLOOKUP($AZ536,Sheet1!$A$2:$B$58,2)</f>
        <v>Succinate</v>
      </c>
      <c r="BB536" t="s">
        <v>197</v>
      </c>
      <c r="BC536">
        <v>116.07016</v>
      </c>
      <c r="BD536">
        <v>3</v>
      </c>
      <c r="BE536">
        <v>235</v>
      </c>
      <c r="BF536" t="s">
        <v>206</v>
      </c>
      <c r="BG536">
        <v>1.6265210692193699</v>
      </c>
      <c r="BH536">
        <v>0.10439024390243901</v>
      </c>
      <c r="BI536">
        <v>0.26323479483191498</v>
      </c>
      <c r="BJ536">
        <v>80</v>
      </c>
      <c r="BK536">
        <v>3692.7988465457488</v>
      </c>
      <c r="BL536">
        <v>2565.3499741125288</v>
      </c>
      <c r="BM536">
        <v>5.0055311215642764</v>
      </c>
      <c r="BN536">
        <v>850.94029066592702</v>
      </c>
      <c r="BO536">
        <v>2841.8585558798218</v>
      </c>
    </row>
    <row r="537" spans="1:67" x14ac:dyDescent="0.25">
      <c r="A537" s="1">
        <v>535</v>
      </c>
      <c r="B537" t="s">
        <v>73</v>
      </c>
      <c r="C537" t="s">
        <v>85</v>
      </c>
      <c r="D537">
        <v>1</v>
      </c>
      <c r="E537">
        <v>1</v>
      </c>
      <c r="F537">
        <v>2</v>
      </c>
      <c r="G537">
        <v>45.016539999999999</v>
      </c>
      <c r="H537">
        <v>2</v>
      </c>
      <c r="I537" t="s">
        <v>89</v>
      </c>
      <c r="J537">
        <v>4</v>
      </c>
      <c r="K537">
        <v>300</v>
      </c>
      <c r="L537">
        <v>70</v>
      </c>
      <c r="N537" t="s">
        <v>82</v>
      </c>
      <c r="O537">
        <v>30</v>
      </c>
      <c r="P537">
        <v>0.5</v>
      </c>
      <c r="Q537">
        <v>3.2500000000000001E-2</v>
      </c>
      <c r="R537">
        <v>77.5</v>
      </c>
      <c r="S537">
        <v>170</v>
      </c>
      <c r="T537">
        <v>20</v>
      </c>
      <c r="U537">
        <v>1812.1301775147931</v>
      </c>
      <c r="V537">
        <v>20</v>
      </c>
      <c r="W537">
        <v>0.95</v>
      </c>
      <c r="X537">
        <v>1</v>
      </c>
      <c r="Y537">
        <v>146639.22649460589</v>
      </c>
      <c r="Z537">
        <v>439917679.48381758</v>
      </c>
      <c r="AA537">
        <v>1759670717.935271</v>
      </c>
      <c r="AB537">
        <v>1759670.7179352711</v>
      </c>
      <c r="AC537">
        <v>0</v>
      </c>
      <c r="AD537">
        <v>4559.4254200248261</v>
      </c>
      <c r="AE537">
        <v>8206965.7560446877</v>
      </c>
      <c r="AF537">
        <v>5744876.029231281</v>
      </c>
      <c r="AG537">
        <v>258.6144415649311</v>
      </c>
      <c r="AH537">
        <v>1805.9428146176331</v>
      </c>
      <c r="AI537">
        <v>361.18856292352672</v>
      </c>
      <c r="AJ537">
        <v>57189.298332896287</v>
      </c>
      <c r="AK537">
        <v>854.70085470085473</v>
      </c>
      <c r="AL537" t="s">
        <v>93</v>
      </c>
      <c r="AM537">
        <v>139960.56813286661</v>
      </c>
      <c r="AN537">
        <v>1636.461197589279</v>
      </c>
      <c r="AO537">
        <v>61402.05569699953</v>
      </c>
      <c r="AP537">
        <v>199641.028518053</v>
      </c>
      <c r="AQ537">
        <v>138238.9728210535</v>
      </c>
      <c r="AR537">
        <v>9.9548359341269828E-3</v>
      </c>
      <c r="AS537">
        <v>221.13729607222109</v>
      </c>
      <c r="AT537">
        <v>541.1939383042004</v>
      </c>
      <c r="AU537">
        <v>6.3278028391867958</v>
      </c>
      <c r="AV537">
        <v>237.42701809474599</v>
      </c>
      <c r="AW537">
        <v>771.96396036502267</v>
      </c>
      <c r="AX537">
        <v>534.53694227027665</v>
      </c>
      <c r="AY537">
        <v>1.396629518204388</v>
      </c>
      <c r="AZ537" t="s">
        <v>96</v>
      </c>
      <c r="BA537" t="str">
        <f>VLOOKUP($AZ537,Sheet1!$A$2:$B$58,2)</f>
        <v>1,3-Butanediol (PW1)</v>
      </c>
      <c r="BB537" t="s">
        <v>153</v>
      </c>
      <c r="BC537">
        <v>90.119200000000006</v>
      </c>
      <c r="BD537">
        <v>5.5</v>
      </c>
      <c r="BE537">
        <v>207</v>
      </c>
      <c r="BF537" t="s">
        <v>207</v>
      </c>
      <c r="BG537">
        <v>7.9372849753647881</v>
      </c>
      <c r="BH537">
        <v>4.9375000000000301E-2</v>
      </c>
      <c r="BI537">
        <v>9.6669002120375297E-2</v>
      </c>
      <c r="BJ537">
        <v>80</v>
      </c>
      <c r="BK537">
        <v>9982.0514259026477</v>
      </c>
      <c r="BL537">
        <v>6911.9486410526706</v>
      </c>
      <c r="BM537">
        <v>10.122143170811549</v>
      </c>
      <c r="BN537">
        <v>1720.7643390379631</v>
      </c>
      <c r="BO537">
        <v>8261.2870868646842</v>
      </c>
    </row>
    <row r="538" spans="1:67" x14ac:dyDescent="0.25">
      <c r="A538" s="1">
        <v>536</v>
      </c>
      <c r="B538" t="s">
        <v>73</v>
      </c>
      <c r="C538" t="s">
        <v>85</v>
      </c>
      <c r="D538">
        <v>1</v>
      </c>
      <c r="E538">
        <v>1</v>
      </c>
      <c r="F538">
        <v>2</v>
      </c>
      <c r="G538">
        <v>45.016539999999999</v>
      </c>
      <c r="H538">
        <v>2</v>
      </c>
      <c r="I538" t="s">
        <v>89</v>
      </c>
      <c r="J538">
        <v>4</v>
      </c>
      <c r="K538">
        <v>300</v>
      </c>
      <c r="L538">
        <v>70</v>
      </c>
      <c r="N538" t="s">
        <v>82</v>
      </c>
      <c r="O538">
        <v>30</v>
      </c>
      <c r="P538">
        <v>0.5</v>
      </c>
      <c r="Q538">
        <v>3.2500000000000001E-2</v>
      </c>
      <c r="R538">
        <v>77.5</v>
      </c>
      <c r="S538">
        <v>170</v>
      </c>
      <c r="T538">
        <v>20</v>
      </c>
      <c r="U538">
        <v>1812.1301775147931</v>
      </c>
      <c r="V538">
        <v>20</v>
      </c>
      <c r="W538">
        <v>0.95</v>
      </c>
      <c r="X538">
        <v>1</v>
      </c>
      <c r="Y538">
        <v>146639.2264946067</v>
      </c>
      <c r="Z538">
        <v>439917679.48382002</v>
      </c>
      <c r="AA538">
        <v>1759670717.9352801</v>
      </c>
      <c r="AB538">
        <v>1759670.7179352799</v>
      </c>
      <c r="AC538">
        <v>0</v>
      </c>
      <c r="AD538">
        <v>4559.4254200248506</v>
      </c>
      <c r="AE538">
        <v>8206965.7560447305</v>
      </c>
      <c r="AF538">
        <v>5744876.0292313108</v>
      </c>
      <c r="AG538">
        <v>258.61444156493252</v>
      </c>
      <c r="AH538">
        <v>1805.9428146176431</v>
      </c>
      <c r="AI538">
        <v>361.18856292352859</v>
      </c>
      <c r="AJ538">
        <v>57189.298332896607</v>
      </c>
      <c r="AK538">
        <v>854.70085470085473</v>
      </c>
      <c r="AL538" t="s">
        <v>93</v>
      </c>
      <c r="AM538">
        <v>139960.56813286731</v>
      </c>
      <c r="AN538">
        <v>1636.4611975892881</v>
      </c>
      <c r="AO538">
        <v>61402.055696999858</v>
      </c>
      <c r="AP538">
        <v>199641.02851805411</v>
      </c>
      <c r="AQ538">
        <v>138238.97282105419</v>
      </c>
      <c r="AR538">
        <v>9.9548359341269863E-3</v>
      </c>
      <c r="AS538">
        <v>221.13729607222109</v>
      </c>
      <c r="AT538">
        <v>541.1939383042004</v>
      </c>
      <c r="AU538">
        <v>6.3278028391867966</v>
      </c>
      <c r="AV538">
        <v>237.42701809474599</v>
      </c>
      <c r="AW538">
        <v>771.9639603650229</v>
      </c>
      <c r="AX538">
        <v>534.53694227027688</v>
      </c>
      <c r="AY538">
        <v>1.396629518204388</v>
      </c>
      <c r="AZ538" t="s">
        <v>97</v>
      </c>
      <c r="BA538" t="str">
        <f>VLOOKUP($AZ538,Sheet1!$A$2:$B$58,2)</f>
        <v>1,3-Butanediol (PW2)</v>
      </c>
      <c r="BB538" t="s">
        <v>153</v>
      </c>
      <c r="BC538">
        <v>90.119200000000006</v>
      </c>
      <c r="BD538">
        <v>5.5</v>
      </c>
      <c r="BE538">
        <v>207</v>
      </c>
      <c r="BF538" t="s">
        <v>207</v>
      </c>
      <c r="BG538">
        <v>7.9372849753648351</v>
      </c>
      <c r="BH538">
        <v>4.9375000000000099E-2</v>
      </c>
      <c r="BI538">
        <v>9.6669002120374797E-2</v>
      </c>
      <c r="BJ538">
        <v>80</v>
      </c>
      <c r="BK538">
        <v>9982.0514259027022</v>
      </c>
      <c r="BL538">
        <v>6911.9486410527097</v>
      </c>
      <c r="BM538">
        <v>10.12214317081159</v>
      </c>
      <c r="BN538">
        <v>1720.764339037971</v>
      </c>
      <c r="BO538">
        <v>8261.2870868647315</v>
      </c>
    </row>
    <row r="539" spans="1:67" x14ac:dyDescent="0.25">
      <c r="A539" s="1">
        <v>537</v>
      </c>
      <c r="B539" t="s">
        <v>73</v>
      </c>
      <c r="C539" t="s">
        <v>85</v>
      </c>
      <c r="D539">
        <v>1</v>
      </c>
      <c r="E539">
        <v>1</v>
      </c>
      <c r="F539">
        <v>2</v>
      </c>
      <c r="G539">
        <v>45.016539999999999</v>
      </c>
      <c r="H539">
        <v>2</v>
      </c>
      <c r="I539" t="s">
        <v>89</v>
      </c>
      <c r="J539">
        <v>4</v>
      </c>
      <c r="K539">
        <v>300</v>
      </c>
      <c r="L539">
        <v>70</v>
      </c>
      <c r="N539" t="s">
        <v>82</v>
      </c>
      <c r="O539">
        <v>30</v>
      </c>
      <c r="P539">
        <v>0.5</v>
      </c>
      <c r="Q539">
        <v>3.2500000000000001E-2</v>
      </c>
      <c r="R539">
        <v>77.5</v>
      </c>
      <c r="S539">
        <v>170</v>
      </c>
      <c r="T539">
        <v>20</v>
      </c>
      <c r="U539">
        <v>1812.1301775147931</v>
      </c>
      <c r="V539">
        <v>20</v>
      </c>
      <c r="W539">
        <v>0.95</v>
      </c>
      <c r="X539">
        <v>1</v>
      </c>
      <c r="Y539">
        <v>141622.54240344191</v>
      </c>
      <c r="Z539">
        <v>424867627.21032572</v>
      </c>
      <c r="AA539">
        <v>1699470508.8413031</v>
      </c>
      <c r="AB539">
        <v>1699470.5088413029</v>
      </c>
      <c r="AC539">
        <v>0</v>
      </c>
      <c r="AD539">
        <v>4403.4426211771479</v>
      </c>
      <c r="AE539">
        <v>7926196.718118866</v>
      </c>
      <c r="AF539">
        <v>5548337.7026832057</v>
      </c>
      <c r="AG539">
        <v>249.7669661263466</v>
      </c>
      <c r="AH539">
        <v>1744.159587822056</v>
      </c>
      <c r="AI539">
        <v>348.8319175644113</v>
      </c>
      <c r="AJ539">
        <v>55232.791537342338</v>
      </c>
      <c r="AK539">
        <v>854.70085470085473</v>
      </c>
      <c r="AL539" t="s">
        <v>93</v>
      </c>
      <c r="AM539">
        <v>135172.36805620941</v>
      </c>
      <c r="AN539">
        <v>1580.4761173893689</v>
      </c>
      <c r="AO539">
        <v>59301.425985949922</v>
      </c>
      <c r="AP539">
        <v>192840.33656564189</v>
      </c>
      <c r="AQ539">
        <v>133538.91057969199</v>
      </c>
      <c r="AR539">
        <v>9.9548359341269845E-3</v>
      </c>
      <c r="AS539">
        <v>221.13729607222109</v>
      </c>
      <c r="AT539">
        <v>541.19393830420051</v>
      </c>
      <c r="AU539">
        <v>6.3278028391867966</v>
      </c>
      <c r="AV539">
        <v>237.42701809474599</v>
      </c>
      <c r="AW539">
        <v>772.08103039571733</v>
      </c>
      <c r="AX539">
        <v>534.65401230097132</v>
      </c>
      <c r="AY539">
        <v>1.396629518204388</v>
      </c>
      <c r="AZ539" t="s">
        <v>98</v>
      </c>
      <c r="BA539" t="str">
        <f>VLOOKUP($AZ539,Sheet1!$A$2:$B$58,2)</f>
        <v>1,3-Diaminopropane</v>
      </c>
      <c r="BB539" t="s">
        <v>154</v>
      </c>
      <c r="BC539">
        <v>76.139580000000009</v>
      </c>
      <c r="BD539">
        <v>6</v>
      </c>
      <c r="BE539">
        <v>139.30000000000001</v>
      </c>
      <c r="BF539" t="s">
        <v>207</v>
      </c>
      <c r="BG539">
        <v>7.8182743663975964</v>
      </c>
      <c r="BH539">
        <v>6.0510638297872198E-2</v>
      </c>
      <c r="BI539">
        <v>0.100093300518186</v>
      </c>
      <c r="BJ539">
        <v>80</v>
      </c>
      <c r="BK539">
        <v>9642.0168282820978</v>
      </c>
      <c r="BL539">
        <v>6676.9455289846019</v>
      </c>
      <c r="BM539">
        <v>9.6233215118229687</v>
      </c>
      <c r="BN539">
        <v>1635.9646570099051</v>
      </c>
      <c r="BO539">
        <v>8006.0521712721929</v>
      </c>
    </row>
    <row r="540" spans="1:67" x14ac:dyDescent="0.25">
      <c r="A540" s="1">
        <v>538</v>
      </c>
      <c r="B540" t="s">
        <v>73</v>
      </c>
      <c r="C540" t="s">
        <v>85</v>
      </c>
      <c r="D540">
        <v>1</v>
      </c>
      <c r="E540">
        <v>1</v>
      </c>
      <c r="F540">
        <v>2</v>
      </c>
      <c r="G540">
        <v>45.016539999999999</v>
      </c>
      <c r="H540">
        <v>2</v>
      </c>
      <c r="I540" t="s">
        <v>89</v>
      </c>
      <c r="J540">
        <v>4</v>
      </c>
      <c r="K540">
        <v>300</v>
      </c>
      <c r="L540">
        <v>70</v>
      </c>
      <c r="N540" t="s">
        <v>82</v>
      </c>
      <c r="O540">
        <v>30</v>
      </c>
      <c r="P540">
        <v>0.5</v>
      </c>
      <c r="Q540">
        <v>3.2500000000000001E-2</v>
      </c>
      <c r="R540">
        <v>77.5</v>
      </c>
      <c r="S540">
        <v>170</v>
      </c>
      <c r="T540">
        <v>20</v>
      </c>
      <c r="U540">
        <v>1812.1301775147931</v>
      </c>
      <c r="V540">
        <v>20</v>
      </c>
      <c r="W540">
        <v>0.95</v>
      </c>
      <c r="X540">
        <v>1</v>
      </c>
      <c r="Y540">
        <v>133870.31836894801</v>
      </c>
      <c r="Z540">
        <v>401610955.10684413</v>
      </c>
      <c r="AA540">
        <v>1606443820.427377</v>
      </c>
      <c r="AB540">
        <v>1606443.820427377</v>
      </c>
      <c r="AC540">
        <v>0</v>
      </c>
      <c r="AD540">
        <v>4162.4042021297118</v>
      </c>
      <c r="AE540">
        <v>7492327.5638334807</v>
      </c>
      <c r="AF540">
        <v>5244629.2946834359</v>
      </c>
      <c r="AG540">
        <v>236.0950644292887</v>
      </c>
      <c r="AH540">
        <v>1648.686680421557</v>
      </c>
      <c r="AI540">
        <v>329.73733608431149</v>
      </c>
      <c r="AJ540">
        <v>52209.424163889737</v>
      </c>
      <c r="AK540">
        <v>854.70085470085473</v>
      </c>
      <c r="AL540" t="s">
        <v>93</v>
      </c>
      <c r="AM540">
        <v>127773.2177326707</v>
      </c>
      <c r="AN540">
        <v>1493.9630190136429</v>
      </c>
      <c r="AO540">
        <v>56055.347134332951</v>
      </c>
      <c r="AP540">
        <v>182331.30577027489</v>
      </c>
      <c r="AQ540">
        <v>126275.95863594201</v>
      </c>
      <c r="AR540">
        <v>9.9548359341269863E-3</v>
      </c>
      <c r="AS540">
        <v>221.13729607222109</v>
      </c>
      <c r="AT540">
        <v>541.19393830420051</v>
      </c>
      <c r="AU540">
        <v>6.3278028391867966</v>
      </c>
      <c r="AV540">
        <v>237.42701809474599</v>
      </c>
      <c r="AW540">
        <v>772.27919275239151</v>
      </c>
      <c r="AX540">
        <v>534.85217465764549</v>
      </c>
      <c r="AY540">
        <v>1.396629518204388</v>
      </c>
      <c r="AZ540" t="s">
        <v>99</v>
      </c>
      <c r="BA540" t="str">
        <f>VLOOKUP($AZ540,Sheet1!$A$2:$B$58,2)</f>
        <v>1,3-Propanediol</v>
      </c>
      <c r="BB540" t="s">
        <v>155</v>
      </c>
      <c r="BC540">
        <v>76.092820000000003</v>
      </c>
      <c r="BD540">
        <v>5.333333333333333</v>
      </c>
      <c r="BE540">
        <v>213</v>
      </c>
      <c r="BF540" t="s">
        <v>207</v>
      </c>
      <c r="BG540">
        <v>7.2943274985351989</v>
      </c>
      <c r="BH540">
        <v>6.4054054054053997E-2</v>
      </c>
      <c r="BI540">
        <v>0.10588954945090601</v>
      </c>
      <c r="BJ540">
        <v>80</v>
      </c>
      <c r="BK540">
        <v>9116.5652885137442</v>
      </c>
      <c r="BL540">
        <v>6313.7979317970967</v>
      </c>
      <c r="BM540">
        <v>9.1925393056803735</v>
      </c>
      <c r="BN540">
        <v>1562.731681965663</v>
      </c>
      <c r="BO540">
        <v>7553.8336065480808</v>
      </c>
    </row>
    <row r="541" spans="1:67" x14ac:dyDescent="0.25">
      <c r="A541" s="1">
        <v>539</v>
      </c>
      <c r="B541" t="s">
        <v>73</v>
      </c>
      <c r="C541" t="s">
        <v>85</v>
      </c>
      <c r="D541">
        <v>1</v>
      </c>
      <c r="E541">
        <v>1</v>
      </c>
      <c r="F541">
        <v>2</v>
      </c>
      <c r="G541">
        <v>45.016539999999999</v>
      </c>
      <c r="H541">
        <v>2</v>
      </c>
      <c r="I541" t="s">
        <v>89</v>
      </c>
      <c r="J541">
        <v>4</v>
      </c>
      <c r="K541">
        <v>300</v>
      </c>
      <c r="L541">
        <v>70</v>
      </c>
      <c r="N541" t="s">
        <v>82</v>
      </c>
      <c r="O541">
        <v>30</v>
      </c>
      <c r="P541">
        <v>0.5</v>
      </c>
      <c r="Q541">
        <v>3.2500000000000001E-2</v>
      </c>
      <c r="R541">
        <v>77.5</v>
      </c>
      <c r="S541">
        <v>170</v>
      </c>
      <c r="T541">
        <v>20</v>
      </c>
      <c r="U541">
        <v>1812.1301775147931</v>
      </c>
      <c r="V541">
        <v>20</v>
      </c>
      <c r="W541">
        <v>0.95</v>
      </c>
      <c r="X541">
        <v>1</v>
      </c>
      <c r="Y541">
        <v>158859.16203582511</v>
      </c>
      <c r="Z541">
        <v>476577486.1074754</v>
      </c>
      <c r="AA541">
        <v>1906309944.4299021</v>
      </c>
      <c r="AB541">
        <v>1906309.9444299019</v>
      </c>
      <c r="AC541">
        <v>0</v>
      </c>
      <c r="AD541">
        <v>4939.3775383602933</v>
      </c>
      <c r="AE541">
        <v>8890879.5690485276</v>
      </c>
      <c r="AF541">
        <v>6223615.6983339693</v>
      </c>
      <c r="AG541">
        <v>280.16564502867908</v>
      </c>
      <c r="AH541">
        <v>1956.4380491691279</v>
      </c>
      <c r="AI541">
        <v>391.28760983382568</v>
      </c>
      <c r="AJ541">
        <v>61955.073193971803</v>
      </c>
      <c r="AK541">
        <v>854.70085470085473</v>
      </c>
      <c r="AL541" t="s">
        <v>93</v>
      </c>
      <c r="AM541">
        <v>151623.94881060749</v>
      </c>
      <c r="AN541">
        <v>1772.832964055076</v>
      </c>
      <c r="AO541">
        <v>66518.893671750368</v>
      </c>
      <c r="AP541">
        <v>216206.55582333519</v>
      </c>
      <c r="AQ541">
        <v>149687.66215158481</v>
      </c>
      <c r="AR541">
        <v>9.9548359341269845E-3</v>
      </c>
      <c r="AS541">
        <v>221.13729607222109</v>
      </c>
      <c r="AT541">
        <v>541.1939383042004</v>
      </c>
      <c r="AU541">
        <v>6.3278028391867966</v>
      </c>
      <c r="AV541">
        <v>237.42701809474599</v>
      </c>
      <c r="AW541">
        <v>771.70973550737551</v>
      </c>
      <c r="AX541">
        <v>534.28271741262949</v>
      </c>
      <c r="AY541">
        <v>1.396629518204388</v>
      </c>
      <c r="AZ541" t="s">
        <v>100</v>
      </c>
      <c r="BA541" t="str">
        <f>VLOOKUP($AZ541,Sheet1!$A$2:$B$58,2)</f>
        <v>1,4-Butanediol</v>
      </c>
      <c r="BB541" t="s">
        <v>153</v>
      </c>
      <c r="BC541">
        <v>90.119200000000006</v>
      </c>
      <c r="BD541">
        <v>5.5</v>
      </c>
      <c r="BE541">
        <v>230</v>
      </c>
      <c r="BF541" t="s">
        <v>207</v>
      </c>
      <c r="BG541">
        <v>8.7615097910829505</v>
      </c>
      <c r="BH541">
        <v>4.5576923076922703E-2</v>
      </c>
      <c r="BI541">
        <v>8.9232925034191404E-2</v>
      </c>
      <c r="BJ541">
        <v>80</v>
      </c>
      <c r="BK541">
        <v>10810.327791166759</v>
      </c>
      <c r="BL541">
        <v>7484.3831075792395</v>
      </c>
      <c r="BM541">
        <v>10.802870700608331</v>
      </c>
      <c r="BN541">
        <v>1836.4880191034169</v>
      </c>
      <c r="BO541">
        <v>8973.839772063342</v>
      </c>
    </row>
    <row r="542" spans="1:67" x14ac:dyDescent="0.25">
      <c r="A542" s="1">
        <v>540</v>
      </c>
      <c r="B542" t="s">
        <v>73</v>
      </c>
      <c r="C542" t="s">
        <v>85</v>
      </c>
      <c r="D542">
        <v>1</v>
      </c>
      <c r="E542">
        <v>1</v>
      </c>
      <c r="F542">
        <v>2</v>
      </c>
      <c r="G542">
        <v>45.016539999999999</v>
      </c>
      <c r="H542">
        <v>2</v>
      </c>
      <c r="I542" t="s">
        <v>89</v>
      </c>
      <c r="J542">
        <v>4</v>
      </c>
      <c r="K542">
        <v>300</v>
      </c>
      <c r="L542">
        <v>70</v>
      </c>
      <c r="N542" t="s">
        <v>82</v>
      </c>
      <c r="O542">
        <v>30</v>
      </c>
      <c r="P542">
        <v>0.5</v>
      </c>
      <c r="Q542">
        <v>3.2500000000000001E-2</v>
      </c>
      <c r="R542">
        <v>77.5</v>
      </c>
      <c r="S542">
        <v>170</v>
      </c>
      <c r="T542">
        <v>20</v>
      </c>
      <c r="U542">
        <v>1812.1301775147931</v>
      </c>
      <c r="V542">
        <v>20</v>
      </c>
      <c r="W542">
        <v>0.95</v>
      </c>
      <c r="X542">
        <v>1</v>
      </c>
      <c r="Y542">
        <v>194708.7056481363</v>
      </c>
      <c r="Z542">
        <v>584126116.94440889</v>
      </c>
      <c r="AA542">
        <v>2336504467.7776361</v>
      </c>
      <c r="AB542">
        <v>2336504.467777635</v>
      </c>
      <c r="AC542">
        <v>0</v>
      </c>
      <c r="AD542">
        <v>6054.0405405432248</v>
      </c>
      <c r="AE542">
        <v>10897272.9729778</v>
      </c>
      <c r="AF542">
        <v>7628091.0810844628</v>
      </c>
      <c r="AG542">
        <v>343.39026727528199</v>
      </c>
      <c r="AH542">
        <v>2397.944917703765</v>
      </c>
      <c r="AI542">
        <v>479.58898354075308</v>
      </c>
      <c r="AJ542">
        <v>75936.395202773158</v>
      </c>
      <c r="AK542">
        <v>854.70085470085473</v>
      </c>
      <c r="AL542" t="s">
        <v>93</v>
      </c>
      <c r="AM542">
        <v>185840.73112204179</v>
      </c>
      <c r="AN542">
        <v>2172.9059082136419</v>
      </c>
      <c r="AO542">
        <v>81530.12720192803</v>
      </c>
      <c r="AP542">
        <v>264804.73308772949</v>
      </c>
      <c r="AQ542">
        <v>183274.60588580149</v>
      </c>
      <c r="AR542">
        <v>9.9548359341269828E-3</v>
      </c>
      <c r="AS542">
        <v>221.13729607222109</v>
      </c>
      <c r="AT542">
        <v>541.19393830420029</v>
      </c>
      <c r="AU542">
        <v>6.3278028391867958</v>
      </c>
      <c r="AV542">
        <v>237.42701809474599</v>
      </c>
      <c r="AW542">
        <v>771.14804443611786</v>
      </c>
      <c r="AX542">
        <v>533.72102634137184</v>
      </c>
      <c r="AY542">
        <v>1.396629518204388</v>
      </c>
      <c r="AZ542" t="s">
        <v>101</v>
      </c>
      <c r="BA542" t="str">
        <f>VLOOKUP($AZ542,Sheet1!$A$2:$B$58,2)</f>
        <v>1-Propanol (PW1)</v>
      </c>
      <c r="BB542" t="s">
        <v>156</v>
      </c>
      <c r="BC542">
        <v>60.093820000000001</v>
      </c>
      <c r="BD542">
        <v>6</v>
      </c>
      <c r="BE542">
        <v>97</v>
      </c>
      <c r="BF542" t="s">
        <v>207</v>
      </c>
      <c r="BG542">
        <v>10.935880940161541</v>
      </c>
      <c r="BH542">
        <v>5.5764705882352203E-2</v>
      </c>
      <c r="BI542">
        <v>7.2803461199902095E-2</v>
      </c>
      <c r="BJ542">
        <v>80</v>
      </c>
      <c r="BK542">
        <v>13240.236654386479</v>
      </c>
      <c r="BL542">
        <v>9163.7302942900733</v>
      </c>
      <c r="BM542">
        <v>13.043568236876119</v>
      </c>
      <c r="BN542">
        <v>2217.4066002689401</v>
      </c>
      <c r="BO542">
        <v>11022.830054117539</v>
      </c>
    </row>
    <row r="543" spans="1:67" x14ac:dyDescent="0.25">
      <c r="A543" s="1">
        <v>541</v>
      </c>
      <c r="B543" t="s">
        <v>73</v>
      </c>
      <c r="C543" t="s">
        <v>85</v>
      </c>
      <c r="D543">
        <v>1</v>
      </c>
      <c r="E543">
        <v>1</v>
      </c>
      <c r="F543">
        <v>2</v>
      </c>
      <c r="G543">
        <v>45.016539999999999</v>
      </c>
      <c r="H543">
        <v>2</v>
      </c>
      <c r="I543" t="s">
        <v>89</v>
      </c>
      <c r="J543">
        <v>4</v>
      </c>
      <c r="K543">
        <v>300</v>
      </c>
      <c r="L543">
        <v>70</v>
      </c>
      <c r="N543" t="s">
        <v>82</v>
      </c>
      <c r="O543">
        <v>30</v>
      </c>
      <c r="P543">
        <v>0.5</v>
      </c>
      <c r="Q543">
        <v>3.2500000000000001E-2</v>
      </c>
      <c r="R543">
        <v>77.5</v>
      </c>
      <c r="S543">
        <v>170</v>
      </c>
      <c r="T543">
        <v>20</v>
      </c>
      <c r="U543">
        <v>1812.1301775147931</v>
      </c>
      <c r="V543">
        <v>20</v>
      </c>
      <c r="W543">
        <v>0.95</v>
      </c>
      <c r="X543">
        <v>1</v>
      </c>
      <c r="Y543">
        <v>208452.84957623799</v>
      </c>
      <c r="Z543">
        <v>625358548.72871411</v>
      </c>
      <c r="AA543">
        <v>2501434194.914856</v>
      </c>
      <c r="AB543">
        <v>2501434.194914856</v>
      </c>
      <c r="AC543">
        <v>0</v>
      </c>
      <c r="AD543">
        <v>6481.3845786991542</v>
      </c>
      <c r="AE543">
        <v>11666492.241658481</v>
      </c>
      <c r="AF543">
        <v>8166544.5691609336</v>
      </c>
      <c r="AG543">
        <v>367.62958025941589</v>
      </c>
      <c r="AH543">
        <v>2567.2116177769481</v>
      </c>
      <c r="AI543">
        <v>513.44232355538963</v>
      </c>
      <c r="AJ543">
        <v>81296.611334732836</v>
      </c>
      <c r="AK543">
        <v>854.70085470085473</v>
      </c>
      <c r="AL543" t="s">
        <v>93</v>
      </c>
      <c r="AM543">
        <v>198958.90037771349</v>
      </c>
      <c r="AN543">
        <v>2326.2875017345818</v>
      </c>
      <c r="AO543">
        <v>87285.195004416237</v>
      </c>
      <c r="AP543">
        <v>283436.50006888172</v>
      </c>
      <c r="AQ543">
        <v>196151.3050644655</v>
      </c>
      <c r="AR543">
        <v>9.9548359341269845E-3</v>
      </c>
      <c r="AS543">
        <v>221.13729607222109</v>
      </c>
      <c r="AT543">
        <v>541.19393830420051</v>
      </c>
      <c r="AU543">
        <v>6.3278028391867958</v>
      </c>
      <c r="AV543">
        <v>237.42701809474599</v>
      </c>
      <c r="AW543">
        <v>770.98393406993034</v>
      </c>
      <c r="AX543">
        <v>533.55691597518432</v>
      </c>
      <c r="AY543">
        <v>1.396629518204388</v>
      </c>
      <c r="AZ543" t="s">
        <v>102</v>
      </c>
      <c r="BA543" t="str">
        <f>VLOOKUP($AZ543,Sheet1!$A$2:$B$58,2)</f>
        <v>1-Propanol (PW2)</v>
      </c>
      <c r="BB543" t="s">
        <v>156</v>
      </c>
      <c r="BC543">
        <v>60.093820000000001</v>
      </c>
      <c r="BD543">
        <v>6</v>
      </c>
      <c r="BE543">
        <v>97</v>
      </c>
      <c r="BF543" t="s">
        <v>207</v>
      </c>
      <c r="BG543">
        <v>11.86291238465102</v>
      </c>
      <c r="BH543">
        <v>5.20879120879119E-2</v>
      </c>
      <c r="BI543">
        <v>6.8003232988920206E-2</v>
      </c>
      <c r="BJ543">
        <v>80</v>
      </c>
      <c r="BK543">
        <v>14171.825003444081</v>
      </c>
      <c r="BL543">
        <v>9807.5652532232707</v>
      </c>
      <c r="BM543">
        <v>13.80920379311846</v>
      </c>
      <c r="BN543">
        <v>2347.5646448301381</v>
      </c>
      <c r="BO543">
        <v>11824.260358613939</v>
      </c>
    </row>
    <row r="544" spans="1:67" x14ac:dyDescent="0.25">
      <c r="A544" s="1">
        <v>542</v>
      </c>
      <c r="B544" t="s">
        <v>73</v>
      </c>
      <c r="C544" t="s">
        <v>85</v>
      </c>
      <c r="D544">
        <v>1</v>
      </c>
      <c r="E544">
        <v>1</v>
      </c>
      <c r="F544">
        <v>2</v>
      </c>
      <c r="G544">
        <v>45.016539999999999</v>
      </c>
      <c r="H544">
        <v>2</v>
      </c>
      <c r="I544" t="s">
        <v>89</v>
      </c>
      <c r="J544">
        <v>4</v>
      </c>
      <c r="K544">
        <v>300</v>
      </c>
      <c r="L544">
        <v>70</v>
      </c>
      <c r="N544" t="s">
        <v>82</v>
      </c>
      <c r="O544">
        <v>30</v>
      </c>
      <c r="P544">
        <v>0.5</v>
      </c>
      <c r="Q544">
        <v>3.2500000000000001E-2</v>
      </c>
      <c r="R544">
        <v>77.5</v>
      </c>
      <c r="S544">
        <v>170</v>
      </c>
      <c r="T544">
        <v>20</v>
      </c>
      <c r="U544">
        <v>1812.1301775147931</v>
      </c>
      <c r="V544">
        <v>20</v>
      </c>
      <c r="W544">
        <v>0.95</v>
      </c>
      <c r="X544">
        <v>1</v>
      </c>
      <c r="Y544">
        <v>146639.22649460679</v>
      </c>
      <c r="Z544">
        <v>439917679.48382038</v>
      </c>
      <c r="AA544">
        <v>1759670717.935282</v>
      </c>
      <c r="AB544">
        <v>1759670.717935282</v>
      </c>
      <c r="AC544">
        <v>0</v>
      </c>
      <c r="AD544">
        <v>4559.4254200248542</v>
      </c>
      <c r="AE544">
        <v>8206965.756044738</v>
      </c>
      <c r="AF544">
        <v>5744876.0292313164</v>
      </c>
      <c r="AG544">
        <v>258.61444156493269</v>
      </c>
      <c r="AH544">
        <v>1805.9428146176449</v>
      </c>
      <c r="AI544">
        <v>361.18856292352888</v>
      </c>
      <c r="AJ544">
        <v>57189.298332896651</v>
      </c>
      <c r="AK544">
        <v>854.70085470085473</v>
      </c>
      <c r="AL544" t="s">
        <v>93</v>
      </c>
      <c r="AM544">
        <v>139960.56813286751</v>
      </c>
      <c r="AN544">
        <v>1636.461197589289</v>
      </c>
      <c r="AO544">
        <v>61402.055696999923</v>
      </c>
      <c r="AP544">
        <v>199641.02851805431</v>
      </c>
      <c r="AQ544">
        <v>138238.97282105431</v>
      </c>
      <c r="AR544">
        <v>9.9548359341269845E-3</v>
      </c>
      <c r="AS544">
        <v>221.13729607222109</v>
      </c>
      <c r="AT544">
        <v>541.19393830420051</v>
      </c>
      <c r="AU544">
        <v>6.3278028391867966</v>
      </c>
      <c r="AV544">
        <v>237.42701809474599</v>
      </c>
      <c r="AW544">
        <v>771.9639603650229</v>
      </c>
      <c r="AX544">
        <v>534.53694227027688</v>
      </c>
      <c r="AY544">
        <v>1.396629518204388</v>
      </c>
      <c r="AZ544" t="s">
        <v>103</v>
      </c>
      <c r="BA544" t="str">
        <f>VLOOKUP($AZ544,Sheet1!$A$2:$B$58,2)</f>
        <v>2,3-Butanediol</v>
      </c>
      <c r="BB544" t="s">
        <v>153</v>
      </c>
      <c r="BC544">
        <v>90.119200000000006</v>
      </c>
      <c r="BD544">
        <v>5.5</v>
      </c>
      <c r="BE544">
        <v>177</v>
      </c>
      <c r="BF544" t="s">
        <v>207</v>
      </c>
      <c r="BG544">
        <v>7.9372849753648351</v>
      </c>
      <c r="BH544">
        <v>4.9375000000000002E-2</v>
      </c>
      <c r="BI544">
        <v>9.66690021203747E-2</v>
      </c>
      <c r="BJ544">
        <v>80</v>
      </c>
      <c r="BK544">
        <v>9982.0514259027132</v>
      </c>
      <c r="BL544">
        <v>6911.9486410527161</v>
      </c>
      <c r="BM544">
        <v>10.12214317081161</v>
      </c>
      <c r="BN544">
        <v>1720.7643390379731</v>
      </c>
      <c r="BO544">
        <v>8261.2870868647406</v>
      </c>
    </row>
    <row r="545" spans="1:67" x14ac:dyDescent="0.25">
      <c r="A545" s="1">
        <v>543</v>
      </c>
      <c r="B545" t="s">
        <v>73</v>
      </c>
      <c r="C545" t="s">
        <v>85</v>
      </c>
      <c r="D545">
        <v>1</v>
      </c>
      <c r="E545">
        <v>1</v>
      </c>
      <c r="F545">
        <v>2</v>
      </c>
      <c r="G545">
        <v>45.016539999999999</v>
      </c>
      <c r="H545">
        <v>2</v>
      </c>
      <c r="I545" t="s">
        <v>89</v>
      </c>
      <c r="J545">
        <v>4</v>
      </c>
      <c r="K545">
        <v>300</v>
      </c>
      <c r="L545">
        <v>70</v>
      </c>
      <c r="N545" t="s">
        <v>82</v>
      </c>
      <c r="O545">
        <v>30</v>
      </c>
      <c r="P545">
        <v>0.5</v>
      </c>
      <c r="Q545">
        <v>3.2500000000000001E-2</v>
      </c>
      <c r="R545">
        <v>77.5</v>
      </c>
      <c r="S545">
        <v>170</v>
      </c>
      <c r="T545">
        <v>20</v>
      </c>
      <c r="U545">
        <v>1812.1301775147931</v>
      </c>
      <c r="V545">
        <v>20</v>
      </c>
      <c r="W545">
        <v>0.95</v>
      </c>
      <c r="X545">
        <v>1</v>
      </c>
      <c r="Y545">
        <v>224881.26788888549</v>
      </c>
      <c r="Z545">
        <v>674643803.66665637</v>
      </c>
      <c r="AA545">
        <v>2698575214.666625</v>
      </c>
      <c r="AB545">
        <v>2698575.214666625</v>
      </c>
      <c r="AC545">
        <v>0</v>
      </c>
      <c r="AD545">
        <v>6992.1902468417184</v>
      </c>
      <c r="AE545">
        <v>12585942.444315091</v>
      </c>
      <c r="AF545">
        <v>8810159.7110205647</v>
      </c>
      <c r="AG545">
        <v>396.60290703754572</v>
      </c>
      <c r="AH545">
        <v>2769.536634871537</v>
      </c>
      <c r="AI545">
        <v>553.90732697430735</v>
      </c>
      <c r="AJ545">
        <v>87703.694476665332</v>
      </c>
      <c r="AK545">
        <v>854.70085470085473</v>
      </c>
      <c r="AL545" t="s">
        <v>93</v>
      </c>
      <c r="AM545">
        <v>214639.0892025441</v>
      </c>
      <c r="AN545">
        <v>2509.6250011819188</v>
      </c>
      <c r="AO545">
        <v>94164.245585632249</v>
      </c>
      <c r="AP545">
        <v>305707.1095350922</v>
      </c>
      <c r="AQ545">
        <v>211542.86394945989</v>
      </c>
      <c r="AR545">
        <v>9.9548359341269845E-3</v>
      </c>
      <c r="AS545">
        <v>221.13729607222109</v>
      </c>
      <c r="AT545">
        <v>541.19393830420051</v>
      </c>
      <c r="AU545">
        <v>6.3278028391867966</v>
      </c>
      <c r="AV545">
        <v>237.4270180947461</v>
      </c>
      <c r="AW545">
        <v>770.81409165301829</v>
      </c>
      <c r="AX545">
        <v>533.38707355827228</v>
      </c>
      <c r="AY545">
        <v>1.3966295182043891</v>
      </c>
      <c r="AZ545" t="s">
        <v>104</v>
      </c>
      <c r="BA545" t="str">
        <f>VLOOKUP($AZ545,Sheet1!$A$2:$B$58,2)</f>
        <v>2-Methyl-1-Butanol</v>
      </c>
      <c r="BB545" t="s">
        <v>157</v>
      </c>
      <c r="BC545">
        <v>88.14658</v>
      </c>
      <c r="BD545">
        <v>6</v>
      </c>
      <c r="BE545">
        <v>129</v>
      </c>
      <c r="BF545" t="s">
        <v>207</v>
      </c>
      <c r="BG545">
        <v>12.671650541947789</v>
      </c>
      <c r="BH545">
        <v>3.2916666666666802E-2</v>
      </c>
      <c r="BI545">
        <v>6.3035342294234104E-2</v>
      </c>
      <c r="BJ545">
        <v>80</v>
      </c>
      <c r="BK545">
        <v>15285.35547675461</v>
      </c>
      <c r="BL545">
        <v>10577.143197473</v>
      </c>
      <c r="BM545">
        <v>15.02371580676758</v>
      </c>
      <c r="BN545">
        <v>2554.0316871504879</v>
      </c>
      <c r="BO545">
        <v>12731.323789604119</v>
      </c>
    </row>
    <row r="546" spans="1:67" x14ac:dyDescent="0.25">
      <c r="A546" s="1">
        <v>544</v>
      </c>
      <c r="B546" t="s">
        <v>73</v>
      </c>
      <c r="C546" t="s">
        <v>85</v>
      </c>
      <c r="D546">
        <v>1</v>
      </c>
      <c r="E546">
        <v>1</v>
      </c>
      <c r="F546">
        <v>2</v>
      </c>
      <c r="G546">
        <v>45.016539999999999</v>
      </c>
      <c r="H546">
        <v>2</v>
      </c>
      <c r="I546" t="s">
        <v>89</v>
      </c>
      <c r="J546">
        <v>4</v>
      </c>
      <c r="K546">
        <v>300</v>
      </c>
      <c r="L546">
        <v>70</v>
      </c>
      <c r="N546" t="s">
        <v>82</v>
      </c>
      <c r="O546">
        <v>30</v>
      </c>
      <c r="P546">
        <v>0.5</v>
      </c>
      <c r="Q546">
        <v>3.2500000000000001E-2</v>
      </c>
      <c r="R546">
        <v>77.5</v>
      </c>
      <c r="S546">
        <v>170</v>
      </c>
      <c r="T546">
        <v>20</v>
      </c>
      <c r="U546">
        <v>1812.1301775147931</v>
      </c>
      <c r="V546">
        <v>20</v>
      </c>
      <c r="W546">
        <v>0.95</v>
      </c>
      <c r="X546">
        <v>1</v>
      </c>
      <c r="Y546">
        <v>90720.269807531149</v>
      </c>
      <c r="Z546">
        <v>272160809.42259341</v>
      </c>
      <c r="AA546">
        <v>1088643237.6903739</v>
      </c>
      <c r="AB546">
        <v>1088643.237690374</v>
      </c>
      <c r="AC546">
        <v>0</v>
      </c>
      <c r="AD546">
        <v>2820.7479960158121</v>
      </c>
      <c r="AE546">
        <v>5077346.3928284608</v>
      </c>
      <c r="AF546">
        <v>3554142.4749799231</v>
      </c>
      <c r="AG546">
        <v>159.99519689063271</v>
      </c>
      <c r="AH546">
        <v>1117.270073741902</v>
      </c>
      <c r="AI546">
        <v>223.4540147483805</v>
      </c>
      <c r="AJ546">
        <v>35380.905224937153</v>
      </c>
      <c r="AK546">
        <v>1835.336538461539</v>
      </c>
      <c r="AL546" t="s">
        <v>94</v>
      </c>
      <c r="AM546">
        <v>86588.430714997448</v>
      </c>
      <c r="AN546">
        <v>1012.418061140796</v>
      </c>
      <c r="AO546">
        <v>37987.182507224687</v>
      </c>
      <c r="AP546">
        <v>124817.0905395369</v>
      </c>
      <c r="AQ546">
        <v>86829.908032312233</v>
      </c>
      <c r="AR546">
        <v>9.9548359341269828E-3</v>
      </c>
      <c r="AS546">
        <v>221.13729607222109</v>
      </c>
      <c r="AT546">
        <v>541.19393830420029</v>
      </c>
      <c r="AU546">
        <v>6.3278028391867958</v>
      </c>
      <c r="AV546">
        <v>237.4270180947459</v>
      </c>
      <c r="AW546">
        <v>780.13023493985054</v>
      </c>
      <c r="AX546">
        <v>542.70321684510463</v>
      </c>
      <c r="AY546">
        <v>1.396629518204388</v>
      </c>
      <c r="AZ546" t="s">
        <v>105</v>
      </c>
      <c r="BA546" t="str">
        <f>VLOOKUP($AZ546,Sheet1!$A$2:$B$58,2)</f>
        <v>2-Pyrone-4,6-Dicarboxylate</v>
      </c>
      <c r="BB546" t="s">
        <v>158</v>
      </c>
      <c r="BC546">
        <v>182.08457999999999</v>
      </c>
      <c r="BD546">
        <v>2.5714285714285721</v>
      </c>
      <c r="BE546">
        <v>355.5</v>
      </c>
      <c r="BF546" t="s">
        <v>207</v>
      </c>
      <c r="BG546">
        <v>4.4271031363000279</v>
      </c>
      <c r="BH546">
        <v>3.95E-2</v>
      </c>
      <c r="BI546">
        <v>0.15625469067730299</v>
      </c>
      <c r="BJ546">
        <v>80</v>
      </c>
      <c r="BK546">
        <v>6240.8545269768456</v>
      </c>
      <c r="BL546">
        <v>4341.4954016156116</v>
      </c>
      <c r="BM546">
        <v>6.7455976011189982</v>
      </c>
      <c r="BN546">
        <v>1146.75159219023</v>
      </c>
      <c r="BO546">
        <v>5094.1029347866161</v>
      </c>
    </row>
    <row r="547" spans="1:67" x14ac:dyDescent="0.25">
      <c r="A547" s="1">
        <v>545</v>
      </c>
      <c r="B547" t="s">
        <v>73</v>
      </c>
      <c r="C547" t="s">
        <v>85</v>
      </c>
      <c r="D547">
        <v>1</v>
      </c>
      <c r="E547">
        <v>1</v>
      </c>
      <c r="F547">
        <v>2</v>
      </c>
      <c r="G547">
        <v>45.016539999999999</v>
      </c>
      <c r="H547">
        <v>2</v>
      </c>
      <c r="I547" t="s">
        <v>89</v>
      </c>
      <c r="J547">
        <v>4</v>
      </c>
      <c r="K547">
        <v>300</v>
      </c>
      <c r="L547">
        <v>70</v>
      </c>
      <c r="N547" t="s">
        <v>82</v>
      </c>
      <c r="O547">
        <v>30</v>
      </c>
      <c r="P547">
        <v>0.5</v>
      </c>
      <c r="Q547">
        <v>3.2500000000000001E-2</v>
      </c>
      <c r="R547">
        <v>77.5</v>
      </c>
      <c r="S547">
        <v>170</v>
      </c>
      <c r="T547">
        <v>20</v>
      </c>
      <c r="U547">
        <v>1812.1301775147931</v>
      </c>
      <c r="V547">
        <v>20</v>
      </c>
      <c r="W547">
        <v>0.95</v>
      </c>
      <c r="X547">
        <v>1</v>
      </c>
      <c r="Y547">
        <v>229487.97088711089</v>
      </c>
      <c r="Z547">
        <v>688463912.66133249</v>
      </c>
      <c r="AA547">
        <v>2753855650.64533</v>
      </c>
      <c r="AB547">
        <v>2753855.6506453301</v>
      </c>
      <c r="AC547">
        <v>0</v>
      </c>
      <c r="AD547">
        <v>7135.4255819884575</v>
      </c>
      <c r="AE547">
        <v>12843766.04757922</v>
      </c>
      <c r="AF547">
        <v>8990636.2333054543</v>
      </c>
      <c r="AG547">
        <v>404.72733562204428</v>
      </c>
      <c r="AH547">
        <v>2826.270718769807</v>
      </c>
      <c r="AI547">
        <v>565.25414375396156</v>
      </c>
      <c r="AJ547">
        <v>89500.308645973229</v>
      </c>
      <c r="AK547">
        <v>854.70085470085473</v>
      </c>
      <c r="AL547" t="s">
        <v>93</v>
      </c>
      <c r="AM547">
        <v>219035.98070466009</v>
      </c>
      <c r="AN547">
        <v>2561.0347834456802</v>
      </c>
      <c r="AO547">
        <v>96093.204438173459</v>
      </c>
      <c r="AP547">
        <v>311952.02498877991</v>
      </c>
      <c r="AQ547">
        <v>215858.8205506065</v>
      </c>
      <c r="AR547">
        <v>9.9548359341269863E-3</v>
      </c>
      <c r="AS547">
        <v>221.13729607222109</v>
      </c>
      <c r="AT547">
        <v>541.19393830420051</v>
      </c>
      <c r="AU547">
        <v>6.3278028391867966</v>
      </c>
      <c r="AV547">
        <v>237.42701809474599</v>
      </c>
      <c r="AW547">
        <v>770.77083145205984</v>
      </c>
      <c r="AX547">
        <v>533.34381335731382</v>
      </c>
      <c r="AY547">
        <v>1.396629518204388</v>
      </c>
      <c r="AZ547" t="s">
        <v>106</v>
      </c>
      <c r="BA547" t="str">
        <f>VLOOKUP($AZ547,Sheet1!$A$2:$B$58,2)</f>
        <v>3-Methyl-1-Pentanol</v>
      </c>
      <c r="BB547" t="s">
        <v>159</v>
      </c>
      <c r="BC547">
        <v>102.17296</v>
      </c>
      <c r="BD547">
        <v>6</v>
      </c>
      <c r="BE547">
        <v>153</v>
      </c>
      <c r="BF547" t="s">
        <v>207</v>
      </c>
      <c r="BG547">
        <v>12.894337780053069</v>
      </c>
      <c r="BH547">
        <v>2.7827788649706399E-2</v>
      </c>
      <c r="BI547">
        <v>6.1769981416195503E-2</v>
      </c>
      <c r="BJ547">
        <v>80</v>
      </c>
      <c r="BK547">
        <v>15597.601249439</v>
      </c>
      <c r="BL547">
        <v>10792.941027530331</v>
      </c>
      <c r="BM547">
        <v>15.368369407645011</v>
      </c>
      <c r="BN547">
        <v>2612.6227992996519</v>
      </c>
      <c r="BO547">
        <v>12984.97845013935</v>
      </c>
    </row>
    <row r="548" spans="1:67" x14ac:dyDescent="0.25">
      <c r="A548" s="1">
        <v>546</v>
      </c>
      <c r="B548" t="s">
        <v>73</v>
      </c>
      <c r="C548" t="s">
        <v>85</v>
      </c>
      <c r="D548">
        <v>1</v>
      </c>
      <c r="E548">
        <v>1</v>
      </c>
      <c r="F548">
        <v>2</v>
      </c>
      <c r="G548">
        <v>45.016539999999999</v>
      </c>
      <c r="H548">
        <v>2</v>
      </c>
      <c r="I548" t="s">
        <v>89</v>
      </c>
      <c r="J548">
        <v>4</v>
      </c>
      <c r="K548">
        <v>300</v>
      </c>
      <c r="L548">
        <v>70</v>
      </c>
      <c r="N548" t="s">
        <v>82</v>
      </c>
      <c r="O548">
        <v>30</v>
      </c>
      <c r="P548">
        <v>0.5</v>
      </c>
      <c r="Q548">
        <v>3.2500000000000001E-2</v>
      </c>
      <c r="R548">
        <v>77.5</v>
      </c>
      <c r="S548">
        <v>170</v>
      </c>
      <c r="T548">
        <v>20</v>
      </c>
      <c r="U548">
        <v>1812.1301775147931</v>
      </c>
      <c r="V548">
        <v>20</v>
      </c>
      <c r="W548">
        <v>0.95</v>
      </c>
      <c r="X548">
        <v>1</v>
      </c>
      <c r="Y548">
        <v>215397.18200216629</v>
      </c>
      <c r="Z548">
        <v>646191546.00649893</v>
      </c>
      <c r="AA548">
        <v>2584766184.0259962</v>
      </c>
      <c r="AB548">
        <v>2584766.1840259959</v>
      </c>
      <c r="AC548">
        <v>0</v>
      </c>
      <c r="AD548">
        <v>6697.3033784961845</v>
      </c>
      <c r="AE548">
        <v>12055146.08129313</v>
      </c>
      <c r="AF548">
        <v>8438602.2569051906</v>
      </c>
      <c r="AG548">
        <v>379.87667604206268</v>
      </c>
      <c r="AH548">
        <v>2652.7348951885529</v>
      </c>
      <c r="AI548">
        <v>530.54697903771068</v>
      </c>
      <c r="AJ548">
        <v>84004.900980844875</v>
      </c>
      <c r="AK548">
        <v>854.70085470085473</v>
      </c>
      <c r="AL548" t="s">
        <v>93</v>
      </c>
      <c r="AM548">
        <v>205586.95437711291</v>
      </c>
      <c r="AN548">
        <v>2403.7847091998078</v>
      </c>
      <c r="AO548">
        <v>90192.986436410822</v>
      </c>
      <c r="AP548">
        <v>292850.34092185838</v>
      </c>
      <c r="AQ548">
        <v>202657.35448544761</v>
      </c>
      <c r="AR548">
        <v>9.9548359341269863E-3</v>
      </c>
      <c r="AS548">
        <v>221.13729607222109</v>
      </c>
      <c r="AT548">
        <v>541.19393830420051</v>
      </c>
      <c r="AU548">
        <v>6.3278028391867984</v>
      </c>
      <c r="AV548">
        <v>237.4270180947461</v>
      </c>
      <c r="AW548">
        <v>770.90898018027258</v>
      </c>
      <c r="AX548">
        <v>533.48196208552645</v>
      </c>
      <c r="AY548">
        <v>1.3966295182043891</v>
      </c>
      <c r="AZ548" t="s">
        <v>107</v>
      </c>
      <c r="BA548" t="str">
        <f>VLOOKUP($AZ548,Sheet1!$A$2:$B$58,2)</f>
        <v>4-Hydroxystyrene</v>
      </c>
      <c r="BB548" t="s">
        <v>160</v>
      </c>
      <c r="BC548">
        <v>120.14731999999999</v>
      </c>
      <c r="BD548">
        <v>4.75</v>
      </c>
      <c r="BE548">
        <v>229</v>
      </c>
      <c r="BF548" t="s">
        <v>207</v>
      </c>
      <c r="BG548">
        <v>11.597964097721601</v>
      </c>
      <c r="BH548">
        <v>2.52127659574468E-2</v>
      </c>
      <c r="BI548">
        <v>6.5810831716427404E-2</v>
      </c>
      <c r="BJ548">
        <v>80</v>
      </c>
      <c r="BK548">
        <v>14642.51704609292</v>
      </c>
      <c r="BL548">
        <v>10132.867724272381</v>
      </c>
      <c r="BM548">
        <v>14.92938485416394</v>
      </c>
      <c r="BN548">
        <v>2537.9954252078692</v>
      </c>
      <c r="BO548">
        <v>12104.521620885051</v>
      </c>
    </row>
    <row r="549" spans="1:67" x14ac:dyDescent="0.25">
      <c r="A549" s="1">
        <v>547</v>
      </c>
      <c r="B549" t="s">
        <v>73</v>
      </c>
      <c r="C549" t="s">
        <v>85</v>
      </c>
      <c r="D549">
        <v>1</v>
      </c>
      <c r="E549">
        <v>1</v>
      </c>
      <c r="F549">
        <v>2</v>
      </c>
      <c r="G549">
        <v>45.016539999999999</v>
      </c>
      <c r="H549">
        <v>2</v>
      </c>
      <c r="I549" t="s">
        <v>89</v>
      </c>
      <c r="J549">
        <v>4</v>
      </c>
      <c r="K549">
        <v>300</v>
      </c>
      <c r="L549">
        <v>70</v>
      </c>
      <c r="N549" t="s">
        <v>82</v>
      </c>
      <c r="O549">
        <v>30</v>
      </c>
      <c r="P549">
        <v>0.5</v>
      </c>
      <c r="Q549">
        <v>3.2500000000000001E-2</v>
      </c>
      <c r="R549">
        <v>77.5</v>
      </c>
      <c r="S549">
        <v>170</v>
      </c>
      <c r="T549">
        <v>20</v>
      </c>
      <c r="U549">
        <v>1812.1301775147931</v>
      </c>
      <c r="V549">
        <v>20</v>
      </c>
      <c r="W549">
        <v>0.95</v>
      </c>
      <c r="X549">
        <v>1</v>
      </c>
      <c r="Y549">
        <v>159813.5076273625</v>
      </c>
      <c r="Z549">
        <v>479440522.88208759</v>
      </c>
      <c r="AA549">
        <v>1917762091.5283511</v>
      </c>
      <c r="AB549">
        <v>1917762.09152835</v>
      </c>
      <c r="AC549">
        <v>0</v>
      </c>
      <c r="AD549">
        <v>4969.0508232893053</v>
      </c>
      <c r="AE549">
        <v>8944291.4819207489</v>
      </c>
      <c r="AF549">
        <v>6261004.0373445237</v>
      </c>
      <c r="AG549">
        <v>281.84873868728118</v>
      </c>
      <c r="AH549">
        <v>1968.19134059666</v>
      </c>
      <c r="AI549">
        <v>393.63826811933211</v>
      </c>
      <c r="AJ549">
        <v>62327.267974671391</v>
      </c>
      <c r="AK549">
        <v>854.70085470085473</v>
      </c>
      <c r="AL549" t="s">
        <v>93</v>
      </c>
      <c r="AM549">
        <v>152534.8288962412</v>
      </c>
      <c r="AN549">
        <v>1783.4832488865959</v>
      </c>
      <c r="AO549">
        <v>66918.505580286452</v>
      </c>
      <c r="AP549">
        <v>217500.2809745</v>
      </c>
      <c r="AQ549">
        <v>150581.77539421359</v>
      </c>
      <c r="AR549">
        <v>9.9548359341269845E-3</v>
      </c>
      <c r="AS549">
        <v>221.13729607222109</v>
      </c>
      <c r="AT549">
        <v>541.19393830420029</v>
      </c>
      <c r="AU549">
        <v>6.3278028391867958</v>
      </c>
      <c r="AV549">
        <v>237.42701809474599</v>
      </c>
      <c r="AW549">
        <v>771.69151789542843</v>
      </c>
      <c r="AX549">
        <v>534.26449980068242</v>
      </c>
      <c r="AY549">
        <v>1.396629518204388</v>
      </c>
      <c r="AZ549" t="s">
        <v>108</v>
      </c>
      <c r="BA549" t="str">
        <f>VLOOKUP($AZ549,Sheet1!$A$2:$B$58,2)</f>
        <v>5-Aminopentanoate</v>
      </c>
      <c r="BB549" t="s">
        <v>161</v>
      </c>
      <c r="BC549">
        <v>117.14444</v>
      </c>
      <c r="BD549">
        <v>4.8</v>
      </c>
      <c r="BE549">
        <v>247.5</v>
      </c>
      <c r="BF549" t="s">
        <v>207</v>
      </c>
      <c r="BG549">
        <v>8.9008422185055682</v>
      </c>
      <c r="BH549">
        <v>3.4852941176470503E-2</v>
      </c>
      <c r="BI549">
        <v>8.8700059884739002E-2</v>
      </c>
      <c r="BJ549">
        <v>80</v>
      </c>
      <c r="BK549">
        <v>10875.014048724999</v>
      </c>
      <c r="BL549">
        <v>7529.0887697106773</v>
      </c>
      <c r="BM549">
        <v>10.781071187461039</v>
      </c>
      <c r="BN549">
        <v>1832.782101868376</v>
      </c>
      <c r="BO549">
        <v>9042.2319468566257</v>
      </c>
    </row>
    <row r="550" spans="1:67" x14ac:dyDescent="0.25">
      <c r="A550" s="1">
        <v>548</v>
      </c>
      <c r="B550" t="s">
        <v>73</v>
      </c>
      <c r="C550" t="s">
        <v>85</v>
      </c>
      <c r="D550">
        <v>1</v>
      </c>
      <c r="E550">
        <v>1</v>
      </c>
      <c r="F550">
        <v>2</v>
      </c>
      <c r="G550">
        <v>45.016539999999999</v>
      </c>
      <c r="H550">
        <v>2</v>
      </c>
      <c r="I550" t="s">
        <v>89</v>
      </c>
      <c r="J550">
        <v>4</v>
      </c>
      <c r="K550">
        <v>300</v>
      </c>
      <c r="L550">
        <v>70</v>
      </c>
      <c r="N550" t="s">
        <v>82</v>
      </c>
      <c r="O550">
        <v>30</v>
      </c>
      <c r="P550">
        <v>0.5</v>
      </c>
      <c r="Q550">
        <v>3.2500000000000001E-2</v>
      </c>
      <c r="R550">
        <v>77.5</v>
      </c>
      <c r="S550">
        <v>170</v>
      </c>
      <c r="T550">
        <v>20</v>
      </c>
      <c r="U550">
        <v>1812.1301775147931</v>
      </c>
      <c r="V550">
        <v>20</v>
      </c>
      <c r="W550">
        <v>0.95</v>
      </c>
      <c r="X550">
        <v>1</v>
      </c>
      <c r="Y550">
        <v>154062.49015699889</v>
      </c>
      <c r="Z550">
        <v>462187470.47099662</v>
      </c>
      <c r="AA550">
        <v>1848749881.883986</v>
      </c>
      <c r="AB550">
        <v>1848749.8818839861</v>
      </c>
      <c r="AC550">
        <v>0</v>
      </c>
      <c r="AD550">
        <v>4790.2355371465646</v>
      </c>
      <c r="AE550">
        <v>8622423.9668638166</v>
      </c>
      <c r="AF550">
        <v>6035696.7768046707</v>
      </c>
      <c r="AG550">
        <v>271.70618538089849</v>
      </c>
      <c r="AH550">
        <v>1897.364393908382</v>
      </c>
      <c r="AI550">
        <v>379.47287878167651</v>
      </c>
      <c r="AJ550">
        <v>60084.371161229559</v>
      </c>
      <c r="AK550">
        <v>854.70085470085473</v>
      </c>
      <c r="AL550" t="s">
        <v>93</v>
      </c>
      <c r="AM550">
        <v>147045.74052789959</v>
      </c>
      <c r="AN550">
        <v>1719.3031712778641</v>
      </c>
      <c r="AO550">
        <v>64510.389392885008</v>
      </c>
      <c r="AP550">
        <v>209704.11571510791</v>
      </c>
      <c r="AQ550">
        <v>145193.72632222291</v>
      </c>
      <c r="AR550">
        <v>9.9548359341269863E-3</v>
      </c>
      <c r="AS550">
        <v>221.13729607222109</v>
      </c>
      <c r="AT550">
        <v>541.1939383042004</v>
      </c>
      <c r="AU550">
        <v>6.3278028391867958</v>
      </c>
      <c r="AV550">
        <v>237.42701809474599</v>
      </c>
      <c r="AW550">
        <v>771.8047177362879</v>
      </c>
      <c r="AX550">
        <v>534.37769964154188</v>
      </c>
      <c r="AY550">
        <v>1.396629518204388</v>
      </c>
      <c r="AZ550" t="s">
        <v>109</v>
      </c>
      <c r="BA550" t="str">
        <f>VLOOKUP($AZ550,Sheet1!$A$2:$B$58,2)</f>
        <v>Acetone</v>
      </c>
      <c r="BB550" t="s">
        <v>162</v>
      </c>
      <c r="BC550">
        <v>58.078139999999998</v>
      </c>
      <c r="BD550">
        <v>5.333333333333333</v>
      </c>
      <c r="BE550">
        <v>56</v>
      </c>
      <c r="BF550" t="s">
        <v>207</v>
      </c>
      <c r="BG550">
        <v>8.1180743430807176</v>
      </c>
      <c r="BH550">
        <v>7.2923076923076605E-2</v>
      </c>
      <c r="BI550">
        <v>9.2011155229878502E-2</v>
      </c>
      <c r="BJ550">
        <v>80</v>
      </c>
      <c r="BK550">
        <v>10485.20578575539</v>
      </c>
      <c r="BL550">
        <v>7259.6863161111442</v>
      </c>
      <c r="BM550">
        <v>10.855569596003109</v>
      </c>
      <c r="BN550">
        <v>1845.446831320528</v>
      </c>
      <c r="BO550">
        <v>8639.7589544348648</v>
      </c>
    </row>
    <row r="551" spans="1:67" x14ac:dyDescent="0.25">
      <c r="A551" s="1">
        <v>549</v>
      </c>
      <c r="B551" t="s">
        <v>73</v>
      </c>
      <c r="C551" t="s">
        <v>85</v>
      </c>
      <c r="D551">
        <v>1</v>
      </c>
      <c r="E551">
        <v>1</v>
      </c>
      <c r="F551">
        <v>2</v>
      </c>
      <c r="G551">
        <v>45.016539999999999</v>
      </c>
      <c r="H551">
        <v>2</v>
      </c>
      <c r="I551" t="s">
        <v>89</v>
      </c>
      <c r="J551">
        <v>4</v>
      </c>
      <c r="K551">
        <v>300</v>
      </c>
      <c r="L551">
        <v>70</v>
      </c>
      <c r="N551" t="s">
        <v>82</v>
      </c>
      <c r="O551">
        <v>30</v>
      </c>
      <c r="P551">
        <v>0.5</v>
      </c>
      <c r="Q551">
        <v>3.2500000000000001E-2</v>
      </c>
      <c r="R551">
        <v>77.5</v>
      </c>
      <c r="S551">
        <v>170</v>
      </c>
      <c r="T551">
        <v>20</v>
      </c>
      <c r="U551">
        <v>1812.1301775147931</v>
      </c>
      <c r="V551">
        <v>20</v>
      </c>
      <c r="W551">
        <v>0.95</v>
      </c>
      <c r="X551">
        <v>1</v>
      </c>
      <c r="Y551">
        <v>125928.318248764</v>
      </c>
      <c r="Z551">
        <v>377784954.74629188</v>
      </c>
      <c r="AA551">
        <v>1511139818.985168</v>
      </c>
      <c r="AB551">
        <v>1511139.8189851679</v>
      </c>
      <c r="AC551">
        <v>0</v>
      </c>
      <c r="AD551">
        <v>3915.4651115505658</v>
      </c>
      <c r="AE551">
        <v>7047837.2007910181</v>
      </c>
      <c r="AF551">
        <v>4933486.0405537123</v>
      </c>
      <c r="AG551">
        <v>222.08847168402781</v>
      </c>
      <c r="AH551">
        <v>1550.876576034063</v>
      </c>
      <c r="AI551">
        <v>310.17531520681268</v>
      </c>
      <c r="AJ551">
        <v>49112.044117017947</v>
      </c>
      <c r="AK551">
        <v>854.70085470085473</v>
      </c>
      <c r="AL551" t="s">
        <v>93</v>
      </c>
      <c r="AM551">
        <v>120192.9346426399</v>
      </c>
      <c r="AN551">
        <v>1405.3320616728481</v>
      </c>
      <c r="AO551">
        <v>52729.803585158159</v>
      </c>
      <c r="AP551">
        <v>171565.01167603151</v>
      </c>
      <c r="AQ551">
        <v>118835.20809087341</v>
      </c>
      <c r="AR551">
        <v>9.9548359341269828E-3</v>
      </c>
      <c r="AS551">
        <v>221.13729607222109</v>
      </c>
      <c r="AT551">
        <v>541.1939383042004</v>
      </c>
      <c r="AU551">
        <v>6.3278028391867966</v>
      </c>
      <c r="AV551">
        <v>237.42701809474599</v>
      </c>
      <c r="AW551">
        <v>772.50750736905627</v>
      </c>
      <c r="AX551">
        <v>535.08048927431025</v>
      </c>
      <c r="AY551">
        <v>1.396629518204388</v>
      </c>
      <c r="AZ551" t="s">
        <v>110</v>
      </c>
      <c r="BA551" t="str">
        <f>VLOOKUP($AZ551,Sheet1!$A$2:$B$58,2)</f>
        <v>Acrylate (PW1)</v>
      </c>
      <c r="BB551" t="s">
        <v>163</v>
      </c>
      <c r="BC551">
        <v>71.053619999999995</v>
      </c>
      <c r="BD551">
        <v>3.666666666666667</v>
      </c>
      <c r="BE551">
        <v>80</v>
      </c>
      <c r="BF551" t="s">
        <v>207</v>
      </c>
      <c r="BG551">
        <v>6.6355895481165916</v>
      </c>
      <c r="BH551">
        <v>7.2923076923076896E-2</v>
      </c>
      <c r="BI551">
        <v>0.112567751988353</v>
      </c>
      <c r="BJ551">
        <v>80</v>
      </c>
      <c r="BK551">
        <v>8578.2505838015768</v>
      </c>
      <c r="BL551">
        <v>5941.7604045436701</v>
      </c>
      <c r="BM551">
        <v>8.8731762122240401</v>
      </c>
      <c r="BN551">
        <v>1508.4399560780871</v>
      </c>
      <c r="BO551">
        <v>7069.8106277234901</v>
      </c>
    </row>
    <row r="552" spans="1:67" x14ac:dyDescent="0.25">
      <c r="A552" s="1">
        <v>550</v>
      </c>
      <c r="B552" t="s">
        <v>73</v>
      </c>
      <c r="C552" t="s">
        <v>85</v>
      </c>
      <c r="D552">
        <v>1</v>
      </c>
      <c r="E552">
        <v>1</v>
      </c>
      <c r="F552">
        <v>2</v>
      </c>
      <c r="G552">
        <v>45.016539999999999</v>
      </c>
      <c r="H552">
        <v>2</v>
      </c>
      <c r="I552" t="s">
        <v>89</v>
      </c>
      <c r="J552">
        <v>4</v>
      </c>
      <c r="K552">
        <v>300</v>
      </c>
      <c r="L552">
        <v>70</v>
      </c>
      <c r="N552" t="s">
        <v>82</v>
      </c>
      <c r="O552">
        <v>30</v>
      </c>
      <c r="P552">
        <v>0.5</v>
      </c>
      <c r="Q552">
        <v>3.2500000000000001E-2</v>
      </c>
      <c r="R552">
        <v>77.5</v>
      </c>
      <c r="S552">
        <v>170</v>
      </c>
      <c r="T552">
        <v>20</v>
      </c>
      <c r="U552">
        <v>1812.1301775147931</v>
      </c>
      <c r="V552">
        <v>20</v>
      </c>
      <c r="W552">
        <v>0.95</v>
      </c>
      <c r="X552">
        <v>1</v>
      </c>
      <c r="Y552">
        <v>110429.4483104549</v>
      </c>
      <c r="Z552">
        <v>331288344.93136477</v>
      </c>
      <c r="AA552">
        <v>1325153379.7254591</v>
      </c>
      <c r="AB552">
        <v>1325153.379725459</v>
      </c>
      <c r="AC552">
        <v>0</v>
      </c>
      <c r="AD552">
        <v>3433.5617132058919</v>
      </c>
      <c r="AE552">
        <v>6180411.0837706067</v>
      </c>
      <c r="AF552">
        <v>4326287.7586394241</v>
      </c>
      <c r="AG552">
        <v>194.754505938302</v>
      </c>
      <c r="AH552">
        <v>1359.999458983722</v>
      </c>
      <c r="AI552">
        <v>271.99989179674441</v>
      </c>
      <c r="AJ552">
        <v>43067.484841077428</v>
      </c>
      <c r="AK552">
        <v>854.70085470085473</v>
      </c>
      <c r="AL552" t="s">
        <v>93</v>
      </c>
      <c r="AM552">
        <v>105399.9580712384</v>
      </c>
      <c r="AN552">
        <v>1232.368115620809</v>
      </c>
      <c r="AO552">
        <v>46239.981605446541</v>
      </c>
      <c r="AP552">
        <v>150554.51188263751</v>
      </c>
      <c r="AQ552">
        <v>104314.53027719101</v>
      </c>
      <c r="AR552">
        <v>9.9548359341269845E-3</v>
      </c>
      <c r="AS552">
        <v>221.13729607222109</v>
      </c>
      <c r="AT552">
        <v>541.1939383042004</v>
      </c>
      <c r="AU552">
        <v>6.3278028391867958</v>
      </c>
      <c r="AV552">
        <v>237.42701809474599</v>
      </c>
      <c r="AW552">
        <v>773.04764353094367</v>
      </c>
      <c r="AX552">
        <v>535.62062543619766</v>
      </c>
      <c r="AY552">
        <v>1.396629518204388</v>
      </c>
      <c r="AZ552" t="s">
        <v>111</v>
      </c>
      <c r="BA552" t="str">
        <f>VLOOKUP($AZ552,Sheet1!$A$2:$B$58,2)</f>
        <v>Acrylate (PW2)</v>
      </c>
      <c r="BB552" t="s">
        <v>163</v>
      </c>
      <c r="BC552">
        <v>71.053619999999995</v>
      </c>
      <c r="BD552">
        <v>3.666666666666667</v>
      </c>
      <c r="BE552">
        <v>80</v>
      </c>
      <c r="BF552" t="s">
        <v>207</v>
      </c>
      <c r="BG552">
        <v>5.5902032467197191</v>
      </c>
      <c r="BH552">
        <v>8.3157894736842305E-2</v>
      </c>
      <c r="BI552">
        <v>0.12836673472356</v>
      </c>
      <c r="BJ552">
        <v>80</v>
      </c>
      <c r="BK552">
        <v>7527.7255941318754</v>
      </c>
      <c r="BL552">
        <v>5215.7265138595476</v>
      </c>
      <c r="BM552">
        <v>8.0097913431174987</v>
      </c>
      <c r="BN552">
        <v>1361.6645283299749</v>
      </c>
      <c r="BO552">
        <v>6166.0610658019004</v>
      </c>
    </row>
    <row r="553" spans="1:67" x14ac:dyDescent="0.25">
      <c r="A553" s="1">
        <v>551</v>
      </c>
      <c r="B553" t="s">
        <v>73</v>
      </c>
      <c r="C553" t="s">
        <v>85</v>
      </c>
      <c r="D553">
        <v>1</v>
      </c>
      <c r="E553">
        <v>1</v>
      </c>
      <c r="F553">
        <v>2</v>
      </c>
      <c r="G553">
        <v>45.016539999999999</v>
      </c>
      <c r="H553">
        <v>2</v>
      </c>
      <c r="I553" t="s">
        <v>89</v>
      </c>
      <c r="J553">
        <v>4</v>
      </c>
      <c r="K553">
        <v>300</v>
      </c>
      <c r="L553">
        <v>70</v>
      </c>
      <c r="N553" t="s">
        <v>82</v>
      </c>
      <c r="O553">
        <v>30</v>
      </c>
      <c r="P553">
        <v>0.5</v>
      </c>
      <c r="Q553">
        <v>3.2500000000000001E-2</v>
      </c>
      <c r="R553">
        <v>77.5</v>
      </c>
      <c r="S553">
        <v>170</v>
      </c>
      <c r="T553">
        <v>20</v>
      </c>
      <c r="U553">
        <v>1812.1301775147931</v>
      </c>
      <c r="V553">
        <v>20</v>
      </c>
      <c r="W553">
        <v>0.95</v>
      </c>
      <c r="X553">
        <v>1</v>
      </c>
      <c r="Y553">
        <v>140404.34183614841</v>
      </c>
      <c r="Z553">
        <v>421213025.50844508</v>
      </c>
      <c r="AA553">
        <v>1684852102.0337811</v>
      </c>
      <c r="AB553">
        <v>1684852.1020337809</v>
      </c>
      <c r="AC553">
        <v>0</v>
      </c>
      <c r="AD553">
        <v>4365.565343957529</v>
      </c>
      <c r="AE553">
        <v>7858017.6191235529</v>
      </c>
      <c r="AF553">
        <v>5500612.3333864864</v>
      </c>
      <c r="AG553">
        <v>247.61853513038611</v>
      </c>
      <c r="AH553">
        <v>1729.156777088137</v>
      </c>
      <c r="AI553">
        <v>345.83135541762749</v>
      </c>
      <c r="AJ553">
        <v>54757.693316097873</v>
      </c>
      <c r="AK553">
        <v>854.70085470085473</v>
      </c>
      <c r="AL553" t="s">
        <v>93</v>
      </c>
      <c r="AM553">
        <v>134009.65022433069</v>
      </c>
      <c r="AN553">
        <v>1566.881269633333</v>
      </c>
      <c r="AO553">
        <v>58791.330420996666</v>
      </c>
      <c r="AP553">
        <v>191188.9256647627</v>
      </c>
      <c r="AQ553">
        <v>132397.595243766</v>
      </c>
      <c r="AR553">
        <v>9.9548359341269845E-3</v>
      </c>
      <c r="AS553">
        <v>221.13729607222109</v>
      </c>
      <c r="AT553">
        <v>541.1939383042004</v>
      </c>
      <c r="AU553">
        <v>6.3278028391867966</v>
      </c>
      <c r="AV553">
        <v>237.42701809474599</v>
      </c>
      <c r="AW553">
        <v>772.1107208880394</v>
      </c>
      <c r="AX553">
        <v>534.68370279329338</v>
      </c>
      <c r="AY553">
        <v>1.396629518204388</v>
      </c>
      <c r="AZ553" t="s">
        <v>112</v>
      </c>
      <c r="BA553" t="str">
        <f>VLOOKUP($AZ553,Sheet1!$A$2:$B$58,2)</f>
        <v>Adipate</v>
      </c>
      <c r="BB553" t="s">
        <v>164</v>
      </c>
      <c r="BC553">
        <v>144.12291999999999</v>
      </c>
      <c r="BD553">
        <v>4</v>
      </c>
      <c r="BE553">
        <v>337.5</v>
      </c>
      <c r="BF553" t="s">
        <v>207</v>
      </c>
      <c r="BG553">
        <v>7.6379738115741356</v>
      </c>
      <c r="BH553">
        <v>3.2244897959183699E-2</v>
      </c>
      <c r="BI553">
        <v>0.100961747418609</v>
      </c>
      <c r="BJ553">
        <v>80</v>
      </c>
      <c r="BK553">
        <v>9559.4462832381359</v>
      </c>
      <c r="BL553">
        <v>6619.8797621883004</v>
      </c>
      <c r="BM553">
        <v>9.6535939593072442</v>
      </c>
      <c r="BN553">
        <v>1641.110973082232</v>
      </c>
      <c r="BO553">
        <v>7918.3353101559042</v>
      </c>
    </row>
    <row r="554" spans="1:67" x14ac:dyDescent="0.25">
      <c r="A554" s="1">
        <v>552</v>
      </c>
      <c r="B554" t="s">
        <v>73</v>
      </c>
      <c r="C554" t="s">
        <v>85</v>
      </c>
      <c r="D554">
        <v>1</v>
      </c>
      <c r="E554">
        <v>1</v>
      </c>
      <c r="F554">
        <v>2</v>
      </c>
      <c r="G554">
        <v>45.016539999999999</v>
      </c>
      <c r="H554">
        <v>2</v>
      </c>
      <c r="I554" t="s">
        <v>89</v>
      </c>
      <c r="J554">
        <v>4</v>
      </c>
      <c r="K554">
        <v>300</v>
      </c>
      <c r="L554">
        <v>70</v>
      </c>
      <c r="N554" t="s">
        <v>82</v>
      </c>
      <c r="O554">
        <v>30</v>
      </c>
      <c r="P554">
        <v>0.5</v>
      </c>
      <c r="Q554">
        <v>3.2500000000000001E-2</v>
      </c>
      <c r="R554">
        <v>77.5</v>
      </c>
      <c r="S554">
        <v>170</v>
      </c>
      <c r="T554">
        <v>20</v>
      </c>
      <c r="U554">
        <v>1812.1301775147931</v>
      </c>
      <c r="V554">
        <v>20</v>
      </c>
      <c r="W554">
        <v>0.95</v>
      </c>
      <c r="X554">
        <v>1</v>
      </c>
      <c r="Y554">
        <v>179583.24227525349</v>
      </c>
      <c r="Z554">
        <v>538749726.82576048</v>
      </c>
      <c r="AA554">
        <v>2154998907.3030419</v>
      </c>
      <c r="AB554">
        <v>2154998.9073030418</v>
      </c>
      <c r="AC554">
        <v>0</v>
      </c>
      <c r="AD554">
        <v>5583.7474011115783</v>
      </c>
      <c r="AE554">
        <v>10050745.322000841</v>
      </c>
      <c r="AF554">
        <v>7035521.7254005875</v>
      </c>
      <c r="AG554">
        <v>316.71484517236462</v>
      </c>
      <c r="AH554">
        <v>2211.6665081062852</v>
      </c>
      <c r="AI554">
        <v>442.33330162125708</v>
      </c>
      <c r="AJ554">
        <v>70037.464487348858</v>
      </c>
      <c r="AK554">
        <v>854.70085470085473</v>
      </c>
      <c r="AL554" t="s">
        <v>93</v>
      </c>
      <c r="AM554">
        <v>171404.15437823709</v>
      </c>
      <c r="AN554">
        <v>2004.109096494295</v>
      </c>
      <c r="AO554">
        <v>75196.661275613704</v>
      </c>
      <c r="AP554">
        <v>244300.42881678109</v>
      </c>
      <c r="AQ554">
        <v>169103.76754116741</v>
      </c>
      <c r="AR554">
        <v>9.9548359341269845E-3</v>
      </c>
      <c r="AS554">
        <v>221.13729607222109</v>
      </c>
      <c r="AT554">
        <v>541.1939383042004</v>
      </c>
      <c r="AU554">
        <v>6.3278028391867958</v>
      </c>
      <c r="AV554">
        <v>237.4270180947461</v>
      </c>
      <c r="AW554">
        <v>771.35768196727986</v>
      </c>
      <c r="AX554">
        <v>533.93066387253384</v>
      </c>
      <c r="AY554">
        <v>1.396629518204388</v>
      </c>
      <c r="AZ554" t="s">
        <v>113</v>
      </c>
      <c r="BA554" t="str">
        <f>VLOOKUP($AZ554,Sheet1!$A$2:$B$58,2)</f>
        <v>Benzoate (PW1)</v>
      </c>
      <c r="BB554" t="s">
        <v>165</v>
      </c>
      <c r="BC554">
        <v>121.1121</v>
      </c>
      <c r="BD554">
        <v>4.1428571428571432</v>
      </c>
      <c r="BE554">
        <v>249.2</v>
      </c>
      <c r="BF554" t="s">
        <v>207</v>
      </c>
      <c r="BG554">
        <v>9.5690686562284046</v>
      </c>
      <c r="BH554">
        <v>0.03</v>
      </c>
      <c r="BI554">
        <v>7.8935358986391493E-2</v>
      </c>
      <c r="BJ554">
        <v>80</v>
      </c>
      <c r="BK554">
        <v>12215.021440839049</v>
      </c>
      <c r="BL554">
        <v>8455.18837705837</v>
      </c>
      <c r="BM554">
        <v>12.547596424834451</v>
      </c>
      <c r="BN554">
        <v>2133.091392221856</v>
      </c>
      <c r="BO554">
        <v>10081.9300486172</v>
      </c>
    </row>
    <row r="555" spans="1:67" x14ac:dyDescent="0.25">
      <c r="A555" s="1">
        <v>553</v>
      </c>
      <c r="B555" t="s">
        <v>73</v>
      </c>
      <c r="C555" t="s">
        <v>85</v>
      </c>
      <c r="D555">
        <v>1</v>
      </c>
      <c r="E555">
        <v>1</v>
      </c>
      <c r="F555">
        <v>2</v>
      </c>
      <c r="G555">
        <v>45.016539999999999</v>
      </c>
      <c r="H555">
        <v>2</v>
      </c>
      <c r="I555" t="s">
        <v>89</v>
      </c>
      <c r="J555">
        <v>4</v>
      </c>
      <c r="K555">
        <v>300</v>
      </c>
      <c r="L555">
        <v>70</v>
      </c>
      <c r="N555" t="s">
        <v>82</v>
      </c>
      <c r="O555">
        <v>30</v>
      </c>
      <c r="P555">
        <v>0.5</v>
      </c>
      <c r="Q555">
        <v>3.2500000000000001E-2</v>
      </c>
      <c r="R555">
        <v>77.5</v>
      </c>
      <c r="S555">
        <v>170</v>
      </c>
      <c r="T555">
        <v>20</v>
      </c>
      <c r="U555">
        <v>1812.1301775147931</v>
      </c>
      <c r="V555">
        <v>20</v>
      </c>
      <c r="W555">
        <v>0.95</v>
      </c>
      <c r="X555">
        <v>1</v>
      </c>
      <c r="Y555">
        <v>179583.24227525349</v>
      </c>
      <c r="Z555">
        <v>538749726.82576048</v>
      </c>
      <c r="AA555">
        <v>2154998907.3030419</v>
      </c>
      <c r="AB555">
        <v>2154998.9073030418</v>
      </c>
      <c r="AC555">
        <v>0</v>
      </c>
      <c r="AD555">
        <v>5583.7474011115783</v>
      </c>
      <c r="AE555">
        <v>10050745.322000841</v>
      </c>
      <c r="AF555">
        <v>7035521.7254005875</v>
      </c>
      <c r="AG555">
        <v>316.71484517236462</v>
      </c>
      <c r="AH555">
        <v>2211.6665081062852</v>
      </c>
      <c r="AI555">
        <v>442.33330162125708</v>
      </c>
      <c r="AJ555">
        <v>70037.464487348858</v>
      </c>
      <c r="AK555">
        <v>854.70085470085473</v>
      </c>
      <c r="AL555" t="s">
        <v>93</v>
      </c>
      <c r="AM555">
        <v>171404.15437823709</v>
      </c>
      <c r="AN555">
        <v>2004.109096494295</v>
      </c>
      <c r="AO555">
        <v>75196.661275613704</v>
      </c>
      <c r="AP555">
        <v>244300.42881678109</v>
      </c>
      <c r="AQ555">
        <v>169103.76754116741</v>
      </c>
      <c r="AR555">
        <v>9.9548359341269845E-3</v>
      </c>
      <c r="AS555">
        <v>221.13729607222109</v>
      </c>
      <c r="AT555">
        <v>541.1939383042004</v>
      </c>
      <c r="AU555">
        <v>6.3278028391867958</v>
      </c>
      <c r="AV555">
        <v>237.4270180947461</v>
      </c>
      <c r="AW555">
        <v>771.35768196727986</v>
      </c>
      <c r="AX555">
        <v>533.93066387253384</v>
      </c>
      <c r="AY555">
        <v>1.396629518204388</v>
      </c>
      <c r="AZ555" t="s">
        <v>114</v>
      </c>
      <c r="BA555" t="str">
        <f>VLOOKUP($AZ555,Sheet1!$A$2:$B$58,2)</f>
        <v>Benzoate (PW2)</v>
      </c>
      <c r="BB555" t="s">
        <v>165</v>
      </c>
      <c r="BC555">
        <v>121.1121</v>
      </c>
      <c r="BD555">
        <v>4.1428571428571432</v>
      </c>
      <c r="BE555">
        <v>249.2</v>
      </c>
      <c r="BF555" t="s">
        <v>207</v>
      </c>
      <c r="BG555">
        <v>9.5690686562284046</v>
      </c>
      <c r="BH555">
        <v>0.03</v>
      </c>
      <c r="BI555">
        <v>7.8935358986391493E-2</v>
      </c>
      <c r="BJ555">
        <v>80</v>
      </c>
      <c r="BK555">
        <v>12215.021440839049</v>
      </c>
      <c r="BL555">
        <v>8455.18837705837</v>
      </c>
      <c r="BM555">
        <v>12.547596424834451</v>
      </c>
      <c r="BN555">
        <v>2133.091392221856</v>
      </c>
      <c r="BO555">
        <v>10081.9300486172</v>
      </c>
    </row>
    <row r="556" spans="1:67" x14ac:dyDescent="0.25">
      <c r="A556" s="1">
        <v>554</v>
      </c>
      <c r="B556" t="s">
        <v>73</v>
      </c>
      <c r="C556" t="s">
        <v>85</v>
      </c>
      <c r="D556">
        <v>1</v>
      </c>
      <c r="E556">
        <v>1</v>
      </c>
      <c r="F556">
        <v>2</v>
      </c>
      <c r="G556">
        <v>45.016539999999999</v>
      </c>
      <c r="H556">
        <v>2</v>
      </c>
      <c r="I556" t="s">
        <v>89</v>
      </c>
      <c r="J556">
        <v>4</v>
      </c>
      <c r="K556">
        <v>300</v>
      </c>
      <c r="L556">
        <v>70</v>
      </c>
      <c r="N556" t="s">
        <v>82</v>
      </c>
      <c r="O556">
        <v>30</v>
      </c>
      <c r="P556">
        <v>0.5</v>
      </c>
      <c r="Q556">
        <v>3.2500000000000001E-2</v>
      </c>
      <c r="R556">
        <v>77.5</v>
      </c>
      <c r="S556">
        <v>170</v>
      </c>
      <c r="T556">
        <v>20</v>
      </c>
      <c r="U556">
        <v>1812.1301775147931</v>
      </c>
      <c r="V556">
        <v>20</v>
      </c>
      <c r="W556">
        <v>0.95</v>
      </c>
      <c r="X556">
        <v>1</v>
      </c>
      <c r="Y556">
        <v>239321.27851890129</v>
      </c>
      <c r="Z556">
        <v>717963835.55670381</v>
      </c>
      <c r="AA556">
        <v>2871855342.2268152</v>
      </c>
      <c r="AB556">
        <v>2871855.3422268149</v>
      </c>
      <c r="AC556">
        <v>0</v>
      </c>
      <c r="AD556">
        <v>7441.1707352538333</v>
      </c>
      <c r="AE556">
        <v>13394107.3234569</v>
      </c>
      <c r="AF556">
        <v>9375875.1264198292</v>
      </c>
      <c r="AG556">
        <v>422.06945766348332</v>
      </c>
      <c r="AH556">
        <v>2947.3733165266899</v>
      </c>
      <c r="AI556">
        <v>589.47466330533814</v>
      </c>
      <c r="AJ556">
        <v>93335.298622371498</v>
      </c>
      <c r="AK556">
        <v>854.70085470085473</v>
      </c>
      <c r="AL556" t="s">
        <v>93</v>
      </c>
      <c r="AM556">
        <v>228421.43203081851</v>
      </c>
      <c r="AN556">
        <v>2670.7723125370212</v>
      </c>
      <c r="AO556">
        <v>100210.6927619075</v>
      </c>
      <c r="AP556">
        <v>325282.20382042788</v>
      </c>
      <c r="AQ556">
        <v>225071.51105852041</v>
      </c>
      <c r="AR556">
        <v>9.9548359341269845E-3</v>
      </c>
      <c r="AS556">
        <v>221.13729607222109</v>
      </c>
      <c r="AT556">
        <v>541.1939383042004</v>
      </c>
      <c r="AU556">
        <v>6.3278028391867958</v>
      </c>
      <c r="AV556">
        <v>237.42701809474599</v>
      </c>
      <c r="AW556">
        <v>770.68406138919431</v>
      </c>
      <c r="AX556">
        <v>533.25704329444829</v>
      </c>
      <c r="AY556">
        <v>1.396629518204388</v>
      </c>
      <c r="AZ556" t="s">
        <v>115</v>
      </c>
      <c r="BA556" t="str">
        <f>VLOOKUP($AZ556,Sheet1!$A$2:$B$58,2)</f>
        <v>Benzyl Alcohol</v>
      </c>
      <c r="BB556" t="s">
        <v>166</v>
      </c>
      <c r="BC556">
        <v>108.13661999999999</v>
      </c>
      <c r="BD556">
        <v>4.8571428571428568</v>
      </c>
      <c r="BE556">
        <v>205</v>
      </c>
      <c r="BF556" t="s">
        <v>207</v>
      </c>
      <c r="BG556">
        <v>13.293131446104701</v>
      </c>
      <c r="BH556">
        <v>2.52127659574467E-2</v>
      </c>
      <c r="BI556">
        <v>5.9231957077388299E-2</v>
      </c>
      <c r="BJ556">
        <v>80</v>
      </c>
      <c r="BK556">
        <v>16264.110191021389</v>
      </c>
      <c r="BL556">
        <v>11253.57555292602</v>
      </c>
      <c r="BM556">
        <v>16.180601719162208</v>
      </c>
      <c r="BN556">
        <v>2750.7022922575761</v>
      </c>
      <c r="BO556">
        <v>13513.40789876382</v>
      </c>
    </row>
    <row r="557" spans="1:67" x14ac:dyDescent="0.25">
      <c r="A557" s="1">
        <v>555</v>
      </c>
      <c r="B557" t="s">
        <v>73</v>
      </c>
      <c r="C557" t="s">
        <v>85</v>
      </c>
      <c r="D557">
        <v>1</v>
      </c>
      <c r="E557">
        <v>1</v>
      </c>
      <c r="F557">
        <v>2</v>
      </c>
      <c r="G557">
        <v>45.016539999999999</v>
      </c>
      <c r="H557">
        <v>2</v>
      </c>
      <c r="I557" t="s">
        <v>89</v>
      </c>
      <c r="J557">
        <v>4</v>
      </c>
      <c r="K557">
        <v>300</v>
      </c>
      <c r="L557">
        <v>70</v>
      </c>
      <c r="N557" t="s">
        <v>82</v>
      </c>
      <c r="O557">
        <v>30</v>
      </c>
      <c r="P557">
        <v>0.5</v>
      </c>
      <c r="Q557">
        <v>3.2500000000000001E-2</v>
      </c>
      <c r="R557">
        <v>77.5</v>
      </c>
      <c r="S557">
        <v>170</v>
      </c>
      <c r="T557">
        <v>20</v>
      </c>
      <c r="U557">
        <v>1812.1301775147931</v>
      </c>
      <c r="V557">
        <v>20</v>
      </c>
      <c r="W557">
        <v>0.95</v>
      </c>
      <c r="X557">
        <v>1</v>
      </c>
      <c r="Y557">
        <v>276919.32816087868</v>
      </c>
      <c r="Z557">
        <v>830757984.48263621</v>
      </c>
      <c r="AA557">
        <v>3323031937.9305449</v>
      </c>
      <c r="AB557">
        <v>3323031.9379305448</v>
      </c>
      <c r="AC557">
        <v>0</v>
      </c>
      <c r="AD557">
        <v>8610.1997009603128</v>
      </c>
      <c r="AE557">
        <v>15498359.46172856</v>
      </c>
      <c r="AF557">
        <v>10848851.623209991</v>
      </c>
      <c r="AG557">
        <v>488.37776305029757</v>
      </c>
      <c r="AH557">
        <v>3410.413999553371</v>
      </c>
      <c r="AI557">
        <v>682.08279991067411</v>
      </c>
      <c r="AJ557">
        <v>107998.5379827427</v>
      </c>
      <c r="AK557">
        <v>854.70085470085473</v>
      </c>
      <c r="AL557" t="s">
        <v>93</v>
      </c>
      <c r="AM557">
        <v>264307.0849653862</v>
      </c>
      <c r="AN557">
        <v>3090.3581956253702</v>
      </c>
      <c r="AO557">
        <v>115954.0759848146</v>
      </c>
      <c r="AP557">
        <v>376250.68199845508</v>
      </c>
      <c r="AQ557">
        <v>260296.6060136405</v>
      </c>
      <c r="AR557">
        <v>9.9548359341269863E-3</v>
      </c>
      <c r="AS557">
        <v>221.13729607222109</v>
      </c>
      <c r="AT557">
        <v>541.19393830420051</v>
      </c>
      <c r="AU557">
        <v>6.3278028391867966</v>
      </c>
      <c r="AV557">
        <v>237.4270180947461</v>
      </c>
      <c r="AW557">
        <v>770.40911864716793</v>
      </c>
      <c r="AX557">
        <v>532.9821005524218</v>
      </c>
      <c r="AY557">
        <v>1.396629518204388</v>
      </c>
      <c r="AZ557" t="s">
        <v>116</v>
      </c>
      <c r="BA557" t="str">
        <f>VLOOKUP($AZ557,Sheet1!$A$2:$B$58,2)</f>
        <v>Beta Carotene</v>
      </c>
      <c r="BB557" t="s">
        <v>167</v>
      </c>
      <c r="BC557">
        <v>536.86703999999997</v>
      </c>
      <c r="BD557">
        <v>5.4</v>
      </c>
      <c r="BE557">
        <v>633</v>
      </c>
      <c r="BF557" t="s">
        <v>207</v>
      </c>
      <c r="BG557">
        <v>15.398961606413611</v>
      </c>
      <c r="BH557">
        <v>4.3888888888888597E-3</v>
      </c>
      <c r="BI557">
        <v>5.1189881873113199E-2</v>
      </c>
      <c r="BJ557">
        <v>80</v>
      </c>
      <c r="BK557">
        <v>18812.534099922759</v>
      </c>
      <c r="BL557">
        <v>13014.83030068203</v>
      </c>
      <c r="BM557">
        <v>18.705178389120089</v>
      </c>
      <c r="BN557">
        <v>3179.8803261504149</v>
      </c>
      <c r="BO557">
        <v>15632.653773772339</v>
      </c>
    </row>
    <row r="558" spans="1:67" x14ac:dyDescent="0.25">
      <c r="A558" s="1">
        <v>556</v>
      </c>
      <c r="B558" t="s">
        <v>73</v>
      </c>
      <c r="C558" t="s">
        <v>85</v>
      </c>
      <c r="D558">
        <v>1</v>
      </c>
      <c r="E558">
        <v>1</v>
      </c>
      <c r="F558">
        <v>2</v>
      </c>
      <c r="G558">
        <v>45.016539999999999</v>
      </c>
      <c r="H558">
        <v>2</v>
      </c>
      <c r="I558" t="s">
        <v>89</v>
      </c>
      <c r="J558">
        <v>4</v>
      </c>
      <c r="K558">
        <v>300</v>
      </c>
      <c r="L558">
        <v>70</v>
      </c>
      <c r="N558" t="s">
        <v>82</v>
      </c>
      <c r="O558">
        <v>30</v>
      </c>
      <c r="P558">
        <v>0.5</v>
      </c>
      <c r="Q558">
        <v>3.2500000000000001E-2</v>
      </c>
      <c r="R558">
        <v>77.5</v>
      </c>
      <c r="S558">
        <v>170</v>
      </c>
      <c r="T558">
        <v>20</v>
      </c>
      <c r="U558">
        <v>1812.1301775147931</v>
      </c>
      <c r="V558">
        <v>20</v>
      </c>
      <c r="W558">
        <v>0.95</v>
      </c>
      <c r="X558">
        <v>1</v>
      </c>
      <c r="Y558">
        <v>296054.52029177267</v>
      </c>
      <c r="Z558">
        <v>888163560.87531829</v>
      </c>
      <c r="AA558">
        <v>3552654243.5012732</v>
      </c>
      <c r="AB558">
        <v>3552654.243501273</v>
      </c>
      <c r="AC558">
        <v>66773.504273504266</v>
      </c>
      <c r="AD558">
        <v>9205.1665696778491</v>
      </c>
      <c r="AE558">
        <v>16569299.82542013</v>
      </c>
      <c r="AF558">
        <v>11598509.877794091</v>
      </c>
      <c r="AG558">
        <v>522.12478385411271</v>
      </c>
      <c r="AH558">
        <v>3646.0744265836988</v>
      </c>
      <c r="AI558">
        <v>729.21488531673992</v>
      </c>
      <c r="AJ558">
        <v>115461.2629137914</v>
      </c>
      <c r="AK558">
        <v>2170.1388888888891</v>
      </c>
      <c r="AL558" t="s">
        <v>95</v>
      </c>
      <c r="AM558">
        <v>282570.7680602367</v>
      </c>
      <c r="AN558">
        <v>3303.9026896818459</v>
      </c>
      <c r="AO558">
        <v>123966.5305038458</v>
      </c>
      <c r="AP558">
        <v>403506.07255259878</v>
      </c>
      <c r="AQ558">
        <v>279539.54204875301</v>
      </c>
      <c r="AR558">
        <v>9.9548359341269845E-3</v>
      </c>
      <c r="AS558">
        <v>221.13729607222109</v>
      </c>
      <c r="AT558">
        <v>541.19393830420051</v>
      </c>
      <c r="AU558">
        <v>6.3278028391867958</v>
      </c>
      <c r="AV558">
        <v>237.4270180947461</v>
      </c>
      <c r="AW558">
        <v>772.81539783283438</v>
      </c>
      <c r="AX558">
        <v>535.38837973808836</v>
      </c>
      <c r="AY558">
        <v>1.3966295182043891</v>
      </c>
      <c r="AZ558" t="s">
        <v>117</v>
      </c>
      <c r="BA558" t="str">
        <f>VLOOKUP($AZ558,Sheet1!$A$2:$B$58,2)</f>
        <v>Butane</v>
      </c>
      <c r="BB558" t="s">
        <v>168</v>
      </c>
      <c r="BC558">
        <v>58.121200000000002</v>
      </c>
      <c r="BD558">
        <v>6.5</v>
      </c>
      <c r="BE558">
        <v>-1</v>
      </c>
      <c r="BF558" t="s">
        <v>207</v>
      </c>
      <c r="BG558">
        <v>16.939795906188809</v>
      </c>
      <c r="BH558">
        <v>3.7920000000000197E-2</v>
      </c>
      <c r="BI558">
        <v>4.7881274310443901E-2</v>
      </c>
      <c r="BJ558">
        <v>80</v>
      </c>
      <c r="BK558">
        <v>20175.303627629939</v>
      </c>
      <c r="BL558">
        <v>13976.97710243765</v>
      </c>
      <c r="BM558">
        <v>19.520948359648191</v>
      </c>
      <c r="BN558">
        <v>3318.5612211401931</v>
      </c>
      <c r="BO558">
        <v>16856.742406489739</v>
      </c>
    </row>
    <row r="559" spans="1:67" x14ac:dyDescent="0.25">
      <c r="A559" s="1">
        <v>557</v>
      </c>
      <c r="B559" t="s">
        <v>73</v>
      </c>
      <c r="C559" t="s">
        <v>85</v>
      </c>
      <c r="D559">
        <v>1</v>
      </c>
      <c r="E559">
        <v>1</v>
      </c>
      <c r="F559">
        <v>2</v>
      </c>
      <c r="G559">
        <v>45.016539999999999</v>
      </c>
      <c r="H559">
        <v>2</v>
      </c>
      <c r="I559" t="s">
        <v>89</v>
      </c>
      <c r="J559">
        <v>4</v>
      </c>
      <c r="K559">
        <v>300</v>
      </c>
      <c r="L559">
        <v>70</v>
      </c>
      <c r="N559" t="s">
        <v>82</v>
      </c>
      <c r="O559">
        <v>30</v>
      </c>
      <c r="P559">
        <v>0.5</v>
      </c>
      <c r="Q559">
        <v>3.2500000000000001E-2</v>
      </c>
      <c r="R559">
        <v>77.5</v>
      </c>
      <c r="S559">
        <v>170</v>
      </c>
      <c r="T559">
        <v>20</v>
      </c>
      <c r="U559">
        <v>1812.1301775147931</v>
      </c>
      <c r="V559">
        <v>20</v>
      </c>
      <c r="W559">
        <v>0.95</v>
      </c>
      <c r="X559">
        <v>1</v>
      </c>
      <c r="Y559">
        <v>195006.44827209139</v>
      </c>
      <c r="Z559">
        <v>585019344.81627405</v>
      </c>
      <c r="AA559">
        <v>2340077379.2650962</v>
      </c>
      <c r="AB559">
        <v>2340077.379265096</v>
      </c>
      <c r="AC559">
        <v>0</v>
      </c>
      <c r="AD559">
        <v>6063.2981949972018</v>
      </c>
      <c r="AE559">
        <v>10913936.75099496</v>
      </c>
      <c r="AF559">
        <v>7639755.7256964734</v>
      </c>
      <c r="AG559">
        <v>343.91536921604433</v>
      </c>
      <c r="AH559">
        <v>2401.6117820564409</v>
      </c>
      <c r="AI559">
        <v>480.3223564112883</v>
      </c>
      <c r="AJ559">
        <v>76052.514826115628</v>
      </c>
      <c r="AK559">
        <v>854.70085470085473</v>
      </c>
      <c r="AL559" t="s">
        <v>93</v>
      </c>
      <c r="AM559">
        <v>186124.9131093742</v>
      </c>
      <c r="AN559">
        <v>2176.2286497652608</v>
      </c>
      <c r="AO559">
        <v>81654.800589919018</v>
      </c>
      <c r="AP559">
        <v>265208.35743995587</v>
      </c>
      <c r="AQ559">
        <v>183553.5568500369</v>
      </c>
      <c r="AR559">
        <v>9.9548359341269845E-3</v>
      </c>
      <c r="AS559">
        <v>221.13729607222109</v>
      </c>
      <c r="AT559">
        <v>541.1939383042004</v>
      </c>
      <c r="AU559">
        <v>6.3278028391867966</v>
      </c>
      <c r="AV559">
        <v>237.42701809474599</v>
      </c>
      <c r="AW559">
        <v>771.14424413337167</v>
      </c>
      <c r="AX559">
        <v>533.71722603862565</v>
      </c>
      <c r="AY559">
        <v>1.396629518204388</v>
      </c>
      <c r="AZ559" t="s">
        <v>118</v>
      </c>
      <c r="BA559" t="str">
        <f>VLOOKUP($AZ559,Sheet1!$A$2:$B$58,2)</f>
        <v>Butanol (PW1)</v>
      </c>
      <c r="BB559" t="s">
        <v>169</v>
      </c>
      <c r="BC559">
        <v>74.120199999999997</v>
      </c>
      <c r="BD559">
        <v>6</v>
      </c>
      <c r="BE559">
        <v>117.7</v>
      </c>
      <c r="BF559" t="s">
        <v>207</v>
      </c>
      <c r="BG559">
        <v>10.777966914432771</v>
      </c>
      <c r="BH559">
        <v>4.51428571428572E-2</v>
      </c>
      <c r="BI559">
        <v>7.2692302344578394E-2</v>
      </c>
      <c r="BJ559">
        <v>80</v>
      </c>
      <c r="BK559">
        <v>13260.41787199779</v>
      </c>
      <c r="BL559">
        <v>9177.6778425018438</v>
      </c>
      <c r="BM559">
        <v>13.23815090613164</v>
      </c>
      <c r="BN559">
        <v>2250.485654042378</v>
      </c>
      <c r="BO559">
        <v>11009.932217955409</v>
      </c>
    </row>
    <row r="560" spans="1:67" x14ac:dyDescent="0.25">
      <c r="A560" s="1">
        <v>558</v>
      </c>
      <c r="B560" t="s">
        <v>73</v>
      </c>
      <c r="C560" t="s">
        <v>85</v>
      </c>
      <c r="D560">
        <v>1</v>
      </c>
      <c r="E560">
        <v>1</v>
      </c>
      <c r="F560">
        <v>2</v>
      </c>
      <c r="G560">
        <v>45.016539999999999</v>
      </c>
      <c r="H560">
        <v>2</v>
      </c>
      <c r="I560" t="s">
        <v>89</v>
      </c>
      <c r="J560">
        <v>4</v>
      </c>
      <c r="K560">
        <v>300</v>
      </c>
      <c r="L560">
        <v>70</v>
      </c>
      <c r="N560" t="s">
        <v>82</v>
      </c>
      <c r="O560">
        <v>30</v>
      </c>
      <c r="P560">
        <v>0.5</v>
      </c>
      <c r="Q560">
        <v>3.2500000000000001E-2</v>
      </c>
      <c r="R560">
        <v>77.5</v>
      </c>
      <c r="S560">
        <v>170</v>
      </c>
      <c r="T560">
        <v>20</v>
      </c>
      <c r="U560">
        <v>1812.1301775147931</v>
      </c>
      <c r="V560">
        <v>20</v>
      </c>
      <c r="W560">
        <v>0.95</v>
      </c>
      <c r="X560">
        <v>1</v>
      </c>
      <c r="Y560">
        <v>217292.89950318751</v>
      </c>
      <c r="Z560">
        <v>651878698.50956249</v>
      </c>
      <c r="AA560">
        <v>2607514794.03825</v>
      </c>
      <c r="AB560">
        <v>2607514.7940382501</v>
      </c>
      <c r="AC560">
        <v>0</v>
      </c>
      <c r="AD560">
        <v>6756.2465601397389</v>
      </c>
      <c r="AE560">
        <v>12161243.80825153</v>
      </c>
      <c r="AF560">
        <v>8512870.6657760702</v>
      </c>
      <c r="AG560">
        <v>383.2199828407351</v>
      </c>
      <c r="AH560">
        <v>2676.0817000057482</v>
      </c>
      <c r="AI560">
        <v>535.21634000114966</v>
      </c>
      <c r="AJ560">
        <v>84744.230806243126</v>
      </c>
      <c r="AK560">
        <v>854.70085470085473</v>
      </c>
      <c r="AL560" t="s">
        <v>93</v>
      </c>
      <c r="AM560">
        <v>207396.3317504455</v>
      </c>
      <c r="AN560">
        <v>2424.940495452719</v>
      </c>
      <c r="AO560">
        <v>90986.777800195443</v>
      </c>
      <c r="AP560">
        <v>295420.20390684222</v>
      </c>
      <c r="AQ560">
        <v>204433.4261066468</v>
      </c>
      <c r="AR560">
        <v>9.9548359341269845E-3</v>
      </c>
      <c r="AS560">
        <v>221.13729607222109</v>
      </c>
      <c r="AT560">
        <v>541.19393830420017</v>
      </c>
      <c r="AU560">
        <v>6.3278028391867966</v>
      </c>
      <c r="AV560">
        <v>237.4270180947459</v>
      </c>
      <c r="AW560">
        <v>770.88935111616524</v>
      </c>
      <c r="AX560">
        <v>533.46233302141934</v>
      </c>
      <c r="AY560">
        <v>1.396629518204388</v>
      </c>
      <c r="AZ560" t="s">
        <v>119</v>
      </c>
      <c r="BA560" t="str">
        <f>VLOOKUP($AZ560,Sheet1!$A$2:$B$58,2)</f>
        <v>Butanol (PW2)</v>
      </c>
      <c r="BB560" t="s">
        <v>169</v>
      </c>
      <c r="BC560">
        <v>74.120199999999997</v>
      </c>
      <c r="BD560">
        <v>6</v>
      </c>
      <c r="BE560">
        <v>117.7</v>
      </c>
      <c r="BF560" t="s">
        <v>207</v>
      </c>
      <c r="BG560">
        <v>12.28117011030899</v>
      </c>
      <c r="BH560">
        <v>4.0512820512820603E-2</v>
      </c>
      <c r="BI560">
        <v>6.5236681591288301E-2</v>
      </c>
      <c r="BJ560">
        <v>80</v>
      </c>
      <c r="BK560">
        <v>14771.010195342111</v>
      </c>
      <c r="BL560">
        <v>10221.67130533234</v>
      </c>
      <c r="BM560">
        <v>14.479646889748491</v>
      </c>
      <c r="BN560">
        <v>2461.539971257243</v>
      </c>
      <c r="BO560">
        <v>12309.470224084869</v>
      </c>
    </row>
    <row r="561" spans="1:67" x14ac:dyDescent="0.25">
      <c r="A561" s="1">
        <v>559</v>
      </c>
      <c r="B561" t="s">
        <v>73</v>
      </c>
      <c r="C561" t="s">
        <v>85</v>
      </c>
      <c r="D561">
        <v>1</v>
      </c>
      <c r="E561">
        <v>1</v>
      </c>
      <c r="F561">
        <v>2</v>
      </c>
      <c r="G561">
        <v>45.016539999999999</v>
      </c>
      <c r="H561">
        <v>2</v>
      </c>
      <c r="I561" t="s">
        <v>89</v>
      </c>
      <c r="J561">
        <v>4</v>
      </c>
      <c r="K561">
        <v>300</v>
      </c>
      <c r="L561">
        <v>70</v>
      </c>
      <c r="N561" t="s">
        <v>82</v>
      </c>
      <c r="O561">
        <v>30</v>
      </c>
      <c r="P561">
        <v>0.5</v>
      </c>
      <c r="Q561">
        <v>3.2500000000000001E-2</v>
      </c>
      <c r="R561">
        <v>77.5</v>
      </c>
      <c r="S561">
        <v>170</v>
      </c>
      <c r="T561">
        <v>20</v>
      </c>
      <c r="U561">
        <v>1812.1301775147931</v>
      </c>
      <c r="V561">
        <v>20</v>
      </c>
      <c r="W561">
        <v>0.95</v>
      </c>
      <c r="X561">
        <v>1</v>
      </c>
      <c r="Y561">
        <v>132763.5717153096</v>
      </c>
      <c r="Z561">
        <v>398290715.1459288</v>
      </c>
      <c r="AA561">
        <v>1593162860.583715</v>
      </c>
      <c r="AB561">
        <v>1593162.8605837149</v>
      </c>
      <c r="AC561">
        <v>0</v>
      </c>
      <c r="AD561">
        <v>4127.9923401282977</v>
      </c>
      <c r="AE561">
        <v>7430386.2122309357</v>
      </c>
      <c r="AF561">
        <v>5201270.3485616548</v>
      </c>
      <c r="AG561">
        <v>234.14319469683971</v>
      </c>
      <c r="AH561">
        <v>1635.0564860014169</v>
      </c>
      <c r="AI561">
        <v>327.01129720028348</v>
      </c>
      <c r="AJ561">
        <v>51777.792968970753</v>
      </c>
      <c r="AK561">
        <v>854.70085470085473</v>
      </c>
      <c r="AL561" t="s">
        <v>93</v>
      </c>
      <c r="AM561">
        <v>126716.8776651098</v>
      </c>
      <c r="AN561">
        <v>1481.6119721789289</v>
      </c>
      <c r="AO561">
        <v>55591.92052404819</v>
      </c>
      <c r="AP561">
        <v>180830.98346096039</v>
      </c>
      <c r="AQ561">
        <v>125239.0629369122</v>
      </c>
      <c r="AR561">
        <v>9.9548359341269845E-3</v>
      </c>
      <c r="AS561">
        <v>221.13729607222109</v>
      </c>
      <c r="AT561">
        <v>541.19393830420051</v>
      </c>
      <c r="AU561">
        <v>6.3278028391867958</v>
      </c>
      <c r="AV561">
        <v>237.42701809474599</v>
      </c>
      <c r="AW561">
        <v>772.30937117388328</v>
      </c>
      <c r="AX561">
        <v>534.88235307913726</v>
      </c>
      <c r="AY561">
        <v>1.396629518204388</v>
      </c>
      <c r="AZ561" t="s">
        <v>120</v>
      </c>
      <c r="BA561" t="str">
        <f>VLOOKUP($AZ561,Sheet1!$A$2:$B$58,2)</f>
        <v>Butyrate</v>
      </c>
      <c r="BB561" t="s">
        <v>170</v>
      </c>
      <c r="BC561">
        <v>87.095680000000002</v>
      </c>
      <c r="BD561">
        <v>4.75</v>
      </c>
      <c r="BE561">
        <v>163.5</v>
      </c>
      <c r="BF561" t="s">
        <v>207</v>
      </c>
      <c r="BG561">
        <v>6.9335706504950823</v>
      </c>
      <c r="BH561">
        <v>5.6428571428571397E-2</v>
      </c>
      <c r="BI561">
        <v>0.106772268279542</v>
      </c>
      <c r="BJ561">
        <v>80</v>
      </c>
      <c r="BK561">
        <v>9041.5491730480171</v>
      </c>
      <c r="BL561">
        <v>6261.953146845608</v>
      </c>
      <c r="BM561">
        <v>9.4169942095190926</v>
      </c>
      <c r="BN561">
        <v>1600.889015618246</v>
      </c>
      <c r="BO561">
        <v>7440.6601574297711</v>
      </c>
    </row>
    <row r="562" spans="1:67" x14ac:dyDescent="0.25">
      <c r="A562" s="1">
        <v>560</v>
      </c>
      <c r="B562" t="s">
        <v>73</v>
      </c>
      <c r="C562" t="s">
        <v>85</v>
      </c>
      <c r="D562">
        <v>1</v>
      </c>
      <c r="E562">
        <v>1</v>
      </c>
      <c r="F562">
        <v>2</v>
      </c>
      <c r="G562">
        <v>45.016539999999999</v>
      </c>
      <c r="H562">
        <v>2</v>
      </c>
      <c r="I562" t="s">
        <v>89</v>
      </c>
      <c r="J562">
        <v>4</v>
      </c>
      <c r="K562">
        <v>300</v>
      </c>
      <c r="L562">
        <v>70</v>
      </c>
      <c r="N562" t="s">
        <v>82</v>
      </c>
      <c r="O562">
        <v>30</v>
      </c>
      <c r="P562">
        <v>0.5</v>
      </c>
      <c r="Q562">
        <v>3.2500000000000001E-2</v>
      </c>
      <c r="R562">
        <v>77.5</v>
      </c>
      <c r="S562">
        <v>170</v>
      </c>
      <c r="T562">
        <v>20</v>
      </c>
      <c r="U562">
        <v>1812.1301775147931</v>
      </c>
      <c r="V562">
        <v>20</v>
      </c>
      <c r="W562">
        <v>0.95</v>
      </c>
      <c r="X562">
        <v>1</v>
      </c>
      <c r="Y562">
        <v>158772.8394868467</v>
      </c>
      <c r="Z562">
        <v>476318518.46053988</v>
      </c>
      <c r="AA562">
        <v>1905274073.84216</v>
      </c>
      <c r="AB562">
        <v>1905274.0738421599</v>
      </c>
      <c r="AC562">
        <v>0</v>
      </c>
      <c r="AD562">
        <v>4936.6935278568126</v>
      </c>
      <c r="AE562">
        <v>8886048.3501422629</v>
      </c>
      <c r="AF562">
        <v>6220233.8450995842</v>
      </c>
      <c r="AG562">
        <v>280.01340569727921</v>
      </c>
      <c r="AH562">
        <v>1955.374939448805</v>
      </c>
      <c r="AI562">
        <v>391.07498788976102</v>
      </c>
      <c r="AJ562">
        <v>61921.407399870193</v>
      </c>
      <c r="AK562">
        <v>854.70085470085473</v>
      </c>
      <c r="AL562" t="s">
        <v>93</v>
      </c>
      <c r="AM562">
        <v>151541.5578072824</v>
      </c>
      <c r="AN562">
        <v>1771.869623581608</v>
      </c>
      <c r="AO562">
        <v>66482.747941259368</v>
      </c>
      <c r="AP562">
        <v>216089.535685435</v>
      </c>
      <c r="AQ562">
        <v>149606.78774417561</v>
      </c>
      <c r="AR562">
        <v>9.9548359341269828E-3</v>
      </c>
      <c r="AS562">
        <v>221.13729607222109</v>
      </c>
      <c r="AT562">
        <v>541.1939383042004</v>
      </c>
      <c r="AU562">
        <v>6.3278028391867966</v>
      </c>
      <c r="AV562">
        <v>237.42701809474599</v>
      </c>
      <c r="AW562">
        <v>771.71139412892285</v>
      </c>
      <c r="AX562">
        <v>534.28437603417683</v>
      </c>
      <c r="AY562">
        <v>1.396629518204388</v>
      </c>
      <c r="AZ562" t="s">
        <v>121</v>
      </c>
      <c r="BA562" t="str">
        <f>VLOOKUP($AZ562,Sheet1!$A$2:$B$58,2)</f>
        <v>Catechol</v>
      </c>
      <c r="BB562" t="s">
        <v>171</v>
      </c>
      <c r="BC562">
        <v>110.10924</v>
      </c>
      <c r="BD562">
        <v>4.333333333333333</v>
      </c>
      <c r="BE562">
        <v>245</v>
      </c>
      <c r="BF562" t="s">
        <v>207</v>
      </c>
      <c r="BG562">
        <v>8.3109363580744233</v>
      </c>
      <c r="BH562">
        <v>3.7322834645669503E-2</v>
      </c>
      <c r="BI562">
        <v>8.9281439714451905E-2</v>
      </c>
      <c r="BJ562">
        <v>80</v>
      </c>
      <c r="BK562">
        <v>10804.47678427175</v>
      </c>
      <c r="BL562">
        <v>7480.3393872087827</v>
      </c>
      <c r="BM562">
        <v>11.242813036413621</v>
      </c>
      <c r="BN562">
        <v>1911.278216190316</v>
      </c>
      <c r="BO562">
        <v>8893.1985680814341</v>
      </c>
    </row>
    <row r="563" spans="1:67" x14ac:dyDescent="0.25">
      <c r="A563" s="1">
        <v>561</v>
      </c>
      <c r="B563" t="s">
        <v>73</v>
      </c>
      <c r="C563" t="s">
        <v>85</v>
      </c>
      <c r="D563">
        <v>1</v>
      </c>
      <c r="E563">
        <v>1</v>
      </c>
      <c r="F563">
        <v>2</v>
      </c>
      <c r="G563">
        <v>45.016539999999999</v>
      </c>
      <c r="H563">
        <v>2</v>
      </c>
      <c r="I563" t="s">
        <v>89</v>
      </c>
      <c r="J563">
        <v>4</v>
      </c>
      <c r="K563">
        <v>300</v>
      </c>
      <c r="L563">
        <v>70</v>
      </c>
      <c r="N563" t="s">
        <v>82</v>
      </c>
      <c r="O563">
        <v>30</v>
      </c>
      <c r="P563">
        <v>0.5</v>
      </c>
      <c r="Q563">
        <v>3.2500000000000001E-2</v>
      </c>
      <c r="R563">
        <v>77.5</v>
      </c>
      <c r="S563">
        <v>170</v>
      </c>
      <c r="T563">
        <v>20</v>
      </c>
      <c r="U563">
        <v>1812.1301775147931</v>
      </c>
      <c r="V563">
        <v>20</v>
      </c>
      <c r="W563">
        <v>0.95</v>
      </c>
      <c r="X563">
        <v>1</v>
      </c>
      <c r="Y563">
        <v>126757.5961913426</v>
      </c>
      <c r="Z563">
        <v>380272788.57402778</v>
      </c>
      <c r="AA563">
        <v>1521091154.2961111</v>
      </c>
      <c r="AB563">
        <v>1521091.1542961111</v>
      </c>
      <c r="AC563">
        <v>0</v>
      </c>
      <c r="AD563">
        <v>3941.2496919936302</v>
      </c>
      <c r="AE563">
        <v>7094249.4455885347</v>
      </c>
      <c r="AF563">
        <v>4965974.6119119739</v>
      </c>
      <c r="AG563">
        <v>223.55099475611979</v>
      </c>
      <c r="AH563">
        <v>1561.0895905017569</v>
      </c>
      <c r="AI563">
        <v>312.21791810035143</v>
      </c>
      <c r="AJ563">
        <v>49435.462514623621</v>
      </c>
      <c r="AK563">
        <v>854.70085470085473</v>
      </c>
      <c r="AL563" t="s">
        <v>93</v>
      </c>
      <c r="AM563">
        <v>120984.4432638861</v>
      </c>
      <c r="AN563">
        <v>1414.586619320808</v>
      </c>
      <c r="AO563">
        <v>53077.046077059727</v>
      </c>
      <c r="AP563">
        <v>172689.1932525314</v>
      </c>
      <c r="AQ563">
        <v>119612.14717547171</v>
      </c>
      <c r="AR563">
        <v>9.9548359341269845E-3</v>
      </c>
      <c r="AS563">
        <v>221.13729607222109</v>
      </c>
      <c r="AT563">
        <v>541.1939383042004</v>
      </c>
      <c r="AU563">
        <v>6.3278028391867958</v>
      </c>
      <c r="AV563">
        <v>237.42701809474599</v>
      </c>
      <c r="AW563">
        <v>772.48232977412863</v>
      </c>
      <c r="AX563">
        <v>535.05531167938261</v>
      </c>
      <c r="AY563">
        <v>1.396629518204388</v>
      </c>
      <c r="AZ563" t="s">
        <v>122</v>
      </c>
      <c r="BA563" t="str">
        <f>VLOOKUP($AZ563,Sheet1!$A$2:$B$58,2)</f>
        <v>cis,cis-Muconate</v>
      </c>
      <c r="BB563" t="s">
        <v>172</v>
      </c>
      <c r="BC563">
        <v>140.09155999999999</v>
      </c>
      <c r="BD563">
        <v>3.333333333333333</v>
      </c>
      <c r="BE563">
        <v>345.4</v>
      </c>
      <c r="BF563" t="s">
        <v>207</v>
      </c>
      <c r="BG563">
        <v>6.6647877026218731</v>
      </c>
      <c r="BH563">
        <v>3.6744186046511598E-2</v>
      </c>
      <c r="BI563">
        <v>0.11183130733671499</v>
      </c>
      <c r="BJ563">
        <v>80</v>
      </c>
      <c r="BK563">
        <v>8634.459662626572</v>
      </c>
      <c r="BL563">
        <v>5980.6073587735864</v>
      </c>
      <c r="BM563">
        <v>8.9461082023956955</v>
      </c>
      <c r="BN563">
        <v>1520.838394407268</v>
      </c>
      <c r="BO563">
        <v>7113.6212682193036</v>
      </c>
    </row>
    <row r="564" spans="1:67" x14ac:dyDescent="0.25">
      <c r="A564" s="1">
        <v>562</v>
      </c>
      <c r="B564" t="s">
        <v>73</v>
      </c>
      <c r="C564" t="s">
        <v>85</v>
      </c>
      <c r="D564">
        <v>1</v>
      </c>
      <c r="E564">
        <v>1</v>
      </c>
      <c r="F564">
        <v>2</v>
      </c>
      <c r="G564">
        <v>45.016539999999999</v>
      </c>
      <c r="H564">
        <v>2</v>
      </c>
      <c r="I564" t="s">
        <v>89</v>
      </c>
      <c r="J564">
        <v>4</v>
      </c>
      <c r="K564">
        <v>300</v>
      </c>
      <c r="L564">
        <v>70</v>
      </c>
      <c r="N564" t="s">
        <v>82</v>
      </c>
      <c r="O564">
        <v>30</v>
      </c>
      <c r="P564">
        <v>0.5</v>
      </c>
      <c r="Q564">
        <v>3.2500000000000001E-2</v>
      </c>
      <c r="R564">
        <v>77.5</v>
      </c>
      <c r="S564">
        <v>170</v>
      </c>
      <c r="T564">
        <v>20</v>
      </c>
      <c r="U564">
        <v>1812.1301775147931</v>
      </c>
      <c r="V564">
        <v>20</v>
      </c>
      <c r="W564">
        <v>0.95</v>
      </c>
      <c r="X564">
        <v>1</v>
      </c>
      <c r="Y564">
        <v>63333.318949532688</v>
      </c>
      <c r="Z564">
        <v>189999956.84859809</v>
      </c>
      <c r="AA564">
        <v>759999827.39439225</v>
      </c>
      <c r="AB564">
        <v>759999.82739439222</v>
      </c>
      <c r="AC564">
        <v>0</v>
      </c>
      <c r="AD564">
        <v>1969.210771605246</v>
      </c>
      <c r="AE564">
        <v>3544579.3888894441</v>
      </c>
      <c r="AF564">
        <v>2481205.57222261</v>
      </c>
      <c r="AG564">
        <v>111.695289890182</v>
      </c>
      <c r="AH564">
        <v>779.98469452512211</v>
      </c>
      <c r="AI564">
        <v>155.99693890502439</v>
      </c>
      <c r="AJ564">
        <v>24699.994390317748</v>
      </c>
      <c r="AK564">
        <v>854.70085470085473</v>
      </c>
      <c r="AL564" t="s">
        <v>93</v>
      </c>
      <c r="AM564">
        <v>60448.813825696961</v>
      </c>
      <c r="AN564">
        <v>706.78577249088607</v>
      </c>
      <c r="AO564">
        <v>26519.47961385415</v>
      </c>
      <c r="AP564">
        <v>86710.294843206444</v>
      </c>
      <c r="AQ564">
        <v>60190.815229352287</v>
      </c>
      <c r="AR564">
        <v>9.9548359341269845E-3</v>
      </c>
      <c r="AS564">
        <v>221.13729607222109</v>
      </c>
      <c r="AT564">
        <v>541.19393830420051</v>
      </c>
      <c r="AU564">
        <v>6.3278028391867958</v>
      </c>
      <c r="AV564">
        <v>237.42701809474599</v>
      </c>
      <c r="AW564">
        <v>776.31111328382201</v>
      </c>
      <c r="AX564">
        <v>538.88409518907599</v>
      </c>
      <c r="AY564">
        <v>1.396629518204388</v>
      </c>
      <c r="AZ564" t="s">
        <v>123</v>
      </c>
      <c r="BA564" t="str">
        <f>VLOOKUP($AZ564,Sheet1!$A$2:$B$58,2)</f>
        <v>Citrate</v>
      </c>
      <c r="BB564" t="s">
        <v>173</v>
      </c>
      <c r="BC564">
        <v>189.09639999999999</v>
      </c>
      <c r="BD564">
        <v>2.5</v>
      </c>
      <c r="BF564" t="s">
        <v>207</v>
      </c>
      <c r="BG564">
        <v>2.87535077882317</v>
      </c>
      <c r="BH564">
        <v>5.44827586206897E-2</v>
      </c>
      <c r="BI564">
        <v>0.22382322499525101</v>
      </c>
      <c r="BJ564">
        <v>80</v>
      </c>
      <c r="BK564">
        <v>4335.5147421603224</v>
      </c>
      <c r="BL564">
        <v>3009.5407614676142</v>
      </c>
      <c r="BM564">
        <v>4.9244961664280504</v>
      </c>
      <c r="BN564">
        <v>837.16434829276841</v>
      </c>
      <c r="BO564">
        <v>3498.350393867554</v>
      </c>
    </row>
    <row r="565" spans="1:67" x14ac:dyDescent="0.25">
      <c r="A565" s="1">
        <v>563</v>
      </c>
      <c r="B565" t="s">
        <v>73</v>
      </c>
      <c r="C565" t="s">
        <v>85</v>
      </c>
      <c r="D565">
        <v>1</v>
      </c>
      <c r="E565">
        <v>1</v>
      </c>
      <c r="F565">
        <v>2</v>
      </c>
      <c r="G565">
        <v>45.016539999999999</v>
      </c>
      <c r="H565">
        <v>2</v>
      </c>
      <c r="I565" t="s">
        <v>89</v>
      </c>
      <c r="J565">
        <v>4</v>
      </c>
      <c r="K565">
        <v>300</v>
      </c>
      <c r="L565">
        <v>70</v>
      </c>
      <c r="N565" t="s">
        <v>82</v>
      </c>
      <c r="O565">
        <v>30</v>
      </c>
      <c r="P565">
        <v>0.5</v>
      </c>
      <c r="Q565">
        <v>3.2500000000000001E-2</v>
      </c>
      <c r="R565">
        <v>77.5</v>
      </c>
      <c r="S565">
        <v>170</v>
      </c>
      <c r="T565">
        <v>20</v>
      </c>
      <c r="U565">
        <v>1812.1301775147931</v>
      </c>
      <c r="V565">
        <v>20</v>
      </c>
      <c r="W565">
        <v>0.95</v>
      </c>
      <c r="X565">
        <v>1</v>
      </c>
      <c r="Y565">
        <v>159468.83688798</v>
      </c>
      <c r="Z565">
        <v>478406510.66394007</v>
      </c>
      <c r="AA565">
        <v>1913626042.655761</v>
      </c>
      <c r="AB565">
        <v>1913626.04265576</v>
      </c>
      <c r="AC565">
        <v>0</v>
      </c>
      <c r="AD565">
        <v>4958.3340419188225</v>
      </c>
      <c r="AE565">
        <v>8925001.2754538804</v>
      </c>
      <c r="AF565">
        <v>6247500.8928177161</v>
      </c>
      <c r="AG565">
        <v>281.24087384156439</v>
      </c>
      <c r="AH565">
        <v>1963.9465306636259</v>
      </c>
      <c r="AI565">
        <v>392.78930613272519</v>
      </c>
      <c r="AJ565">
        <v>62192.846386312223</v>
      </c>
      <c r="AK565">
        <v>854.70085470085473</v>
      </c>
      <c r="AL565" t="s">
        <v>93</v>
      </c>
      <c r="AM565">
        <v>152205.856126431</v>
      </c>
      <c r="AN565">
        <v>1779.6367999900269</v>
      </c>
      <c r="AO565">
        <v>66774.18204256329</v>
      </c>
      <c r="AP565">
        <v>217033.04016743411</v>
      </c>
      <c r="AQ565">
        <v>150258.85812487081</v>
      </c>
      <c r="AR565">
        <v>9.9548359341269845E-3</v>
      </c>
      <c r="AS565">
        <v>221.13729607222109</v>
      </c>
      <c r="AT565">
        <v>541.1939383042004</v>
      </c>
      <c r="AU565">
        <v>6.3278028391867958</v>
      </c>
      <c r="AV565">
        <v>237.42701809474599</v>
      </c>
      <c r="AW565">
        <v>771.69807220019709</v>
      </c>
      <c r="AX565">
        <v>534.27105410545107</v>
      </c>
      <c r="AY565">
        <v>1.396629518204388</v>
      </c>
      <c r="AZ565" t="s">
        <v>124</v>
      </c>
      <c r="BA565" t="str">
        <f>VLOOKUP($AZ565,Sheet1!$A$2:$B$58,2)</f>
        <v>Coumaric Acid</v>
      </c>
      <c r="BB565" t="s">
        <v>174</v>
      </c>
      <c r="BC565">
        <v>163.14818</v>
      </c>
      <c r="BD565">
        <v>4.1111111111111107</v>
      </c>
      <c r="BE565">
        <v>346</v>
      </c>
      <c r="BF565" t="s">
        <v>207</v>
      </c>
      <c r="BG565">
        <v>8.3282517397623081</v>
      </c>
      <c r="BH565">
        <v>2.5079365079365E-2</v>
      </c>
      <c r="BI565">
        <v>8.8891773299224E-2</v>
      </c>
      <c r="BJ565">
        <v>80</v>
      </c>
      <c r="BK565">
        <v>10851.652008371701</v>
      </c>
      <c r="BL565">
        <v>7512.9429062435393</v>
      </c>
      <c r="BM565">
        <v>11.31121356687396</v>
      </c>
      <c r="BN565">
        <v>1922.906306368573</v>
      </c>
      <c r="BO565">
        <v>8928.7457020031325</v>
      </c>
    </row>
    <row r="566" spans="1:67" x14ac:dyDescent="0.25">
      <c r="A566" s="1">
        <v>564</v>
      </c>
      <c r="B566" t="s">
        <v>73</v>
      </c>
      <c r="C566" t="s">
        <v>85</v>
      </c>
      <c r="D566">
        <v>1</v>
      </c>
      <c r="E566">
        <v>1</v>
      </c>
      <c r="F566">
        <v>2</v>
      </c>
      <c r="G566">
        <v>45.016539999999999</v>
      </c>
      <c r="H566">
        <v>2</v>
      </c>
      <c r="I566" t="s">
        <v>89</v>
      </c>
      <c r="J566">
        <v>4</v>
      </c>
      <c r="K566">
        <v>300</v>
      </c>
      <c r="L566">
        <v>70</v>
      </c>
      <c r="N566" t="s">
        <v>82</v>
      </c>
      <c r="O566">
        <v>30</v>
      </c>
      <c r="P566">
        <v>0.5</v>
      </c>
      <c r="Q566">
        <v>3.2500000000000001E-2</v>
      </c>
      <c r="R566">
        <v>77.5</v>
      </c>
      <c r="S566">
        <v>170</v>
      </c>
      <c r="T566">
        <v>20</v>
      </c>
      <c r="U566">
        <v>1812.1301775147931</v>
      </c>
      <c r="V566">
        <v>20</v>
      </c>
      <c r="W566">
        <v>0.95</v>
      </c>
      <c r="X566">
        <v>1</v>
      </c>
      <c r="Y566">
        <v>135932.16949116689</v>
      </c>
      <c r="Z566">
        <v>407796508.47350049</v>
      </c>
      <c r="AA566">
        <v>1631186033.894002</v>
      </c>
      <c r="AB566">
        <v>1631186.033894002</v>
      </c>
      <c r="AC566">
        <v>0</v>
      </c>
      <c r="AD566">
        <v>4226.5129446788751</v>
      </c>
      <c r="AE566">
        <v>7607723.3004219746</v>
      </c>
      <c r="AF566">
        <v>5325406.3102953816</v>
      </c>
      <c r="AG566">
        <v>239.73136618366439</v>
      </c>
      <c r="AH566">
        <v>1674.0795122578561</v>
      </c>
      <c r="AI566">
        <v>334.81590245157122</v>
      </c>
      <c r="AJ566">
        <v>53013.546101555083</v>
      </c>
      <c r="AK566">
        <v>854.70085470085473</v>
      </c>
      <c r="AL566" t="s">
        <v>93</v>
      </c>
      <c r="AM566">
        <v>129741.1621999838</v>
      </c>
      <c r="AN566">
        <v>1516.972819579122</v>
      </c>
      <c r="AO566">
        <v>56918.703416767101</v>
      </c>
      <c r="AP566">
        <v>185126.38197581889</v>
      </c>
      <c r="AQ566">
        <v>128207.6785590518</v>
      </c>
      <c r="AR566">
        <v>9.9548359341269863E-3</v>
      </c>
      <c r="AS566">
        <v>221.13729607222109</v>
      </c>
      <c r="AT566">
        <v>541.19393830420051</v>
      </c>
      <c r="AU566">
        <v>6.3278028391867984</v>
      </c>
      <c r="AV566">
        <v>237.4270180947461</v>
      </c>
      <c r="AW566">
        <v>772.22428138163912</v>
      </c>
      <c r="AX566">
        <v>534.79726328689298</v>
      </c>
      <c r="AY566">
        <v>1.3966295182043891</v>
      </c>
      <c r="AZ566" t="s">
        <v>125</v>
      </c>
      <c r="BA566" t="str">
        <f>VLOOKUP($AZ566,Sheet1!$A$2:$B$58,2)</f>
        <v>Ethyl Acetate</v>
      </c>
      <c r="BB566" t="s">
        <v>175</v>
      </c>
      <c r="BC566">
        <v>88.103520000000003</v>
      </c>
      <c r="BD566">
        <v>5</v>
      </c>
      <c r="BE566">
        <v>77.099999999999994</v>
      </c>
      <c r="BF566" t="s">
        <v>207</v>
      </c>
      <c r="BG566">
        <v>7.1704113639574887</v>
      </c>
      <c r="BH566">
        <v>5.4482758620689901E-2</v>
      </c>
      <c r="BI566">
        <v>0.104283391856395</v>
      </c>
      <c r="BJ566">
        <v>80</v>
      </c>
      <c r="BK566">
        <v>9256.319098790942</v>
      </c>
      <c r="BL566">
        <v>6410.3839279525864</v>
      </c>
      <c r="BM566">
        <v>9.5703837586210696</v>
      </c>
      <c r="BN566">
        <v>1626.9652389655821</v>
      </c>
      <c r="BO566">
        <v>7629.3538598253599</v>
      </c>
    </row>
    <row r="567" spans="1:67" x14ac:dyDescent="0.25">
      <c r="A567" s="1">
        <v>565</v>
      </c>
      <c r="B567" t="s">
        <v>73</v>
      </c>
      <c r="C567" t="s">
        <v>85</v>
      </c>
      <c r="D567">
        <v>1</v>
      </c>
      <c r="E567">
        <v>1</v>
      </c>
      <c r="F567">
        <v>2</v>
      </c>
      <c r="G567">
        <v>45.016539999999999</v>
      </c>
      <c r="H567">
        <v>2</v>
      </c>
      <c r="I567" t="s">
        <v>89</v>
      </c>
      <c r="J567">
        <v>4</v>
      </c>
      <c r="K567">
        <v>300</v>
      </c>
      <c r="L567">
        <v>70</v>
      </c>
      <c r="N567" t="s">
        <v>82</v>
      </c>
      <c r="O567">
        <v>30</v>
      </c>
      <c r="P567">
        <v>0.5</v>
      </c>
      <c r="Q567">
        <v>3.2500000000000001E-2</v>
      </c>
      <c r="R567">
        <v>77.5</v>
      </c>
      <c r="S567">
        <v>170</v>
      </c>
      <c r="T567">
        <v>20</v>
      </c>
      <c r="U567">
        <v>1812.1301775147931</v>
      </c>
      <c r="V567">
        <v>20</v>
      </c>
      <c r="W567">
        <v>0.95</v>
      </c>
      <c r="X567">
        <v>1</v>
      </c>
      <c r="Y567">
        <v>264064.80931304919</v>
      </c>
      <c r="Z567">
        <v>792194427.93914759</v>
      </c>
      <c r="AA567">
        <v>3168777711.7565899</v>
      </c>
      <c r="AB567">
        <v>3168777.7117565898</v>
      </c>
      <c r="AC567">
        <v>0</v>
      </c>
      <c r="AD567">
        <v>8210.5166052564618</v>
      </c>
      <c r="AE567">
        <v>14778929.889461629</v>
      </c>
      <c r="AF567">
        <v>10345250.922623141</v>
      </c>
      <c r="AG567">
        <v>465.70740196830161</v>
      </c>
      <c r="AH567">
        <v>3252.1035221760312</v>
      </c>
      <c r="AI567">
        <v>650.42070443520629</v>
      </c>
      <c r="AJ567">
        <v>102985.27563208919</v>
      </c>
      <c r="AK567">
        <v>1835.336538461539</v>
      </c>
      <c r="AL567" t="s">
        <v>94</v>
      </c>
      <c r="AM567">
        <v>252038.02296864241</v>
      </c>
      <c r="AN567">
        <v>2946.9046204053261</v>
      </c>
      <c r="AO567">
        <v>110571.51975398511</v>
      </c>
      <c r="AP567">
        <v>359805.5397595985</v>
      </c>
      <c r="AQ567">
        <v>249234.02000561339</v>
      </c>
      <c r="AR567">
        <v>9.9548359341269863E-3</v>
      </c>
      <c r="AS567">
        <v>221.13729607222109</v>
      </c>
      <c r="AT567">
        <v>541.19393830420029</v>
      </c>
      <c r="AU567">
        <v>6.3278028391867984</v>
      </c>
      <c r="AV567">
        <v>237.42701809474599</v>
      </c>
      <c r="AW567">
        <v>772.60000214488491</v>
      </c>
      <c r="AX567">
        <v>535.17298405013889</v>
      </c>
      <c r="AY567">
        <v>1.396629518204388</v>
      </c>
      <c r="AZ567" t="s">
        <v>126</v>
      </c>
      <c r="BA567" t="str">
        <f>VLOOKUP($AZ567,Sheet1!$A$2:$B$58,2)</f>
        <v>Farnesene</v>
      </c>
      <c r="BB567" t="s">
        <v>176</v>
      </c>
      <c r="BC567">
        <v>204.34866</v>
      </c>
      <c r="BD567">
        <v>5.6</v>
      </c>
      <c r="BE567" t="s">
        <v>198</v>
      </c>
      <c r="BF567" t="s">
        <v>207</v>
      </c>
      <c r="BG567">
        <v>14.580450733663969</v>
      </c>
      <c r="BH567">
        <v>1.2091836734693899E-2</v>
      </c>
      <c r="BI567">
        <v>5.3681775068075102E-2</v>
      </c>
      <c r="BJ567">
        <v>80</v>
      </c>
      <c r="BK567">
        <v>17990.276987979931</v>
      </c>
      <c r="BL567">
        <v>12461.701000280669</v>
      </c>
      <c r="BM567">
        <v>17.940584488096349</v>
      </c>
      <c r="BN567">
        <v>3049.8993629763791</v>
      </c>
      <c r="BO567">
        <v>14940.37762500355</v>
      </c>
    </row>
    <row r="568" spans="1:67" x14ac:dyDescent="0.25">
      <c r="A568" s="1">
        <v>566</v>
      </c>
      <c r="B568" t="s">
        <v>73</v>
      </c>
      <c r="C568" t="s">
        <v>85</v>
      </c>
      <c r="D568">
        <v>1</v>
      </c>
      <c r="E568">
        <v>1</v>
      </c>
      <c r="F568">
        <v>2</v>
      </c>
      <c r="G568">
        <v>45.016539999999999</v>
      </c>
      <c r="H568">
        <v>2</v>
      </c>
      <c r="I568" t="s">
        <v>89</v>
      </c>
      <c r="J568">
        <v>4</v>
      </c>
      <c r="K568">
        <v>300</v>
      </c>
      <c r="L568">
        <v>70</v>
      </c>
      <c r="N568" t="s">
        <v>82</v>
      </c>
      <c r="O568">
        <v>30</v>
      </c>
      <c r="P568">
        <v>0.5</v>
      </c>
      <c r="Q568">
        <v>3.2500000000000001E-2</v>
      </c>
      <c r="R568">
        <v>77.5</v>
      </c>
      <c r="S568">
        <v>170</v>
      </c>
      <c r="T568">
        <v>20</v>
      </c>
      <c r="U568">
        <v>1812.1301775147931</v>
      </c>
      <c r="V568">
        <v>20</v>
      </c>
      <c r="W568">
        <v>0.95</v>
      </c>
      <c r="X568">
        <v>1</v>
      </c>
      <c r="Y568">
        <v>137515.89378395659</v>
      </c>
      <c r="Z568">
        <v>412547681.35186988</v>
      </c>
      <c r="AA568">
        <v>1650190725.40748</v>
      </c>
      <c r="AB568">
        <v>1650190.72540748</v>
      </c>
      <c r="AC568">
        <v>0</v>
      </c>
      <c r="AD568">
        <v>4275.7553811774224</v>
      </c>
      <c r="AE568">
        <v>7696359.6861193599</v>
      </c>
      <c r="AF568">
        <v>5387451.7802835517</v>
      </c>
      <c r="AG568">
        <v>242.52443856520571</v>
      </c>
      <c r="AH568">
        <v>1693.5839489305649</v>
      </c>
      <c r="AI568">
        <v>338.71678978611288</v>
      </c>
      <c r="AJ568">
        <v>53631.198575743103</v>
      </c>
      <c r="AK568">
        <v>1835.336538461539</v>
      </c>
      <c r="AL568" t="s">
        <v>94</v>
      </c>
      <c r="AM568">
        <v>131252.7560421188</v>
      </c>
      <c r="AN568">
        <v>1534.646830925092</v>
      </c>
      <c r="AO568">
        <v>57581.854263639201</v>
      </c>
      <c r="AP568">
        <v>188253.9379872485</v>
      </c>
      <c r="AQ568">
        <v>130672.08372360931</v>
      </c>
      <c r="AR568">
        <v>9.9548359341269845E-3</v>
      </c>
      <c r="AS568">
        <v>221.13729607222109</v>
      </c>
      <c r="AT568">
        <v>541.19393830420029</v>
      </c>
      <c r="AU568">
        <v>6.3278028391867958</v>
      </c>
      <c r="AV568">
        <v>237.4270180947459</v>
      </c>
      <c r="AW568">
        <v>776.22667266430597</v>
      </c>
      <c r="AX568">
        <v>538.79965456956006</v>
      </c>
      <c r="AY568">
        <v>1.396629518204388</v>
      </c>
      <c r="AZ568" t="s">
        <v>127</v>
      </c>
      <c r="BA568" t="str">
        <f>VLOOKUP($AZ568,Sheet1!$A$2:$B$58,2)</f>
        <v>Gamma Butyrolactone</v>
      </c>
      <c r="BB568" t="s">
        <v>177</v>
      </c>
      <c r="BC568">
        <v>86.08784</v>
      </c>
      <c r="BD568">
        <v>4.5</v>
      </c>
      <c r="BE568">
        <v>204</v>
      </c>
      <c r="BF568" t="s">
        <v>207</v>
      </c>
      <c r="BG568">
        <v>7.2304482361977884</v>
      </c>
      <c r="BH568">
        <v>5.51162790697673E-2</v>
      </c>
      <c r="BI568">
        <v>0.10308239510996101</v>
      </c>
      <c r="BJ568">
        <v>80</v>
      </c>
      <c r="BK568">
        <v>9412.696899362425</v>
      </c>
      <c r="BL568">
        <v>6533.6041861804661</v>
      </c>
      <c r="BM568">
        <v>9.7053912531078623</v>
      </c>
      <c r="BN568">
        <v>1649.916513028337</v>
      </c>
      <c r="BO568">
        <v>7762.7803863340887</v>
      </c>
    </row>
    <row r="569" spans="1:67" x14ac:dyDescent="0.25">
      <c r="A569" s="1">
        <v>567</v>
      </c>
      <c r="B569" t="s">
        <v>73</v>
      </c>
      <c r="C569" t="s">
        <v>85</v>
      </c>
      <c r="D569">
        <v>1</v>
      </c>
      <c r="E569">
        <v>1</v>
      </c>
      <c r="F569">
        <v>2</v>
      </c>
      <c r="G569">
        <v>45.016539999999999</v>
      </c>
      <c r="H569">
        <v>2</v>
      </c>
      <c r="I569" t="s">
        <v>89</v>
      </c>
      <c r="J569">
        <v>4</v>
      </c>
      <c r="K569">
        <v>300</v>
      </c>
      <c r="L569">
        <v>70</v>
      </c>
      <c r="N569" t="s">
        <v>82</v>
      </c>
      <c r="O569">
        <v>30</v>
      </c>
      <c r="P569">
        <v>0.5</v>
      </c>
      <c r="Q569">
        <v>3.2500000000000001E-2</v>
      </c>
      <c r="R569">
        <v>77.5</v>
      </c>
      <c r="S569">
        <v>170</v>
      </c>
      <c r="T569">
        <v>20</v>
      </c>
      <c r="U569">
        <v>1812.1301775147931</v>
      </c>
      <c r="V569">
        <v>20</v>
      </c>
      <c r="W569">
        <v>0.95</v>
      </c>
      <c r="X569">
        <v>1</v>
      </c>
      <c r="Y569">
        <v>79135.087761212999</v>
      </c>
      <c r="Z569">
        <v>237405263.28363901</v>
      </c>
      <c r="AA569">
        <v>949621053.13455582</v>
      </c>
      <c r="AB569">
        <v>949621.05313455581</v>
      </c>
      <c r="AC569">
        <v>0</v>
      </c>
      <c r="AD569">
        <v>2460.5321466807</v>
      </c>
      <c r="AE569">
        <v>4428957.8640252603</v>
      </c>
      <c r="AF569">
        <v>3100270.5048176819</v>
      </c>
      <c r="AG569">
        <v>139.56345119094539</v>
      </c>
      <c r="AH569">
        <v>974.59217797875851</v>
      </c>
      <c r="AI569">
        <v>194.9184355957517</v>
      </c>
      <c r="AJ569">
        <v>30862.684226873069</v>
      </c>
      <c r="AK569">
        <v>854.70085470085473</v>
      </c>
      <c r="AL569" t="s">
        <v>93</v>
      </c>
      <c r="AM569">
        <v>75530.893793353782</v>
      </c>
      <c r="AN569">
        <v>883.130002692772</v>
      </c>
      <c r="AO569">
        <v>33136.13405127779</v>
      </c>
      <c r="AP569">
        <v>108131.4088776205</v>
      </c>
      <c r="AQ569">
        <v>74995.274826342706</v>
      </c>
      <c r="AR569">
        <v>9.9548359341269828E-3</v>
      </c>
      <c r="AS569">
        <v>221.13729607222109</v>
      </c>
      <c r="AT569">
        <v>541.1939383042004</v>
      </c>
      <c r="AU569">
        <v>6.3278028391867958</v>
      </c>
      <c r="AV569">
        <v>237.42701809474599</v>
      </c>
      <c r="AW569">
        <v>774.78313953184795</v>
      </c>
      <c r="AX569">
        <v>537.35612143710193</v>
      </c>
      <c r="AY569">
        <v>1.396629518204388</v>
      </c>
      <c r="AZ569" t="s">
        <v>128</v>
      </c>
      <c r="BA569" t="str">
        <f>VLOOKUP($AZ569,Sheet1!$A$2:$B$58,2)</f>
        <v>L-Glutamate</v>
      </c>
      <c r="BB569" t="s">
        <v>178</v>
      </c>
      <c r="BC569">
        <v>146.11892</v>
      </c>
      <c r="BD569">
        <v>3.4</v>
      </c>
      <c r="BE569">
        <v>333.8</v>
      </c>
      <c r="BF569" t="s">
        <v>207</v>
      </c>
      <c r="BG569">
        <v>3.8316328277878848</v>
      </c>
      <c r="BH569">
        <v>5.6428571428571397E-2</v>
      </c>
      <c r="BI569">
        <v>0.17912999275000699</v>
      </c>
      <c r="BJ569">
        <v>80</v>
      </c>
      <c r="BK569">
        <v>5406.5704438810244</v>
      </c>
      <c r="BL569">
        <v>3749.7637413171342</v>
      </c>
      <c r="BM569">
        <v>5.9142889519997004</v>
      </c>
      <c r="BN569">
        <v>1005.4291218399489</v>
      </c>
      <c r="BO569">
        <v>4401.1413220410759</v>
      </c>
    </row>
    <row r="570" spans="1:67" x14ac:dyDescent="0.25">
      <c r="A570" s="1">
        <v>568</v>
      </c>
      <c r="B570" t="s">
        <v>73</v>
      </c>
      <c r="C570" t="s">
        <v>85</v>
      </c>
      <c r="D570">
        <v>1</v>
      </c>
      <c r="E570">
        <v>1</v>
      </c>
      <c r="F570">
        <v>2</v>
      </c>
      <c r="G570">
        <v>45.016539999999999</v>
      </c>
      <c r="H570">
        <v>2</v>
      </c>
      <c r="I570" t="s">
        <v>89</v>
      </c>
      <c r="J570">
        <v>4</v>
      </c>
      <c r="K570">
        <v>300</v>
      </c>
      <c r="L570">
        <v>70</v>
      </c>
      <c r="N570" t="s">
        <v>82</v>
      </c>
      <c r="O570">
        <v>30</v>
      </c>
      <c r="P570">
        <v>0.5</v>
      </c>
      <c r="Q570">
        <v>3.2500000000000001E-2</v>
      </c>
      <c r="R570">
        <v>77.5</v>
      </c>
      <c r="S570">
        <v>170</v>
      </c>
      <c r="T570">
        <v>20</v>
      </c>
      <c r="U570">
        <v>1812.1301775147931</v>
      </c>
      <c r="V570">
        <v>20</v>
      </c>
      <c r="W570">
        <v>0.95</v>
      </c>
      <c r="X570">
        <v>1</v>
      </c>
      <c r="Y570">
        <v>126973.109549193</v>
      </c>
      <c r="Z570">
        <v>380919328.64757901</v>
      </c>
      <c r="AA570">
        <v>1523677314.5903161</v>
      </c>
      <c r="AB570">
        <v>1523677.314590316</v>
      </c>
      <c r="AC570">
        <v>0</v>
      </c>
      <c r="AD570">
        <v>3947.9506076055518</v>
      </c>
      <c r="AE570">
        <v>7106311.093689994</v>
      </c>
      <c r="AF570">
        <v>4974417.7655829946</v>
      </c>
      <c r="AG570">
        <v>223.93107632107751</v>
      </c>
      <c r="AH570">
        <v>1563.7437561664831</v>
      </c>
      <c r="AI570">
        <v>312.74875123329662</v>
      </c>
      <c r="AJ570">
        <v>49519.512724185268</v>
      </c>
      <c r="AK570">
        <v>854.70085470085473</v>
      </c>
      <c r="AL570" t="s">
        <v>93</v>
      </c>
      <c r="AM570">
        <v>121190.1411029024</v>
      </c>
      <c r="AN570">
        <v>1416.9917005266691</v>
      </c>
      <c r="AO570">
        <v>53167.287709660428</v>
      </c>
      <c r="AP570">
        <v>172981.34638231521</v>
      </c>
      <c r="AQ570">
        <v>119814.05867265481</v>
      </c>
      <c r="AR570">
        <v>9.9548359341269845E-3</v>
      </c>
      <c r="AS570">
        <v>221.13729607222109</v>
      </c>
      <c r="AT570">
        <v>541.19393830420051</v>
      </c>
      <c r="AU570">
        <v>6.3278028391867949</v>
      </c>
      <c r="AV570">
        <v>237.42701809474599</v>
      </c>
      <c r="AW570">
        <v>772.47584044248788</v>
      </c>
      <c r="AX570">
        <v>535.04882234774186</v>
      </c>
      <c r="AY570">
        <v>1.396629518204388</v>
      </c>
      <c r="AZ570" t="s">
        <v>129</v>
      </c>
      <c r="BA570" t="str">
        <f>VLOOKUP($AZ570,Sheet1!$A$2:$B$58,2)</f>
        <v>Glutarate</v>
      </c>
      <c r="BB570" t="s">
        <v>179</v>
      </c>
      <c r="BC570">
        <v>130.09654</v>
      </c>
      <c r="BD570">
        <v>3.6</v>
      </c>
      <c r="BE570">
        <v>200</v>
      </c>
      <c r="BF570" t="s">
        <v>207</v>
      </c>
      <c r="BG570">
        <v>6.8727978099177216</v>
      </c>
      <c r="BH570">
        <v>3.95E-2</v>
      </c>
      <c r="BI570">
        <v>0.11164149438622099</v>
      </c>
      <c r="BJ570">
        <v>80</v>
      </c>
      <c r="BK570">
        <v>8649.0673191157621</v>
      </c>
      <c r="BL570">
        <v>5990.7029336327396</v>
      </c>
      <c r="BM570">
        <v>8.7646397517471062</v>
      </c>
      <c r="BN570">
        <v>1489.988757797008</v>
      </c>
      <c r="BO570">
        <v>7159.0785613187554</v>
      </c>
    </row>
    <row r="571" spans="1:67" x14ac:dyDescent="0.25">
      <c r="A571" s="1">
        <v>569</v>
      </c>
      <c r="B571" t="s">
        <v>73</v>
      </c>
      <c r="C571" t="s">
        <v>85</v>
      </c>
      <c r="D571">
        <v>1</v>
      </c>
      <c r="E571">
        <v>1</v>
      </c>
      <c r="F571">
        <v>2</v>
      </c>
      <c r="G571">
        <v>45.016539999999999</v>
      </c>
      <c r="H571">
        <v>2</v>
      </c>
      <c r="I571" t="s">
        <v>89</v>
      </c>
      <c r="J571">
        <v>4</v>
      </c>
      <c r="K571">
        <v>300</v>
      </c>
      <c r="L571">
        <v>70</v>
      </c>
      <c r="N571" t="s">
        <v>82</v>
      </c>
      <c r="O571">
        <v>30</v>
      </c>
      <c r="P571">
        <v>0.5</v>
      </c>
      <c r="Q571">
        <v>3.2500000000000001E-2</v>
      </c>
      <c r="R571">
        <v>77.5</v>
      </c>
      <c r="S571">
        <v>170</v>
      </c>
      <c r="T571">
        <v>20</v>
      </c>
      <c r="U571">
        <v>1812.1301775147931</v>
      </c>
      <c r="V571">
        <v>20</v>
      </c>
      <c r="W571">
        <v>0.95</v>
      </c>
      <c r="X571">
        <v>1</v>
      </c>
      <c r="Y571">
        <v>53197.38893233893</v>
      </c>
      <c r="Z571">
        <v>159592166.7970168</v>
      </c>
      <c r="AA571">
        <v>638368667.1880672</v>
      </c>
      <c r="AB571">
        <v>638368.66718806722</v>
      </c>
      <c r="AC571">
        <v>0</v>
      </c>
      <c r="AD571">
        <v>1654.056238396591</v>
      </c>
      <c r="AE571">
        <v>2977301.2291138628</v>
      </c>
      <c r="AF571">
        <v>2084110.860379704</v>
      </c>
      <c r="AG571">
        <v>93.81945991071737</v>
      </c>
      <c r="AH571">
        <v>655.1551354665055</v>
      </c>
      <c r="AI571">
        <v>131.03102709330111</v>
      </c>
      <c r="AJ571">
        <v>20746.98168361219</v>
      </c>
      <c r="AK571">
        <v>854.70085470085473</v>
      </c>
      <c r="AL571" t="s">
        <v>93</v>
      </c>
      <c r="AM571">
        <v>50774.522998654167</v>
      </c>
      <c r="AN571">
        <v>593.67104479400916</v>
      </c>
      <c r="AO571">
        <v>22275.274605861188</v>
      </c>
      <c r="AP571">
        <v>72969.876581761229</v>
      </c>
      <c r="AQ571">
        <v>50694.601975900041</v>
      </c>
      <c r="AR571">
        <v>9.9548359341269845E-3</v>
      </c>
      <c r="AS571">
        <v>221.13729607222109</v>
      </c>
      <c r="AT571">
        <v>541.19393830420029</v>
      </c>
      <c r="AU571">
        <v>6.3278028391867958</v>
      </c>
      <c r="AV571">
        <v>237.42701809474599</v>
      </c>
      <c r="AW571">
        <v>777.76909663733397</v>
      </c>
      <c r="AX571">
        <v>540.34207854258796</v>
      </c>
      <c r="AY571">
        <v>1.396629518204388</v>
      </c>
      <c r="AZ571" t="s">
        <v>130</v>
      </c>
      <c r="BA571" t="str">
        <f>VLOOKUP($AZ571,Sheet1!$A$2:$B$58,2)</f>
        <v>Glycolate</v>
      </c>
      <c r="BB571" t="s">
        <v>180</v>
      </c>
      <c r="BC571">
        <v>75.041920000000005</v>
      </c>
      <c r="BD571">
        <v>2.5</v>
      </c>
      <c r="BE571">
        <v>112</v>
      </c>
      <c r="BF571" t="s">
        <v>207</v>
      </c>
      <c r="BG571">
        <v>2.4151766595375759</v>
      </c>
      <c r="BH571">
        <v>0.163448275862069</v>
      </c>
      <c r="BI571">
        <v>0.26646923808547901</v>
      </c>
      <c r="BJ571">
        <v>80</v>
      </c>
      <c r="BK571">
        <v>3648.4938290880609</v>
      </c>
      <c r="BL571">
        <v>2534.7300987950011</v>
      </c>
      <c r="BM571">
        <v>4.1363746951274809</v>
      </c>
      <c r="BN571">
        <v>703.18369817167172</v>
      </c>
      <c r="BO571">
        <v>2945.310130916389</v>
      </c>
    </row>
    <row r="572" spans="1:67" x14ac:dyDescent="0.25">
      <c r="A572" s="1">
        <v>570</v>
      </c>
      <c r="B572" t="s">
        <v>73</v>
      </c>
      <c r="C572" t="s">
        <v>85</v>
      </c>
      <c r="D572">
        <v>1</v>
      </c>
      <c r="E572">
        <v>1</v>
      </c>
      <c r="F572">
        <v>2</v>
      </c>
      <c r="G572">
        <v>45.016539999999999</v>
      </c>
      <c r="H572">
        <v>2</v>
      </c>
      <c r="I572" t="s">
        <v>89</v>
      </c>
      <c r="J572">
        <v>4</v>
      </c>
      <c r="K572">
        <v>300</v>
      </c>
      <c r="L572">
        <v>70</v>
      </c>
      <c r="N572" t="s">
        <v>82</v>
      </c>
      <c r="O572">
        <v>30</v>
      </c>
      <c r="P572">
        <v>0.5</v>
      </c>
      <c r="Q572">
        <v>3.2500000000000001E-2</v>
      </c>
      <c r="R572">
        <v>77.5</v>
      </c>
      <c r="S572">
        <v>170</v>
      </c>
      <c r="T572">
        <v>20</v>
      </c>
      <c r="U572">
        <v>1812.1301775147931</v>
      </c>
      <c r="V572">
        <v>20</v>
      </c>
      <c r="W572">
        <v>0.95</v>
      </c>
      <c r="X572">
        <v>1</v>
      </c>
      <c r="Y572">
        <v>269267.00017323869</v>
      </c>
      <c r="Z572">
        <v>807801000.51971614</v>
      </c>
      <c r="AA572">
        <v>3231204002.0788651</v>
      </c>
      <c r="AB572">
        <v>3231204.0020788652</v>
      </c>
      <c r="AC572">
        <v>0</v>
      </c>
      <c r="AD572">
        <v>8372.2673305894368</v>
      </c>
      <c r="AE572">
        <v>15070081.195060991</v>
      </c>
      <c r="AF572">
        <v>10549056.83654269</v>
      </c>
      <c r="AG572">
        <v>474.8820390444975</v>
      </c>
      <c r="AH572">
        <v>3316.1713669731698</v>
      </c>
      <c r="AI572">
        <v>663.23427339463399</v>
      </c>
      <c r="AJ572">
        <v>105014.13006756311</v>
      </c>
      <c r="AK572">
        <v>854.70085470085473</v>
      </c>
      <c r="AL572" t="s">
        <v>93</v>
      </c>
      <c r="AM572">
        <v>257003.28094042069</v>
      </c>
      <c r="AN572">
        <v>3004.9599149445849</v>
      </c>
      <c r="AO572">
        <v>112749.8264770878</v>
      </c>
      <c r="AP572">
        <v>365877.07177762932</v>
      </c>
      <c r="AQ572">
        <v>253127.24530054149</v>
      </c>
      <c r="AR572">
        <v>9.9548359341269845E-3</v>
      </c>
      <c r="AS572">
        <v>221.13729607222109</v>
      </c>
      <c r="AT572">
        <v>541.1939383042004</v>
      </c>
      <c r="AU572">
        <v>6.3278028391867949</v>
      </c>
      <c r="AV572">
        <v>237.42701809474599</v>
      </c>
      <c r="AW572">
        <v>770.45885440056793</v>
      </c>
      <c r="AX572">
        <v>533.03183630582191</v>
      </c>
      <c r="AY572">
        <v>1.396629518204388</v>
      </c>
      <c r="AZ572" t="s">
        <v>131</v>
      </c>
      <c r="BA572" t="str">
        <f>VLOOKUP($AZ572,Sheet1!$A$2:$B$58,2)</f>
        <v>Heptane</v>
      </c>
      <c r="BB572" t="s">
        <v>181</v>
      </c>
      <c r="BC572">
        <v>100.20034</v>
      </c>
      <c r="BD572">
        <v>6.2857142857142856</v>
      </c>
      <c r="BE572">
        <v>98</v>
      </c>
      <c r="BF572" t="s">
        <v>207</v>
      </c>
      <c r="BG572">
        <v>15.087301947379901</v>
      </c>
      <c r="BH572">
        <v>2.4183673469387702E-2</v>
      </c>
      <c r="BI572">
        <v>5.26446526600629E-2</v>
      </c>
      <c r="BJ572">
        <v>80</v>
      </c>
      <c r="BK572">
        <v>18293.853588881469</v>
      </c>
      <c r="BL572">
        <v>12656.362265027081</v>
      </c>
      <c r="BM572">
        <v>18.074411722351801</v>
      </c>
      <c r="BN572">
        <v>3072.6499927998061</v>
      </c>
      <c r="BO572">
        <v>15221.203596081659</v>
      </c>
    </row>
    <row r="573" spans="1:67" x14ac:dyDescent="0.25">
      <c r="A573" s="1">
        <v>571</v>
      </c>
      <c r="B573" t="s">
        <v>73</v>
      </c>
      <c r="C573" t="s">
        <v>85</v>
      </c>
      <c r="D573">
        <v>1</v>
      </c>
      <c r="E573">
        <v>1</v>
      </c>
      <c r="F573">
        <v>2</v>
      </c>
      <c r="G573">
        <v>45.016539999999999</v>
      </c>
      <c r="H573">
        <v>2</v>
      </c>
      <c r="I573" t="s">
        <v>89</v>
      </c>
      <c r="J573">
        <v>4</v>
      </c>
      <c r="K573">
        <v>300</v>
      </c>
      <c r="L573">
        <v>70</v>
      </c>
      <c r="N573" t="s">
        <v>82</v>
      </c>
      <c r="O573">
        <v>30</v>
      </c>
      <c r="P573">
        <v>0.5</v>
      </c>
      <c r="Q573">
        <v>3.2500000000000001E-2</v>
      </c>
      <c r="R573">
        <v>77.5</v>
      </c>
      <c r="S573">
        <v>170</v>
      </c>
      <c r="T573">
        <v>20</v>
      </c>
      <c r="U573">
        <v>1812.1301775147931</v>
      </c>
      <c r="V573">
        <v>20</v>
      </c>
      <c r="W573">
        <v>0.95</v>
      </c>
      <c r="X573">
        <v>1</v>
      </c>
      <c r="Y573">
        <v>276354.35199842928</v>
      </c>
      <c r="Z573">
        <v>829063055.99528801</v>
      </c>
      <c r="AA573">
        <v>3316252223.9811521</v>
      </c>
      <c r="AB573">
        <v>3316252.2239811518</v>
      </c>
      <c r="AC573">
        <v>0</v>
      </c>
      <c r="AD573">
        <v>8592.6330052107642</v>
      </c>
      <c r="AE573">
        <v>15466739.409379371</v>
      </c>
      <c r="AF573">
        <v>10826717.58656556</v>
      </c>
      <c r="AG573">
        <v>487.38136530433212</v>
      </c>
      <c r="AH573">
        <v>3403.4560070339321</v>
      </c>
      <c r="AI573">
        <v>680.69120140678638</v>
      </c>
      <c r="AJ573">
        <v>107778.1972793875</v>
      </c>
      <c r="AK573">
        <v>854.70085470085473</v>
      </c>
      <c r="AL573" t="s">
        <v>93</v>
      </c>
      <c r="AM573">
        <v>263767.84054512967</v>
      </c>
      <c r="AN573">
        <v>3084.0531871394901</v>
      </c>
      <c r="AO573">
        <v>115717.5042391537</v>
      </c>
      <c r="AP573">
        <v>375484.79186635761</v>
      </c>
      <c r="AQ573">
        <v>259767.28762720391</v>
      </c>
      <c r="AR573">
        <v>9.9548359341269863E-3</v>
      </c>
      <c r="AS573">
        <v>221.13729607222109</v>
      </c>
      <c r="AT573">
        <v>541.19393830420051</v>
      </c>
      <c r="AU573">
        <v>6.3278028391867966</v>
      </c>
      <c r="AV573">
        <v>237.4270180947461</v>
      </c>
      <c r="AW573">
        <v>770.41269649670801</v>
      </c>
      <c r="AX573">
        <v>532.98567840196188</v>
      </c>
      <c r="AY573">
        <v>1.3966295182043891</v>
      </c>
      <c r="AZ573" t="s">
        <v>132</v>
      </c>
      <c r="BA573" t="str">
        <f>VLOOKUP($AZ573,Sheet1!$A$2:$B$58,2)</f>
        <v>Hexane</v>
      </c>
      <c r="BB573" t="s">
        <v>182</v>
      </c>
      <c r="BC573">
        <v>86.173959999999994</v>
      </c>
      <c r="BD573">
        <v>6.333333333333333</v>
      </c>
      <c r="BE573">
        <v>69</v>
      </c>
      <c r="BF573" t="s">
        <v>207</v>
      </c>
      <c r="BG573">
        <v>15.57561184258833</v>
      </c>
      <c r="BH573">
        <v>2.7398843930635901E-2</v>
      </c>
      <c r="BI573">
        <v>5.1294533972158399E-2</v>
      </c>
      <c r="BJ573">
        <v>80</v>
      </c>
      <c r="BK573">
        <v>18774.23959331787</v>
      </c>
      <c r="BL573">
        <v>12988.36438136019</v>
      </c>
      <c r="BM573">
        <v>18.458948227750991</v>
      </c>
      <c r="BN573">
        <v>3138.021198717669</v>
      </c>
      <c r="BO573">
        <v>15636.21839460021</v>
      </c>
    </row>
    <row r="574" spans="1:67" x14ac:dyDescent="0.25">
      <c r="A574" s="1">
        <v>572</v>
      </c>
      <c r="B574" t="s">
        <v>73</v>
      </c>
      <c r="C574" t="s">
        <v>85</v>
      </c>
      <c r="D574">
        <v>1</v>
      </c>
      <c r="E574">
        <v>1</v>
      </c>
      <c r="F574">
        <v>2</v>
      </c>
      <c r="G574">
        <v>45.016539999999999</v>
      </c>
      <c r="H574">
        <v>2</v>
      </c>
      <c r="I574" t="s">
        <v>89</v>
      </c>
      <c r="J574">
        <v>4</v>
      </c>
      <c r="K574">
        <v>300</v>
      </c>
      <c r="L574">
        <v>70</v>
      </c>
      <c r="N574" t="s">
        <v>82</v>
      </c>
      <c r="O574">
        <v>30</v>
      </c>
      <c r="P574">
        <v>0.5</v>
      </c>
      <c r="Q574">
        <v>3.2500000000000001E-2</v>
      </c>
      <c r="R574">
        <v>77.5</v>
      </c>
      <c r="S574">
        <v>170</v>
      </c>
      <c r="T574">
        <v>20</v>
      </c>
      <c r="U574">
        <v>1812.1301775147931</v>
      </c>
      <c r="V574">
        <v>20</v>
      </c>
      <c r="W574">
        <v>0.95</v>
      </c>
      <c r="X574">
        <v>1</v>
      </c>
      <c r="Y574">
        <v>167813.37414583031</v>
      </c>
      <c r="Z574">
        <v>503440122.43749082</v>
      </c>
      <c r="AA574">
        <v>2013760489.749963</v>
      </c>
      <c r="AB574">
        <v>2013760.4897499629</v>
      </c>
      <c r="AC574">
        <v>0</v>
      </c>
      <c r="AD574">
        <v>5217.7891427215136</v>
      </c>
      <c r="AE574">
        <v>9392020.4568987247</v>
      </c>
      <c r="AF574">
        <v>6574414.3198291073</v>
      </c>
      <c r="AG574">
        <v>295.95738520515982</v>
      </c>
      <c r="AH574">
        <v>2066.7141015405641</v>
      </c>
      <c r="AI574">
        <v>413.34282030811278</v>
      </c>
      <c r="AJ574">
        <v>65447.215916873807</v>
      </c>
      <c r="AK574">
        <v>854.70085470085473</v>
      </c>
      <c r="AL574" t="s">
        <v>93</v>
      </c>
      <c r="AM574">
        <v>160170.3428693937</v>
      </c>
      <c r="AN574">
        <v>1872.7599823795099</v>
      </c>
      <c r="AO574">
        <v>70268.279452379182</v>
      </c>
      <c r="AP574">
        <v>228345.01962334791</v>
      </c>
      <c r="AQ574">
        <v>158076.7401709687</v>
      </c>
      <c r="AR574">
        <v>9.9548359341269845E-3</v>
      </c>
      <c r="AS574">
        <v>221.13729607222109</v>
      </c>
      <c r="AT574">
        <v>541.1939383042004</v>
      </c>
      <c r="AU574">
        <v>6.3278028391867958</v>
      </c>
      <c r="AV574">
        <v>237.42701809474599</v>
      </c>
      <c r="AW574">
        <v>771.54695587358788</v>
      </c>
      <c r="AX574">
        <v>534.11993777884186</v>
      </c>
      <c r="AY574">
        <v>1.396629518204388</v>
      </c>
      <c r="AZ574" t="s">
        <v>133</v>
      </c>
      <c r="BA574" t="str">
        <f>VLOOKUP($AZ574,Sheet1!$A$2:$B$58,2)</f>
        <v>Isobutanol</v>
      </c>
      <c r="BB574" t="s">
        <v>183</v>
      </c>
      <c r="BC574">
        <v>86.130899999999997</v>
      </c>
      <c r="BD574">
        <v>5.6</v>
      </c>
      <c r="BE574">
        <v>108</v>
      </c>
      <c r="BF574" t="s">
        <v>207</v>
      </c>
      <c r="BG574">
        <v>9.2750112130622178</v>
      </c>
      <c r="BH574">
        <v>4.5142857142857103E-2</v>
      </c>
      <c r="BI574">
        <v>8.4471620745905099E-2</v>
      </c>
      <c r="BJ574">
        <v>80</v>
      </c>
      <c r="BK574">
        <v>11417.25098116739</v>
      </c>
      <c r="BL574">
        <v>7903.837008548433</v>
      </c>
      <c r="BM574">
        <v>11.392129802343421</v>
      </c>
      <c r="BN574">
        <v>1936.662066398382</v>
      </c>
      <c r="BO574">
        <v>9480.5889147690104</v>
      </c>
    </row>
    <row r="575" spans="1:67" x14ac:dyDescent="0.25">
      <c r="A575" s="1">
        <v>573</v>
      </c>
      <c r="B575" t="s">
        <v>73</v>
      </c>
      <c r="C575" t="s">
        <v>85</v>
      </c>
      <c r="D575">
        <v>1</v>
      </c>
      <c r="E575">
        <v>1</v>
      </c>
      <c r="F575">
        <v>2</v>
      </c>
      <c r="G575">
        <v>45.016539999999999</v>
      </c>
      <c r="H575">
        <v>2</v>
      </c>
      <c r="I575" t="s">
        <v>89</v>
      </c>
      <c r="J575">
        <v>4</v>
      </c>
      <c r="K575">
        <v>300</v>
      </c>
      <c r="L575">
        <v>70</v>
      </c>
      <c r="N575" t="s">
        <v>82</v>
      </c>
      <c r="O575">
        <v>30</v>
      </c>
      <c r="P575">
        <v>0.5</v>
      </c>
      <c r="Q575">
        <v>3.2500000000000001E-2</v>
      </c>
      <c r="R575">
        <v>77.5</v>
      </c>
      <c r="S575">
        <v>170</v>
      </c>
      <c r="T575">
        <v>20</v>
      </c>
      <c r="U575">
        <v>1812.1301775147931</v>
      </c>
      <c r="V575">
        <v>20</v>
      </c>
      <c r="W575">
        <v>0.95</v>
      </c>
      <c r="X575">
        <v>1</v>
      </c>
      <c r="Y575">
        <v>139085.6465588939</v>
      </c>
      <c r="Z575">
        <v>417256939.67668182</v>
      </c>
      <c r="AA575">
        <v>1669027758.706727</v>
      </c>
      <c r="AB575">
        <v>1669027.7587067271</v>
      </c>
      <c r="AC575">
        <v>0</v>
      </c>
      <c r="AD575">
        <v>4324.5634039438737</v>
      </c>
      <c r="AE575">
        <v>7784214.127098972</v>
      </c>
      <c r="AF575">
        <v>5448949.8889692798</v>
      </c>
      <c r="AG575">
        <v>245.29287063478111</v>
      </c>
      <c r="AH575">
        <v>1712.916318668129</v>
      </c>
      <c r="AI575">
        <v>342.58326373362581</v>
      </c>
      <c r="AJ575">
        <v>54243.402157968638</v>
      </c>
      <c r="AK575">
        <v>854.70085470085473</v>
      </c>
      <c r="AL575" t="s">
        <v>93</v>
      </c>
      <c r="AM575">
        <v>132751.01469678001</v>
      </c>
      <c r="AN575">
        <v>1552.164923235048</v>
      </c>
      <c r="AO575">
        <v>58239.154834716377</v>
      </c>
      <c r="AP575">
        <v>189401.28263268451</v>
      </c>
      <c r="AQ575">
        <v>131162.1277979681</v>
      </c>
      <c r="AR575">
        <v>9.9548359341269863E-3</v>
      </c>
      <c r="AS575">
        <v>221.13729607222109</v>
      </c>
      <c r="AT575">
        <v>541.19393830420051</v>
      </c>
      <c r="AU575">
        <v>6.3278028391867966</v>
      </c>
      <c r="AV575">
        <v>237.42701809474599</v>
      </c>
      <c r="AW575">
        <v>772.14344690305279</v>
      </c>
      <c r="AX575">
        <v>534.71642880830677</v>
      </c>
      <c r="AY575">
        <v>1.396629518204388</v>
      </c>
      <c r="AZ575" t="s">
        <v>134</v>
      </c>
      <c r="BA575" t="str">
        <f>VLOOKUP($AZ575,Sheet1!$A$2:$B$58,2)</f>
        <v>Isobutyrate</v>
      </c>
      <c r="BB575" t="s">
        <v>170</v>
      </c>
      <c r="BC575">
        <v>87.095680000000002</v>
      </c>
      <c r="BD575">
        <v>4.75</v>
      </c>
      <c r="BE575">
        <v>155</v>
      </c>
      <c r="BF575" t="s">
        <v>207</v>
      </c>
      <c r="BG575">
        <v>7.3599895096890462</v>
      </c>
      <c r="BH575">
        <v>5.3863636363637002E-2</v>
      </c>
      <c r="BI575">
        <v>0.101918983357746</v>
      </c>
      <c r="BJ575">
        <v>80</v>
      </c>
      <c r="BK575">
        <v>9470.0641316342244</v>
      </c>
      <c r="BL575">
        <v>6558.1063898984057</v>
      </c>
      <c r="BM575">
        <v>9.7691736769922386</v>
      </c>
      <c r="BN575">
        <v>1660.7595250886809</v>
      </c>
      <c r="BO575">
        <v>7809.3046065455437</v>
      </c>
    </row>
    <row r="576" spans="1:67" x14ac:dyDescent="0.25">
      <c r="A576" s="1">
        <v>574</v>
      </c>
      <c r="B576" t="s">
        <v>73</v>
      </c>
      <c r="C576" t="s">
        <v>85</v>
      </c>
      <c r="D576">
        <v>1</v>
      </c>
      <c r="E576">
        <v>1</v>
      </c>
      <c r="F576">
        <v>2</v>
      </c>
      <c r="G576">
        <v>45.016539999999999</v>
      </c>
      <c r="H576">
        <v>2</v>
      </c>
      <c r="I576" t="s">
        <v>89</v>
      </c>
      <c r="J576">
        <v>4</v>
      </c>
      <c r="K576">
        <v>300</v>
      </c>
      <c r="L576">
        <v>70</v>
      </c>
      <c r="N576" t="s">
        <v>82</v>
      </c>
      <c r="O576">
        <v>30</v>
      </c>
      <c r="P576">
        <v>0.5</v>
      </c>
      <c r="Q576">
        <v>3.2500000000000001E-2</v>
      </c>
      <c r="R576">
        <v>77.5</v>
      </c>
      <c r="S576">
        <v>170</v>
      </c>
      <c r="T576">
        <v>20</v>
      </c>
      <c r="U576">
        <v>1812.1301775147931</v>
      </c>
      <c r="V576">
        <v>20</v>
      </c>
      <c r="W576">
        <v>0.95</v>
      </c>
      <c r="X576">
        <v>1</v>
      </c>
      <c r="Y576">
        <v>264738.44403068378</v>
      </c>
      <c r="Z576">
        <v>794215332.09205127</v>
      </c>
      <c r="AA576">
        <v>3176861328.3682051</v>
      </c>
      <c r="AB576">
        <v>3176861.3283682051</v>
      </c>
      <c r="AC576">
        <v>66773.504273504266</v>
      </c>
      <c r="AD576">
        <v>8231.4618006780111</v>
      </c>
      <c r="AE576">
        <v>14816631.24122042</v>
      </c>
      <c r="AF576">
        <v>10371641.86885429</v>
      </c>
      <c r="AG576">
        <v>466.89543105495397</v>
      </c>
      <c r="AH576">
        <v>3260.3997046305531</v>
      </c>
      <c r="AI576">
        <v>652.07994092611068</v>
      </c>
      <c r="AJ576">
        <v>103247.99317196669</v>
      </c>
      <c r="AK576">
        <v>2170.1388888888891</v>
      </c>
      <c r="AL576" t="s">
        <v>95</v>
      </c>
      <c r="AM576">
        <v>252680.9771088679</v>
      </c>
      <c r="AN576">
        <v>2954.4222342328821</v>
      </c>
      <c r="AO576">
        <v>110853.5899574388</v>
      </c>
      <c r="AP576">
        <v>361053.53140395629</v>
      </c>
      <c r="AQ576">
        <v>250199.94144651751</v>
      </c>
      <c r="AR576">
        <v>9.9548359341269845E-3</v>
      </c>
      <c r="AS576">
        <v>221.13729607222109</v>
      </c>
      <c r="AT576">
        <v>541.19393830420051</v>
      </c>
      <c r="AU576">
        <v>6.3278028391867984</v>
      </c>
      <c r="AV576">
        <v>237.4270180947461</v>
      </c>
      <c r="AW576">
        <v>773.30705633197772</v>
      </c>
      <c r="AX576">
        <v>535.8800382372317</v>
      </c>
      <c r="AY576">
        <v>1.3966295182043891</v>
      </c>
      <c r="AZ576" t="s">
        <v>135</v>
      </c>
      <c r="BA576" t="str">
        <f>VLOOKUP($AZ576,Sheet1!$A$2:$B$58,2)</f>
        <v>Isoprene</v>
      </c>
      <c r="BB576" t="s">
        <v>184</v>
      </c>
      <c r="BC576">
        <v>68.116219999999998</v>
      </c>
      <c r="BD576">
        <v>5.6</v>
      </c>
      <c r="BE576">
        <v>34.07</v>
      </c>
      <c r="BF576" t="s">
        <v>207</v>
      </c>
      <c r="BG576">
        <v>14.62588685312069</v>
      </c>
      <c r="BH576">
        <v>3.61832061068703E-2</v>
      </c>
      <c r="BI576">
        <v>5.35451802205738E-2</v>
      </c>
      <c r="BJ576">
        <v>80</v>
      </c>
      <c r="BK576">
        <v>18052.676570197811</v>
      </c>
      <c r="BL576">
        <v>12509.99707232587</v>
      </c>
      <c r="BM576">
        <v>17.97811019318485</v>
      </c>
      <c r="BN576">
        <v>3056.2787328414252</v>
      </c>
      <c r="BO576">
        <v>14996.39783735639</v>
      </c>
    </row>
    <row r="577" spans="1:67" x14ac:dyDescent="0.25">
      <c r="A577" s="1">
        <v>575</v>
      </c>
      <c r="B577" t="s">
        <v>73</v>
      </c>
      <c r="C577" t="s">
        <v>85</v>
      </c>
      <c r="D577">
        <v>1</v>
      </c>
      <c r="E577">
        <v>1</v>
      </c>
      <c r="F577">
        <v>2</v>
      </c>
      <c r="G577">
        <v>45.016539999999999</v>
      </c>
      <c r="H577">
        <v>2</v>
      </c>
      <c r="I577" t="s">
        <v>89</v>
      </c>
      <c r="J577">
        <v>4</v>
      </c>
      <c r="K577">
        <v>300</v>
      </c>
      <c r="L577">
        <v>70</v>
      </c>
      <c r="N577" t="s">
        <v>82</v>
      </c>
      <c r="O577">
        <v>30</v>
      </c>
      <c r="P577">
        <v>0.5</v>
      </c>
      <c r="Q577">
        <v>3.2500000000000001E-2</v>
      </c>
      <c r="R577">
        <v>77.5</v>
      </c>
      <c r="S577">
        <v>170</v>
      </c>
      <c r="T577">
        <v>20</v>
      </c>
      <c r="U577">
        <v>1812.1301775147931</v>
      </c>
      <c r="V577">
        <v>20</v>
      </c>
      <c r="W577">
        <v>0.95</v>
      </c>
      <c r="X577">
        <v>1</v>
      </c>
      <c r="Y577">
        <v>169511.10844660929</v>
      </c>
      <c r="Z577">
        <v>508533325.33982778</v>
      </c>
      <c r="AA577">
        <v>2034133301.3593111</v>
      </c>
      <c r="AB577">
        <v>2034133.301359311</v>
      </c>
      <c r="AC577">
        <v>0</v>
      </c>
      <c r="AD577">
        <v>5270.5764705904621</v>
      </c>
      <c r="AE577">
        <v>9487037.6470628325</v>
      </c>
      <c r="AF577">
        <v>6640926.3529439829</v>
      </c>
      <c r="AG577">
        <v>298.95152680435689</v>
      </c>
      <c r="AH577">
        <v>2087.6226342361761</v>
      </c>
      <c r="AI577">
        <v>417.52452684723522</v>
      </c>
      <c r="AJ577">
        <v>66109.332294177613</v>
      </c>
      <c r="AK577">
        <v>854.70085470085473</v>
      </c>
      <c r="AL577" t="s">
        <v>93</v>
      </c>
      <c r="AM577">
        <v>161790.7541533036</v>
      </c>
      <c r="AN577">
        <v>1891.7063200918369</v>
      </c>
      <c r="AO577">
        <v>70979.169564029973</v>
      </c>
      <c r="AP577">
        <v>230646.49362227391</v>
      </c>
      <c r="AQ577">
        <v>159667.32405824389</v>
      </c>
      <c r="AR577">
        <v>9.9548359341269828E-3</v>
      </c>
      <c r="AS577">
        <v>221.13729607222109</v>
      </c>
      <c r="AT577">
        <v>541.19393830420017</v>
      </c>
      <c r="AU577">
        <v>6.3278028391867958</v>
      </c>
      <c r="AV577">
        <v>237.4270180947459</v>
      </c>
      <c r="AW577">
        <v>771.51803199592302</v>
      </c>
      <c r="AX577">
        <v>534.09101390117712</v>
      </c>
      <c r="AY577">
        <v>1.396629518204388</v>
      </c>
      <c r="AZ577" t="s">
        <v>136</v>
      </c>
      <c r="BA577" t="str">
        <f>VLOOKUP($AZ577,Sheet1!$A$2:$B$58,2)</f>
        <v>Isopropanol</v>
      </c>
      <c r="BB577" t="s">
        <v>156</v>
      </c>
      <c r="BC577">
        <v>60.093820000000001</v>
      </c>
      <c r="BD577">
        <v>6</v>
      </c>
      <c r="BE577">
        <v>82.5</v>
      </c>
      <c r="BF577" t="s">
        <v>207</v>
      </c>
      <c r="BG577">
        <v>9.2363232919305975</v>
      </c>
      <c r="BH577">
        <v>6.4054054054054496E-2</v>
      </c>
      <c r="BI577">
        <v>8.3625597324213596E-2</v>
      </c>
      <c r="BJ577">
        <v>80</v>
      </c>
      <c r="BK577">
        <v>11532.324681113691</v>
      </c>
      <c r="BL577">
        <v>7983.3662029121951</v>
      </c>
      <c r="BM577">
        <v>11.63990305043116</v>
      </c>
      <c r="BN577">
        <v>1978.783518573297</v>
      </c>
      <c r="BO577">
        <v>9553.5411625403958</v>
      </c>
    </row>
    <row r="578" spans="1:67" x14ac:dyDescent="0.25">
      <c r="A578" s="1">
        <v>576</v>
      </c>
      <c r="B578" t="s">
        <v>73</v>
      </c>
      <c r="C578" t="s">
        <v>85</v>
      </c>
      <c r="D578">
        <v>1</v>
      </c>
      <c r="E578">
        <v>1</v>
      </c>
      <c r="F578">
        <v>2</v>
      </c>
      <c r="G578">
        <v>45.016539999999999</v>
      </c>
      <c r="H578">
        <v>2</v>
      </c>
      <c r="I578" t="s">
        <v>89</v>
      </c>
      <c r="J578">
        <v>4</v>
      </c>
      <c r="K578">
        <v>300</v>
      </c>
      <c r="L578">
        <v>70</v>
      </c>
      <c r="N578" t="s">
        <v>82</v>
      </c>
      <c r="O578">
        <v>30</v>
      </c>
      <c r="P578">
        <v>0.5</v>
      </c>
      <c r="Q578">
        <v>3.2500000000000001E-2</v>
      </c>
      <c r="R578">
        <v>77.5</v>
      </c>
      <c r="S578">
        <v>170</v>
      </c>
      <c r="T578">
        <v>20</v>
      </c>
      <c r="U578">
        <v>1812.1301775147931</v>
      </c>
      <c r="V578">
        <v>20</v>
      </c>
      <c r="W578">
        <v>0.95</v>
      </c>
      <c r="X578">
        <v>1</v>
      </c>
      <c r="Y578">
        <v>90279.949383332962</v>
      </c>
      <c r="Z578">
        <v>270839848.14999878</v>
      </c>
      <c r="AA578">
        <v>1083359392.5999949</v>
      </c>
      <c r="AB578">
        <v>1083359.392599995</v>
      </c>
      <c r="AC578">
        <v>0</v>
      </c>
      <c r="AD578">
        <v>2807.0571972913699</v>
      </c>
      <c r="AE578">
        <v>5052702.9551244667</v>
      </c>
      <c r="AF578">
        <v>3536892.0685871271</v>
      </c>
      <c r="AG578">
        <v>159.2186432812351</v>
      </c>
      <c r="AH578">
        <v>1111.847285275139</v>
      </c>
      <c r="AI578">
        <v>222.36945705502779</v>
      </c>
      <c r="AJ578">
        <v>35209.180259499852</v>
      </c>
      <c r="AK578">
        <v>854.70085470085473</v>
      </c>
      <c r="AL578" t="s">
        <v>93</v>
      </c>
      <c r="AM578">
        <v>86168.164608823252</v>
      </c>
      <c r="AN578">
        <v>1007.504183006469</v>
      </c>
      <c r="AO578">
        <v>37802.807699354722</v>
      </c>
      <c r="AP578">
        <v>123239.5499060304</v>
      </c>
      <c r="AQ578">
        <v>85436.742206675699</v>
      </c>
      <c r="AR578">
        <v>9.9548359341269845E-3</v>
      </c>
      <c r="AS578">
        <v>221.13729607222109</v>
      </c>
      <c r="AT578">
        <v>541.19393830420029</v>
      </c>
      <c r="AU578">
        <v>6.3278028391867966</v>
      </c>
      <c r="AV578">
        <v>237.42701809474599</v>
      </c>
      <c r="AW578">
        <v>774.02713254092237</v>
      </c>
      <c r="AX578">
        <v>536.60011444617635</v>
      </c>
      <c r="AY578">
        <v>1.396629518204388</v>
      </c>
      <c r="AZ578" t="s">
        <v>137</v>
      </c>
      <c r="BA578" t="str">
        <f>VLOOKUP($AZ578,Sheet1!$A$2:$B$58,2)</f>
        <v>Itaconate</v>
      </c>
      <c r="BB578" t="s">
        <v>185</v>
      </c>
      <c r="BC578">
        <v>128.08086</v>
      </c>
      <c r="BD578">
        <v>3.2</v>
      </c>
      <c r="BE578">
        <v>381</v>
      </c>
      <c r="BF578" t="s">
        <v>207</v>
      </c>
      <c r="BG578">
        <v>4.371254617067021</v>
      </c>
      <c r="BH578">
        <v>5.6428571428571099E-2</v>
      </c>
      <c r="BI578">
        <v>0.157016788265438</v>
      </c>
      <c r="BJ578">
        <v>80</v>
      </c>
      <c r="BK578">
        <v>6161.9774953015212</v>
      </c>
      <c r="BL578">
        <v>4271.8371103337849</v>
      </c>
      <c r="BM578">
        <v>6.7472182356843708</v>
      </c>
      <c r="BN578">
        <v>1147.0271000663431</v>
      </c>
      <c r="BO578">
        <v>5014.9503952351779</v>
      </c>
    </row>
    <row r="579" spans="1:67" x14ac:dyDescent="0.25">
      <c r="A579" s="1">
        <v>577</v>
      </c>
      <c r="B579" t="s">
        <v>73</v>
      </c>
      <c r="C579" t="s">
        <v>85</v>
      </c>
      <c r="D579">
        <v>1</v>
      </c>
      <c r="E579">
        <v>1</v>
      </c>
      <c r="F579">
        <v>2</v>
      </c>
      <c r="G579">
        <v>45.016539999999999</v>
      </c>
      <c r="H579">
        <v>2</v>
      </c>
      <c r="I579" t="s">
        <v>89</v>
      </c>
      <c r="J579">
        <v>4</v>
      </c>
      <c r="K579">
        <v>300</v>
      </c>
      <c r="L579">
        <v>70</v>
      </c>
      <c r="N579" t="s">
        <v>82</v>
      </c>
      <c r="O579">
        <v>30</v>
      </c>
      <c r="P579">
        <v>0.5</v>
      </c>
      <c r="Q579">
        <v>3.2500000000000001E-2</v>
      </c>
      <c r="R579">
        <v>77.5</v>
      </c>
      <c r="S579">
        <v>170</v>
      </c>
      <c r="T579">
        <v>20</v>
      </c>
      <c r="U579">
        <v>1812.1301775147931</v>
      </c>
      <c r="V579">
        <v>20</v>
      </c>
      <c r="W579">
        <v>0.95</v>
      </c>
      <c r="X579">
        <v>1</v>
      </c>
      <c r="Y579">
        <v>263727.99195423262</v>
      </c>
      <c r="Z579">
        <v>791183975.86269772</v>
      </c>
      <c r="AA579">
        <v>3164735903.4507909</v>
      </c>
      <c r="AB579">
        <v>3164735.9034507908</v>
      </c>
      <c r="AC579">
        <v>0</v>
      </c>
      <c r="AD579">
        <v>8200.0440075457082</v>
      </c>
      <c r="AE579">
        <v>14760079.21358227</v>
      </c>
      <c r="AF579">
        <v>10332055.44950759</v>
      </c>
      <c r="AG579">
        <v>465.11338742497639</v>
      </c>
      <c r="AH579">
        <v>3247.9554309487798</v>
      </c>
      <c r="AI579">
        <v>649.59108618975597</v>
      </c>
      <c r="AJ579">
        <v>102853.9168621507</v>
      </c>
      <c r="AK579">
        <v>854.70085470085473</v>
      </c>
      <c r="AL579" t="s">
        <v>93</v>
      </c>
      <c r="AM579">
        <v>251716.5458985304</v>
      </c>
      <c r="AN579">
        <v>2943.1458134915538</v>
      </c>
      <c r="AO579">
        <v>110430.4846522585</v>
      </c>
      <c r="AP579">
        <v>358368.30942887347</v>
      </c>
      <c r="AQ579">
        <v>247937.82477661499</v>
      </c>
      <c r="AR579">
        <v>9.9548359341269845E-3</v>
      </c>
      <c r="AS579">
        <v>221.13729607222109</v>
      </c>
      <c r="AT579">
        <v>541.19393830420051</v>
      </c>
      <c r="AU579">
        <v>6.3278028391867958</v>
      </c>
      <c r="AV579">
        <v>237.4270180947461</v>
      </c>
      <c r="AW579">
        <v>770.49665547775476</v>
      </c>
      <c r="AX579">
        <v>533.06963738300874</v>
      </c>
      <c r="AY579">
        <v>1.3966295182043891</v>
      </c>
      <c r="AZ579" t="s">
        <v>138</v>
      </c>
      <c r="BA579" t="str">
        <f>VLOOKUP($AZ579,Sheet1!$A$2:$B$58,2)</f>
        <v>Limonene</v>
      </c>
      <c r="BB579" t="s">
        <v>186</v>
      </c>
      <c r="BC579">
        <v>136.23244</v>
      </c>
      <c r="BD579">
        <v>5.6</v>
      </c>
      <c r="BE579">
        <v>176</v>
      </c>
      <c r="BF579" t="s">
        <v>207</v>
      </c>
      <c r="BG579">
        <v>14.557732673935689</v>
      </c>
      <c r="BH579">
        <v>1.8160919540229799E-2</v>
      </c>
      <c r="BI579">
        <v>5.3750334167778697E-2</v>
      </c>
      <c r="BJ579">
        <v>80</v>
      </c>
      <c r="BK579">
        <v>17918.41547144367</v>
      </c>
      <c r="BL579">
        <v>12396.891238830751</v>
      </c>
      <c r="BM579">
        <v>17.92182163555211</v>
      </c>
      <c r="BN579">
        <v>3046.7096780438578</v>
      </c>
      <c r="BO579">
        <v>14871.705793399809</v>
      </c>
    </row>
    <row r="580" spans="1:67" x14ac:dyDescent="0.25">
      <c r="A580" s="1">
        <v>578</v>
      </c>
      <c r="B580" t="s">
        <v>73</v>
      </c>
      <c r="C580" t="s">
        <v>85</v>
      </c>
      <c r="D580">
        <v>1</v>
      </c>
      <c r="E580">
        <v>1</v>
      </c>
      <c r="F580">
        <v>2</v>
      </c>
      <c r="G580">
        <v>45.016539999999999</v>
      </c>
      <c r="H580">
        <v>2</v>
      </c>
      <c r="I580" t="s">
        <v>89</v>
      </c>
      <c r="J580">
        <v>4</v>
      </c>
      <c r="K580">
        <v>300</v>
      </c>
      <c r="L580">
        <v>70</v>
      </c>
      <c r="N580" t="s">
        <v>82</v>
      </c>
      <c r="O580">
        <v>30</v>
      </c>
      <c r="P580">
        <v>0.5</v>
      </c>
      <c r="Q580">
        <v>3.2500000000000001E-2</v>
      </c>
      <c r="R580">
        <v>77.5</v>
      </c>
      <c r="S580">
        <v>170</v>
      </c>
      <c r="T580">
        <v>20</v>
      </c>
      <c r="U580">
        <v>1812.1301775147931</v>
      </c>
      <c r="V580">
        <v>20</v>
      </c>
      <c r="W580">
        <v>0.95</v>
      </c>
      <c r="X580">
        <v>1</v>
      </c>
      <c r="Y580">
        <v>129058.79184092399</v>
      </c>
      <c r="Z580">
        <v>387176375.52277189</v>
      </c>
      <c r="AA580">
        <v>1548705502.0910881</v>
      </c>
      <c r="AB580">
        <v>1548705.5020910881</v>
      </c>
      <c r="AC580">
        <v>0</v>
      </c>
      <c r="AD580">
        <v>4012.8003281498959</v>
      </c>
      <c r="AE580">
        <v>7223040.5906698126</v>
      </c>
      <c r="AF580">
        <v>5056128.4134688675</v>
      </c>
      <c r="AG580">
        <v>227.60940697005779</v>
      </c>
      <c r="AH580">
        <v>1589.4300819768921</v>
      </c>
      <c r="AI580">
        <v>317.88601639537842</v>
      </c>
      <c r="AJ580">
        <v>50332.928817960354</v>
      </c>
      <c r="AK580">
        <v>854.70085470085473</v>
      </c>
      <c r="AL580" t="s">
        <v>93</v>
      </c>
      <c r="AM580">
        <v>123180.8313532091</v>
      </c>
      <c r="AN580">
        <v>1440.267451650755</v>
      </c>
      <c r="AO580">
        <v>54040.622787214328</v>
      </c>
      <c r="AP580">
        <v>175808.7284775211</v>
      </c>
      <c r="AQ580">
        <v>121768.10569030679</v>
      </c>
      <c r="AR580">
        <v>9.9548359341269828E-3</v>
      </c>
      <c r="AS580">
        <v>221.13729607222109</v>
      </c>
      <c r="AT580">
        <v>541.1939383042004</v>
      </c>
      <c r="AU580">
        <v>6.3278028391867958</v>
      </c>
      <c r="AV580">
        <v>237.42701809474599</v>
      </c>
      <c r="AW580">
        <v>772.41415817514439</v>
      </c>
      <c r="AX580">
        <v>534.98714008039838</v>
      </c>
      <c r="AY580">
        <v>1.396629518204388</v>
      </c>
      <c r="AZ580" t="s">
        <v>139</v>
      </c>
      <c r="BA580" t="str">
        <f>VLOOKUP($AZ580,Sheet1!$A$2:$B$58,2)</f>
        <v>L-Lysine</v>
      </c>
      <c r="BB580" t="s">
        <v>187</v>
      </c>
      <c r="BC580">
        <v>147.19319999999999</v>
      </c>
      <c r="BD580">
        <v>4.833333333333333</v>
      </c>
      <c r="BF580" t="s">
        <v>207</v>
      </c>
      <c r="BG580">
        <v>6.910942879619105</v>
      </c>
      <c r="BH580">
        <v>3.43478260869566E-2</v>
      </c>
      <c r="BI580">
        <v>0.109837288066432</v>
      </c>
      <c r="BJ580">
        <v>80</v>
      </c>
      <c r="BK580">
        <v>8790.4364238760536</v>
      </c>
      <c r="BL580">
        <v>6088.4052845153356</v>
      </c>
      <c r="BM580">
        <v>8.9833579401498156</v>
      </c>
      <c r="BN580">
        <v>1527.1708498254691</v>
      </c>
      <c r="BO580">
        <v>7263.2655740505852</v>
      </c>
    </row>
    <row r="581" spans="1:67" x14ac:dyDescent="0.25">
      <c r="A581" s="1">
        <v>579</v>
      </c>
      <c r="B581" t="s">
        <v>73</v>
      </c>
      <c r="C581" t="s">
        <v>85</v>
      </c>
      <c r="D581">
        <v>1</v>
      </c>
      <c r="E581">
        <v>1</v>
      </c>
      <c r="F581">
        <v>2</v>
      </c>
      <c r="G581">
        <v>45.016539999999999</v>
      </c>
      <c r="H581">
        <v>2</v>
      </c>
      <c r="I581" t="s">
        <v>89</v>
      </c>
      <c r="J581">
        <v>4</v>
      </c>
      <c r="K581">
        <v>300</v>
      </c>
      <c r="L581">
        <v>70</v>
      </c>
      <c r="N581" t="s">
        <v>82</v>
      </c>
      <c r="O581">
        <v>30</v>
      </c>
      <c r="P581">
        <v>0.5</v>
      </c>
      <c r="Q581">
        <v>3.2500000000000001E-2</v>
      </c>
      <c r="R581">
        <v>77.5</v>
      </c>
      <c r="S581">
        <v>170</v>
      </c>
      <c r="T581">
        <v>20</v>
      </c>
      <c r="U581">
        <v>1812.1301775147931</v>
      </c>
      <c r="V581">
        <v>20</v>
      </c>
      <c r="W581">
        <v>0.95</v>
      </c>
      <c r="X581">
        <v>1</v>
      </c>
      <c r="Y581">
        <v>62538.302755128403</v>
      </c>
      <c r="Z581">
        <v>187614908.26538521</v>
      </c>
      <c r="AA581">
        <v>750459633.06154072</v>
      </c>
      <c r="AB581">
        <v>750459.63306154078</v>
      </c>
      <c r="AC581">
        <v>0</v>
      </c>
      <c r="AD581">
        <v>1944.491485144528</v>
      </c>
      <c r="AE581">
        <v>3500084.67326015</v>
      </c>
      <c r="AF581">
        <v>2450059.2712821048</v>
      </c>
      <c r="AG581">
        <v>110.2931911880417</v>
      </c>
      <c r="AH581">
        <v>770.193632350896</v>
      </c>
      <c r="AI581">
        <v>154.0387264701792</v>
      </c>
      <c r="AJ581">
        <v>24389.938074500071</v>
      </c>
      <c r="AK581">
        <v>854.70085470085473</v>
      </c>
      <c r="AL581" t="s">
        <v>93</v>
      </c>
      <c r="AM581">
        <v>59690.006507194441</v>
      </c>
      <c r="AN581">
        <v>697.91356834266276</v>
      </c>
      <c r="AO581">
        <v>26186.583499930461</v>
      </c>
      <c r="AP581">
        <v>85632.559004738039</v>
      </c>
      <c r="AQ581">
        <v>59445.975504807568</v>
      </c>
      <c r="AR581">
        <v>9.9548359341269845E-3</v>
      </c>
      <c r="AS581">
        <v>221.13729607222109</v>
      </c>
      <c r="AT581">
        <v>541.1939383042004</v>
      </c>
      <c r="AU581">
        <v>6.3278028391867966</v>
      </c>
      <c r="AV581">
        <v>237.42701809474599</v>
      </c>
      <c r="AW581">
        <v>776.408390058647</v>
      </c>
      <c r="AX581">
        <v>538.98137196390098</v>
      </c>
      <c r="AY581">
        <v>1.396629518204388</v>
      </c>
      <c r="AZ581" t="s">
        <v>140</v>
      </c>
      <c r="BA581" t="str">
        <f>VLOOKUP($AZ581,Sheet1!$A$2:$B$58,2)</f>
        <v>L-Malate</v>
      </c>
      <c r="BB581" t="s">
        <v>188</v>
      </c>
      <c r="BC581">
        <v>132.06916000000001</v>
      </c>
      <c r="BD581">
        <v>2.5</v>
      </c>
      <c r="BF581" t="s">
        <v>207</v>
      </c>
      <c r="BG581">
        <v>2.8852201951987628</v>
      </c>
      <c r="BH581">
        <v>7.9000000000000001E-2</v>
      </c>
      <c r="BI581">
        <v>0.22666857065887999</v>
      </c>
      <c r="BJ581">
        <v>80</v>
      </c>
      <c r="BK581">
        <v>4281.6279502369016</v>
      </c>
      <c r="BL581">
        <v>2972.2987752403792</v>
      </c>
      <c r="BM581">
        <v>4.8167161283101967</v>
      </c>
      <c r="BN581">
        <v>818.8417418127334</v>
      </c>
      <c r="BO581">
        <v>3462.7862084241679</v>
      </c>
    </row>
    <row r="582" spans="1:67" x14ac:dyDescent="0.25">
      <c r="A582" s="1">
        <v>580</v>
      </c>
      <c r="B582" t="s">
        <v>73</v>
      </c>
      <c r="C582" t="s">
        <v>85</v>
      </c>
      <c r="D582">
        <v>1</v>
      </c>
      <c r="E582">
        <v>1</v>
      </c>
      <c r="F582">
        <v>2</v>
      </c>
      <c r="G582">
        <v>45.016539999999999</v>
      </c>
      <c r="H582">
        <v>2</v>
      </c>
      <c r="I582" t="s">
        <v>89</v>
      </c>
      <c r="J582">
        <v>4</v>
      </c>
      <c r="K582">
        <v>300</v>
      </c>
      <c r="L582">
        <v>70</v>
      </c>
      <c r="N582" t="s">
        <v>82</v>
      </c>
      <c r="O582">
        <v>30</v>
      </c>
      <c r="P582">
        <v>0.5</v>
      </c>
      <c r="Q582">
        <v>3.2500000000000001E-2</v>
      </c>
      <c r="R582">
        <v>77.5</v>
      </c>
      <c r="S582">
        <v>170</v>
      </c>
      <c r="T582">
        <v>20</v>
      </c>
      <c r="U582">
        <v>1812.1301775147931</v>
      </c>
      <c r="V582">
        <v>20</v>
      </c>
      <c r="W582">
        <v>0.95</v>
      </c>
      <c r="X582">
        <v>1</v>
      </c>
      <c r="Y582">
        <v>53959.722730090223</v>
      </c>
      <c r="Z582">
        <v>161879168.19027069</v>
      </c>
      <c r="AA582">
        <v>647516672.76108265</v>
      </c>
      <c r="AB582">
        <v>647516.67276108265</v>
      </c>
      <c r="AC582">
        <v>0</v>
      </c>
      <c r="AD582">
        <v>1677.759337349715</v>
      </c>
      <c r="AE582">
        <v>3019966.8072294872</v>
      </c>
      <c r="AF582">
        <v>2113976.7650606409</v>
      </c>
      <c r="AG582">
        <v>95.16391960342294</v>
      </c>
      <c r="AH582">
        <v>664.54369593084857</v>
      </c>
      <c r="AI582">
        <v>132.9087391861697</v>
      </c>
      <c r="AJ582">
        <v>21044.291864735191</v>
      </c>
      <c r="AK582">
        <v>854.70085470085473</v>
      </c>
      <c r="AL582" t="s">
        <v>93</v>
      </c>
      <c r="AM582">
        <v>51502.136434640757</v>
      </c>
      <c r="AN582">
        <v>602.17852065468378</v>
      </c>
      <c r="AO582">
        <v>22594.485661648851</v>
      </c>
      <c r="AP582">
        <v>74003.307674731492</v>
      </c>
      <c r="AQ582">
        <v>51408.822013082638</v>
      </c>
      <c r="AR582">
        <v>9.9548359341269845E-3</v>
      </c>
      <c r="AS582">
        <v>221.13729607222109</v>
      </c>
      <c r="AT582">
        <v>541.1939383042004</v>
      </c>
      <c r="AU582">
        <v>6.3278028391867966</v>
      </c>
      <c r="AV582">
        <v>237.42701809474599</v>
      </c>
      <c r="AW582">
        <v>777.64039126515422</v>
      </c>
      <c r="AX582">
        <v>540.2133731704082</v>
      </c>
      <c r="AY582">
        <v>1.396629518204388</v>
      </c>
      <c r="AZ582" t="s">
        <v>141</v>
      </c>
      <c r="BA582" t="str">
        <f>VLOOKUP($AZ582,Sheet1!$A$2:$B$58,2)</f>
        <v>Malonate</v>
      </c>
      <c r="BB582" t="s">
        <v>189</v>
      </c>
      <c r="BC582">
        <v>102.04378</v>
      </c>
      <c r="BD582">
        <v>2</v>
      </c>
      <c r="BE582">
        <v>199</v>
      </c>
      <c r="BF582" t="s">
        <v>207</v>
      </c>
      <c r="BG582">
        <v>2.345683441590376</v>
      </c>
      <c r="BH582">
        <v>0.11849999999999999</v>
      </c>
      <c r="BI582">
        <v>0.26270460594921502</v>
      </c>
      <c r="BJ582">
        <v>80</v>
      </c>
      <c r="BK582">
        <v>3700.1653837365739</v>
      </c>
      <c r="BL582">
        <v>2570.4411006541318</v>
      </c>
      <c r="BM582">
        <v>4.299753517718111</v>
      </c>
      <c r="BN582">
        <v>730.95809801207884</v>
      </c>
      <c r="BO582">
        <v>2969.2072857244962</v>
      </c>
    </row>
    <row r="583" spans="1:67" x14ac:dyDescent="0.25">
      <c r="A583" s="1">
        <v>581</v>
      </c>
      <c r="B583" t="s">
        <v>73</v>
      </c>
      <c r="C583" t="s">
        <v>85</v>
      </c>
      <c r="D583">
        <v>1</v>
      </c>
      <c r="E583">
        <v>1</v>
      </c>
      <c r="F583">
        <v>2</v>
      </c>
      <c r="G583">
        <v>45.016539999999999</v>
      </c>
      <c r="H583">
        <v>2</v>
      </c>
      <c r="I583" t="s">
        <v>89</v>
      </c>
      <c r="J583">
        <v>4</v>
      </c>
      <c r="K583">
        <v>300</v>
      </c>
      <c r="L583">
        <v>70</v>
      </c>
      <c r="N583" t="s">
        <v>82</v>
      </c>
      <c r="O583">
        <v>30</v>
      </c>
      <c r="P583">
        <v>0.5</v>
      </c>
      <c r="Q583">
        <v>3.2500000000000001E-2</v>
      </c>
      <c r="R583">
        <v>77.5</v>
      </c>
      <c r="S583">
        <v>170</v>
      </c>
      <c r="T583">
        <v>20</v>
      </c>
      <c r="U583">
        <v>1812.1301775147931</v>
      </c>
      <c r="V583">
        <v>20</v>
      </c>
      <c r="W583">
        <v>0.95</v>
      </c>
      <c r="X583">
        <v>1</v>
      </c>
      <c r="Y583">
        <v>267256.16470624693</v>
      </c>
      <c r="Z583">
        <v>801768494.11874056</v>
      </c>
      <c r="AA583">
        <v>3207073976.4749622</v>
      </c>
      <c r="AB583">
        <v>3207073.9764749622</v>
      </c>
      <c r="AC583">
        <v>0</v>
      </c>
      <c r="AD583">
        <v>8309.7448080498943</v>
      </c>
      <c r="AE583">
        <v>14957540.65448981</v>
      </c>
      <c r="AF583">
        <v>10470278.458142869</v>
      </c>
      <c r="AG583">
        <v>471.33570902212659</v>
      </c>
      <c r="AH583">
        <v>3291.4068210204819</v>
      </c>
      <c r="AI583">
        <v>658.28136420409646</v>
      </c>
      <c r="AJ583">
        <v>104229.9042354363</v>
      </c>
      <c r="AK583">
        <v>854.70085470085473</v>
      </c>
      <c r="AL583" t="s">
        <v>93</v>
      </c>
      <c r="AM583">
        <v>255084.02862908741</v>
      </c>
      <c r="AN583">
        <v>2982.5194377603352</v>
      </c>
      <c r="AO583">
        <v>111907.83191469641</v>
      </c>
      <c r="AP583">
        <v>363151.15315698489</v>
      </c>
      <c r="AQ583">
        <v>251243.32124228851</v>
      </c>
      <c r="AR583">
        <v>9.9548359341269845E-3</v>
      </c>
      <c r="AS583">
        <v>221.13729607222109</v>
      </c>
      <c r="AT583">
        <v>541.19393830420051</v>
      </c>
      <c r="AU583">
        <v>6.3278028391867966</v>
      </c>
      <c r="AV583">
        <v>237.42701809474599</v>
      </c>
      <c r="AW583">
        <v>770.47239622563143</v>
      </c>
      <c r="AX583">
        <v>533.04537813088541</v>
      </c>
      <c r="AY583">
        <v>1.396629518204388</v>
      </c>
      <c r="AZ583" t="s">
        <v>142</v>
      </c>
      <c r="BA583" t="str">
        <f>VLOOKUP($AZ583,Sheet1!$A$2:$B$58,2)</f>
        <v>Nonane</v>
      </c>
      <c r="BB583" t="s">
        <v>190</v>
      </c>
      <c r="BC583">
        <v>128.25309999999999</v>
      </c>
      <c r="BD583">
        <v>6.2222222222222223</v>
      </c>
      <c r="BE583">
        <v>151</v>
      </c>
      <c r="BF583" t="s">
        <v>207</v>
      </c>
      <c r="BG583">
        <v>14.93786677685778</v>
      </c>
      <c r="BH583">
        <v>1.9036144578313E-2</v>
      </c>
      <c r="BI583">
        <v>5.30407510431729E-2</v>
      </c>
      <c r="BJ583">
        <v>80</v>
      </c>
      <c r="BK583">
        <v>18157.55765784924</v>
      </c>
      <c r="BL583">
        <v>12562.16606211442</v>
      </c>
      <c r="BM583">
        <v>17.97620143334705</v>
      </c>
      <c r="BN583">
        <v>3055.954243668999</v>
      </c>
      <c r="BO583">
        <v>15101.603414180239</v>
      </c>
    </row>
    <row r="584" spans="1:67" x14ac:dyDescent="0.25">
      <c r="A584" s="1">
        <v>582</v>
      </c>
      <c r="B584" t="s">
        <v>73</v>
      </c>
      <c r="C584" t="s">
        <v>85</v>
      </c>
      <c r="D584">
        <v>1</v>
      </c>
      <c r="E584">
        <v>1</v>
      </c>
      <c r="F584">
        <v>2</v>
      </c>
      <c r="G584">
        <v>45.016539999999999</v>
      </c>
      <c r="H584">
        <v>2</v>
      </c>
      <c r="I584" t="s">
        <v>89</v>
      </c>
      <c r="J584">
        <v>4</v>
      </c>
      <c r="K584">
        <v>300</v>
      </c>
      <c r="L584">
        <v>70</v>
      </c>
      <c r="N584" t="s">
        <v>82</v>
      </c>
      <c r="O584">
        <v>30</v>
      </c>
      <c r="P584">
        <v>0.5</v>
      </c>
      <c r="Q584">
        <v>3.2500000000000001E-2</v>
      </c>
      <c r="R584">
        <v>77.5</v>
      </c>
      <c r="S584">
        <v>170</v>
      </c>
      <c r="T584">
        <v>20</v>
      </c>
      <c r="U584">
        <v>1812.1301775147931</v>
      </c>
      <c r="V584">
        <v>20</v>
      </c>
      <c r="W584">
        <v>0.95</v>
      </c>
      <c r="X584">
        <v>1</v>
      </c>
      <c r="Y584">
        <v>272356.02601988602</v>
      </c>
      <c r="Z584">
        <v>817068078.05965781</v>
      </c>
      <c r="AA584">
        <v>3268272312.2386308</v>
      </c>
      <c r="AB584">
        <v>3268272.3122386308</v>
      </c>
      <c r="AC584">
        <v>0</v>
      </c>
      <c r="AD584">
        <v>8468.3138203657254</v>
      </c>
      <c r="AE584">
        <v>15242964.876658309</v>
      </c>
      <c r="AF584">
        <v>10670075.413660809</v>
      </c>
      <c r="AG584">
        <v>480.32987666207862</v>
      </c>
      <c r="AH584">
        <v>3354.2144211086602</v>
      </c>
      <c r="AI584">
        <v>670.84288422173199</v>
      </c>
      <c r="AJ584">
        <v>106218.8501477555</v>
      </c>
      <c r="AK584">
        <v>854.70085470085473</v>
      </c>
      <c r="AL584" t="s">
        <v>93</v>
      </c>
      <c r="AM584">
        <v>259951.61763592111</v>
      </c>
      <c r="AN584">
        <v>3039.432757288545</v>
      </c>
      <c r="AO584">
        <v>114043.29031769439</v>
      </c>
      <c r="AP584">
        <v>370064.60139566608</v>
      </c>
      <c r="AQ584">
        <v>256021.31107797171</v>
      </c>
      <c r="AR584">
        <v>9.9548359341269863E-3</v>
      </c>
      <c r="AS584">
        <v>221.13729607222109</v>
      </c>
      <c r="AT584">
        <v>541.1939383042004</v>
      </c>
      <c r="AU584">
        <v>6.3278028391867984</v>
      </c>
      <c r="AV584">
        <v>237.42701809474599</v>
      </c>
      <c r="AW584">
        <v>770.43844111328053</v>
      </c>
      <c r="AX584">
        <v>533.01142301853451</v>
      </c>
      <c r="AY584">
        <v>1.396629518204388</v>
      </c>
      <c r="AZ584" t="s">
        <v>143</v>
      </c>
      <c r="BA584" t="str">
        <f>VLOOKUP($AZ584,Sheet1!$A$2:$B$58,2)</f>
        <v>Octane</v>
      </c>
      <c r="BB584" t="s">
        <v>191</v>
      </c>
      <c r="BC584">
        <v>114.22672</v>
      </c>
      <c r="BD584">
        <v>6.25</v>
      </c>
      <c r="BE584">
        <v>126</v>
      </c>
      <c r="BF584" t="s">
        <v>207</v>
      </c>
      <c r="BG584">
        <v>15.287903641175999</v>
      </c>
      <c r="BH584">
        <v>2.0973451327433699E-2</v>
      </c>
      <c r="BI584">
        <v>5.2047564006908499E-2</v>
      </c>
      <c r="BJ584">
        <v>80</v>
      </c>
      <c r="BK584">
        <v>18503.230069783309</v>
      </c>
      <c r="BL584">
        <v>12801.065553898579</v>
      </c>
      <c r="BM584">
        <v>18.2542405699106</v>
      </c>
      <c r="BN584">
        <v>3103.2208968848022</v>
      </c>
      <c r="BO584">
        <v>15400.009172898501</v>
      </c>
    </row>
    <row r="585" spans="1:67" x14ac:dyDescent="0.25">
      <c r="A585" s="1">
        <v>583</v>
      </c>
      <c r="B585" t="s">
        <v>73</v>
      </c>
      <c r="C585" t="s">
        <v>85</v>
      </c>
      <c r="D585">
        <v>1</v>
      </c>
      <c r="E585">
        <v>1</v>
      </c>
      <c r="F585">
        <v>2</v>
      </c>
      <c r="G585">
        <v>45.016539999999999</v>
      </c>
      <c r="H585">
        <v>2</v>
      </c>
      <c r="I585" t="s">
        <v>89</v>
      </c>
      <c r="J585">
        <v>4</v>
      </c>
      <c r="K585">
        <v>300</v>
      </c>
      <c r="L585">
        <v>70</v>
      </c>
      <c r="N585" t="s">
        <v>82</v>
      </c>
      <c r="O585">
        <v>30</v>
      </c>
      <c r="P585">
        <v>0.5</v>
      </c>
      <c r="Q585">
        <v>3.2500000000000001E-2</v>
      </c>
      <c r="R585">
        <v>77.5</v>
      </c>
      <c r="S585">
        <v>170</v>
      </c>
      <c r="T585">
        <v>20</v>
      </c>
      <c r="U585">
        <v>1812.1301775147931</v>
      </c>
      <c r="V585">
        <v>20</v>
      </c>
      <c r="W585">
        <v>0.95</v>
      </c>
      <c r="X585">
        <v>1</v>
      </c>
      <c r="Y585">
        <v>274749.54351163458</v>
      </c>
      <c r="Z585">
        <v>824248630.53490388</v>
      </c>
      <c r="AA585">
        <v>3296994522.139616</v>
      </c>
      <c r="AB585">
        <v>3296994.5221396149</v>
      </c>
      <c r="AC585">
        <v>66773.504273504266</v>
      </c>
      <c r="AD585">
        <v>8542.7350019010391</v>
      </c>
      <c r="AE585">
        <v>15376923.003421869</v>
      </c>
      <c r="AF585">
        <v>10763846.102395309</v>
      </c>
      <c r="AG585">
        <v>484.55110862232237</v>
      </c>
      <c r="AH585">
        <v>3383.6919069029818</v>
      </c>
      <c r="AI585">
        <v>676.73838138059648</v>
      </c>
      <c r="AJ585">
        <v>107152.3219695375</v>
      </c>
      <c r="AK585">
        <v>2170.1388888888891</v>
      </c>
      <c r="AL585" t="s">
        <v>95</v>
      </c>
      <c r="AM585">
        <v>262236.12278498121</v>
      </c>
      <c r="AN585">
        <v>3066.143880871442</v>
      </c>
      <c r="AO585">
        <v>115045.5248347014</v>
      </c>
      <c r="AP585">
        <v>374624.72752427898</v>
      </c>
      <c r="AQ585">
        <v>259579.20268957759</v>
      </c>
      <c r="AR585">
        <v>9.9548359341269863E-3</v>
      </c>
      <c r="AS585">
        <v>221.13729607222109</v>
      </c>
      <c r="AT585">
        <v>541.19393830420051</v>
      </c>
      <c r="AU585">
        <v>6.3278028391867966</v>
      </c>
      <c r="AV585">
        <v>237.42701809474599</v>
      </c>
      <c r="AW585">
        <v>773.13769560741162</v>
      </c>
      <c r="AX585">
        <v>535.7106775126656</v>
      </c>
      <c r="AY585">
        <v>1.396629518204388</v>
      </c>
      <c r="AZ585" t="s">
        <v>144</v>
      </c>
      <c r="BA585" t="str">
        <f>VLOOKUP($AZ585,Sheet1!$A$2:$B$58,2)</f>
        <v>Pentane</v>
      </c>
      <c r="BB585" t="s">
        <v>192</v>
      </c>
      <c r="BC585">
        <v>72.147580000000005</v>
      </c>
      <c r="BD585">
        <v>6.4</v>
      </c>
      <c r="BE585">
        <v>36.1</v>
      </c>
      <c r="BF585" t="s">
        <v>207</v>
      </c>
      <c r="BG585">
        <v>15.481637197364719</v>
      </c>
      <c r="BH585">
        <v>3.2916666666666698E-2</v>
      </c>
      <c r="BI585">
        <v>5.1594144673572401E-2</v>
      </c>
      <c r="BJ585">
        <v>80</v>
      </c>
      <c r="BK585">
        <v>18731.23637621395</v>
      </c>
      <c r="BL585">
        <v>12978.960134478881</v>
      </c>
      <c r="BM585">
        <v>18.355281871665099</v>
      </c>
      <c r="BN585">
        <v>3120.3979181830668</v>
      </c>
      <c r="BO585">
        <v>15610.838458030879</v>
      </c>
    </row>
    <row r="586" spans="1:67" x14ac:dyDescent="0.25">
      <c r="A586" s="1">
        <v>584</v>
      </c>
      <c r="B586" t="s">
        <v>73</v>
      </c>
      <c r="C586" t="s">
        <v>85</v>
      </c>
      <c r="D586">
        <v>1</v>
      </c>
      <c r="E586">
        <v>1</v>
      </c>
      <c r="F586">
        <v>2</v>
      </c>
      <c r="G586">
        <v>45.016539999999999</v>
      </c>
      <c r="H586">
        <v>2</v>
      </c>
      <c r="I586" t="s">
        <v>89</v>
      </c>
      <c r="J586">
        <v>4</v>
      </c>
      <c r="K586">
        <v>300</v>
      </c>
      <c r="L586">
        <v>70</v>
      </c>
      <c r="N586" t="s">
        <v>82</v>
      </c>
      <c r="O586">
        <v>30</v>
      </c>
      <c r="P586">
        <v>0.5</v>
      </c>
      <c r="Q586">
        <v>3.2500000000000001E-2</v>
      </c>
      <c r="R586">
        <v>77.5</v>
      </c>
      <c r="S586">
        <v>170</v>
      </c>
      <c r="T586">
        <v>20</v>
      </c>
      <c r="U586">
        <v>1812.1301775147931</v>
      </c>
      <c r="V586">
        <v>20</v>
      </c>
      <c r="W586">
        <v>0.95</v>
      </c>
      <c r="X586">
        <v>1</v>
      </c>
      <c r="Y586">
        <v>217072.89053163311</v>
      </c>
      <c r="Z586">
        <v>651218671.59489942</v>
      </c>
      <c r="AA586">
        <v>2604874686.3795981</v>
      </c>
      <c r="AB586">
        <v>2604874.686379598</v>
      </c>
      <c r="AC586">
        <v>0</v>
      </c>
      <c r="AD586">
        <v>6749.4058632708466</v>
      </c>
      <c r="AE586">
        <v>12148930.55388752</v>
      </c>
      <c r="AF586">
        <v>8504251.3877212666</v>
      </c>
      <c r="AG586">
        <v>382.83197276540989</v>
      </c>
      <c r="AH586">
        <v>2673.372168382949</v>
      </c>
      <c r="AI586">
        <v>534.67443367658984</v>
      </c>
      <c r="AJ586">
        <v>84658.427307336926</v>
      </c>
      <c r="AK586">
        <v>854.70085470085473</v>
      </c>
      <c r="AL586" t="s">
        <v>93</v>
      </c>
      <c r="AM586">
        <v>207186.34304967849</v>
      </c>
      <c r="AN586">
        <v>2422.4852441964422</v>
      </c>
      <c r="AO586">
        <v>90894.653725020267</v>
      </c>
      <c r="AP586">
        <v>295121.95645591279</v>
      </c>
      <c r="AQ586">
        <v>204227.30273089249</v>
      </c>
      <c r="AR586">
        <v>9.9548359341269828E-3</v>
      </c>
      <c r="AS586">
        <v>221.13729607222109</v>
      </c>
      <c r="AT586">
        <v>541.19393830420029</v>
      </c>
      <c r="AU586">
        <v>6.3278028391867949</v>
      </c>
      <c r="AV586">
        <v>237.4270180947459</v>
      </c>
      <c r="AW586">
        <v>770.89161159680964</v>
      </c>
      <c r="AX586">
        <v>533.46459350206374</v>
      </c>
      <c r="AY586">
        <v>1.396629518204388</v>
      </c>
      <c r="AZ586" t="s">
        <v>145</v>
      </c>
      <c r="BA586" t="str">
        <f>VLOOKUP($AZ586,Sheet1!$A$2:$B$58,2)</f>
        <v>Pentanol (PW1)</v>
      </c>
      <c r="BB586" t="s">
        <v>157</v>
      </c>
      <c r="BC586">
        <v>88.14658</v>
      </c>
      <c r="BD586">
        <v>6</v>
      </c>
      <c r="BE586">
        <v>138</v>
      </c>
      <c r="BF586" t="s">
        <v>207</v>
      </c>
      <c r="BG586">
        <v>12.14498177461831</v>
      </c>
      <c r="BH586">
        <v>3.4100719424460503E-2</v>
      </c>
      <c r="BI586">
        <v>6.5302800650141601E-2</v>
      </c>
      <c r="BJ586">
        <v>80</v>
      </c>
      <c r="BK586">
        <v>14756.09782279564</v>
      </c>
      <c r="BL586">
        <v>10211.36513654462</v>
      </c>
      <c r="BM586">
        <v>14.58873990921119</v>
      </c>
      <c r="BN586">
        <v>2480.085784565902</v>
      </c>
      <c r="BO586">
        <v>12276.012038229739</v>
      </c>
    </row>
    <row r="587" spans="1:67" x14ac:dyDescent="0.25">
      <c r="A587" s="1">
        <v>585</v>
      </c>
      <c r="B587" t="s">
        <v>73</v>
      </c>
      <c r="C587" t="s">
        <v>85</v>
      </c>
      <c r="D587">
        <v>1</v>
      </c>
      <c r="E587">
        <v>1</v>
      </c>
      <c r="F587">
        <v>2</v>
      </c>
      <c r="G587">
        <v>45.016539999999999</v>
      </c>
      <c r="H587">
        <v>2</v>
      </c>
      <c r="I587" t="s">
        <v>89</v>
      </c>
      <c r="J587">
        <v>4</v>
      </c>
      <c r="K587">
        <v>300</v>
      </c>
      <c r="L587">
        <v>70</v>
      </c>
      <c r="N587" t="s">
        <v>82</v>
      </c>
      <c r="O587">
        <v>30</v>
      </c>
      <c r="P587">
        <v>0.5</v>
      </c>
      <c r="Q587">
        <v>3.2500000000000001E-2</v>
      </c>
      <c r="R587">
        <v>77.5</v>
      </c>
      <c r="S587">
        <v>170</v>
      </c>
      <c r="T587">
        <v>20</v>
      </c>
      <c r="U587">
        <v>1812.1301775147931</v>
      </c>
      <c r="V587">
        <v>20</v>
      </c>
      <c r="W587">
        <v>0.95</v>
      </c>
      <c r="X587">
        <v>1</v>
      </c>
      <c r="Y587">
        <v>223319.59241743261</v>
      </c>
      <c r="Z587">
        <v>669958777.252298</v>
      </c>
      <c r="AA587">
        <v>2679835109.009192</v>
      </c>
      <c r="AB587">
        <v>2679835.1090091919</v>
      </c>
      <c r="AC587">
        <v>0</v>
      </c>
      <c r="AD587">
        <v>6943.6333701274716</v>
      </c>
      <c r="AE587">
        <v>12498540.06622945</v>
      </c>
      <c r="AF587">
        <v>8748978.0463606138</v>
      </c>
      <c r="AG587">
        <v>393.84872018311438</v>
      </c>
      <c r="AH587">
        <v>2750.3037415737899</v>
      </c>
      <c r="AI587">
        <v>550.06074831475803</v>
      </c>
      <c r="AJ587">
        <v>87094.641042798743</v>
      </c>
      <c r="AK587">
        <v>854.70085470085473</v>
      </c>
      <c r="AL587" t="s">
        <v>93</v>
      </c>
      <c r="AM587">
        <v>213148.53997196871</v>
      </c>
      <c r="AN587">
        <v>2492.1970497847969</v>
      </c>
      <c r="AO587">
        <v>93510.327213508863</v>
      </c>
      <c r="AP587">
        <v>303590.07891925308</v>
      </c>
      <c r="AQ587">
        <v>210079.7517057443</v>
      </c>
      <c r="AR587">
        <v>9.9548359341269845E-3</v>
      </c>
      <c r="AS587">
        <v>221.13729607222109</v>
      </c>
      <c r="AT587">
        <v>541.1939383042004</v>
      </c>
      <c r="AU587">
        <v>6.3278028391867949</v>
      </c>
      <c r="AV587">
        <v>237.42701809474599</v>
      </c>
      <c r="AW587">
        <v>770.82916196376925</v>
      </c>
      <c r="AX587">
        <v>533.40214386902323</v>
      </c>
      <c r="AY587">
        <v>1.396629518204388</v>
      </c>
      <c r="AZ587" t="s">
        <v>146</v>
      </c>
      <c r="BA587" t="str">
        <f>VLOOKUP($AZ587,Sheet1!$A$2:$B$58,2)</f>
        <v>Pentanol (PW2)</v>
      </c>
      <c r="BB587" t="s">
        <v>157</v>
      </c>
      <c r="BC587">
        <v>88.14658</v>
      </c>
      <c r="BD587">
        <v>6</v>
      </c>
      <c r="BE587">
        <v>138</v>
      </c>
      <c r="BF587" t="s">
        <v>207</v>
      </c>
      <c r="BG587">
        <v>12.566316788481799</v>
      </c>
      <c r="BH587">
        <v>3.3146853146853603E-2</v>
      </c>
      <c r="BI587">
        <v>6.3476148883704897E-2</v>
      </c>
      <c r="BJ587">
        <v>80</v>
      </c>
      <c r="BK587">
        <v>15179.503945962661</v>
      </c>
      <c r="BL587">
        <v>10503.98758528721</v>
      </c>
      <c r="BM587">
        <v>14.936720627256101</v>
      </c>
      <c r="BN587">
        <v>2539.2425066335359</v>
      </c>
      <c r="BO587">
        <v>12640.261439329121</v>
      </c>
    </row>
    <row r="588" spans="1:67" x14ac:dyDescent="0.25">
      <c r="A588" s="1">
        <v>586</v>
      </c>
      <c r="B588" t="s">
        <v>73</v>
      </c>
      <c r="C588" t="s">
        <v>85</v>
      </c>
      <c r="D588">
        <v>1</v>
      </c>
      <c r="E588">
        <v>1</v>
      </c>
      <c r="F588">
        <v>2</v>
      </c>
      <c r="G588">
        <v>45.016539999999999</v>
      </c>
      <c r="H588">
        <v>2</v>
      </c>
      <c r="I588" t="s">
        <v>89</v>
      </c>
      <c r="J588">
        <v>4</v>
      </c>
      <c r="K588">
        <v>300</v>
      </c>
      <c r="L588">
        <v>70</v>
      </c>
      <c r="N588" t="s">
        <v>82</v>
      </c>
      <c r="O588">
        <v>30</v>
      </c>
      <c r="P588">
        <v>0.5</v>
      </c>
      <c r="Q588">
        <v>3.2500000000000001E-2</v>
      </c>
      <c r="R588">
        <v>77.5</v>
      </c>
      <c r="S588">
        <v>170</v>
      </c>
      <c r="T588">
        <v>20</v>
      </c>
      <c r="U588">
        <v>1812.1301775147931</v>
      </c>
      <c r="V588">
        <v>20</v>
      </c>
      <c r="W588">
        <v>0.95</v>
      </c>
      <c r="X588">
        <v>1</v>
      </c>
      <c r="Y588">
        <v>210630.7950173025</v>
      </c>
      <c r="Z588">
        <v>631892385.05190742</v>
      </c>
      <c r="AA588">
        <v>2527569540.2076302</v>
      </c>
      <c r="AB588">
        <v>2527569.54020763</v>
      </c>
      <c r="AC588">
        <v>0</v>
      </c>
      <c r="AD588">
        <v>6549.1030196974889</v>
      </c>
      <c r="AE588">
        <v>11788385.435455481</v>
      </c>
      <c r="AF588">
        <v>8251869.804818836</v>
      </c>
      <c r="AG588">
        <v>371.47062714341928</v>
      </c>
      <c r="AH588">
        <v>2594.034215071978</v>
      </c>
      <c r="AI588">
        <v>518.80684301439567</v>
      </c>
      <c r="AJ588">
        <v>82146.010056747968</v>
      </c>
      <c r="AK588">
        <v>854.70085470085473</v>
      </c>
      <c r="AL588" t="s">
        <v>93</v>
      </c>
      <c r="AM588">
        <v>201037.6516680783</v>
      </c>
      <c r="AN588">
        <v>2350.5928891126282</v>
      </c>
      <c r="AO588">
        <v>88197.163312447257</v>
      </c>
      <c r="AP588">
        <v>286388.95546863979</v>
      </c>
      <c r="AQ588">
        <v>198191.7921561925</v>
      </c>
      <c r="AR588">
        <v>9.9548359341269828E-3</v>
      </c>
      <c r="AS588">
        <v>221.13729607222109</v>
      </c>
      <c r="AT588">
        <v>541.19393830420029</v>
      </c>
      <c r="AU588">
        <v>6.3278028391867958</v>
      </c>
      <c r="AV588">
        <v>237.42701809474599</v>
      </c>
      <c r="AW588">
        <v>770.95989438236063</v>
      </c>
      <c r="AX588">
        <v>533.53287628761461</v>
      </c>
      <c r="AY588">
        <v>1.396629518204388</v>
      </c>
      <c r="AZ588" t="s">
        <v>147</v>
      </c>
      <c r="BA588" t="str">
        <f>VLOOKUP($AZ588,Sheet1!$A$2:$B$58,2)</f>
        <v>Phenol</v>
      </c>
      <c r="BB588" t="s">
        <v>193</v>
      </c>
      <c r="BC588">
        <v>94.11023999999999</v>
      </c>
      <c r="BD588">
        <v>4.666666666666667</v>
      </c>
      <c r="BE588">
        <v>181.7</v>
      </c>
      <c r="BF588" t="s">
        <v>207</v>
      </c>
      <c r="BG588">
        <v>11.40101925388616</v>
      </c>
      <c r="BH588">
        <v>3.2916666666666698E-2</v>
      </c>
      <c r="BI588">
        <v>6.7300072127500596E-2</v>
      </c>
      <c r="BJ588">
        <v>80</v>
      </c>
      <c r="BK588">
        <v>14319.44777343199</v>
      </c>
      <c r="BL588">
        <v>9909.5896078096266</v>
      </c>
      <c r="BM588">
        <v>14.539322896833619</v>
      </c>
      <c r="BN588">
        <v>2471.6848924617161</v>
      </c>
      <c r="BO588">
        <v>11847.762880970269</v>
      </c>
    </row>
    <row r="589" spans="1:67" x14ac:dyDescent="0.25">
      <c r="A589" s="1">
        <v>587</v>
      </c>
      <c r="B589" t="s">
        <v>73</v>
      </c>
      <c r="C589" t="s">
        <v>85</v>
      </c>
      <c r="D589">
        <v>1</v>
      </c>
      <c r="E589">
        <v>1</v>
      </c>
      <c r="F589">
        <v>2</v>
      </c>
      <c r="G589">
        <v>45.016539999999999</v>
      </c>
      <c r="H589">
        <v>2</v>
      </c>
      <c r="I589" t="s">
        <v>89</v>
      </c>
      <c r="J589">
        <v>4</v>
      </c>
      <c r="K589">
        <v>300</v>
      </c>
      <c r="L589">
        <v>70</v>
      </c>
      <c r="N589" t="s">
        <v>82</v>
      </c>
      <c r="O589">
        <v>30</v>
      </c>
      <c r="P589">
        <v>0.5</v>
      </c>
      <c r="Q589">
        <v>3.2500000000000001E-2</v>
      </c>
      <c r="R589">
        <v>77.5</v>
      </c>
      <c r="S589">
        <v>170</v>
      </c>
      <c r="T589">
        <v>20</v>
      </c>
      <c r="U589">
        <v>1812.1301775147931</v>
      </c>
      <c r="V589">
        <v>20</v>
      </c>
      <c r="W589">
        <v>0.95</v>
      </c>
      <c r="X589">
        <v>1</v>
      </c>
      <c r="Y589">
        <v>284086.15844041499</v>
      </c>
      <c r="Z589">
        <v>852258475.32124496</v>
      </c>
      <c r="AA589">
        <v>3409033901.2849798</v>
      </c>
      <c r="AB589">
        <v>3409033.9012849801</v>
      </c>
      <c r="AC589">
        <v>66773.504273504266</v>
      </c>
      <c r="AD589">
        <v>8833.0365839598508</v>
      </c>
      <c r="AE589">
        <v>15899465.851127731</v>
      </c>
      <c r="AF589">
        <v>11129626.09578941</v>
      </c>
      <c r="AG589">
        <v>501.0172583261479</v>
      </c>
      <c r="AH589">
        <v>3498.6774605406581</v>
      </c>
      <c r="AI589">
        <v>699.73549210813155</v>
      </c>
      <c r="AJ589">
        <v>110793.6017917618</v>
      </c>
      <c r="AK589">
        <v>2170.1388888888891</v>
      </c>
      <c r="AL589" t="s">
        <v>95</v>
      </c>
      <c r="AM589">
        <v>271147.50319190102</v>
      </c>
      <c r="AN589">
        <v>3170.3384297177831</v>
      </c>
      <c r="AO589">
        <v>118955.0336583824</v>
      </c>
      <c r="AP589">
        <v>387281.58230226953</v>
      </c>
      <c r="AQ589">
        <v>268326.5486438871</v>
      </c>
      <c r="AR589">
        <v>9.9548359341269828E-3</v>
      </c>
      <c r="AS589">
        <v>221.13729607222109</v>
      </c>
      <c r="AT589">
        <v>541.19393830420051</v>
      </c>
      <c r="AU589">
        <v>6.3278028391867958</v>
      </c>
      <c r="AV589">
        <v>237.4270180947461</v>
      </c>
      <c r="AW589">
        <v>772.99050255502425</v>
      </c>
      <c r="AX589">
        <v>535.56348446027823</v>
      </c>
      <c r="AY589">
        <v>1.396629518204388</v>
      </c>
      <c r="AZ589" t="s">
        <v>148</v>
      </c>
      <c r="BA589" t="str">
        <f>VLOOKUP($AZ589,Sheet1!$A$2:$B$58,2)</f>
        <v>Propane (PW1)</v>
      </c>
      <c r="BB589" t="s">
        <v>194</v>
      </c>
      <c r="BC589">
        <v>44.094819999999999</v>
      </c>
      <c r="BD589">
        <v>6.666666666666667</v>
      </c>
      <c r="BE589">
        <v>-42</v>
      </c>
      <c r="BF589" t="s">
        <v>207</v>
      </c>
      <c r="BG589">
        <v>16.16715345519026</v>
      </c>
      <c r="BH589">
        <v>5.2087912087911602E-2</v>
      </c>
      <c r="BI589">
        <v>4.9898480710071101E-2</v>
      </c>
      <c r="BJ589">
        <v>80</v>
      </c>
      <c r="BK589">
        <v>19364.079115113469</v>
      </c>
      <c r="BL589">
        <v>13416.32743219435</v>
      </c>
      <c r="BM589">
        <v>18.81962115021631</v>
      </c>
      <c r="BN589">
        <v>3199.3355955367729</v>
      </c>
      <c r="BO589">
        <v>16164.743519576699</v>
      </c>
    </row>
    <row r="590" spans="1:67" x14ac:dyDescent="0.25">
      <c r="A590" s="1">
        <v>588</v>
      </c>
      <c r="B590" t="s">
        <v>73</v>
      </c>
      <c r="C590" t="s">
        <v>85</v>
      </c>
      <c r="D590">
        <v>1</v>
      </c>
      <c r="E590">
        <v>1</v>
      </c>
      <c r="F590">
        <v>2</v>
      </c>
      <c r="G590">
        <v>45.016539999999999</v>
      </c>
      <c r="H590">
        <v>2</v>
      </c>
      <c r="I590" t="s">
        <v>89</v>
      </c>
      <c r="J590">
        <v>4</v>
      </c>
      <c r="K590">
        <v>300</v>
      </c>
      <c r="L590">
        <v>70</v>
      </c>
      <c r="N590" t="s">
        <v>82</v>
      </c>
      <c r="O590">
        <v>30</v>
      </c>
      <c r="P590">
        <v>0.5</v>
      </c>
      <c r="Q590">
        <v>3.2500000000000001E-2</v>
      </c>
      <c r="R590">
        <v>77.5</v>
      </c>
      <c r="S590">
        <v>170</v>
      </c>
      <c r="T590">
        <v>20</v>
      </c>
      <c r="U590">
        <v>1812.1301775147931</v>
      </c>
      <c r="V590">
        <v>20</v>
      </c>
      <c r="W590">
        <v>0.95</v>
      </c>
      <c r="X590">
        <v>1</v>
      </c>
      <c r="Y590">
        <v>340279.02494511078</v>
      </c>
      <c r="Z590">
        <v>1020837074.835333</v>
      </c>
      <c r="AA590">
        <v>4083348299.3413301</v>
      </c>
      <c r="AB590">
        <v>4083348.2993413298</v>
      </c>
      <c r="AC590">
        <v>66773.504273504266</v>
      </c>
      <c r="AD590">
        <v>10580.23063353428</v>
      </c>
      <c r="AE590">
        <v>19044415.1403617</v>
      </c>
      <c r="AF590">
        <v>13331090.598253191</v>
      </c>
      <c r="AG590">
        <v>600.11957315988855</v>
      </c>
      <c r="AH590">
        <v>4190.7235516365918</v>
      </c>
      <c r="AI590">
        <v>838.14471032731842</v>
      </c>
      <c r="AJ590">
        <v>132708.8197285932</v>
      </c>
      <c r="AK590">
        <v>2170.1388888888891</v>
      </c>
      <c r="AL590" t="s">
        <v>95</v>
      </c>
      <c r="AM590">
        <v>324781.07525183592</v>
      </c>
      <c r="AN590">
        <v>3797.4383388927108</v>
      </c>
      <c r="AO590">
        <v>142484.60075564409</v>
      </c>
      <c r="AP590">
        <v>463457.47220821067</v>
      </c>
      <c r="AQ590">
        <v>320972.87145256659</v>
      </c>
      <c r="AR590">
        <v>9.9548359341269845E-3</v>
      </c>
      <c r="AS590">
        <v>221.13729607222109</v>
      </c>
      <c r="AT590">
        <v>541.19393830420051</v>
      </c>
      <c r="AU590">
        <v>6.3278028391867966</v>
      </c>
      <c r="AV590">
        <v>237.4270180947461</v>
      </c>
      <c r="AW590">
        <v>772.27521470080887</v>
      </c>
      <c r="AX590">
        <v>534.84819660606286</v>
      </c>
      <c r="AY590">
        <v>1.396629518204388</v>
      </c>
      <c r="AZ590" t="s">
        <v>149</v>
      </c>
      <c r="BA590" t="str">
        <f>VLOOKUP($AZ590,Sheet1!$A$2:$B$58,2)</f>
        <v>Propane (PW2)</v>
      </c>
      <c r="BB590" t="s">
        <v>194</v>
      </c>
      <c r="BC590">
        <v>44.094819999999999</v>
      </c>
      <c r="BD590">
        <v>6.666666666666667</v>
      </c>
      <c r="BE590">
        <v>-42</v>
      </c>
      <c r="BF590" t="s">
        <v>207</v>
      </c>
      <c r="BG590">
        <v>19.957317068024579</v>
      </c>
      <c r="BH590">
        <v>4.3486238532109901E-2</v>
      </c>
      <c r="BI590">
        <v>4.1658364629509101E-2</v>
      </c>
      <c r="BJ590">
        <v>80</v>
      </c>
      <c r="BK590">
        <v>23172.87361041053</v>
      </c>
      <c r="BL590">
        <v>16048.643572628331</v>
      </c>
      <c r="BM590">
        <v>21.949918448341339</v>
      </c>
      <c r="BN590">
        <v>3731.4861362180268</v>
      </c>
      <c r="BO590">
        <v>19441.38747419251</v>
      </c>
    </row>
    <row r="591" spans="1:67" x14ac:dyDescent="0.25">
      <c r="A591" s="1">
        <v>589</v>
      </c>
      <c r="B591" t="s">
        <v>73</v>
      </c>
      <c r="C591" t="s">
        <v>85</v>
      </c>
      <c r="D591">
        <v>1</v>
      </c>
      <c r="E591">
        <v>1</v>
      </c>
      <c r="F591">
        <v>2</v>
      </c>
      <c r="G591">
        <v>45.016539999999999</v>
      </c>
      <c r="H591">
        <v>2</v>
      </c>
      <c r="I591" t="s">
        <v>89</v>
      </c>
      <c r="J591">
        <v>4</v>
      </c>
      <c r="K591">
        <v>300</v>
      </c>
      <c r="L591">
        <v>70</v>
      </c>
      <c r="N591" t="s">
        <v>82</v>
      </c>
      <c r="O591">
        <v>30</v>
      </c>
      <c r="P591">
        <v>0.5</v>
      </c>
      <c r="Q591">
        <v>3.2500000000000001E-2</v>
      </c>
      <c r="R591">
        <v>77.5</v>
      </c>
      <c r="S591">
        <v>170</v>
      </c>
      <c r="T591">
        <v>20</v>
      </c>
      <c r="U591">
        <v>1812.1301775147931</v>
      </c>
      <c r="V591">
        <v>20</v>
      </c>
      <c r="W591">
        <v>0.95</v>
      </c>
      <c r="X591">
        <v>1</v>
      </c>
      <c r="Y591">
        <v>108922.6643346178</v>
      </c>
      <c r="Z591">
        <v>326767993.00385338</v>
      </c>
      <c r="AA591">
        <v>1307071972.015414</v>
      </c>
      <c r="AB591">
        <v>1307071.972015413</v>
      </c>
      <c r="AC591">
        <v>0</v>
      </c>
      <c r="AD591">
        <v>3386.7115672650948</v>
      </c>
      <c r="AE591">
        <v>6096080.8210771708</v>
      </c>
      <c r="AF591">
        <v>4267256.5747540193</v>
      </c>
      <c r="AG591">
        <v>192.0971262876773</v>
      </c>
      <c r="AH591">
        <v>1341.4425846780309</v>
      </c>
      <c r="AI591">
        <v>268.28851693560631</v>
      </c>
      <c r="AJ591">
        <v>42479.839090500936</v>
      </c>
      <c r="AK591">
        <v>854.70085470085473</v>
      </c>
      <c r="AL591" t="s">
        <v>93</v>
      </c>
      <c r="AM591">
        <v>103961.80031254741</v>
      </c>
      <c r="AN591">
        <v>1215.552741122789</v>
      </c>
      <c r="AO591">
        <v>45609.047879053061</v>
      </c>
      <c r="AP591">
        <v>148511.892998872</v>
      </c>
      <c r="AQ591">
        <v>102902.8451198189</v>
      </c>
      <c r="AR591">
        <v>9.9548359341269828E-3</v>
      </c>
      <c r="AS591">
        <v>221.13729607222109</v>
      </c>
      <c r="AT591">
        <v>541.1939383042004</v>
      </c>
      <c r="AU591">
        <v>6.3278028391867966</v>
      </c>
      <c r="AV591">
        <v>237.42701809474599</v>
      </c>
      <c r="AW591">
        <v>773.10835340902634</v>
      </c>
      <c r="AX591">
        <v>535.68133531428032</v>
      </c>
      <c r="AY591">
        <v>1.396629518204388</v>
      </c>
      <c r="AZ591" t="s">
        <v>150</v>
      </c>
      <c r="BA591" t="str">
        <f>VLOOKUP($AZ591,Sheet1!$A$2:$B$58,2)</f>
        <v>Shikimate</v>
      </c>
      <c r="BB591" t="s">
        <v>195</v>
      </c>
      <c r="BC591">
        <v>173.14045999999999</v>
      </c>
      <c r="BD591">
        <v>3.8571428571428572</v>
      </c>
      <c r="BE591">
        <v>400.5</v>
      </c>
      <c r="BF591" t="s">
        <v>207</v>
      </c>
      <c r="BG591">
        <v>5.5674392186654371</v>
      </c>
      <c r="BH591">
        <v>3.4598540145985401E-2</v>
      </c>
      <c r="BI591">
        <v>0.13014249865748101</v>
      </c>
      <c r="BJ591">
        <v>80</v>
      </c>
      <c r="BK591">
        <v>7425.5946499435977</v>
      </c>
      <c r="BL591">
        <v>5145.1422559909452</v>
      </c>
      <c r="BM591">
        <v>7.8469866281148741</v>
      </c>
      <c r="BN591">
        <v>1333.9877267795291</v>
      </c>
      <c r="BO591">
        <v>6091.6069231640686</v>
      </c>
    </row>
    <row r="592" spans="1:67" x14ac:dyDescent="0.25">
      <c r="A592" s="1">
        <v>590</v>
      </c>
      <c r="B592" t="s">
        <v>73</v>
      </c>
      <c r="C592" t="s">
        <v>85</v>
      </c>
      <c r="D592">
        <v>1</v>
      </c>
      <c r="E592">
        <v>1</v>
      </c>
      <c r="F592">
        <v>2</v>
      </c>
      <c r="G592">
        <v>45.016539999999999</v>
      </c>
      <c r="H592">
        <v>2</v>
      </c>
      <c r="I592" t="s">
        <v>89</v>
      </c>
      <c r="J592">
        <v>4</v>
      </c>
      <c r="K592">
        <v>300</v>
      </c>
      <c r="L592">
        <v>70</v>
      </c>
      <c r="N592" t="s">
        <v>82</v>
      </c>
      <c r="O592">
        <v>30</v>
      </c>
      <c r="P592">
        <v>0.5</v>
      </c>
      <c r="Q592">
        <v>3.2500000000000001E-2</v>
      </c>
      <c r="R592">
        <v>77.5</v>
      </c>
      <c r="S592">
        <v>170</v>
      </c>
      <c r="T592">
        <v>20</v>
      </c>
      <c r="U592">
        <v>1812.1301775147931</v>
      </c>
      <c r="V592">
        <v>20</v>
      </c>
      <c r="W592">
        <v>0.95</v>
      </c>
      <c r="X592">
        <v>1</v>
      </c>
      <c r="Y592">
        <v>260381.55315435649</v>
      </c>
      <c r="Z592">
        <v>781144659.46306956</v>
      </c>
      <c r="AA592">
        <v>3124578637.8522782</v>
      </c>
      <c r="AB592">
        <v>3124578.6378522781</v>
      </c>
      <c r="AC592">
        <v>0</v>
      </c>
      <c r="AD592">
        <v>8095.9938260530134</v>
      </c>
      <c r="AE592">
        <v>14572788.88689542</v>
      </c>
      <c r="AF592">
        <v>10200952.220826801</v>
      </c>
      <c r="AG592">
        <v>459.21157368693821</v>
      </c>
      <c r="AH592">
        <v>3206.7421945613369</v>
      </c>
      <c r="AI592">
        <v>641.3484389122674</v>
      </c>
      <c r="AJ592">
        <v>101548.805730199</v>
      </c>
      <c r="AK592">
        <v>854.70085470085473</v>
      </c>
      <c r="AL592" t="s">
        <v>93</v>
      </c>
      <c r="AM592">
        <v>248522.52007850361</v>
      </c>
      <c r="AN592">
        <v>2905.800299763644</v>
      </c>
      <c r="AO592">
        <v>109029.2346150855</v>
      </c>
      <c r="AP592">
        <v>353831.82696316711</v>
      </c>
      <c r="AQ592">
        <v>244802.59234808161</v>
      </c>
      <c r="AR592">
        <v>9.9548359341269828E-3</v>
      </c>
      <c r="AS592">
        <v>221.13729607222109</v>
      </c>
      <c r="AT592">
        <v>541.19393830420029</v>
      </c>
      <c r="AU592">
        <v>6.3278028391867949</v>
      </c>
      <c r="AV592">
        <v>237.4270180947459</v>
      </c>
      <c r="AW592">
        <v>770.52027265407628</v>
      </c>
      <c r="AX592">
        <v>533.09325455933038</v>
      </c>
      <c r="AY592">
        <v>1.396629518204388</v>
      </c>
      <c r="AZ592" t="s">
        <v>151</v>
      </c>
      <c r="BA592" t="str">
        <f>VLOOKUP($AZ592,Sheet1!$A$2:$B$58,2)</f>
        <v>Styrene</v>
      </c>
      <c r="BB592" t="s">
        <v>196</v>
      </c>
      <c r="BC592">
        <v>104.14832</v>
      </c>
      <c r="BD592">
        <v>5</v>
      </c>
      <c r="BE592">
        <v>145</v>
      </c>
      <c r="BF592" t="s">
        <v>207</v>
      </c>
      <c r="BG592">
        <v>14.18196275212803</v>
      </c>
      <c r="BH592">
        <v>2.4060913705583699E-2</v>
      </c>
      <c r="BI592">
        <v>5.44411365751932E-2</v>
      </c>
      <c r="BJ592">
        <v>80</v>
      </c>
      <c r="BK592">
        <v>17691.591348158348</v>
      </c>
      <c r="BL592">
        <v>12240.12961740408</v>
      </c>
      <c r="BM592">
        <v>17.885459193485339</v>
      </c>
      <c r="BN592">
        <v>3040.5280628925079</v>
      </c>
      <c r="BO592">
        <v>14651.06328526584</v>
      </c>
    </row>
    <row r="593" spans="1:67" x14ac:dyDescent="0.25">
      <c r="A593" s="1">
        <v>591</v>
      </c>
      <c r="B593" t="s">
        <v>73</v>
      </c>
      <c r="C593" t="s">
        <v>85</v>
      </c>
      <c r="D593">
        <v>1</v>
      </c>
      <c r="E593">
        <v>1</v>
      </c>
      <c r="F593">
        <v>2</v>
      </c>
      <c r="G593">
        <v>45.016539999999999</v>
      </c>
      <c r="H593">
        <v>2</v>
      </c>
      <c r="I593" t="s">
        <v>89</v>
      </c>
      <c r="J593">
        <v>4</v>
      </c>
      <c r="K593">
        <v>300</v>
      </c>
      <c r="L593">
        <v>70</v>
      </c>
      <c r="N593" t="s">
        <v>82</v>
      </c>
      <c r="O593">
        <v>30</v>
      </c>
      <c r="P593">
        <v>0.5</v>
      </c>
      <c r="Q593">
        <v>3.2500000000000001E-2</v>
      </c>
      <c r="R593">
        <v>77.5</v>
      </c>
      <c r="S593">
        <v>170</v>
      </c>
      <c r="T593">
        <v>20</v>
      </c>
      <c r="U593">
        <v>1812.1301775147931</v>
      </c>
      <c r="V593">
        <v>20</v>
      </c>
      <c r="W593">
        <v>0.95</v>
      </c>
      <c r="X593">
        <v>1</v>
      </c>
      <c r="Y593">
        <v>75902.4241907533</v>
      </c>
      <c r="Z593">
        <v>227707272.5722599</v>
      </c>
      <c r="AA593">
        <v>910829090.28903961</v>
      </c>
      <c r="AB593">
        <v>910829.09028903965</v>
      </c>
      <c r="AC593">
        <v>0</v>
      </c>
      <c r="AD593">
        <v>2360.0195566331499</v>
      </c>
      <c r="AE593">
        <v>4248035.2019396704</v>
      </c>
      <c r="AF593">
        <v>2973624.6413577688</v>
      </c>
      <c r="AG593">
        <v>133.86229261266769</v>
      </c>
      <c r="AH593">
        <v>934.78014618682448</v>
      </c>
      <c r="AI593">
        <v>186.9560292373649</v>
      </c>
      <c r="AJ593">
        <v>29601.94543439379</v>
      </c>
      <c r="AK593">
        <v>854.70085470085473</v>
      </c>
      <c r="AL593" t="s">
        <v>93</v>
      </c>
      <c r="AM593">
        <v>72445.461329478901</v>
      </c>
      <c r="AN593">
        <v>847.05419525449224</v>
      </c>
      <c r="AO593">
        <v>31782.524970352031</v>
      </c>
      <c r="AP593">
        <v>103749.161813828</v>
      </c>
      <c r="AQ593">
        <v>71966.636843475993</v>
      </c>
      <c r="AR593">
        <v>9.9548359341269845E-3</v>
      </c>
      <c r="AS593">
        <v>221.13729607222109</v>
      </c>
      <c r="AT593">
        <v>541.19393830420051</v>
      </c>
      <c r="AU593">
        <v>6.3278028391867966</v>
      </c>
      <c r="AV593">
        <v>237.42701809474599</v>
      </c>
      <c r="AW593">
        <v>775.04396338129072</v>
      </c>
      <c r="AX593">
        <v>537.61694528654471</v>
      </c>
      <c r="AY593">
        <v>1.396629518204388</v>
      </c>
      <c r="AZ593" t="s">
        <v>152</v>
      </c>
      <c r="BA593" t="str">
        <f>VLOOKUP($AZ593,Sheet1!$A$2:$B$58,2)</f>
        <v>Succinate</v>
      </c>
      <c r="BB593" t="s">
        <v>197</v>
      </c>
      <c r="BC593">
        <v>116.07016</v>
      </c>
      <c r="BD593">
        <v>3</v>
      </c>
      <c r="BE593">
        <v>235</v>
      </c>
      <c r="BF593" t="s">
        <v>207</v>
      </c>
      <c r="BG593">
        <v>3.6028885296726538</v>
      </c>
      <c r="BH593">
        <v>7.4062499999999296E-2</v>
      </c>
      <c r="BI593">
        <v>0.18675909034620999</v>
      </c>
      <c r="BJ593">
        <v>80</v>
      </c>
      <c r="BK593">
        <v>5187.4580906914007</v>
      </c>
      <c r="BL593">
        <v>3598.331842173799</v>
      </c>
      <c r="BM593">
        <v>5.7449129321955912</v>
      </c>
      <c r="BN593">
        <v>976.63519847325051</v>
      </c>
      <c r="BO593">
        <v>4210.8228922181497</v>
      </c>
    </row>
    <row r="594" spans="1:67" x14ac:dyDescent="0.25">
      <c r="A594" s="1">
        <v>592</v>
      </c>
      <c r="B594" t="s">
        <v>73</v>
      </c>
      <c r="C594" t="s">
        <v>85</v>
      </c>
      <c r="D594">
        <v>1</v>
      </c>
      <c r="E594">
        <v>1</v>
      </c>
      <c r="F594">
        <v>2</v>
      </c>
      <c r="G594">
        <v>45.016539999999999</v>
      </c>
      <c r="H594">
        <v>2</v>
      </c>
      <c r="I594" t="s">
        <v>89</v>
      </c>
      <c r="J594">
        <v>4</v>
      </c>
      <c r="K594">
        <v>300</v>
      </c>
      <c r="L594">
        <v>70</v>
      </c>
      <c r="N594" t="s">
        <v>82</v>
      </c>
      <c r="O594">
        <v>30</v>
      </c>
      <c r="P594">
        <v>0.5</v>
      </c>
      <c r="Q594">
        <v>3.2500000000000001E-2</v>
      </c>
      <c r="R594">
        <v>77.5</v>
      </c>
      <c r="S594">
        <v>170</v>
      </c>
      <c r="T594">
        <v>20</v>
      </c>
      <c r="U594">
        <v>1812.1301775147931</v>
      </c>
      <c r="V594">
        <v>20</v>
      </c>
      <c r="W594">
        <v>0.95</v>
      </c>
      <c r="X594">
        <v>1</v>
      </c>
      <c r="Y594">
        <v>203156.4283727365</v>
      </c>
      <c r="Z594">
        <v>609469285.1182096</v>
      </c>
      <c r="AA594">
        <v>2437877140.4728379</v>
      </c>
      <c r="AB594">
        <v>2437877.1404728382</v>
      </c>
      <c r="AC594">
        <v>0</v>
      </c>
      <c r="AD594">
        <v>6316.7039673261024</v>
      </c>
      <c r="AE594">
        <v>11370067.141186981</v>
      </c>
      <c r="AF594">
        <v>7959046.9988308866</v>
      </c>
      <c r="AG594">
        <v>358.28875758475061</v>
      </c>
      <c r="AH594">
        <v>2501.9832744181949</v>
      </c>
      <c r="AI594">
        <v>500.39665488363909</v>
      </c>
      <c r="AJ594">
        <v>79231.007065367245</v>
      </c>
      <c r="AK594">
        <v>854.70085470085473</v>
      </c>
      <c r="AL594" t="s">
        <v>93</v>
      </c>
      <c r="AM594">
        <v>193903.7037674101</v>
      </c>
      <c r="AN594">
        <v>2267.180617493495</v>
      </c>
      <c r="AO594">
        <v>85067.431330218649</v>
      </c>
      <c r="AP594">
        <v>276256.59230497183</v>
      </c>
      <c r="AQ594">
        <v>191189.16097475309</v>
      </c>
      <c r="AR594">
        <v>9.9548359341269845E-3</v>
      </c>
      <c r="AS594">
        <v>221.13729607222109</v>
      </c>
      <c r="AT594">
        <v>541.19393830420051</v>
      </c>
      <c r="AU594">
        <v>6.3278028391867966</v>
      </c>
      <c r="AV594">
        <v>237.4270180947461</v>
      </c>
      <c r="AW594">
        <v>771.04454565428364</v>
      </c>
      <c r="AX594">
        <v>533.61752755953762</v>
      </c>
      <c r="AY594">
        <v>1.396629518204388</v>
      </c>
      <c r="AZ594" t="s">
        <v>96</v>
      </c>
      <c r="BA594" t="str">
        <f>VLOOKUP($AZ594,Sheet1!$A$2:$B$58,2)</f>
        <v>1,3-Butanediol (PW1)</v>
      </c>
      <c r="BB594" t="s">
        <v>153</v>
      </c>
      <c r="BC594">
        <v>90.119200000000006</v>
      </c>
      <c r="BD594">
        <v>5.5</v>
      </c>
      <c r="BE594">
        <v>207</v>
      </c>
      <c r="BF594" t="s">
        <v>208</v>
      </c>
      <c r="BG594">
        <v>11.74932474806082</v>
      </c>
      <c r="BH594">
        <v>3.5639097744360901E-2</v>
      </c>
      <c r="BI594">
        <v>6.97761218312479E-2</v>
      </c>
      <c r="BJ594">
        <v>80</v>
      </c>
      <c r="BK594">
        <v>13812.829615248589</v>
      </c>
      <c r="BL594">
        <v>9559.4580487376552</v>
      </c>
      <c r="BM594">
        <v>13.270507996121131</v>
      </c>
      <c r="BN594">
        <v>2255.9863593405921</v>
      </c>
      <c r="BO594">
        <v>11556.843255907999</v>
      </c>
    </row>
    <row r="595" spans="1:67" x14ac:dyDescent="0.25">
      <c r="A595" s="1">
        <v>593</v>
      </c>
      <c r="B595" t="s">
        <v>73</v>
      </c>
      <c r="C595" t="s">
        <v>85</v>
      </c>
      <c r="D595">
        <v>1</v>
      </c>
      <c r="E595">
        <v>1</v>
      </c>
      <c r="F595">
        <v>2</v>
      </c>
      <c r="G595">
        <v>45.016539999999999</v>
      </c>
      <c r="H595">
        <v>2</v>
      </c>
      <c r="I595" t="s">
        <v>89</v>
      </c>
      <c r="J595">
        <v>4</v>
      </c>
      <c r="K595">
        <v>300</v>
      </c>
      <c r="L595">
        <v>70</v>
      </c>
      <c r="N595" t="s">
        <v>82</v>
      </c>
      <c r="O595">
        <v>30</v>
      </c>
      <c r="P595">
        <v>0.5</v>
      </c>
      <c r="Q595">
        <v>3.2500000000000001E-2</v>
      </c>
      <c r="R595">
        <v>77.5</v>
      </c>
      <c r="S595">
        <v>170</v>
      </c>
      <c r="T595">
        <v>20</v>
      </c>
      <c r="U595">
        <v>1812.1301775147931</v>
      </c>
      <c r="V595">
        <v>20</v>
      </c>
      <c r="W595">
        <v>0.95</v>
      </c>
      <c r="X595">
        <v>1</v>
      </c>
      <c r="Y595">
        <v>200101.44448743199</v>
      </c>
      <c r="Z595">
        <v>600304333.46229613</v>
      </c>
      <c r="AA595">
        <v>2401217333.849185</v>
      </c>
      <c r="AB595">
        <v>2401217.3338491851</v>
      </c>
      <c r="AC595">
        <v>0</v>
      </c>
      <c r="AD595">
        <v>6221.7159377422449</v>
      </c>
      <c r="AE595">
        <v>11199088.68793604</v>
      </c>
      <c r="AF595">
        <v>7839362.0815552287</v>
      </c>
      <c r="AG595">
        <v>352.9009567188142</v>
      </c>
      <c r="AH595">
        <v>2464.359465780326</v>
      </c>
      <c r="AI595">
        <v>492.87189315606508</v>
      </c>
      <c r="AJ595">
        <v>78039.563350098499</v>
      </c>
      <c r="AK595">
        <v>854.70085470085473</v>
      </c>
      <c r="AL595" t="s">
        <v>93</v>
      </c>
      <c r="AM595">
        <v>190987.8585979752</v>
      </c>
      <c r="AN595">
        <v>2233.0876758770492</v>
      </c>
      <c r="AO595">
        <v>83788.221836531069</v>
      </c>
      <c r="AP595">
        <v>272115.21047865163</v>
      </c>
      <c r="AQ595">
        <v>188326.98864212059</v>
      </c>
      <c r="AR595">
        <v>9.9548359341269828E-3</v>
      </c>
      <c r="AS595">
        <v>221.13729607222109</v>
      </c>
      <c r="AT595">
        <v>541.19393830420029</v>
      </c>
      <c r="AU595">
        <v>6.3278028391867949</v>
      </c>
      <c r="AV595">
        <v>237.42701809474599</v>
      </c>
      <c r="AW595">
        <v>771.08096563044637</v>
      </c>
      <c r="AX595">
        <v>533.65394753570035</v>
      </c>
      <c r="AY595">
        <v>1.396629518204388</v>
      </c>
      <c r="AZ595" t="s">
        <v>97</v>
      </c>
      <c r="BA595" t="str">
        <f>VLOOKUP($AZ595,Sheet1!$A$2:$B$58,2)</f>
        <v>1,3-Butanediol (PW2)</v>
      </c>
      <c r="BB595" t="s">
        <v>153</v>
      </c>
      <c r="BC595">
        <v>90.119200000000006</v>
      </c>
      <c r="BD595">
        <v>5.5</v>
      </c>
      <c r="BE595">
        <v>207</v>
      </c>
      <c r="BF595" t="s">
        <v>208</v>
      </c>
      <c r="BG595">
        <v>11.54326854413128</v>
      </c>
      <c r="BH595">
        <v>3.6183206106870203E-2</v>
      </c>
      <c r="BI595">
        <v>7.08414061340151E-2</v>
      </c>
      <c r="BJ595">
        <v>80</v>
      </c>
      <c r="BK595">
        <v>13605.76052393258</v>
      </c>
      <c r="BL595">
        <v>9416.3494321060261</v>
      </c>
      <c r="BM595">
        <v>13.10032611367197</v>
      </c>
      <c r="BN595">
        <v>2227.0554393242351</v>
      </c>
      <c r="BO595">
        <v>11378.70508460834</v>
      </c>
    </row>
    <row r="596" spans="1:67" x14ac:dyDescent="0.25">
      <c r="A596" s="1">
        <v>594</v>
      </c>
      <c r="B596" t="s">
        <v>73</v>
      </c>
      <c r="C596" t="s">
        <v>85</v>
      </c>
      <c r="D596">
        <v>1</v>
      </c>
      <c r="E596">
        <v>1</v>
      </c>
      <c r="F596">
        <v>2</v>
      </c>
      <c r="G596">
        <v>45.016539999999999</v>
      </c>
      <c r="H596">
        <v>2</v>
      </c>
      <c r="I596" t="s">
        <v>89</v>
      </c>
      <c r="J596">
        <v>4</v>
      </c>
      <c r="K596">
        <v>300</v>
      </c>
      <c r="L596">
        <v>70</v>
      </c>
      <c r="N596" t="s">
        <v>82</v>
      </c>
      <c r="O596">
        <v>30</v>
      </c>
      <c r="P596">
        <v>0.5</v>
      </c>
      <c r="Q596">
        <v>3.2500000000000001E-2</v>
      </c>
      <c r="R596">
        <v>77.5</v>
      </c>
      <c r="S596">
        <v>170</v>
      </c>
      <c r="T596">
        <v>20</v>
      </c>
      <c r="U596">
        <v>1812.1301775147931</v>
      </c>
      <c r="V596">
        <v>20</v>
      </c>
      <c r="W596">
        <v>0.95</v>
      </c>
      <c r="X596">
        <v>1</v>
      </c>
      <c r="Y596">
        <v>204298.05053092161</v>
      </c>
      <c r="Z596">
        <v>612894151.59276474</v>
      </c>
      <c r="AA596">
        <v>2451576606.3710589</v>
      </c>
      <c r="AB596">
        <v>2451576.6063710591</v>
      </c>
      <c r="AC596">
        <v>0</v>
      </c>
      <c r="AD596">
        <v>6352.2002067193444</v>
      </c>
      <c r="AE596">
        <v>11433960.372094819</v>
      </c>
      <c r="AF596">
        <v>8003772.2604663745</v>
      </c>
      <c r="AG596">
        <v>360.30213411417492</v>
      </c>
      <c r="AH596">
        <v>2516.0429798794648</v>
      </c>
      <c r="AI596">
        <v>503.2085959758931</v>
      </c>
      <c r="AJ596">
        <v>79676.239707059416</v>
      </c>
      <c r="AK596">
        <v>854.70085470085473</v>
      </c>
      <c r="AL596" t="s">
        <v>93</v>
      </c>
      <c r="AM596">
        <v>194993.33094065849</v>
      </c>
      <c r="AN596">
        <v>2279.9208672127379</v>
      </c>
      <c r="AO596">
        <v>85545.461315901834</v>
      </c>
      <c r="AP596">
        <v>277804.19236963161</v>
      </c>
      <c r="AQ596">
        <v>192258.7310537298</v>
      </c>
      <c r="AR596">
        <v>9.9548359341269845E-3</v>
      </c>
      <c r="AS596">
        <v>221.13729607222109</v>
      </c>
      <c r="AT596">
        <v>541.19393830420051</v>
      </c>
      <c r="AU596">
        <v>6.3278028391867958</v>
      </c>
      <c r="AV596">
        <v>237.4270180947461</v>
      </c>
      <c r="AW596">
        <v>771.031215378811</v>
      </c>
      <c r="AX596">
        <v>533.60419728406487</v>
      </c>
      <c r="AY596">
        <v>1.3966295182043891</v>
      </c>
      <c r="AZ596" t="s">
        <v>98</v>
      </c>
      <c r="BA596" t="str">
        <f>VLOOKUP($AZ596,Sheet1!$A$2:$B$58,2)</f>
        <v>1,3-Diaminopropane</v>
      </c>
      <c r="BB596" t="s">
        <v>154</v>
      </c>
      <c r="BC596">
        <v>76.139580000000009</v>
      </c>
      <c r="BD596">
        <v>6</v>
      </c>
      <c r="BE596">
        <v>139.30000000000001</v>
      </c>
      <c r="BF596" t="s">
        <v>208</v>
      </c>
      <c r="BG596">
        <v>12.04568693843331</v>
      </c>
      <c r="BH596">
        <v>4.19469026548673E-2</v>
      </c>
      <c r="BI596">
        <v>6.9386211273669104E-2</v>
      </c>
      <c r="BJ596">
        <v>80</v>
      </c>
      <c r="BK596">
        <v>13890.20961848158</v>
      </c>
      <c r="BL596">
        <v>9612.9365526864876</v>
      </c>
      <c r="BM596">
        <v>13.114742860361339</v>
      </c>
      <c r="BN596">
        <v>2229.5062862614282</v>
      </c>
      <c r="BO596">
        <v>11660.70333222015</v>
      </c>
    </row>
    <row r="597" spans="1:67" x14ac:dyDescent="0.25">
      <c r="A597" s="1">
        <v>595</v>
      </c>
      <c r="B597" t="s">
        <v>73</v>
      </c>
      <c r="C597" t="s">
        <v>85</v>
      </c>
      <c r="D597">
        <v>1</v>
      </c>
      <c r="E597">
        <v>1</v>
      </c>
      <c r="F597">
        <v>2</v>
      </c>
      <c r="G597">
        <v>45.016539999999999</v>
      </c>
      <c r="H597">
        <v>2</v>
      </c>
      <c r="I597" t="s">
        <v>89</v>
      </c>
      <c r="J597">
        <v>4</v>
      </c>
      <c r="K597">
        <v>300</v>
      </c>
      <c r="L597">
        <v>70</v>
      </c>
      <c r="N597" t="s">
        <v>82</v>
      </c>
      <c r="O597">
        <v>30</v>
      </c>
      <c r="P597">
        <v>0.5</v>
      </c>
      <c r="Q597">
        <v>3.2500000000000001E-2</v>
      </c>
      <c r="R597">
        <v>77.5</v>
      </c>
      <c r="S597">
        <v>170</v>
      </c>
      <c r="T597">
        <v>20</v>
      </c>
      <c r="U597">
        <v>1812.1301775147931</v>
      </c>
      <c r="V597">
        <v>20</v>
      </c>
      <c r="W597">
        <v>0.95</v>
      </c>
      <c r="X597">
        <v>1</v>
      </c>
      <c r="Y597">
        <v>164624.31042667991</v>
      </c>
      <c r="Z597">
        <v>493872931.28003973</v>
      </c>
      <c r="AA597">
        <v>1975491725.1201589</v>
      </c>
      <c r="AB597">
        <v>1975491.7251201591</v>
      </c>
      <c r="AC597">
        <v>0</v>
      </c>
      <c r="AD597">
        <v>5118.6321945108793</v>
      </c>
      <c r="AE597">
        <v>9213537.9501195829</v>
      </c>
      <c r="AF597">
        <v>6449476.5650837077</v>
      </c>
      <c r="AG597">
        <v>290.33311977115329</v>
      </c>
      <c r="AH597">
        <v>2027.4390259238139</v>
      </c>
      <c r="AI597">
        <v>405.48780518476292</v>
      </c>
      <c r="AJ597">
        <v>64203.481066405162</v>
      </c>
      <c r="AK597">
        <v>854.70085470085473</v>
      </c>
      <c r="AL597" t="s">
        <v>93</v>
      </c>
      <c r="AM597">
        <v>157126.52450909559</v>
      </c>
      <c r="AN597">
        <v>1837.170739597864</v>
      </c>
      <c r="AO597">
        <v>68932.926881409687</v>
      </c>
      <c r="AP597">
        <v>224021.8771697995</v>
      </c>
      <c r="AQ597">
        <v>155088.95028838981</v>
      </c>
      <c r="AR597">
        <v>9.9548359341269845E-3</v>
      </c>
      <c r="AS597">
        <v>221.13729607222109</v>
      </c>
      <c r="AT597">
        <v>541.1939383042004</v>
      </c>
      <c r="AU597">
        <v>6.3278028391867958</v>
      </c>
      <c r="AV597">
        <v>237.42701809474599</v>
      </c>
      <c r="AW597">
        <v>771.60289995980554</v>
      </c>
      <c r="AX597">
        <v>534.17588186505952</v>
      </c>
      <c r="AY597">
        <v>1.396629518204388</v>
      </c>
      <c r="AZ597" t="s">
        <v>99</v>
      </c>
      <c r="BA597" t="str">
        <f>VLOOKUP($AZ597,Sheet1!$A$2:$B$58,2)</f>
        <v>1,3-Propanediol</v>
      </c>
      <c r="BB597" t="s">
        <v>155</v>
      </c>
      <c r="BC597">
        <v>76.092820000000003</v>
      </c>
      <c r="BD597">
        <v>5.333333333333333</v>
      </c>
      <c r="BE597">
        <v>213</v>
      </c>
      <c r="BF597" t="s">
        <v>208</v>
      </c>
      <c r="BG597">
        <v>9.3686595071517456</v>
      </c>
      <c r="BH597">
        <v>5.2087912087912101E-2</v>
      </c>
      <c r="BI597">
        <v>8.6107985267769402E-2</v>
      </c>
      <c r="BJ597">
        <v>80</v>
      </c>
      <c r="BK597">
        <v>11201.09385848997</v>
      </c>
      <c r="BL597">
        <v>7754.4475144194894</v>
      </c>
      <c r="BM597">
        <v>10.90573075208639</v>
      </c>
      <c r="BN597">
        <v>1853.9742278546869</v>
      </c>
      <c r="BO597">
        <v>9347.1196306352849</v>
      </c>
    </row>
    <row r="598" spans="1:67" x14ac:dyDescent="0.25">
      <c r="A598" s="1">
        <v>596</v>
      </c>
      <c r="B598" t="s">
        <v>73</v>
      </c>
      <c r="C598" t="s">
        <v>85</v>
      </c>
      <c r="D598">
        <v>1</v>
      </c>
      <c r="E598">
        <v>1</v>
      </c>
      <c r="F598">
        <v>2</v>
      </c>
      <c r="G598">
        <v>45.016539999999999</v>
      </c>
      <c r="H598">
        <v>2</v>
      </c>
      <c r="I598" t="s">
        <v>89</v>
      </c>
      <c r="J598">
        <v>4</v>
      </c>
      <c r="K598">
        <v>300</v>
      </c>
      <c r="L598">
        <v>70</v>
      </c>
      <c r="N598" t="s">
        <v>82</v>
      </c>
      <c r="O598">
        <v>30</v>
      </c>
      <c r="P598">
        <v>0.5</v>
      </c>
      <c r="Q598">
        <v>3.2500000000000001E-2</v>
      </c>
      <c r="R598">
        <v>77.5</v>
      </c>
      <c r="S598">
        <v>170</v>
      </c>
      <c r="T598">
        <v>20</v>
      </c>
      <c r="U598">
        <v>1812.1301775147931</v>
      </c>
      <c r="V598">
        <v>20</v>
      </c>
      <c r="W598">
        <v>0.95</v>
      </c>
      <c r="X598">
        <v>1</v>
      </c>
      <c r="Y598">
        <v>212321.38002864929</v>
      </c>
      <c r="Z598">
        <v>636964140.08594799</v>
      </c>
      <c r="AA598">
        <v>2547856560.343792</v>
      </c>
      <c r="AB598">
        <v>2547856.5603437922</v>
      </c>
      <c r="AC598">
        <v>0</v>
      </c>
      <c r="AD598">
        <v>6601.6680560776513</v>
      </c>
      <c r="AE598">
        <v>11883002.50093977</v>
      </c>
      <c r="AF598">
        <v>8318101.7506578397</v>
      </c>
      <c r="AG598">
        <v>374.45216018255871</v>
      </c>
      <c r="AH598">
        <v>2614.8547003317972</v>
      </c>
      <c r="AI598">
        <v>522.97094006635939</v>
      </c>
      <c r="AJ598">
        <v>82805.338211173235</v>
      </c>
      <c r="AK598">
        <v>854.70085470085473</v>
      </c>
      <c r="AL598" t="s">
        <v>93</v>
      </c>
      <c r="AM598">
        <v>202651.23927571421</v>
      </c>
      <c r="AN598">
        <v>2369.4594423428239</v>
      </c>
      <c r="AO598">
        <v>88905.059811281099</v>
      </c>
      <c r="AP598">
        <v>288680.73778393108</v>
      </c>
      <c r="AQ598">
        <v>199775.67797265001</v>
      </c>
      <c r="AR598">
        <v>9.9548359341269845E-3</v>
      </c>
      <c r="AS598">
        <v>221.13729607222109</v>
      </c>
      <c r="AT598">
        <v>541.1939383042004</v>
      </c>
      <c r="AU598">
        <v>6.3278028391867966</v>
      </c>
      <c r="AV598">
        <v>237.4270180947461</v>
      </c>
      <c r="AW598">
        <v>770.94157406700253</v>
      </c>
      <c r="AX598">
        <v>533.5145559722564</v>
      </c>
      <c r="AY598">
        <v>1.396629518204388</v>
      </c>
      <c r="AZ598" t="s">
        <v>100</v>
      </c>
      <c r="BA598" t="str">
        <f>VLOOKUP($AZ598,Sheet1!$A$2:$B$58,2)</f>
        <v>1,4-Butanediol</v>
      </c>
      <c r="BB598" t="s">
        <v>153</v>
      </c>
      <c r="BC598">
        <v>90.119200000000006</v>
      </c>
      <c r="BD598">
        <v>5.5</v>
      </c>
      <c r="BE598">
        <v>230</v>
      </c>
      <c r="BF598" t="s">
        <v>208</v>
      </c>
      <c r="BG598">
        <v>12.36749335984933</v>
      </c>
      <c r="BH598">
        <v>3.4100719424460503E-2</v>
      </c>
      <c r="BI598">
        <v>6.6764202903280404E-2</v>
      </c>
      <c r="BJ598">
        <v>80</v>
      </c>
      <c r="BK598">
        <v>14434.036889196561</v>
      </c>
      <c r="BL598">
        <v>9988.7838986325005</v>
      </c>
      <c r="BM598">
        <v>13.78105364346864</v>
      </c>
      <c r="BN598">
        <v>2342.7791193896692</v>
      </c>
      <c r="BO598">
        <v>12091.257769806891</v>
      </c>
    </row>
    <row r="599" spans="1:67" x14ac:dyDescent="0.25">
      <c r="A599" s="1">
        <v>597</v>
      </c>
      <c r="B599" t="s">
        <v>73</v>
      </c>
      <c r="C599" t="s">
        <v>85</v>
      </c>
      <c r="D599">
        <v>1</v>
      </c>
      <c r="E599">
        <v>1</v>
      </c>
      <c r="F599">
        <v>2</v>
      </c>
      <c r="G599">
        <v>45.016539999999999</v>
      </c>
      <c r="H599">
        <v>2</v>
      </c>
      <c r="I599" t="s">
        <v>89</v>
      </c>
      <c r="J599">
        <v>4</v>
      </c>
      <c r="K599">
        <v>300</v>
      </c>
      <c r="L599">
        <v>70</v>
      </c>
      <c r="N599" t="s">
        <v>82</v>
      </c>
      <c r="O599">
        <v>30</v>
      </c>
      <c r="P599">
        <v>0.5</v>
      </c>
      <c r="Q599">
        <v>3.2500000000000001E-2</v>
      </c>
      <c r="R599">
        <v>77.5</v>
      </c>
      <c r="S599">
        <v>170</v>
      </c>
      <c r="T599">
        <v>20</v>
      </c>
      <c r="U599">
        <v>1812.1301775147931</v>
      </c>
      <c r="V599">
        <v>20</v>
      </c>
      <c r="W599">
        <v>0.95</v>
      </c>
      <c r="X599">
        <v>1</v>
      </c>
      <c r="Y599">
        <v>245103.90005117989</v>
      </c>
      <c r="Z599">
        <v>735311700.15353966</v>
      </c>
      <c r="AA599">
        <v>2941246800.6141591</v>
      </c>
      <c r="AB599">
        <v>2941246.8006141591</v>
      </c>
      <c r="AC599">
        <v>0</v>
      </c>
      <c r="AD599">
        <v>7620.9686804484218</v>
      </c>
      <c r="AE599">
        <v>13717743.62480716</v>
      </c>
      <c r="AF599">
        <v>9602420.53736501</v>
      </c>
      <c r="AG599">
        <v>432.26774821711342</v>
      </c>
      <c r="AH599">
        <v>3018.5894846388151</v>
      </c>
      <c r="AI599">
        <v>603.71789692776304</v>
      </c>
      <c r="AJ599">
        <v>95590.521019960157</v>
      </c>
      <c r="AK599">
        <v>854.70085470085473</v>
      </c>
      <c r="AL599" t="s">
        <v>93</v>
      </c>
      <c r="AM599">
        <v>233940.68505950819</v>
      </c>
      <c r="AN599">
        <v>2735.3050844571339</v>
      </c>
      <c r="AO599">
        <v>102632.0424777197</v>
      </c>
      <c r="AP599">
        <v>333121.21201862628</v>
      </c>
      <c r="AQ599">
        <v>230489.16954090659</v>
      </c>
      <c r="AR599">
        <v>9.9548359341269845E-3</v>
      </c>
      <c r="AS599">
        <v>221.13729607222109</v>
      </c>
      <c r="AT599">
        <v>541.19393830420051</v>
      </c>
      <c r="AU599">
        <v>6.3278028391867984</v>
      </c>
      <c r="AV599">
        <v>237.42701809474599</v>
      </c>
      <c r="AW599">
        <v>770.63628594218142</v>
      </c>
      <c r="AX599">
        <v>533.2092678474354</v>
      </c>
      <c r="AY599">
        <v>1.396629518204388</v>
      </c>
      <c r="AZ599" t="s">
        <v>101</v>
      </c>
      <c r="BA599" t="str">
        <f>VLOOKUP($AZ599,Sheet1!$A$2:$B$58,2)</f>
        <v>1-Propanol (PW1)</v>
      </c>
      <c r="BB599" t="s">
        <v>156</v>
      </c>
      <c r="BC599">
        <v>60.093820000000001</v>
      </c>
      <c r="BD599">
        <v>6</v>
      </c>
      <c r="BE599">
        <v>97</v>
      </c>
      <c r="BF599" t="s">
        <v>208</v>
      </c>
      <c r="BG599">
        <v>14.33499623662305</v>
      </c>
      <c r="BH599">
        <v>4.42990654205608E-2</v>
      </c>
      <c r="BI599">
        <v>5.7834525252259503E-2</v>
      </c>
      <c r="BJ599">
        <v>80</v>
      </c>
      <c r="BK599">
        <v>16656.06060093132</v>
      </c>
      <c r="BL599">
        <v>11524.458477045329</v>
      </c>
      <c r="BM599">
        <v>15.8508986097651</v>
      </c>
      <c r="BN599">
        <v>2694.6527636600658</v>
      </c>
      <c r="BO599">
        <v>13961.40783727125</v>
      </c>
    </row>
    <row r="600" spans="1:67" x14ac:dyDescent="0.25">
      <c r="A600" s="1">
        <v>598</v>
      </c>
      <c r="B600" t="s">
        <v>73</v>
      </c>
      <c r="C600" t="s">
        <v>85</v>
      </c>
      <c r="D600">
        <v>1</v>
      </c>
      <c r="E600">
        <v>1</v>
      </c>
      <c r="F600">
        <v>2</v>
      </c>
      <c r="G600">
        <v>45.016539999999999</v>
      </c>
      <c r="H600">
        <v>2</v>
      </c>
      <c r="I600" t="s">
        <v>89</v>
      </c>
      <c r="J600">
        <v>4</v>
      </c>
      <c r="K600">
        <v>300</v>
      </c>
      <c r="L600">
        <v>70</v>
      </c>
      <c r="N600" t="s">
        <v>82</v>
      </c>
      <c r="O600">
        <v>30</v>
      </c>
      <c r="P600">
        <v>0.5</v>
      </c>
      <c r="Q600">
        <v>3.2500000000000001E-2</v>
      </c>
      <c r="R600">
        <v>77.5</v>
      </c>
      <c r="S600">
        <v>170</v>
      </c>
      <c r="T600">
        <v>20</v>
      </c>
      <c r="U600">
        <v>1812.1301775147931</v>
      </c>
      <c r="V600">
        <v>20</v>
      </c>
      <c r="W600">
        <v>0.95</v>
      </c>
      <c r="X600">
        <v>1</v>
      </c>
      <c r="Y600">
        <v>295499.09445422632</v>
      </c>
      <c r="Z600">
        <v>886497283.36267877</v>
      </c>
      <c r="AA600">
        <v>3545989133.4507151</v>
      </c>
      <c r="AB600">
        <v>3545989.1334507149</v>
      </c>
      <c r="AC600">
        <v>0</v>
      </c>
      <c r="AD600">
        <v>9187.8968203537061</v>
      </c>
      <c r="AE600">
        <v>16538214.276636669</v>
      </c>
      <c r="AF600">
        <v>11576749.99364567</v>
      </c>
      <c r="AG600">
        <v>521.14522915894997</v>
      </c>
      <c r="AH600">
        <v>3639.2340515738988</v>
      </c>
      <c r="AI600">
        <v>727.84681031477987</v>
      </c>
      <c r="AJ600">
        <v>115244.6468371482</v>
      </c>
      <c r="AK600">
        <v>854.70085470085473</v>
      </c>
      <c r="AL600" t="s">
        <v>93</v>
      </c>
      <c r="AM600">
        <v>282040.63899697718</v>
      </c>
      <c r="AN600">
        <v>3297.704260700657</v>
      </c>
      <c r="AO600">
        <v>123733.9577535126</v>
      </c>
      <c r="AP600">
        <v>401437.69094952702</v>
      </c>
      <c r="AQ600">
        <v>277703.73319601442</v>
      </c>
      <c r="AR600">
        <v>9.9548359341269845E-3</v>
      </c>
      <c r="AS600">
        <v>221.13729607222109</v>
      </c>
      <c r="AT600">
        <v>541.19393830420051</v>
      </c>
      <c r="AU600">
        <v>6.3278028391867958</v>
      </c>
      <c r="AV600">
        <v>237.42701809474599</v>
      </c>
      <c r="AW600">
        <v>770.29908073299839</v>
      </c>
      <c r="AX600">
        <v>532.87206263825237</v>
      </c>
      <c r="AY600">
        <v>1.396629518204388</v>
      </c>
      <c r="AZ600" t="s">
        <v>102</v>
      </c>
      <c r="BA600" t="str">
        <f>VLOOKUP($AZ600,Sheet1!$A$2:$B$58,2)</f>
        <v>1-Propanol (PW2)</v>
      </c>
      <c r="BB600" t="s">
        <v>156</v>
      </c>
      <c r="BC600">
        <v>60.093820000000001</v>
      </c>
      <c r="BD600">
        <v>6</v>
      </c>
      <c r="BE600">
        <v>97</v>
      </c>
      <c r="BF600" t="s">
        <v>208</v>
      </c>
      <c r="BG600">
        <v>17.734111533084651</v>
      </c>
      <c r="BH600">
        <v>3.6744186046511702E-2</v>
      </c>
      <c r="BI600">
        <v>4.7971272883657101E-2</v>
      </c>
      <c r="BJ600">
        <v>80</v>
      </c>
      <c r="BK600">
        <v>20071.88454747634</v>
      </c>
      <c r="BL600">
        <v>13885.18665980072</v>
      </c>
      <c r="BM600">
        <v>18.65822898265435</v>
      </c>
      <c r="BN600">
        <v>3171.8989270512388</v>
      </c>
      <c r="BO600">
        <v>16899.985620425101</v>
      </c>
    </row>
    <row r="601" spans="1:67" x14ac:dyDescent="0.25">
      <c r="A601" s="1">
        <v>599</v>
      </c>
      <c r="B601" t="s">
        <v>73</v>
      </c>
      <c r="C601" t="s">
        <v>85</v>
      </c>
      <c r="D601">
        <v>1</v>
      </c>
      <c r="E601">
        <v>1</v>
      </c>
      <c r="F601">
        <v>2</v>
      </c>
      <c r="G601">
        <v>45.016539999999999</v>
      </c>
      <c r="H601">
        <v>2</v>
      </c>
      <c r="I601" t="s">
        <v>89</v>
      </c>
      <c r="J601">
        <v>4</v>
      </c>
      <c r="K601">
        <v>300</v>
      </c>
      <c r="L601">
        <v>70</v>
      </c>
      <c r="N601" t="s">
        <v>82</v>
      </c>
      <c r="O601">
        <v>30</v>
      </c>
      <c r="P601">
        <v>0.5</v>
      </c>
      <c r="Q601">
        <v>3.2500000000000001E-2</v>
      </c>
      <c r="R601">
        <v>77.5</v>
      </c>
      <c r="S601">
        <v>170</v>
      </c>
      <c r="T601">
        <v>20</v>
      </c>
      <c r="U601">
        <v>1812.1301775147931</v>
      </c>
      <c r="V601">
        <v>20</v>
      </c>
      <c r="W601">
        <v>0.95</v>
      </c>
      <c r="X601">
        <v>1</v>
      </c>
      <c r="Y601">
        <v>200101.44448743539</v>
      </c>
      <c r="Z601">
        <v>600304333.46230614</v>
      </c>
      <c r="AA601">
        <v>2401217333.849225</v>
      </c>
      <c r="AB601">
        <v>2401217.3338492252</v>
      </c>
      <c r="AC601">
        <v>0</v>
      </c>
      <c r="AD601">
        <v>6221.7159377423486</v>
      </c>
      <c r="AE601">
        <v>11199088.68793623</v>
      </c>
      <c r="AF601">
        <v>7839362.0815553591</v>
      </c>
      <c r="AG601">
        <v>352.90095671882011</v>
      </c>
      <c r="AH601">
        <v>2464.3594657803669</v>
      </c>
      <c r="AI601">
        <v>492.87189315607338</v>
      </c>
      <c r="AJ601">
        <v>78039.563350099808</v>
      </c>
      <c r="AK601">
        <v>854.70085470085473</v>
      </c>
      <c r="AL601" t="s">
        <v>93</v>
      </c>
      <c r="AM601">
        <v>190987.8585979784</v>
      </c>
      <c r="AN601">
        <v>2233.087675877086</v>
      </c>
      <c r="AO601">
        <v>83788.221836532481</v>
      </c>
      <c r="AP601">
        <v>272115.21047865623</v>
      </c>
      <c r="AQ601">
        <v>188326.9886421237</v>
      </c>
      <c r="AR601">
        <v>9.9548359341269845E-3</v>
      </c>
      <c r="AS601">
        <v>221.13729607222109</v>
      </c>
      <c r="AT601">
        <v>541.1939383042004</v>
      </c>
      <c r="AU601">
        <v>6.3278028391867949</v>
      </c>
      <c r="AV601">
        <v>237.42701809474599</v>
      </c>
      <c r="AW601">
        <v>771.08096563044637</v>
      </c>
      <c r="AX601">
        <v>533.65394753570035</v>
      </c>
      <c r="AY601">
        <v>1.396629518204388</v>
      </c>
      <c r="AZ601" t="s">
        <v>103</v>
      </c>
      <c r="BA601" t="str">
        <f>VLOOKUP($AZ601,Sheet1!$A$2:$B$58,2)</f>
        <v>2,3-Butanediol</v>
      </c>
      <c r="BB601" t="s">
        <v>153</v>
      </c>
      <c r="BC601">
        <v>90.119200000000006</v>
      </c>
      <c r="BD601">
        <v>5.5</v>
      </c>
      <c r="BE601">
        <v>177</v>
      </c>
      <c r="BF601" t="s">
        <v>208</v>
      </c>
      <c r="BG601">
        <v>11.5432685441315</v>
      </c>
      <c r="BH601">
        <v>3.6183206106869599E-2</v>
      </c>
      <c r="BI601">
        <v>7.0841406134013907E-2</v>
      </c>
      <c r="BJ601">
        <v>80</v>
      </c>
      <c r="BK601">
        <v>13605.76052393281</v>
      </c>
      <c r="BL601">
        <v>9416.3494321061844</v>
      </c>
      <c r="BM601">
        <v>13.100326113672169</v>
      </c>
      <c r="BN601">
        <v>2227.0554393242692</v>
      </c>
      <c r="BO601">
        <v>11378.70508460854</v>
      </c>
    </row>
    <row r="602" spans="1:67" x14ac:dyDescent="0.25">
      <c r="A602" s="1">
        <v>600</v>
      </c>
      <c r="B602" t="s">
        <v>73</v>
      </c>
      <c r="C602" t="s">
        <v>85</v>
      </c>
      <c r="D602">
        <v>1</v>
      </c>
      <c r="E602">
        <v>1</v>
      </c>
      <c r="F602">
        <v>2</v>
      </c>
      <c r="G602">
        <v>45.016539999999999</v>
      </c>
      <c r="H602">
        <v>2</v>
      </c>
      <c r="I602" t="s">
        <v>89</v>
      </c>
      <c r="J602">
        <v>4</v>
      </c>
      <c r="K602">
        <v>300</v>
      </c>
      <c r="L602">
        <v>70</v>
      </c>
      <c r="N602" t="s">
        <v>82</v>
      </c>
      <c r="O602">
        <v>30</v>
      </c>
      <c r="P602">
        <v>0.5</v>
      </c>
      <c r="Q602">
        <v>3.2500000000000001E-2</v>
      </c>
      <c r="R602">
        <v>77.5</v>
      </c>
      <c r="S602">
        <v>170</v>
      </c>
      <c r="T602">
        <v>20</v>
      </c>
      <c r="U602">
        <v>1812.1301775147931</v>
      </c>
      <c r="V602">
        <v>20</v>
      </c>
      <c r="W602">
        <v>0.95</v>
      </c>
      <c r="X602">
        <v>1</v>
      </c>
      <c r="Y602">
        <v>317020.12070447189</v>
      </c>
      <c r="Z602">
        <v>951060362.1134156</v>
      </c>
      <c r="AA602">
        <v>3804241448.4536619</v>
      </c>
      <c r="AB602">
        <v>3804241.448453662</v>
      </c>
      <c r="AC602">
        <v>0</v>
      </c>
      <c r="AD602">
        <v>9857.0459729782997</v>
      </c>
      <c r="AE602">
        <v>17742682.751360942</v>
      </c>
      <c r="AF602">
        <v>12419877.92595266</v>
      </c>
      <c r="AG602">
        <v>559.09993144876478</v>
      </c>
      <c r="AH602">
        <v>3904.2773394369751</v>
      </c>
      <c r="AI602">
        <v>780.85546788739498</v>
      </c>
      <c r="AJ602">
        <v>123637.847074744</v>
      </c>
      <c r="AK602">
        <v>854.70085470085473</v>
      </c>
      <c r="AL602" t="s">
        <v>93</v>
      </c>
      <c r="AM602">
        <v>302581.49380636553</v>
      </c>
      <c r="AN602">
        <v>3537.8741336106382</v>
      </c>
      <c r="AO602">
        <v>132745.42954085709</v>
      </c>
      <c r="AP602">
        <v>430611.91586942109</v>
      </c>
      <c r="AQ602">
        <v>297866.48632856389</v>
      </c>
      <c r="AR602">
        <v>9.9548359341269845E-3</v>
      </c>
      <c r="AS602">
        <v>221.13729607222109</v>
      </c>
      <c r="AT602">
        <v>541.19393830420051</v>
      </c>
      <c r="AU602">
        <v>6.3278028391867984</v>
      </c>
      <c r="AV602">
        <v>237.4270180947461</v>
      </c>
      <c r="AW602">
        <v>770.18774578204705</v>
      </c>
      <c r="AX602">
        <v>532.76072768730091</v>
      </c>
      <c r="AY602">
        <v>1.396629518204388</v>
      </c>
      <c r="AZ602" t="s">
        <v>104</v>
      </c>
      <c r="BA602" t="str">
        <f>VLOOKUP($AZ602,Sheet1!$A$2:$B$58,2)</f>
        <v>2-Methyl-1-Butanol</v>
      </c>
      <c r="BB602" t="s">
        <v>157</v>
      </c>
      <c r="BC602">
        <v>88.14658</v>
      </c>
      <c r="BD602">
        <v>6</v>
      </c>
      <c r="BE602">
        <v>129</v>
      </c>
      <c r="BF602" t="s">
        <v>208</v>
      </c>
      <c r="BG602">
        <v>18.886341996435959</v>
      </c>
      <c r="BH602">
        <v>2.33497536945813E-2</v>
      </c>
      <c r="BI602">
        <v>4.4714725568323503E-2</v>
      </c>
      <c r="BJ602">
        <v>80</v>
      </c>
      <c r="BK602">
        <v>21530.59579347106</v>
      </c>
      <c r="BL602">
        <v>14893.324316428199</v>
      </c>
      <c r="BM602">
        <v>20.15643139793378</v>
      </c>
      <c r="BN602">
        <v>3426.5933376487419</v>
      </c>
      <c r="BO602">
        <v>18104.002455822319</v>
      </c>
    </row>
    <row r="603" spans="1:67" x14ac:dyDescent="0.25">
      <c r="A603" s="1">
        <v>601</v>
      </c>
      <c r="B603" t="s">
        <v>73</v>
      </c>
      <c r="C603" t="s">
        <v>85</v>
      </c>
      <c r="D603">
        <v>1</v>
      </c>
      <c r="E603">
        <v>1</v>
      </c>
      <c r="F603">
        <v>2</v>
      </c>
      <c r="G603">
        <v>45.016539999999999</v>
      </c>
      <c r="H603">
        <v>2</v>
      </c>
      <c r="I603" t="s">
        <v>89</v>
      </c>
      <c r="J603">
        <v>4</v>
      </c>
      <c r="K603">
        <v>300</v>
      </c>
      <c r="L603">
        <v>70</v>
      </c>
      <c r="N603" t="s">
        <v>82</v>
      </c>
      <c r="O603">
        <v>30</v>
      </c>
      <c r="P603">
        <v>0.5</v>
      </c>
      <c r="Q603">
        <v>3.2500000000000001E-2</v>
      </c>
      <c r="R603">
        <v>77.5</v>
      </c>
      <c r="S603">
        <v>170</v>
      </c>
      <c r="T603">
        <v>20</v>
      </c>
      <c r="U603">
        <v>1812.1301775147931</v>
      </c>
      <c r="V603">
        <v>20</v>
      </c>
      <c r="W603">
        <v>0.95</v>
      </c>
      <c r="X603">
        <v>1</v>
      </c>
      <c r="Y603">
        <v>126252.3754821469</v>
      </c>
      <c r="Z603">
        <v>378757126.4464407</v>
      </c>
      <c r="AA603">
        <v>1515028505.785763</v>
      </c>
      <c r="AB603">
        <v>1515028.505785763</v>
      </c>
      <c r="AC603">
        <v>0</v>
      </c>
      <c r="AD603">
        <v>3925.5409611219852</v>
      </c>
      <c r="AE603">
        <v>7065973.7300195731</v>
      </c>
      <c r="AF603">
        <v>4946181.6110137012</v>
      </c>
      <c r="AG603">
        <v>222.65998233946269</v>
      </c>
      <c r="AH603">
        <v>1554.867519290807</v>
      </c>
      <c r="AI603">
        <v>310.97350385816151</v>
      </c>
      <c r="AJ603">
        <v>49238.426438037292</v>
      </c>
      <c r="AK603">
        <v>1835.336538461539</v>
      </c>
      <c r="AL603" t="s">
        <v>94</v>
      </c>
      <c r="AM603">
        <v>120502.2327450376</v>
      </c>
      <c r="AN603">
        <v>1408.948468420934</v>
      </c>
      <c r="AO603">
        <v>52865.495655887447</v>
      </c>
      <c r="AP603">
        <v>172984.94418995731</v>
      </c>
      <c r="AQ603">
        <v>120119.4485340699</v>
      </c>
      <c r="AR603">
        <v>9.9548359341269845E-3</v>
      </c>
      <c r="AS603">
        <v>221.13729607222109</v>
      </c>
      <c r="AT603">
        <v>541.19393830420051</v>
      </c>
      <c r="AU603">
        <v>6.3278028391867958</v>
      </c>
      <c r="AV603">
        <v>237.42701809474599</v>
      </c>
      <c r="AW603">
        <v>776.90181402344729</v>
      </c>
      <c r="AX603">
        <v>539.47479592870127</v>
      </c>
      <c r="AY603">
        <v>1.396629518204388</v>
      </c>
      <c r="AZ603" t="s">
        <v>105</v>
      </c>
      <c r="BA603" t="str">
        <f>VLOOKUP($AZ603,Sheet1!$A$2:$B$58,2)</f>
        <v>2-Pyrone-4,6-Dicarboxylate</v>
      </c>
      <c r="BB603" t="s">
        <v>158</v>
      </c>
      <c r="BC603">
        <v>182.08457999999999</v>
      </c>
      <c r="BD603">
        <v>2.5714285714285721</v>
      </c>
      <c r="BE603">
        <v>355.5</v>
      </c>
      <c r="BF603" t="s">
        <v>208</v>
      </c>
      <c r="BG603">
        <v>6.8237150621938287</v>
      </c>
      <c r="BH603">
        <v>2.8383233532934201E-2</v>
      </c>
      <c r="BI603">
        <v>0.112278819648362</v>
      </c>
      <c r="BJ603">
        <v>80</v>
      </c>
      <c r="BK603">
        <v>8649.2472094978639</v>
      </c>
      <c r="BL603">
        <v>6005.9724267034926</v>
      </c>
      <c r="BM603">
        <v>8.7249601307142441</v>
      </c>
      <c r="BN603">
        <v>1483.243222221422</v>
      </c>
      <c r="BO603">
        <v>7166.0039872764428</v>
      </c>
    </row>
    <row r="604" spans="1:67" x14ac:dyDescent="0.25">
      <c r="A604" s="1">
        <v>602</v>
      </c>
      <c r="B604" t="s">
        <v>73</v>
      </c>
      <c r="C604" t="s">
        <v>85</v>
      </c>
      <c r="D604">
        <v>1</v>
      </c>
      <c r="E604">
        <v>1</v>
      </c>
      <c r="F604">
        <v>2</v>
      </c>
      <c r="G604">
        <v>45.016539999999999</v>
      </c>
      <c r="H604">
        <v>2</v>
      </c>
      <c r="I604" t="s">
        <v>89</v>
      </c>
      <c r="J604">
        <v>4</v>
      </c>
      <c r="K604">
        <v>300</v>
      </c>
      <c r="L604">
        <v>70</v>
      </c>
      <c r="N604" t="s">
        <v>82</v>
      </c>
      <c r="O604">
        <v>30</v>
      </c>
      <c r="P604">
        <v>0.5</v>
      </c>
      <c r="Q604">
        <v>3.2500000000000001E-2</v>
      </c>
      <c r="R604">
        <v>77.5</v>
      </c>
      <c r="S604">
        <v>170</v>
      </c>
      <c r="T604">
        <v>20</v>
      </c>
      <c r="U604">
        <v>1812.1301775147931</v>
      </c>
      <c r="V604">
        <v>20</v>
      </c>
      <c r="W604">
        <v>0.95</v>
      </c>
      <c r="X604">
        <v>1</v>
      </c>
      <c r="Y604">
        <v>324696.28757608827</v>
      </c>
      <c r="Z604">
        <v>974088862.72826481</v>
      </c>
      <c r="AA604">
        <v>3896355450.9130592</v>
      </c>
      <c r="AB604">
        <v>3896355.4509130591</v>
      </c>
      <c r="AC604">
        <v>0</v>
      </c>
      <c r="AD604">
        <v>10095.71956120872</v>
      </c>
      <c r="AE604">
        <v>18172295.210175689</v>
      </c>
      <c r="AF604">
        <v>12720606.647122979</v>
      </c>
      <c r="AG604">
        <v>572.63769795447763</v>
      </c>
      <c r="AH604">
        <v>3998.81356099916</v>
      </c>
      <c r="AI604">
        <v>799.76271219983209</v>
      </c>
      <c r="AJ604">
        <v>126631.5521546744</v>
      </c>
      <c r="AK604">
        <v>854.70085470085473</v>
      </c>
      <c r="AL604" t="s">
        <v>93</v>
      </c>
      <c r="AM604">
        <v>309908.05097743502</v>
      </c>
      <c r="AN604">
        <v>3623.5384509417349</v>
      </c>
      <c r="AO604">
        <v>135959.66107397151</v>
      </c>
      <c r="AP604">
        <v>441017.842437752</v>
      </c>
      <c r="AQ604">
        <v>305058.18136378052</v>
      </c>
      <c r="AR604">
        <v>9.9548359341269828E-3</v>
      </c>
      <c r="AS604">
        <v>221.13729607222109</v>
      </c>
      <c r="AT604">
        <v>541.19393830420051</v>
      </c>
      <c r="AU604">
        <v>6.3278028391867966</v>
      </c>
      <c r="AV604">
        <v>237.42701809474599</v>
      </c>
      <c r="AW604">
        <v>770.15160547954542</v>
      </c>
      <c r="AX604">
        <v>532.72458738479941</v>
      </c>
      <c r="AY604">
        <v>1.396629518204388</v>
      </c>
      <c r="AZ604" t="s">
        <v>106</v>
      </c>
      <c r="BA604" t="str">
        <f>VLOOKUP($AZ604,Sheet1!$A$2:$B$58,2)</f>
        <v>3-Methyl-1-Pentanol</v>
      </c>
      <c r="BB604" t="s">
        <v>159</v>
      </c>
      <c r="BC604">
        <v>102.17296</v>
      </c>
      <c r="BD604">
        <v>6</v>
      </c>
      <c r="BE604">
        <v>153</v>
      </c>
      <c r="BF604" t="s">
        <v>208</v>
      </c>
      <c r="BG604">
        <v>19.316062102011461</v>
      </c>
      <c r="BH604">
        <v>1.96680497925311E-2</v>
      </c>
      <c r="BI604">
        <v>4.36576217201603E-2</v>
      </c>
      <c r="BJ604">
        <v>80</v>
      </c>
      <c r="BK604">
        <v>22050.892121887598</v>
      </c>
      <c r="BL604">
        <v>15252.909068189019</v>
      </c>
      <c r="BM604">
        <v>20.672073507980151</v>
      </c>
      <c r="BN604">
        <v>3514.2524963566252</v>
      </c>
      <c r="BO604">
        <v>18536.63962553097</v>
      </c>
    </row>
    <row r="605" spans="1:67" x14ac:dyDescent="0.25">
      <c r="A605" s="1">
        <v>603</v>
      </c>
      <c r="B605" t="s">
        <v>73</v>
      </c>
      <c r="C605" t="s">
        <v>85</v>
      </c>
      <c r="D605">
        <v>1</v>
      </c>
      <c r="E605">
        <v>1</v>
      </c>
      <c r="F605">
        <v>2</v>
      </c>
      <c r="G605">
        <v>45.016539999999999</v>
      </c>
      <c r="H605">
        <v>2</v>
      </c>
      <c r="I605" t="s">
        <v>89</v>
      </c>
      <c r="J605">
        <v>4</v>
      </c>
      <c r="K605">
        <v>300</v>
      </c>
      <c r="L605">
        <v>70</v>
      </c>
      <c r="N605" t="s">
        <v>82</v>
      </c>
      <c r="O605">
        <v>30</v>
      </c>
      <c r="P605">
        <v>0.5</v>
      </c>
      <c r="Q605">
        <v>3.2500000000000001E-2</v>
      </c>
      <c r="R605">
        <v>77.5</v>
      </c>
      <c r="S605">
        <v>170</v>
      </c>
      <c r="T605">
        <v>20</v>
      </c>
      <c r="U605">
        <v>1812.1301775147931</v>
      </c>
      <c r="V605">
        <v>20</v>
      </c>
      <c r="W605">
        <v>0.95</v>
      </c>
      <c r="X605">
        <v>1</v>
      </c>
      <c r="Y605">
        <v>305909.8276307357</v>
      </c>
      <c r="Z605">
        <v>917729482.89220715</v>
      </c>
      <c r="AA605">
        <v>3670917931.5688291</v>
      </c>
      <c r="AB605">
        <v>3670917.9315688279</v>
      </c>
      <c r="AC605">
        <v>0</v>
      </c>
      <c r="AD605">
        <v>9511.5957556302037</v>
      </c>
      <c r="AE605">
        <v>17120872.360134371</v>
      </c>
      <c r="AF605">
        <v>11984610.652094049</v>
      </c>
      <c r="AG605">
        <v>539.50570480441809</v>
      </c>
      <c r="AH605">
        <v>3767.4479628475669</v>
      </c>
      <c r="AI605">
        <v>753.48959256951343</v>
      </c>
      <c r="AJ605">
        <v>119304.8327759869</v>
      </c>
      <c r="AK605">
        <v>854.70085470085473</v>
      </c>
      <c r="AL605" t="s">
        <v>93</v>
      </c>
      <c r="AM605">
        <v>291977.21712068637</v>
      </c>
      <c r="AN605">
        <v>3413.8857306188702</v>
      </c>
      <c r="AO605">
        <v>128093.23073681731</v>
      </c>
      <c r="AP605">
        <v>415550.63648199307</v>
      </c>
      <c r="AQ605">
        <v>287457.40574517578</v>
      </c>
      <c r="AR605">
        <v>9.9548359341269845E-3</v>
      </c>
      <c r="AS605">
        <v>221.13729607222109</v>
      </c>
      <c r="AT605">
        <v>541.1939383042004</v>
      </c>
      <c r="AU605">
        <v>6.3278028391867958</v>
      </c>
      <c r="AV605">
        <v>237.42701809474599</v>
      </c>
      <c r="AW605">
        <v>770.24326671881761</v>
      </c>
      <c r="AX605">
        <v>532.81624862407159</v>
      </c>
      <c r="AY605">
        <v>1.396629518204388</v>
      </c>
      <c r="AZ605" t="s">
        <v>107</v>
      </c>
      <c r="BA605" t="str">
        <f>VLOOKUP($AZ605,Sheet1!$A$2:$B$58,2)</f>
        <v>4-Hydroxystyrene</v>
      </c>
      <c r="BB605" t="s">
        <v>160</v>
      </c>
      <c r="BC605">
        <v>120.14731999999999</v>
      </c>
      <c r="BD605">
        <v>4.75</v>
      </c>
      <c r="BE605">
        <v>229</v>
      </c>
      <c r="BF605" t="s">
        <v>208</v>
      </c>
      <c r="BG605">
        <v>17.702969186474359</v>
      </c>
      <c r="BH605">
        <v>1.7752808988764E-2</v>
      </c>
      <c r="BI605">
        <v>4.6338712968870301E-2</v>
      </c>
      <c r="BJ605">
        <v>80</v>
      </c>
      <c r="BK605">
        <v>20777.531824099649</v>
      </c>
      <c r="BL605">
        <v>14372.870287258789</v>
      </c>
      <c r="BM605">
        <v>19.971510442001311</v>
      </c>
      <c r="BN605">
        <v>3395.1567751402231</v>
      </c>
      <c r="BO605">
        <v>17382.375048959431</v>
      </c>
    </row>
    <row r="606" spans="1:67" x14ac:dyDescent="0.25">
      <c r="A606" s="1">
        <v>604</v>
      </c>
      <c r="B606" t="s">
        <v>73</v>
      </c>
      <c r="C606" t="s">
        <v>85</v>
      </c>
      <c r="D606">
        <v>1</v>
      </c>
      <c r="E606">
        <v>1</v>
      </c>
      <c r="F606">
        <v>2</v>
      </c>
      <c r="G606">
        <v>45.016539999999999</v>
      </c>
      <c r="H606">
        <v>2</v>
      </c>
      <c r="I606" t="s">
        <v>89</v>
      </c>
      <c r="J606">
        <v>4</v>
      </c>
      <c r="K606">
        <v>300</v>
      </c>
      <c r="L606">
        <v>70</v>
      </c>
      <c r="N606" t="s">
        <v>82</v>
      </c>
      <c r="O606">
        <v>30</v>
      </c>
      <c r="P606">
        <v>0.5</v>
      </c>
      <c r="Q606">
        <v>3.2500000000000001E-2</v>
      </c>
      <c r="R606">
        <v>77.5</v>
      </c>
      <c r="S606">
        <v>170</v>
      </c>
      <c r="T606">
        <v>20</v>
      </c>
      <c r="U606">
        <v>1812.1301775147931</v>
      </c>
      <c r="V606">
        <v>20</v>
      </c>
      <c r="W606">
        <v>0.95</v>
      </c>
      <c r="X606">
        <v>1</v>
      </c>
      <c r="Y606">
        <v>225619.06959157021</v>
      </c>
      <c r="Z606">
        <v>676857208.77471042</v>
      </c>
      <c r="AA606">
        <v>2707428835.0988421</v>
      </c>
      <c r="AB606">
        <v>2707428.8350988422</v>
      </c>
      <c r="AC606">
        <v>0</v>
      </c>
      <c r="AD606">
        <v>7015.1305740554744</v>
      </c>
      <c r="AE606">
        <v>12627235.03329985</v>
      </c>
      <c r="AF606">
        <v>8839064.5233098958</v>
      </c>
      <c r="AG606">
        <v>397.90410167616079</v>
      </c>
      <c r="AH606">
        <v>2778.623069077632</v>
      </c>
      <c r="AI606">
        <v>555.72461381552648</v>
      </c>
      <c r="AJ606">
        <v>87991.437140712354</v>
      </c>
      <c r="AK606">
        <v>854.70085470085473</v>
      </c>
      <c r="AL606" t="s">
        <v>93</v>
      </c>
      <c r="AM606">
        <v>215343.28785351649</v>
      </c>
      <c r="AN606">
        <v>2517.8587043104831</v>
      </c>
      <c r="AO606">
        <v>94473.184348639508</v>
      </c>
      <c r="AP606">
        <v>306707.28455324023</v>
      </c>
      <c r="AQ606">
        <v>212234.10020460069</v>
      </c>
      <c r="AR606">
        <v>9.9548359341269845E-3</v>
      </c>
      <c r="AS606">
        <v>221.13729607222109</v>
      </c>
      <c r="AT606">
        <v>541.19393830420051</v>
      </c>
      <c r="AU606">
        <v>6.3278028391867966</v>
      </c>
      <c r="AV606">
        <v>237.42701809474599</v>
      </c>
      <c r="AW606">
        <v>770.80704436381438</v>
      </c>
      <c r="AX606">
        <v>533.38002626906837</v>
      </c>
      <c r="AY606">
        <v>1.396629518204388</v>
      </c>
      <c r="AZ606" t="s">
        <v>108</v>
      </c>
      <c r="BA606" t="str">
        <f>VLOOKUP($AZ606,Sheet1!$A$2:$B$58,2)</f>
        <v>5-Aminopentanoate</v>
      </c>
      <c r="BB606" t="s">
        <v>161</v>
      </c>
      <c r="BC606">
        <v>117.14444</v>
      </c>
      <c r="BD606">
        <v>4.8</v>
      </c>
      <c r="BE606">
        <v>247.5</v>
      </c>
      <c r="BF606" t="s">
        <v>208</v>
      </c>
      <c r="BG606">
        <v>13.339374402266101</v>
      </c>
      <c r="BH606">
        <v>2.4687500000000001E-2</v>
      </c>
      <c r="BI606">
        <v>6.2829209085023596E-2</v>
      </c>
      <c r="BJ606">
        <v>80</v>
      </c>
      <c r="BK606">
        <v>15335.36422766201</v>
      </c>
      <c r="BL606">
        <v>10611.70501023004</v>
      </c>
      <c r="BM606">
        <v>14.446856288510229</v>
      </c>
      <c r="BN606">
        <v>2455.965569046738</v>
      </c>
      <c r="BO606">
        <v>12879.39865861527</v>
      </c>
    </row>
    <row r="607" spans="1:67" x14ac:dyDescent="0.25">
      <c r="A607" s="1">
        <v>605</v>
      </c>
      <c r="B607" t="s">
        <v>73</v>
      </c>
      <c r="C607" t="s">
        <v>85</v>
      </c>
      <c r="D607">
        <v>1</v>
      </c>
      <c r="E607">
        <v>1</v>
      </c>
      <c r="F607">
        <v>2</v>
      </c>
      <c r="G607">
        <v>45.016539999999999</v>
      </c>
      <c r="H607">
        <v>2</v>
      </c>
      <c r="I607" t="s">
        <v>89</v>
      </c>
      <c r="J607">
        <v>4</v>
      </c>
      <c r="K607">
        <v>300</v>
      </c>
      <c r="L607">
        <v>70</v>
      </c>
      <c r="N607" t="s">
        <v>82</v>
      </c>
      <c r="O607">
        <v>30</v>
      </c>
      <c r="P607">
        <v>0.5</v>
      </c>
      <c r="Q607">
        <v>3.2500000000000001E-2</v>
      </c>
      <c r="R607">
        <v>77.5</v>
      </c>
      <c r="S607">
        <v>170</v>
      </c>
      <c r="T607">
        <v>20</v>
      </c>
      <c r="U607">
        <v>1812.1301775147931</v>
      </c>
      <c r="V607">
        <v>20</v>
      </c>
      <c r="W607">
        <v>0.95</v>
      </c>
      <c r="X607">
        <v>1</v>
      </c>
      <c r="Y607">
        <v>215687.4862197981</v>
      </c>
      <c r="Z607">
        <v>647062458.65939426</v>
      </c>
      <c r="AA607">
        <v>2588249834.6375771</v>
      </c>
      <c r="AB607">
        <v>2588249.8346375772</v>
      </c>
      <c r="AC607">
        <v>0</v>
      </c>
      <c r="AD607">
        <v>6706.329752005181</v>
      </c>
      <c r="AE607">
        <v>12071393.55360933</v>
      </c>
      <c r="AF607">
        <v>8449975.4875265285</v>
      </c>
      <c r="AG607">
        <v>380.38865953325751</v>
      </c>
      <c r="AH607">
        <v>2656.3101514717309</v>
      </c>
      <c r="AI607">
        <v>531.26203029434635</v>
      </c>
      <c r="AJ607">
        <v>84118.119625721258</v>
      </c>
      <c r="AK607">
        <v>854.70085470085473</v>
      </c>
      <c r="AL607" t="s">
        <v>93</v>
      </c>
      <c r="AM607">
        <v>205864.0367390592</v>
      </c>
      <c r="AN607">
        <v>2407.024439789006</v>
      </c>
      <c r="AO607">
        <v>90314.545150038874</v>
      </c>
      <c r="AP607">
        <v>293243.88165927032</v>
      </c>
      <c r="AQ607">
        <v>202929.33650923139</v>
      </c>
      <c r="AR607">
        <v>9.9548359341269828E-3</v>
      </c>
      <c r="AS607">
        <v>221.13729607222109</v>
      </c>
      <c r="AT607">
        <v>541.19393830420017</v>
      </c>
      <c r="AU607">
        <v>6.3278028391867958</v>
      </c>
      <c r="AV607">
        <v>237.4270180947459</v>
      </c>
      <c r="AW607">
        <v>770.90595187323652</v>
      </c>
      <c r="AX607">
        <v>533.47893377849061</v>
      </c>
      <c r="AY607">
        <v>1.396629518204388</v>
      </c>
      <c r="AZ607" t="s">
        <v>109</v>
      </c>
      <c r="BA607" t="str">
        <f>VLOOKUP($AZ607,Sheet1!$A$2:$B$58,2)</f>
        <v>Acetone</v>
      </c>
      <c r="BB607" t="s">
        <v>162</v>
      </c>
      <c r="BC607">
        <v>58.078139999999998</v>
      </c>
      <c r="BD607">
        <v>5.333333333333333</v>
      </c>
      <c r="BE607">
        <v>56</v>
      </c>
      <c r="BF607" t="s">
        <v>208</v>
      </c>
      <c r="BG607">
        <v>12.274630721971951</v>
      </c>
      <c r="BH607">
        <v>5.2087912087911997E-2</v>
      </c>
      <c r="BI607">
        <v>6.5722253735627595E-2</v>
      </c>
      <c r="BJ607">
        <v>80</v>
      </c>
      <c r="BK607">
        <v>14662.19408296352</v>
      </c>
      <c r="BL607">
        <v>10146.46682546157</v>
      </c>
      <c r="BM607">
        <v>14.288470792745359</v>
      </c>
      <c r="BN607">
        <v>2429.040034766711</v>
      </c>
      <c r="BO607">
        <v>12233.1540481968</v>
      </c>
    </row>
    <row r="608" spans="1:67" x14ac:dyDescent="0.25">
      <c r="A608" s="1">
        <v>606</v>
      </c>
      <c r="B608" t="s">
        <v>73</v>
      </c>
      <c r="C608" t="s">
        <v>85</v>
      </c>
      <c r="D608">
        <v>1</v>
      </c>
      <c r="E608">
        <v>1</v>
      </c>
      <c r="F608">
        <v>2</v>
      </c>
      <c r="G608">
        <v>45.016539999999999</v>
      </c>
      <c r="H608">
        <v>2</v>
      </c>
      <c r="I608" t="s">
        <v>89</v>
      </c>
      <c r="J608">
        <v>4</v>
      </c>
      <c r="K608">
        <v>300</v>
      </c>
      <c r="L608">
        <v>70</v>
      </c>
      <c r="N608" t="s">
        <v>82</v>
      </c>
      <c r="O608">
        <v>30</v>
      </c>
      <c r="P608">
        <v>0.5</v>
      </c>
      <c r="Q608">
        <v>3.2500000000000001E-2</v>
      </c>
      <c r="R608">
        <v>77.5</v>
      </c>
      <c r="S608">
        <v>170</v>
      </c>
      <c r="T608">
        <v>20</v>
      </c>
      <c r="U608">
        <v>1812.1301775147931</v>
      </c>
      <c r="V608">
        <v>20</v>
      </c>
      <c r="W608">
        <v>0.95</v>
      </c>
      <c r="X608">
        <v>1</v>
      </c>
      <c r="Y608">
        <v>174362.28680598061</v>
      </c>
      <c r="Z608">
        <v>523086860.41794193</v>
      </c>
      <c r="AA608">
        <v>2092347441.671767</v>
      </c>
      <c r="AB608">
        <v>2092347.441671768</v>
      </c>
      <c r="AC608">
        <v>0</v>
      </c>
      <c r="AD608">
        <v>5421.4132313776981</v>
      </c>
      <c r="AE608">
        <v>9758543.8164798561</v>
      </c>
      <c r="AF608">
        <v>6830980.6715358989</v>
      </c>
      <c r="AG608">
        <v>307.50711463942258</v>
      </c>
      <c r="AH608">
        <v>2147.3675668163919</v>
      </c>
      <c r="AI608">
        <v>429.47351336327853</v>
      </c>
      <c r="AJ608">
        <v>68001.291854332449</v>
      </c>
      <c r="AK608">
        <v>854.70085470085473</v>
      </c>
      <c r="AL608" t="s">
        <v>93</v>
      </c>
      <c r="AM608">
        <v>166420.98642827041</v>
      </c>
      <c r="AN608">
        <v>1945.844393085478</v>
      </c>
      <c r="AO608">
        <v>73010.49727175734</v>
      </c>
      <c r="AP608">
        <v>237222.8235303892</v>
      </c>
      <c r="AQ608">
        <v>164212.3262586318</v>
      </c>
      <c r="AR608">
        <v>9.9548359341269845E-3</v>
      </c>
      <c r="AS608">
        <v>221.13729607222109</v>
      </c>
      <c r="AT608">
        <v>541.19393830420051</v>
      </c>
      <c r="AU608">
        <v>6.3278028391867966</v>
      </c>
      <c r="AV608">
        <v>237.42701809474599</v>
      </c>
      <c r="AW608">
        <v>771.43848788198738</v>
      </c>
      <c r="AX608">
        <v>534.01146978724137</v>
      </c>
      <c r="AY608">
        <v>1.396629518204388</v>
      </c>
      <c r="AZ608" t="s">
        <v>110</v>
      </c>
      <c r="BA608" t="str">
        <f>VLOOKUP($AZ608,Sheet1!$A$2:$B$58,2)</f>
        <v>Acrylate (PW1)</v>
      </c>
      <c r="BB608" t="s">
        <v>163</v>
      </c>
      <c r="BC608">
        <v>71.053619999999995</v>
      </c>
      <c r="BD608">
        <v>3.666666666666667</v>
      </c>
      <c r="BE608">
        <v>80</v>
      </c>
      <c r="BF608" t="s">
        <v>208</v>
      </c>
      <c r="BG608">
        <v>9.9024217399817491</v>
      </c>
      <c r="BH608">
        <v>5.2666666666666903E-2</v>
      </c>
      <c r="BI608">
        <v>8.12989319915884E-2</v>
      </c>
      <c r="BJ608">
        <v>80</v>
      </c>
      <c r="BK608">
        <v>11861.141176519461</v>
      </c>
      <c r="BL608">
        <v>8210.6163129315901</v>
      </c>
      <c r="BM608">
        <v>11.57125392818218</v>
      </c>
      <c r="BN608">
        <v>1967.11316779097</v>
      </c>
      <c r="BO608">
        <v>9894.0280087284882</v>
      </c>
    </row>
    <row r="609" spans="1:67" x14ac:dyDescent="0.25">
      <c r="A609" s="1">
        <v>607</v>
      </c>
      <c r="B609" t="s">
        <v>73</v>
      </c>
      <c r="C609" t="s">
        <v>85</v>
      </c>
      <c r="D609">
        <v>1</v>
      </c>
      <c r="E609">
        <v>1</v>
      </c>
      <c r="F609">
        <v>2</v>
      </c>
      <c r="G609">
        <v>45.016539999999999</v>
      </c>
      <c r="H609">
        <v>2</v>
      </c>
      <c r="I609" t="s">
        <v>89</v>
      </c>
      <c r="J609">
        <v>4</v>
      </c>
      <c r="K609">
        <v>300</v>
      </c>
      <c r="L609">
        <v>70</v>
      </c>
      <c r="N609" t="s">
        <v>82</v>
      </c>
      <c r="O609">
        <v>30</v>
      </c>
      <c r="P609">
        <v>0.5</v>
      </c>
      <c r="Q609">
        <v>3.2500000000000001E-2</v>
      </c>
      <c r="R609">
        <v>77.5</v>
      </c>
      <c r="S609">
        <v>170</v>
      </c>
      <c r="T609">
        <v>20</v>
      </c>
      <c r="U609">
        <v>1812.1301775147931</v>
      </c>
      <c r="V609">
        <v>20</v>
      </c>
      <c r="W609">
        <v>0.95</v>
      </c>
      <c r="X609">
        <v>1</v>
      </c>
      <c r="Y609">
        <v>147239.26441393909</v>
      </c>
      <c r="Z609">
        <v>441717793.24181741</v>
      </c>
      <c r="AA609">
        <v>1766871172.9672689</v>
      </c>
      <c r="AB609">
        <v>1766871.1729672691</v>
      </c>
      <c r="AC609">
        <v>0</v>
      </c>
      <c r="AD609">
        <v>4578.0822842744983</v>
      </c>
      <c r="AE609">
        <v>8240548.1116940985</v>
      </c>
      <c r="AF609">
        <v>5768383.6781858681</v>
      </c>
      <c r="AG609">
        <v>259.67267458440119</v>
      </c>
      <c r="AH609">
        <v>1813.332611978286</v>
      </c>
      <c r="AI609">
        <v>362.66652239565718</v>
      </c>
      <c r="AJ609">
        <v>57423.313121436258</v>
      </c>
      <c r="AK609">
        <v>854.70085470085473</v>
      </c>
      <c r="AL609" t="s">
        <v>93</v>
      </c>
      <c r="AM609">
        <v>140533.27742831709</v>
      </c>
      <c r="AN609">
        <v>1643.1574874944031</v>
      </c>
      <c r="AO609">
        <v>61653.308807261717</v>
      </c>
      <c r="AP609">
        <v>200454.44889194859</v>
      </c>
      <c r="AQ609">
        <v>138801.14008468689</v>
      </c>
      <c r="AR609">
        <v>9.9548359341269828E-3</v>
      </c>
      <c r="AS609">
        <v>221.13729607222109</v>
      </c>
      <c r="AT609">
        <v>541.19393830420029</v>
      </c>
      <c r="AU609">
        <v>6.3278028391867958</v>
      </c>
      <c r="AV609">
        <v>237.42701809474599</v>
      </c>
      <c r="AW609">
        <v>771.95049195210981</v>
      </c>
      <c r="AX609">
        <v>534.5234738573638</v>
      </c>
      <c r="AY609">
        <v>1.396629518204388</v>
      </c>
      <c r="AZ609" t="s">
        <v>111</v>
      </c>
      <c r="BA609" t="str">
        <f>VLOOKUP($AZ609,Sheet1!$A$2:$B$58,2)</f>
        <v>Acrylate (PW2)</v>
      </c>
      <c r="BB609" t="s">
        <v>163</v>
      </c>
      <c r="BC609">
        <v>71.053619999999995</v>
      </c>
      <c r="BD609">
        <v>3.666666666666667</v>
      </c>
      <c r="BE609">
        <v>80</v>
      </c>
      <c r="BF609" t="s">
        <v>208</v>
      </c>
      <c r="BG609">
        <v>8.0729957125372458</v>
      </c>
      <c r="BH609">
        <v>6.2368421052631899E-2</v>
      </c>
      <c r="BI609">
        <v>9.6275051042670506E-2</v>
      </c>
      <c r="BJ609">
        <v>80</v>
      </c>
      <c r="BK609">
        <v>10022.72244459743</v>
      </c>
      <c r="BL609">
        <v>6940.057004234347</v>
      </c>
      <c r="BM609">
        <v>10.06033040724561</v>
      </c>
      <c r="BN609">
        <v>1710.256169231754</v>
      </c>
      <c r="BO609">
        <v>8312.4662753656794</v>
      </c>
    </row>
    <row r="610" spans="1:67" x14ac:dyDescent="0.25">
      <c r="A610" s="1">
        <v>608</v>
      </c>
      <c r="B610" t="s">
        <v>73</v>
      </c>
      <c r="C610" t="s">
        <v>85</v>
      </c>
      <c r="D610">
        <v>1</v>
      </c>
      <c r="E610">
        <v>1</v>
      </c>
      <c r="F610">
        <v>2</v>
      </c>
      <c r="G610">
        <v>45.016539999999999</v>
      </c>
      <c r="H610">
        <v>2</v>
      </c>
      <c r="I610" t="s">
        <v>89</v>
      </c>
      <c r="J610">
        <v>4</v>
      </c>
      <c r="K610">
        <v>300</v>
      </c>
      <c r="L610">
        <v>70</v>
      </c>
      <c r="N610" t="s">
        <v>82</v>
      </c>
      <c r="O610">
        <v>30</v>
      </c>
      <c r="P610">
        <v>0.5</v>
      </c>
      <c r="Q610">
        <v>3.2500000000000001E-2</v>
      </c>
      <c r="R610">
        <v>77.5</v>
      </c>
      <c r="S610">
        <v>170</v>
      </c>
      <c r="T610">
        <v>20</v>
      </c>
      <c r="U610">
        <v>1812.1301775147931</v>
      </c>
      <c r="V610">
        <v>20</v>
      </c>
      <c r="W610">
        <v>0.95</v>
      </c>
      <c r="X610">
        <v>1</v>
      </c>
      <c r="Y610">
        <v>195801.9733089139</v>
      </c>
      <c r="Z610">
        <v>587405919.92674184</v>
      </c>
      <c r="AA610">
        <v>2349623679.7069669</v>
      </c>
      <c r="AB610">
        <v>2349623.679706967</v>
      </c>
      <c r="AC610">
        <v>0</v>
      </c>
      <c r="AD610">
        <v>6088.0333027979004</v>
      </c>
      <c r="AE610">
        <v>10958459.945036219</v>
      </c>
      <c r="AF610">
        <v>7670921.9615253527</v>
      </c>
      <c r="AG610">
        <v>345.31836531788451</v>
      </c>
      <c r="AH610">
        <v>2411.4091109052201</v>
      </c>
      <c r="AI610">
        <v>482.28182218104399</v>
      </c>
      <c r="AJ610">
        <v>76362.76959047644</v>
      </c>
      <c r="AK610">
        <v>854.70085470085473</v>
      </c>
      <c r="AL610" t="s">
        <v>93</v>
      </c>
      <c r="AM610">
        <v>186884.20609515451</v>
      </c>
      <c r="AN610">
        <v>2185.1065324818519</v>
      </c>
      <c r="AO610">
        <v>81987.909770777478</v>
      </c>
      <c r="AP610">
        <v>266286.78307281359</v>
      </c>
      <c r="AQ610">
        <v>184298.8733020362</v>
      </c>
      <c r="AR610">
        <v>9.9548359341269845E-3</v>
      </c>
      <c r="AS610">
        <v>221.13729607222109</v>
      </c>
      <c r="AT610">
        <v>541.1939383042004</v>
      </c>
      <c r="AU610">
        <v>6.3278028391867949</v>
      </c>
      <c r="AV610">
        <v>237.42701809474599</v>
      </c>
      <c r="AW610">
        <v>771.13414697096141</v>
      </c>
      <c r="AX610">
        <v>533.70712887621539</v>
      </c>
      <c r="AY610">
        <v>1.396629518204388</v>
      </c>
      <c r="AZ610" t="s">
        <v>112</v>
      </c>
      <c r="BA610" t="str">
        <f>VLOOKUP($AZ610,Sheet1!$A$2:$B$58,2)</f>
        <v>Adipate</v>
      </c>
      <c r="BB610" t="s">
        <v>164</v>
      </c>
      <c r="BC610">
        <v>144.12291999999999</v>
      </c>
      <c r="BD610">
        <v>4</v>
      </c>
      <c r="BE610">
        <v>337.5</v>
      </c>
      <c r="BF610" t="s">
        <v>208</v>
      </c>
      <c r="BG610">
        <v>11.37449946163566</v>
      </c>
      <c r="BH610">
        <v>2.3121951219512299E-2</v>
      </c>
      <c r="BI610">
        <v>7.2396960344075903E-2</v>
      </c>
      <c r="BJ610">
        <v>80</v>
      </c>
      <c r="BK610">
        <v>13314.339153640691</v>
      </c>
      <c r="BL610">
        <v>9214.9436651018095</v>
      </c>
      <c r="BM610">
        <v>12.73959164741653</v>
      </c>
      <c r="BN610">
        <v>2165.730580060811</v>
      </c>
      <c r="BO610">
        <v>11148.608573579881</v>
      </c>
    </row>
    <row r="611" spans="1:67" x14ac:dyDescent="0.25">
      <c r="A611" s="1">
        <v>609</v>
      </c>
      <c r="B611" t="s">
        <v>73</v>
      </c>
      <c r="C611" t="s">
        <v>85</v>
      </c>
      <c r="D611">
        <v>1</v>
      </c>
      <c r="E611">
        <v>1</v>
      </c>
      <c r="F611">
        <v>2</v>
      </c>
      <c r="G611">
        <v>45.016539999999999</v>
      </c>
      <c r="H611">
        <v>2</v>
      </c>
      <c r="I611" t="s">
        <v>89</v>
      </c>
      <c r="J611">
        <v>4</v>
      </c>
      <c r="K611">
        <v>300</v>
      </c>
      <c r="L611">
        <v>70</v>
      </c>
      <c r="N611" t="s">
        <v>82</v>
      </c>
      <c r="O611">
        <v>30</v>
      </c>
      <c r="P611">
        <v>0.5</v>
      </c>
      <c r="Q611">
        <v>3.2500000000000001E-2</v>
      </c>
      <c r="R611">
        <v>77.5</v>
      </c>
      <c r="S611">
        <v>170</v>
      </c>
      <c r="T611">
        <v>20</v>
      </c>
      <c r="U611">
        <v>1812.1301775147931</v>
      </c>
      <c r="V611">
        <v>20</v>
      </c>
      <c r="W611">
        <v>0.95</v>
      </c>
      <c r="X611">
        <v>1</v>
      </c>
      <c r="Y611">
        <v>254599.0270231441</v>
      </c>
      <c r="Z611">
        <v>763797081.06943238</v>
      </c>
      <c r="AA611">
        <v>3055188324.27773</v>
      </c>
      <c r="AB611">
        <v>3055188.3242777302</v>
      </c>
      <c r="AC611">
        <v>0</v>
      </c>
      <c r="AD611">
        <v>7916.1988471455279</v>
      </c>
      <c r="AE611">
        <v>14249157.924861951</v>
      </c>
      <c r="AF611">
        <v>9974410.5474033654</v>
      </c>
      <c r="AG611">
        <v>449.01345138360551</v>
      </c>
      <c r="AH611">
        <v>3135.527201365871</v>
      </c>
      <c r="AI611">
        <v>627.10544027317428</v>
      </c>
      <c r="AJ611">
        <v>99293.620539026218</v>
      </c>
      <c r="AK611">
        <v>854.70085470085473</v>
      </c>
      <c r="AL611" t="s">
        <v>93</v>
      </c>
      <c r="AM611">
        <v>243003.358105855</v>
      </c>
      <c r="AN611">
        <v>2841.2685924982402</v>
      </c>
      <c r="AO611">
        <v>106607.92484643959</v>
      </c>
      <c r="AP611">
        <v>345992.94809208042</v>
      </c>
      <c r="AQ611">
        <v>239385.0232456408</v>
      </c>
      <c r="AR611">
        <v>9.9548359341269828E-3</v>
      </c>
      <c r="AS611">
        <v>221.13729607222109</v>
      </c>
      <c r="AT611">
        <v>541.19393830420029</v>
      </c>
      <c r="AU611">
        <v>6.3278028391867931</v>
      </c>
      <c r="AV611">
        <v>237.4270180947459</v>
      </c>
      <c r="AW611">
        <v>770.56254556723388</v>
      </c>
      <c r="AX611">
        <v>533.13552747248798</v>
      </c>
      <c r="AY611">
        <v>1.396629518204388</v>
      </c>
      <c r="AZ611" t="s">
        <v>113</v>
      </c>
      <c r="BA611" t="str">
        <f>VLOOKUP($AZ611,Sheet1!$A$2:$B$58,2)</f>
        <v>Benzoate (PW1)</v>
      </c>
      <c r="BB611" t="s">
        <v>165</v>
      </c>
      <c r="BC611">
        <v>121.1121</v>
      </c>
      <c r="BD611">
        <v>4.1428571428571432</v>
      </c>
      <c r="BE611">
        <v>249.2</v>
      </c>
      <c r="BF611" t="s">
        <v>208</v>
      </c>
      <c r="BG611">
        <v>14.62882295290421</v>
      </c>
      <c r="BH611">
        <v>2.11607142857143E-2</v>
      </c>
      <c r="BI611">
        <v>5.5677619285044E-2</v>
      </c>
      <c r="BJ611">
        <v>80</v>
      </c>
      <c r="BK611">
        <v>17299.64740460402</v>
      </c>
      <c r="BL611">
        <v>11969.25116228204</v>
      </c>
      <c r="BM611">
        <v>16.726449060754511</v>
      </c>
      <c r="BN611">
        <v>2843.4963403282668</v>
      </c>
      <c r="BO611">
        <v>14456.151064275749</v>
      </c>
    </row>
    <row r="612" spans="1:67" x14ac:dyDescent="0.25">
      <c r="A612" s="1">
        <v>610</v>
      </c>
      <c r="B612" t="s">
        <v>73</v>
      </c>
      <c r="C612" t="s">
        <v>85</v>
      </c>
      <c r="D612">
        <v>1</v>
      </c>
      <c r="E612">
        <v>1</v>
      </c>
      <c r="F612">
        <v>2</v>
      </c>
      <c r="G612">
        <v>45.016539999999999</v>
      </c>
      <c r="H612">
        <v>2</v>
      </c>
      <c r="I612" t="s">
        <v>89</v>
      </c>
      <c r="J612">
        <v>4</v>
      </c>
      <c r="K612">
        <v>300</v>
      </c>
      <c r="L612">
        <v>70</v>
      </c>
      <c r="N612" t="s">
        <v>82</v>
      </c>
      <c r="O612">
        <v>30</v>
      </c>
      <c r="P612">
        <v>0.5</v>
      </c>
      <c r="Q612">
        <v>3.2500000000000001E-2</v>
      </c>
      <c r="R612">
        <v>77.5</v>
      </c>
      <c r="S612">
        <v>170</v>
      </c>
      <c r="T612">
        <v>20</v>
      </c>
      <c r="U612">
        <v>1812.1301775147931</v>
      </c>
      <c r="V612">
        <v>20</v>
      </c>
      <c r="W612">
        <v>0.95</v>
      </c>
      <c r="X612">
        <v>1</v>
      </c>
      <c r="Y612">
        <v>254599.02702314279</v>
      </c>
      <c r="Z612">
        <v>763797081.06942844</v>
      </c>
      <c r="AA612">
        <v>3055188324.2777138</v>
      </c>
      <c r="AB612">
        <v>3055188.3242777139</v>
      </c>
      <c r="AC612">
        <v>0</v>
      </c>
      <c r="AD612">
        <v>7916.198847145487</v>
      </c>
      <c r="AE612">
        <v>14249157.92486188</v>
      </c>
      <c r="AF612">
        <v>9974410.5474033132</v>
      </c>
      <c r="AG612">
        <v>449.01345138360318</v>
      </c>
      <c r="AH612">
        <v>3135.5272013658559</v>
      </c>
      <c r="AI612">
        <v>627.10544027317121</v>
      </c>
      <c r="AJ612">
        <v>99293.620539025709</v>
      </c>
      <c r="AK612">
        <v>854.70085470085473</v>
      </c>
      <c r="AL612" t="s">
        <v>93</v>
      </c>
      <c r="AM612">
        <v>243003.35810585381</v>
      </c>
      <c r="AN612">
        <v>2841.268592498227</v>
      </c>
      <c r="AO612">
        <v>106607.9248464391</v>
      </c>
      <c r="AP612">
        <v>345992.94809207862</v>
      </c>
      <c r="AQ612">
        <v>239385.02324563949</v>
      </c>
      <c r="AR612">
        <v>9.9548359341269845E-3</v>
      </c>
      <c r="AS612">
        <v>221.13729607222109</v>
      </c>
      <c r="AT612">
        <v>541.19393830420051</v>
      </c>
      <c r="AU612">
        <v>6.3278028391867966</v>
      </c>
      <c r="AV612">
        <v>237.42701809474599</v>
      </c>
      <c r="AW612">
        <v>770.56254556723388</v>
      </c>
      <c r="AX612">
        <v>533.13552747248787</v>
      </c>
      <c r="AY612">
        <v>1.396629518204388</v>
      </c>
      <c r="AZ612" t="s">
        <v>114</v>
      </c>
      <c r="BA612" t="str">
        <f>VLOOKUP($AZ612,Sheet1!$A$2:$B$58,2)</f>
        <v>Benzoate (PW2)</v>
      </c>
      <c r="BB612" t="s">
        <v>165</v>
      </c>
      <c r="BC612">
        <v>121.1121</v>
      </c>
      <c r="BD612">
        <v>4.1428571428571432</v>
      </c>
      <c r="BE612">
        <v>249.2</v>
      </c>
      <c r="BF612" t="s">
        <v>208</v>
      </c>
      <c r="BG612">
        <v>14.628822952904139</v>
      </c>
      <c r="BH612">
        <v>2.1160714285714501E-2</v>
      </c>
      <c r="BI612">
        <v>5.5677619285044298E-2</v>
      </c>
      <c r="BJ612">
        <v>80</v>
      </c>
      <c r="BK612">
        <v>17299.647404603929</v>
      </c>
      <c r="BL612">
        <v>11969.251162281969</v>
      </c>
      <c r="BM612">
        <v>16.726449060754419</v>
      </c>
      <c r="BN612">
        <v>2843.4963403282509</v>
      </c>
      <c r="BO612">
        <v>14456.15106427568</v>
      </c>
    </row>
    <row r="613" spans="1:67" x14ac:dyDescent="0.25">
      <c r="A613" s="1">
        <v>611</v>
      </c>
      <c r="B613" t="s">
        <v>73</v>
      </c>
      <c r="C613" t="s">
        <v>85</v>
      </c>
      <c r="D613">
        <v>1</v>
      </c>
      <c r="E613">
        <v>1</v>
      </c>
      <c r="F613">
        <v>2</v>
      </c>
      <c r="G613">
        <v>45.016539999999999</v>
      </c>
      <c r="H613">
        <v>2</v>
      </c>
      <c r="I613" t="s">
        <v>89</v>
      </c>
      <c r="J613">
        <v>4</v>
      </c>
      <c r="K613">
        <v>300</v>
      </c>
      <c r="L613">
        <v>70</v>
      </c>
      <c r="N613" t="s">
        <v>82</v>
      </c>
      <c r="O613">
        <v>30</v>
      </c>
      <c r="P613">
        <v>0.5</v>
      </c>
      <c r="Q613">
        <v>3.2500000000000001E-2</v>
      </c>
      <c r="R613">
        <v>77.5</v>
      </c>
      <c r="S613">
        <v>170</v>
      </c>
      <c r="T613">
        <v>20</v>
      </c>
      <c r="U613">
        <v>1812.1301775147931</v>
      </c>
      <c r="V613">
        <v>20</v>
      </c>
      <c r="W613">
        <v>0.95</v>
      </c>
      <c r="X613">
        <v>1</v>
      </c>
      <c r="Y613">
        <v>337341.16386972711</v>
      </c>
      <c r="Z613">
        <v>1012023491.609181</v>
      </c>
      <c r="AA613">
        <v>4048093966.4367251</v>
      </c>
      <c r="AB613">
        <v>4048093.9664367251</v>
      </c>
      <c r="AC613">
        <v>0</v>
      </c>
      <c r="AD613">
        <v>10488.88428107586</v>
      </c>
      <c r="AE613">
        <v>18879991.70593654</v>
      </c>
      <c r="AF613">
        <v>13215994.194155579</v>
      </c>
      <c r="AG613">
        <v>594.93833128097231</v>
      </c>
      <c r="AH613">
        <v>4154.5421748913359</v>
      </c>
      <c r="AI613">
        <v>830.90843497826722</v>
      </c>
      <c r="AJ613">
        <v>131563.05390919361</v>
      </c>
      <c r="AK613">
        <v>854.70085470085473</v>
      </c>
      <c r="AL613" t="s">
        <v>93</v>
      </c>
      <c r="AM613">
        <v>321977.01855407847</v>
      </c>
      <c r="AN613">
        <v>3764.6524618207918</v>
      </c>
      <c r="AO613">
        <v>141254.43394630539</v>
      </c>
      <c r="AP613">
        <v>458159.42577979382</v>
      </c>
      <c r="AQ613">
        <v>316904.9918334884</v>
      </c>
      <c r="AR613">
        <v>9.9548359341269863E-3</v>
      </c>
      <c r="AS613">
        <v>221.13729607222109</v>
      </c>
      <c r="AT613">
        <v>541.1939383042004</v>
      </c>
      <c r="AU613">
        <v>6.3278028391867958</v>
      </c>
      <c r="AV613">
        <v>237.42701809474599</v>
      </c>
      <c r="AW613">
        <v>770.09565813875633</v>
      </c>
      <c r="AX613">
        <v>532.66864004401032</v>
      </c>
      <c r="AY613">
        <v>1.396629518204388</v>
      </c>
      <c r="AZ613" t="s">
        <v>115</v>
      </c>
      <c r="BA613" t="str">
        <f>VLOOKUP($AZ613,Sheet1!$A$2:$B$58,2)</f>
        <v>Benzyl Alcohol</v>
      </c>
      <c r="BB613" t="s">
        <v>166</v>
      </c>
      <c r="BC613">
        <v>108.13661999999999</v>
      </c>
      <c r="BD613">
        <v>4.8571428571428568</v>
      </c>
      <c r="BE613">
        <v>205</v>
      </c>
      <c r="BF613" t="s">
        <v>208</v>
      </c>
      <c r="BG613">
        <v>19.904493811109539</v>
      </c>
      <c r="BH613">
        <v>1.7886792452830199E-2</v>
      </c>
      <c r="BI613">
        <v>4.2021162002071802E-2</v>
      </c>
      <c r="BJ613">
        <v>80</v>
      </c>
      <c r="BK613">
        <v>22907.971288989691</v>
      </c>
      <c r="BL613">
        <v>15845.249591674419</v>
      </c>
      <c r="BM613">
        <v>21.640927937803831</v>
      </c>
      <c r="BN613">
        <v>3678.9577494266518</v>
      </c>
      <c r="BO613">
        <v>19229.013539563039</v>
      </c>
    </row>
    <row r="614" spans="1:67" x14ac:dyDescent="0.25">
      <c r="A614" s="1">
        <v>612</v>
      </c>
      <c r="B614" t="s">
        <v>73</v>
      </c>
      <c r="C614" t="s">
        <v>85</v>
      </c>
      <c r="D614">
        <v>1</v>
      </c>
      <c r="E614">
        <v>1</v>
      </c>
      <c r="F614">
        <v>2</v>
      </c>
      <c r="G614">
        <v>45.016539999999999</v>
      </c>
      <c r="H614">
        <v>2</v>
      </c>
      <c r="I614" t="s">
        <v>89</v>
      </c>
      <c r="J614">
        <v>4</v>
      </c>
      <c r="K614">
        <v>300</v>
      </c>
      <c r="L614">
        <v>70</v>
      </c>
      <c r="N614" t="s">
        <v>82</v>
      </c>
      <c r="O614">
        <v>30</v>
      </c>
      <c r="P614">
        <v>0.5</v>
      </c>
      <c r="Q614">
        <v>3.2500000000000001E-2</v>
      </c>
      <c r="R614">
        <v>77.5</v>
      </c>
      <c r="S614">
        <v>170</v>
      </c>
      <c r="T614">
        <v>20</v>
      </c>
      <c r="U614">
        <v>1812.1301775147931</v>
      </c>
      <c r="V614">
        <v>20</v>
      </c>
      <c r="W614">
        <v>0.95</v>
      </c>
      <c r="X614">
        <v>1</v>
      </c>
      <c r="Y614">
        <v>372302.65230518038</v>
      </c>
      <c r="Z614">
        <v>1116907956.9155409</v>
      </c>
      <c r="AA614">
        <v>4467631827.6621647</v>
      </c>
      <c r="AB614">
        <v>4467631.8276621643</v>
      </c>
      <c r="AC614">
        <v>0</v>
      </c>
      <c r="AD614">
        <v>11575.935153513279</v>
      </c>
      <c r="AE614">
        <v>20836683.2763239</v>
      </c>
      <c r="AF614">
        <v>14585678.29342673</v>
      </c>
      <c r="AG614">
        <v>656.59677032317597</v>
      </c>
      <c r="AH614">
        <v>4585.1121549550744</v>
      </c>
      <c r="AI614">
        <v>917.02243099101486</v>
      </c>
      <c r="AJ614">
        <v>145198.03439902031</v>
      </c>
      <c r="AK614">
        <v>854.70085470085473</v>
      </c>
      <c r="AL614" t="s">
        <v>93</v>
      </c>
      <c r="AM614">
        <v>355346.19200901833</v>
      </c>
      <c r="AN614">
        <v>4154.8149074518742</v>
      </c>
      <c r="AO614">
        <v>155893.8132684725</v>
      </c>
      <c r="AP614">
        <v>505553.74217019143</v>
      </c>
      <c r="AQ614">
        <v>349659.92890171881</v>
      </c>
      <c r="AR614">
        <v>9.9548359341269845E-3</v>
      </c>
      <c r="AS614">
        <v>221.13729607222109</v>
      </c>
      <c r="AT614">
        <v>541.19393830420051</v>
      </c>
      <c r="AU614">
        <v>6.3278028391867966</v>
      </c>
      <c r="AV614">
        <v>237.4270180947461</v>
      </c>
      <c r="AW614">
        <v>769.96075067709899</v>
      </c>
      <c r="AX614">
        <v>532.53373258235297</v>
      </c>
      <c r="AY614">
        <v>1.3966295182043891</v>
      </c>
      <c r="AZ614" t="s">
        <v>116</v>
      </c>
      <c r="BA614" t="str">
        <f>VLOOKUP($AZ614,Sheet1!$A$2:$B$58,2)</f>
        <v>Beta Carotene</v>
      </c>
      <c r="BB614" t="s">
        <v>167</v>
      </c>
      <c r="BC614">
        <v>536.86703999999997</v>
      </c>
      <c r="BD614">
        <v>5.4</v>
      </c>
      <c r="BE614">
        <v>633</v>
      </c>
      <c r="BF614" t="s">
        <v>208</v>
      </c>
      <c r="BG614">
        <v>21.83249004035995</v>
      </c>
      <c r="BH614">
        <v>3.2644628099173399E-3</v>
      </c>
      <c r="BI614">
        <v>3.8075118748596697E-2</v>
      </c>
      <c r="BJ614">
        <v>80</v>
      </c>
      <c r="BK614">
        <v>25277.68710850957</v>
      </c>
      <c r="BL614">
        <v>17482.996445085941</v>
      </c>
      <c r="BM614">
        <v>24.018631509190801</v>
      </c>
      <c r="BN614">
        <v>4083.167356562436</v>
      </c>
      <c r="BO614">
        <v>21194.519751947129</v>
      </c>
    </row>
    <row r="615" spans="1:67" x14ac:dyDescent="0.25">
      <c r="A615" s="1">
        <v>613</v>
      </c>
      <c r="B615" t="s">
        <v>73</v>
      </c>
      <c r="C615" t="s">
        <v>85</v>
      </c>
      <c r="D615">
        <v>1</v>
      </c>
      <c r="E615">
        <v>1</v>
      </c>
      <c r="F615">
        <v>2</v>
      </c>
      <c r="G615">
        <v>45.016539999999999</v>
      </c>
      <c r="H615">
        <v>2</v>
      </c>
      <c r="I615" t="s">
        <v>89</v>
      </c>
      <c r="J615">
        <v>4</v>
      </c>
      <c r="K615">
        <v>300</v>
      </c>
      <c r="L615">
        <v>70</v>
      </c>
      <c r="N615" t="s">
        <v>82</v>
      </c>
      <c r="O615">
        <v>30</v>
      </c>
      <c r="P615">
        <v>0.5</v>
      </c>
      <c r="Q615">
        <v>3.2500000000000001E-2</v>
      </c>
      <c r="R615">
        <v>77.5</v>
      </c>
      <c r="S615">
        <v>170</v>
      </c>
      <c r="T615">
        <v>20</v>
      </c>
      <c r="U615">
        <v>1812.1301775147931</v>
      </c>
      <c r="V615">
        <v>20</v>
      </c>
      <c r="W615">
        <v>0.95</v>
      </c>
      <c r="X615">
        <v>1</v>
      </c>
      <c r="Y615">
        <v>407371.01992148039</v>
      </c>
      <c r="Z615">
        <v>1222113059.764441</v>
      </c>
      <c r="AA615">
        <v>4888452239.057765</v>
      </c>
      <c r="AB615">
        <v>4888452.2390577653</v>
      </c>
      <c r="AC615">
        <v>66773.504273504266</v>
      </c>
      <c r="AD615">
        <v>12666.30919987676</v>
      </c>
      <c r="AE615">
        <v>22799356.559778161</v>
      </c>
      <c r="AF615">
        <v>15959549.59184471</v>
      </c>
      <c r="AG615">
        <v>718.44370258326114</v>
      </c>
      <c r="AH615">
        <v>5016.9984109791831</v>
      </c>
      <c r="AI615">
        <v>1003.399682195837</v>
      </c>
      <c r="AJ615">
        <v>158874.69776937741</v>
      </c>
      <c r="AK615">
        <v>2170.1388888888891</v>
      </c>
      <c r="AL615" t="s">
        <v>95</v>
      </c>
      <c r="AM615">
        <v>388817.37685088668</v>
      </c>
      <c r="AN615">
        <v>4546.1701010022334</v>
      </c>
      <c r="AO615">
        <v>170577.9459732922</v>
      </c>
      <c r="AP615">
        <v>554408.3836101552</v>
      </c>
      <c r="AQ615">
        <v>383830.43763686297</v>
      </c>
      <c r="AR615">
        <v>9.9548359341269845E-3</v>
      </c>
      <c r="AS615">
        <v>221.13729607222109</v>
      </c>
      <c r="AT615">
        <v>541.19393830420029</v>
      </c>
      <c r="AU615">
        <v>6.3278028391867958</v>
      </c>
      <c r="AV615">
        <v>237.42701809474599</v>
      </c>
      <c r="AW615">
        <v>771.67964812928994</v>
      </c>
      <c r="AX615">
        <v>534.25263003454393</v>
      </c>
      <c r="AY615">
        <v>1.396629518204388</v>
      </c>
      <c r="AZ615" t="s">
        <v>117</v>
      </c>
      <c r="BA615" t="str">
        <f>VLOOKUP($AZ615,Sheet1!$A$2:$B$58,2)</f>
        <v>Butane</v>
      </c>
      <c r="BB615" t="s">
        <v>168</v>
      </c>
      <c r="BC615">
        <v>58.121200000000002</v>
      </c>
      <c r="BD615">
        <v>6.5</v>
      </c>
      <c r="BE615">
        <v>-1</v>
      </c>
      <c r="BF615" t="s">
        <v>208</v>
      </c>
      <c r="BG615">
        <v>24.44800420108588</v>
      </c>
      <c r="BH615">
        <v>2.7558139534883699E-2</v>
      </c>
      <c r="BI615">
        <v>3.4797437725613202E-2</v>
      </c>
      <c r="BJ615">
        <v>80</v>
      </c>
      <c r="BK615">
        <v>27720.41918050775</v>
      </c>
      <c r="BL615">
        <v>19191.521881843139</v>
      </c>
      <c r="BM615">
        <v>25.721979908705951</v>
      </c>
      <c r="BN615">
        <v>4372.7365844800124</v>
      </c>
      <c r="BO615">
        <v>23347.682596027738</v>
      </c>
    </row>
    <row r="616" spans="1:67" x14ac:dyDescent="0.25">
      <c r="A616" s="1">
        <v>614</v>
      </c>
      <c r="B616" t="s">
        <v>73</v>
      </c>
      <c r="C616" t="s">
        <v>85</v>
      </c>
      <c r="D616">
        <v>1</v>
      </c>
      <c r="E616">
        <v>1</v>
      </c>
      <c r="F616">
        <v>2</v>
      </c>
      <c r="G616">
        <v>45.016539999999999</v>
      </c>
      <c r="H616">
        <v>2</v>
      </c>
      <c r="I616" t="s">
        <v>89</v>
      </c>
      <c r="J616">
        <v>4</v>
      </c>
      <c r="K616">
        <v>300</v>
      </c>
      <c r="L616">
        <v>70</v>
      </c>
      <c r="N616" t="s">
        <v>82</v>
      </c>
      <c r="O616">
        <v>30</v>
      </c>
      <c r="P616">
        <v>0.5</v>
      </c>
      <c r="Q616">
        <v>3.2500000000000001E-2</v>
      </c>
      <c r="R616">
        <v>77.5</v>
      </c>
      <c r="S616">
        <v>170</v>
      </c>
      <c r="T616">
        <v>20</v>
      </c>
      <c r="U616">
        <v>1812.1301775147931</v>
      </c>
      <c r="V616">
        <v>20</v>
      </c>
      <c r="W616">
        <v>0.95</v>
      </c>
      <c r="X616">
        <v>1</v>
      </c>
      <c r="Y616">
        <v>265580.21050389641</v>
      </c>
      <c r="Z616">
        <v>796740631.51168919</v>
      </c>
      <c r="AA616">
        <v>3186962526.0467572</v>
      </c>
      <c r="AB616">
        <v>3186962.5260467571</v>
      </c>
      <c r="AC616">
        <v>0</v>
      </c>
      <c r="AD616">
        <v>8257.6346846152537</v>
      </c>
      <c r="AE616">
        <v>14863742.432307459</v>
      </c>
      <c r="AF616">
        <v>10404619.70261522</v>
      </c>
      <c r="AG616">
        <v>468.37997902756609</v>
      </c>
      <c r="AH616">
        <v>3270.7665222292549</v>
      </c>
      <c r="AI616">
        <v>654.15330444585106</v>
      </c>
      <c r="AJ616">
        <v>103576.2820965196</v>
      </c>
      <c r="AK616">
        <v>854.70085470085473</v>
      </c>
      <c r="AL616" t="s">
        <v>93</v>
      </c>
      <c r="AM616">
        <v>253484.40547276731</v>
      </c>
      <c r="AN616">
        <v>2963.8161611088849</v>
      </c>
      <c r="AO616">
        <v>111206.0617557947</v>
      </c>
      <c r="AP616">
        <v>360879.20458509668</v>
      </c>
      <c r="AQ616">
        <v>249673.142829302</v>
      </c>
      <c r="AR616">
        <v>9.9548359341269845E-3</v>
      </c>
      <c r="AS616">
        <v>221.13729607222109</v>
      </c>
      <c r="AT616">
        <v>541.1939383042004</v>
      </c>
      <c r="AU616">
        <v>6.3278028391867966</v>
      </c>
      <c r="AV616">
        <v>237.42701809474599</v>
      </c>
      <c r="AW616">
        <v>770.48383949788229</v>
      </c>
      <c r="AX616">
        <v>533.05682140313627</v>
      </c>
      <c r="AY616">
        <v>1.396629518204388</v>
      </c>
      <c r="AZ616" t="s">
        <v>118</v>
      </c>
      <c r="BA616" t="str">
        <f>VLOOKUP($AZ616,Sheet1!$A$2:$B$58,2)</f>
        <v>Butanol (PW1)</v>
      </c>
      <c r="BB616" t="s">
        <v>169</v>
      </c>
      <c r="BC616">
        <v>74.120199999999997</v>
      </c>
      <c r="BD616">
        <v>6</v>
      </c>
      <c r="BE616">
        <v>117.7</v>
      </c>
      <c r="BF616" t="s">
        <v>208</v>
      </c>
      <c r="BG616">
        <v>15.53811036804094</v>
      </c>
      <c r="BH616">
        <v>3.3146853146853103E-2</v>
      </c>
      <c r="BI616">
        <v>5.3375466756508498E-2</v>
      </c>
      <c r="BJ616">
        <v>80</v>
      </c>
      <c r="BK616">
        <v>18043.96022925483</v>
      </c>
      <c r="BL616">
        <v>12483.657141465101</v>
      </c>
      <c r="BM616">
        <v>17.169554854251611</v>
      </c>
      <c r="BN616">
        <v>2918.824325222774</v>
      </c>
      <c r="BO616">
        <v>15125.13590403206</v>
      </c>
    </row>
    <row r="617" spans="1:67" x14ac:dyDescent="0.25">
      <c r="A617" s="1">
        <v>615</v>
      </c>
      <c r="B617" t="s">
        <v>73</v>
      </c>
      <c r="C617" t="s">
        <v>85</v>
      </c>
      <c r="D617">
        <v>1</v>
      </c>
      <c r="E617">
        <v>1</v>
      </c>
      <c r="F617">
        <v>2</v>
      </c>
      <c r="G617">
        <v>45.016539999999999</v>
      </c>
      <c r="H617">
        <v>2</v>
      </c>
      <c r="I617" t="s">
        <v>89</v>
      </c>
      <c r="J617">
        <v>4</v>
      </c>
      <c r="K617">
        <v>300</v>
      </c>
      <c r="L617">
        <v>70</v>
      </c>
      <c r="N617" t="s">
        <v>82</v>
      </c>
      <c r="O617">
        <v>30</v>
      </c>
      <c r="P617">
        <v>0.5</v>
      </c>
      <c r="Q617">
        <v>3.2500000000000001E-2</v>
      </c>
      <c r="R617">
        <v>77.5</v>
      </c>
      <c r="S617">
        <v>170</v>
      </c>
      <c r="T617">
        <v>20</v>
      </c>
      <c r="U617">
        <v>1812.1301775147931</v>
      </c>
      <c r="V617">
        <v>20</v>
      </c>
      <c r="W617">
        <v>0.95</v>
      </c>
      <c r="X617">
        <v>1</v>
      </c>
      <c r="Y617">
        <v>306438.70442757278</v>
      </c>
      <c r="Z617">
        <v>919316113.2827183</v>
      </c>
      <c r="AA617">
        <v>3677264453.1308732</v>
      </c>
      <c r="AB617">
        <v>3677264.4531308729</v>
      </c>
      <c r="AC617">
        <v>0</v>
      </c>
      <c r="AD617">
        <v>9528.0400207099083</v>
      </c>
      <c r="AE617">
        <v>17150472.03727784</v>
      </c>
      <c r="AF617">
        <v>12005330.42609448</v>
      </c>
      <c r="AG617">
        <v>540.43843733949939</v>
      </c>
      <c r="AH617">
        <v>3773.9613718029868</v>
      </c>
      <c r="AI617">
        <v>754.79227436059739</v>
      </c>
      <c r="AJ617">
        <v>119511.09472675341</v>
      </c>
      <c r="AK617">
        <v>854.70085470085473</v>
      </c>
      <c r="AL617" t="s">
        <v>93</v>
      </c>
      <c r="AM617">
        <v>292482.00631473149</v>
      </c>
      <c r="AN617">
        <v>3419.78787820256</v>
      </c>
      <c r="AO617">
        <v>128314.6866413016</v>
      </c>
      <c r="AP617">
        <v>416267.5897743883</v>
      </c>
      <c r="AQ617">
        <v>287952.90313308669</v>
      </c>
      <c r="AR617">
        <v>9.9548359341269845E-3</v>
      </c>
      <c r="AS617">
        <v>221.13729607222109</v>
      </c>
      <c r="AT617">
        <v>541.1939383042004</v>
      </c>
      <c r="AU617">
        <v>6.3278028391867958</v>
      </c>
      <c r="AV617">
        <v>237.42701809474599</v>
      </c>
      <c r="AW617">
        <v>770.24053252691226</v>
      </c>
      <c r="AX617">
        <v>532.81351443216624</v>
      </c>
      <c r="AY617">
        <v>1.396629518204388</v>
      </c>
      <c r="AZ617" t="s">
        <v>119</v>
      </c>
      <c r="BA617" t="str">
        <f>VLOOKUP($AZ617,Sheet1!$A$2:$B$58,2)</f>
        <v>Butanol (PW2)</v>
      </c>
      <c r="BB617" t="s">
        <v>169</v>
      </c>
      <c r="BC617">
        <v>74.120199999999997</v>
      </c>
      <c r="BD617">
        <v>6</v>
      </c>
      <c r="BE617">
        <v>117.7</v>
      </c>
      <c r="BF617" t="s">
        <v>208</v>
      </c>
      <c r="BG617">
        <v>18.293982893814061</v>
      </c>
      <c r="BH617">
        <v>2.8727272727272699E-2</v>
      </c>
      <c r="BI617">
        <v>4.6258737855640698E-2</v>
      </c>
      <c r="BJ617">
        <v>80</v>
      </c>
      <c r="BK617">
        <v>20813.379488719409</v>
      </c>
      <c r="BL617">
        <v>14397.645156654329</v>
      </c>
      <c r="BM617">
        <v>19.445630824215801</v>
      </c>
      <c r="BN617">
        <v>3305.7572401166872</v>
      </c>
      <c r="BO617">
        <v>17507.622248602722</v>
      </c>
    </row>
    <row r="618" spans="1:67" x14ac:dyDescent="0.25">
      <c r="A618" s="1">
        <v>616</v>
      </c>
      <c r="B618" t="s">
        <v>73</v>
      </c>
      <c r="C618" t="s">
        <v>85</v>
      </c>
      <c r="D618">
        <v>1</v>
      </c>
      <c r="E618">
        <v>1</v>
      </c>
      <c r="F618">
        <v>2</v>
      </c>
      <c r="G618">
        <v>45.016539999999999</v>
      </c>
      <c r="H618">
        <v>2</v>
      </c>
      <c r="I618" t="s">
        <v>89</v>
      </c>
      <c r="J618">
        <v>4</v>
      </c>
      <c r="K618">
        <v>300</v>
      </c>
      <c r="L618">
        <v>70</v>
      </c>
      <c r="N618" t="s">
        <v>82</v>
      </c>
      <c r="O618">
        <v>30</v>
      </c>
      <c r="P618">
        <v>0.5</v>
      </c>
      <c r="Q618">
        <v>3.2500000000000001E-2</v>
      </c>
      <c r="R618">
        <v>77.5</v>
      </c>
      <c r="S618">
        <v>170</v>
      </c>
      <c r="T618">
        <v>20</v>
      </c>
      <c r="U618">
        <v>1812.1301775147931</v>
      </c>
      <c r="V618">
        <v>20</v>
      </c>
      <c r="W618">
        <v>0.95</v>
      </c>
      <c r="X618">
        <v>1</v>
      </c>
      <c r="Y618">
        <v>183340.17046399921</v>
      </c>
      <c r="Z618">
        <v>550020511.39199746</v>
      </c>
      <c r="AA618">
        <v>2200082045.5679898</v>
      </c>
      <c r="AB618">
        <v>2200082.0455679898</v>
      </c>
      <c r="AC618">
        <v>0</v>
      </c>
      <c r="AD618">
        <v>5700.560850653369</v>
      </c>
      <c r="AE618">
        <v>10261009.53117606</v>
      </c>
      <c r="AF618">
        <v>7182706.6718232445</v>
      </c>
      <c r="AG618">
        <v>323.340602200398</v>
      </c>
      <c r="AH618">
        <v>2257.9351473352931</v>
      </c>
      <c r="AI618">
        <v>451.58702946705853</v>
      </c>
      <c r="AJ618">
        <v>71502.66648095967</v>
      </c>
      <c r="AK618">
        <v>854.70085470085473</v>
      </c>
      <c r="AL618" t="s">
        <v>93</v>
      </c>
      <c r="AM618">
        <v>174989.97391848519</v>
      </c>
      <c r="AN618">
        <v>2046.0355806280461</v>
      </c>
      <c r="AO618">
        <v>76769.795009399953</v>
      </c>
      <c r="AP618">
        <v>249393.37683477369</v>
      </c>
      <c r="AQ618">
        <v>172623.58182537381</v>
      </c>
      <c r="AR618">
        <v>9.9548359341269845E-3</v>
      </c>
      <c r="AS618">
        <v>221.13729607222109</v>
      </c>
      <c r="AT618">
        <v>541.1939383042004</v>
      </c>
      <c r="AU618">
        <v>6.3278028391867958</v>
      </c>
      <c r="AV618">
        <v>237.42701809474599</v>
      </c>
      <c r="AW618">
        <v>771.30238249573847</v>
      </c>
      <c r="AX618">
        <v>533.87536440099245</v>
      </c>
      <c r="AY618">
        <v>1.396629518204388</v>
      </c>
      <c r="AZ618" t="s">
        <v>120</v>
      </c>
      <c r="BA618" t="str">
        <f>VLOOKUP($AZ618,Sheet1!$A$2:$B$58,2)</f>
        <v>Butyrate</v>
      </c>
      <c r="BB618" t="s">
        <v>170</v>
      </c>
      <c r="BC618">
        <v>87.095680000000002</v>
      </c>
      <c r="BD618">
        <v>4.75</v>
      </c>
      <c r="BE618">
        <v>163.5</v>
      </c>
      <c r="BF618" t="s">
        <v>208</v>
      </c>
      <c r="BG618">
        <v>10.344921524047381</v>
      </c>
      <c r="BH618">
        <v>4.0862068965517299E-2</v>
      </c>
      <c r="BI618">
        <v>7.7317849443806194E-2</v>
      </c>
      <c r="BJ618">
        <v>80</v>
      </c>
      <c r="BK618">
        <v>12469.66884173869</v>
      </c>
      <c r="BL618">
        <v>8631.1790912686902</v>
      </c>
      <c r="BM618">
        <v>12.23442994930554</v>
      </c>
      <c r="BN618">
        <v>2079.8530913819418</v>
      </c>
      <c r="BO618">
        <v>10389.815750356751</v>
      </c>
    </row>
    <row r="619" spans="1:67" x14ac:dyDescent="0.25">
      <c r="A619" s="1">
        <v>617</v>
      </c>
      <c r="B619" t="s">
        <v>73</v>
      </c>
      <c r="C619" t="s">
        <v>85</v>
      </c>
      <c r="D619">
        <v>1</v>
      </c>
      <c r="E619">
        <v>1</v>
      </c>
      <c r="F619">
        <v>2</v>
      </c>
      <c r="G619">
        <v>45.016539999999999</v>
      </c>
      <c r="H619">
        <v>2</v>
      </c>
      <c r="I619" t="s">
        <v>89</v>
      </c>
      <c r="J619">
        <v>4</v>
      </c>
      <c r="K619">
        <v>300</v>
      </c>
      <c r="L619">
        <v>70</v>
      </c>
      <c r="N619" t="s">
        <v>82</v>
      </c>
      <c r="O619">
        <v>30</v>
      </c>
      <c r="P619">
        <v>0.5</v>
      </c>
      <c r="Q619">
        <v>3.2500000000000001E-2</v>
      </c>
      <c r="R619">
        <v>77.5</v>
      </c>
      <c r="S619">
        <v>170</v>
      </c>
      <c r="T619">
        <v>20</v>
      </c>
      <c r="U619">
        <v>1812.1301775147931</v>
      </c>
      <c r="V619">
        <v>20</v>
      </c>
      <c r="W619">
        <v>0.95</v>
      </c>
      <c r="X619">
        <v>1</v>
      </c>
      <c r="Y619">
        <v>223782.19108776041</v>
      </c>
      <c r="Z619">
        <v>671346573.26328111</v>
      </c>
      <c r="AA619">
        <v>2685386293.053124</v>
      </c>
      <c r="AB619">
        <v>2685386.293053125</v>
      </c>
      <c r="AC619">
        <v>0</v>
      </c>
      <c r="AD619">
        <v>6958.0168620974009</v>
      </c>
      <c r="AE619">
        <v>12524430.35177532</v>
      </c>
      <c r="AF619">
        <v>8767101.2462427244</v>
      </c>
      <c r="AG619">
        <v>394.66456393553551</v>
      </c>
      <c r="AH619">
        <v>2756.0008989081598</v>
      </c>
      <c r="AI619">
        <v>551.20017978163196</v>
      </c>
      <c r="AJ619">
        <v>87275.054524226551</v>
      </c>
      <c r="AK619">
        <v>854.70085470085473</v>
      </c>
      <c r="AL619" t="s">
        <v>93</v>
      </c>
      <c r="AM619">
        <v>213590.06966538241</v>
      </c>
      <c r="AN619">
        <v>2497.359548197699</v>
      </c>
      <c r="AO619">
        <v>93704.030562877437</v>
      </c>
      <c r="AP619">
        <v>304217.18459250749</v>
      </c>
      <c r="AQ619">
        <v>210513.1540296301</v>
      </c>
      <c r="AR619">
        <v>9.9548359341269863E-3</v>
      </c>
      <c r="AS619">
        <v>221.13729607222109</v>
      </c>
      <c r="AT619">
        <v>541.19393830420051</v>
      </c>
      <c r="AU619">
        <v>6.3278028391867949</v>
      </c>
      <c r="AV619">
        <v>237.4270180947461</v>
      </c>
      <c r="AW619">
        <v>770.82467591946875</v>
      </c>
      <c r="AX619">
        <v>533.39765782472273</v>
      </c>
      <c r="AY619">
        <v>1.396629518204388</v>
      </c>
      <c r="AZ619" t="s">
        <v>121</v>
      </c>
      <c r="BA619" t="str">
        <f>VLOOKUP($AZ619,Sheet1!$A$2:$B$58,2)</f>
        <v>Catechol</v>
      </c>
      <c r="BB619" t="s">
        <v>171</v>
      </c>
      <c r="BC619">
        <v>110.10924</v>
      </c>
      <c r="BD619">
        <v>4.333333333333333</v>
      </c>
      <c r="BE619">
        <v>245</v>
      </c>
      <c r="BF619" t="s">
        <v>208</v>
      </c>
      <c r="BG619">
        <v>12.69576479374685</v>
      </c>
      <c r="BH619">
        <v>2.6480446927374401E-2</v>
      </c>
      <c r="BI619">
        <v>6.3344932087907202E-2</v>
      </c>
      <c r="BJ619">
        <v>80</v>
      </c>
      <c r="BK619">
        <v>15210.859229625379</v>
      </c>
      <c r="BL619">
        <v>10525.65770148151</v>
      </c>
      <c r="BM619">
        <v>14.86424419533475</v>
      </c>
      <c r="BN619">
        <v>2526.9215132069071</v>
      </c>
      <c r="BO619">
        <v>12683.93771641847</v>
      </c>
    </row>
    <row r="620" spans="1:67" x14ac:dyDescent="0.25">
      <c r="A620" s="1">
        <v>618</v>
      </c>
      <c r="B620" t="s">
        <v>73</v>
      </c>
      <c r="C620" t="s">
        <v>85</v>
      </c>
      <c r="D620">
        <v>1</v>
      </c>
      <c r="E620">
        <v>1</v>
      </c>
      <c r="F620">
        <v>2</v>
      </c>
      <c r="G620">
        <v>45.016539999999999</v>
      </c>
      <c r="H620">
        <v>2</v>
      </c>
      <c r="I620" t="s">
        <v>89</v>
      </c>
      <c r="J620">
        <v>4</v>
      </c>
      <c r="K620">
        <v>300</v>
      </c>
      <c r="L620">
        <v>70</v>
      </c>
      <c r="N620" t="s">
        <v>82</v>
      </c>
      <c r="O620">
        <v>30</v>
      </c>
      <c r="P620">
        <v>0.5</v>
      </c>
      <c r="Q620">
        <v>3.2500000000000001E-2</v>
      </c>
      <c r="R620">
        <v>77.5</v>
      </c>
      <c r="S620">
        <v>170</v>
      </c>
      <c r="T620">
        <v>20</v>
      </c>
      <c r="U620">
        <v>1812.1301775147931</v>
      </c>
      <c r="V620">
        <v>20</v>
      </c>
      <c r="W620">
        <v>0.95</v>
      </c>
      <c r="X620">
        <v>1</v>
      </c>
      <c r="Y620">
        <v>177853.68147777559</v>
      </c>
      <c r="Z620">
        <v>533561044.4333266</v>
      </c>
      <c r="AA620">
        <v>2134244177.7333059</v>
      </c>
      <c r="AB620">
        <v>2134244.1777333058</v>
      </c>
      <c r="AC620">
        <v>0</v>
      </c>
      <c r="AD620">
        <v>5529.9704980685892</v>
      </c>
      <c r="AE620">
        <v>9953946.8965234607</v>
      </c>
      <c r="AF620">
        <v>6967762.8275664235</v>
      </c>
      <c r="AG620">
        <v>313.66457403765702</v>
      </c>
      <c r="AH620">
        <v>2190.3660145799872</v>
      </c>
      <c r="AI620">
        <v>438.07320291599751</v>
      </c>
      <c r="AJ620">
        <v>69362.935776332451</v>
      </c>
      <c r="AK620">
        <v>854.70085470085473</v>
      </c>
      <c r="AL620" t="s">
        <v>93</v>
      </c>
      <c r="AM620">
        <v>169753.36612994899</v>
      </c>
      <c r="AN620">
        <v>1984.807582147803</v>
      </c>
      <c r="AO620">
        <v>74472.444495719581</v>
      </c>
      <c r="AP620">
        <v>241955.81034313011</v>
      </c>
      <c r="AQ620">
        <v>167483.36584741049</v>
      </c>
      <c r="AR620">
        <v>9.9548359341269828E-3</v>
      </c>
      <c r="AS620">
        <v>221.13729607222109</v>
      </c>
      <c r="AT620">
        <v>541.1939383042004</v>
      </c>
      <c r="AU620">
        <v>6.3278028391867966</v>
      </c>
      <c r="AV620">
        <v>237.42701809474599</v>
      </c>
      <c r="AW620">
        <v>771.38392528217776</v>
      </c>
      <c r="AX620">
        <v>533.95690718743174</v>
      </c>
      <c r="AY620">
        <v>1.396629518204388</v>
      </c>
      <c r="AZ620" t="s">
        <v>122</v>
      </c>
      <c r="BA620" t="str">
        <f>VLOOKUP($AZ620,Sheet1!$A$2:$B$58,2)</f>
        <v>cis,cis-Muconate</v>
      </c>
      <c r="BB620" t="s">
        <v>172</v>
      </c>
      <c r="BC620">
        <v>140.09155999999999</v>
      </c>
      <c r="BD620">
        <v>3.333333333333333</v>
      </c>
      <c r="BE620">
        <v>345.4</v>
      </c>
      <c r="BF620" t="s">
        <v>208</v>
      </c>
      <c r="BG620">
        <v>10.11117752498004</v>
      </c>
      <c r="BH620">
        <v>2.6187845303867401E-2</v>
      </c>
      <c r="BI620">
        <v>7.97029759471614E-2</v>
      </c>
      <c r="BJ620">
        <v>80</v>
      </c>
      <c r="BK620">
        <v>12097.7905171565</v>
      </c>
      <c r="BL620">
        <v>8374.1682923705248</v>
      </c>
      <c r="BM620">
        <v>11.792482620819831</v>
      </c>
      <c r="BN620">
        <v>2004.722045539371</v>
      </c>
      <c r="BO620">
        <v>10093.068471617131</v>
      </c>
    </row>
    <row r="621" spans="1:67" x14ac:dyDescent="0.25">
      <c r="A621" s="1">
        <v>619</v>
      </c>
      <c r="B621" t="s">
        <v>73</v>
      </c>
      <c r="C621" t="s">
        <v>85</v>
      </c>
      <c r="D621">
        <v>1</v>
      </c>
      <c r="E621">
        <v>1</v>
      </c>
      <c r="F621">
        <v>2</v>
      </c>
      <c r="G621">
        <v>45.016539999999999</v>
      </c>
      <c r="H621">
        <v>2</v>
      </c>
      <c r="I621" t="s">
        <v>89</v>
      </c>
      <c r="J621">
        <v>4</v>
      </c>
      <c r="K621">
        <v>300</v>
      </c>
      <c r="L621">
        <v>70</v>
      </c>
      <c r="N621" t="s">
        <v>82</v>
      </c>
      <c r="O621">
        <v>30</v>
      </c>
      <c r="P621">
        <v>0.5</v>
      </c>
      <c r="Q621">
        <v>3.2500000000000001E-2</v>
      </c>
      <c r="R621">
        <v>77.5</v>
      </c>
      <c r="S621">
        <v>170</v>
      </c>
      <c r="T621">
        <v>20</v>
      </c>
      <c r="U621">
        <v>1812.1301775147931</v>
      </c>
      <c r="V621">
        <v>20</v>
      </c>
      <c r="W621">
        <v>0.95</v>
      </c>
      <c r="X621">
        <v>1</v>
      </c>
      <c r="Y621">
        <v>87356.301999355419</v>
      </c>
      <c r="Z621">
        <v>262068905.99806631</v>
      </c>
      <c r="AA621">
        <v>1048275623.992265</v>
      </c>
      <c r="AB621">
        <v>1048275.623992265</v>
      </c>
      <c r="AC621">
        <v>0</v>
      </c>
      <c r="AD621">
        <v>2716.15278842103</v>
      </c>
      <c r="AE621">
        <v>4889075.019157853</v>
      </c>
      <c r="AF621">
        <v>3422352.513410497</v>
      </c>
      <c r="AG621">
        <v>154.06246881404419</v>
      </c>
      <c r="AH621">
        <v>1075.840957965685</v>
      </c>
      <c r="AI621">
        <v>215.1681915931371</v>
      </c>
      <c r="AJ621">
        <v>34068.95777974862</v>
      </c>
      <c r="AK621">
        <v>854.70085470085473</v>
      </c>
      <c r="AL621" t="s">
        <v>93</v>
      </c>
      <c r="AM621">
        <v>83377.674242340625</v>
      </c>
      <c r="AN621">
        <v>974.87692757363584</v>
      </c>
      <c r="AO621">
        <v>36578.592570833309</v>
      </c>
      <c r="AP621">
        <v>119276.20980436369</v>
      </c>
      <c r="AQ621">
        <v>82697.617233530429</v>
      </c>
      <c r="AR621">
        <v>9.9548359341269845E-3</v>
      </c>
      <c r="AS621">
        <v>221.13729607222109</v>
      </c>
      <c r="AT621">
        <v>541.1939383042004</v>
      </c>
      <c r="AU621">
        <v>6.3278028391867958</v>
      </c>
      <c r="AV621">
        <v>237.42701809474599</v>
      </c>
      <c r="AW621">
        <v>774.20679236506339</v>
      </c>
      <c r="AX621">
        <v>536.77977427031738</v>
      </c>
      <c r="AY621">
        <v>1.396629518204388</v>
      </c>
      <c r="AZ621" t="s">
        <v>123</v>
      </c>
      <c r="BA621" t="str">
        <f>VLOOKUP($AZ621,Sheet1!$A$2:$B$58,2)</f>
        <v>Citrate</v>
      </c>
      <c r="BB621" t="s">
        <v>173</v>
      </c>
      <c r="BC621">
        <v>189.09639999999999</v>
      </c>
      <c r="BD621">
        <v>2.5</v>
      </c>
      <c r="BF621" t="s">
        <v>208</v>
      </c>
      <c r="BG621">
        <v>4.4956816480370501</v>
      </c>
      <c r="BH621">
        <v>3.9500000000000098E-2</v>
      </c>
      <c r="BI621">
        <v>0.16227183812155699</v>
      </c>
      <c r="BJ621">
        <v>80</v>
      </c>
      <c r="BK621">
        <v>5963.8104902181894</v>
      </c>
      <c r="BL621">
        <v>4134.8808616765218</v>
      </c>
      <c r="BM621">
        <v>6.2627279316198043</v>
      </c>
      <c r="BN621">
        <v>1064.663748375367</v>
      </c>
      <c r="BO621">
        <v>4899.1467418428219</v>
      </c>
    </row>
    <row r="622" spans="1:67" x14ac:dyDescent="0.25">
      <c r="A622" s="1">
        <v>620</v>
      </c>
      <c r="B622" t="s">
        <v>73</v>
      </c>
      <c r="C622" t="s">
        <v>85</v>
      </c>
      <c r="D622">
        <v>1</v>
      </c>
      <c r="E622">
        <v>1</v>
      </c>
      <c r="F622">
        <v>2</v>
      </c>
      <c r="G622">
        <v>45.016539999999999</v>
      </c>
      <c r="H622">
        <v>2</v>
      </c>
      <c r="I622" t="s">
        <v>89</v>
      </c>
      <c r="J622">
        <v>4</v>
      </c>
      <c r="K622">
        <v>300</v>
      </c>
      <c r="L622">
        <v>70</v>
      </c>
      <c r="N622" t="s">
        <v>82</v>
      </c>
      <c r="O622">
        <v>30</v>
      </c>
      <c r="P622">
        <v>0.5</v>
      </c>
      <c r="Q622">
        <v>3.2500000000000001E-2</v>
      </c>
      <c r="R622">
        <v>77.5</v>
      </c>
      <c r="S622">
        <v>170</v>
      </c>
      <c r="T622">
        <v>20</v>
      </c>
      <c r="U622">
        <v>1812.1301775147931</v>
      </c>
      <c r="V622">
        <v>20</v>
      </c>
      <c r="W622">
        <v>0.95</v>
      </c>
      <c r="X622">
        <v>1</v>
      </c>
      <c r="Y622">
        <v>226125.12320623471</v>
      </c>
      <c r="Z622">
        <v>678375369.61870384</v>
      </c>
      <c r="AA622">
        <v>2713501478.4748149</v>
      </c>
      <c r="AB622">
        <v>2713501.4784748149</v>
      </c>
      <c r="AC622">
        <v>0</v>
      </c>
      <c r="AD622">
        <v>7030.8652022975393</v>
      </c>
      <c r="AE622">
        <v>12655557.364135571</v>
      </c>
      <c r="AF622">
        <v>8858890.1548948996</v>
      </c>
      <c r="AG622">
        <v>398.79658301343238</v>
      </c>
      <c r="AH622">
        <v>2784.8553979780322</v>
      </c>
      <c r="AI622">
        <v>556.9710795956064</v>
      </c>
      <c r="AJ622">
        <v>88188.798050431506</v>
      </c>
      <c r="AK622">
        <v>854.70085470085473</v>
      </c>
      <c r="AL622" t="s">
        <v>93</v>
      </c>
      <c r="AM622">
        <v>215826.2933432975</v>
      </c>
      <c r="AN622">
        <v>2523.5061502503909</v>
      </c>
      <c r="AO622">
        <v>94685.083531253083</v>
      </c>
      <c r="AP622">
        <v>307393.29839868023</v>
      </c>
      <c r="AQ622">
        <v>212708.2148674271</v>
      </c>
      <c r="AR622">
        <v>9.9548359341269828E-3</v>
      </c>
      <c r="AS622">
        <v>221.13729607222109</v>
      </c>
      <c r="AT622">
        <v>541.19393830420029</v>
      </c>
      <c r="AU622">
        <v>6.3278028391867984</v>
      </c>
      <c r="AV622">
        <v>237.4270180947459</v>
      </c>
      <c r="AW622">
        <v>770.80223726071006</v>
      </c>
      <c r="AX622">
        <v>533.37521916596415</v>
      </c>
      <c r="AY622">
        <v>1.396629518204388</v>
      </c>
      <c r="AZ622" t="s">
        <v>124</v>
      </c>
      <c r="BA622" t="str">
        <f>VLOOKUP($AZ622,Sheet1!$A$2:$B$58,2)</f>
        <v>Coumaric Acid</v>
      </c>
      <c r="BB622" t="s">
        <v>174</v>
      </c>
      <c r="BC622">
        <v>163.14818</v>
      </c>
      <c r="BD622">
        <v>4.1111111111111107</v>
      </c>
      <c r="BE622">
        <v>346</v>
      </c>
      <c r="BF622" t="s">
        <v>208</v>
      </c>
      <c r="BG622">
        <v>12.82416459640579</v>
      </c>
      <c r="BH622">
        <v>1.7686567164179198E-2</v>
      </c>
      <c r="BI622">
        <v>6.2688601319229306E-2</v>
      </c>
      <c r="BJ622">
        <v>80</v>
      </c>
      <c r="BK622">
        <v>15369.66491993401</v>
      </c>
      <c r="BL622">
        <v>10635.41074337136</v>
      </c>
      <c r="BM622">
        <v>15.02438938337453</v>
      </c>
      <c r="BN622">
        <v>2554.1461951736701</v>
      </c>
      <c r="BO622">
        <v>12815.518724760341</v>
      </c>
    </row>
    <row r="623" spans="1:67" x14ac:dyDescent="0.25">
      <c r="A623" s="1">
        <v>621</v>
      </c>
      <c r="B623" t="s">
        <v>73</v>
      </c>
      <c r="C623" t="s">
        <v>85</v>
      </c>
      <c r="D623">
        <v>1</v>
      </c>
      <c r="E623">
        <v>1</v>
      </c>
      <c r="F623">
        <v>2</v>
      </c>
      <c r="G623">
        <v>45.016539999999999</v>
      </c>
      <c r="H623">
        <v>2</v>
      </c>
      <c r="I623" t="s">
        <v>89</v>
      </c>
      <c r="J623">
        <v>4</v>
      </c>
      <c r="K623">
        <v>300</v>
      </c>
      <c r="L623">
        <v>70</v>
      </c>
      <c r="N623" t="s">
        <v>82</v>
      </c>
      <c r="O623">
        <v>30</v>
      </c>
      <c r="P623">
        <v>0.5</v>
      </c>
      <c r="Q623">
        <v>3.2500000000000001E-2</v>
      </c>
      <c r="R623">
        <v>77.5</v>
      </c>
      <c r="S623">
        <v>170</v>
      </c>
      <c r="T623">
        <v>20</v>
      </c>
      <c r="U623">
        <v>1812.1301775147931</v>
      </c>
      <c r="V623">
        <v>20</v>
      </c>
      <c r="W623">
        <v>0.95</v>
      </c>
      <c r="X623">
        <v>1</v>
      </c>
      <c r="Y623">
        <v>185930.2088442411</v>
      </c>
      <c r="Z623">
        <v>557790626.53272343</v>
      </c>
      <c r="AA623">
        <v>2231162506.1308942</v>
      </c>
      <c r="AB623">
        <v>2231162.5061308942</v>
      </c>
      <c r="AC623">
        <v>0</v>
      </c>
      <c r="AD623">
        <v>5781.092418583793</v>
      </c>
      <c r="AE623">
        <v>10405966.353450829</v>
      </c>
      <c r="AF623">
        <v>7284176.4474155782</v>
      </c>
      <c r="AG623">
        <v>327.90842041214131</v>
      </c>
      <c r="AH623">
        <v>2289.832896076854</v>
      </c>
      <c r="AI623">
        <v>457.96657921537093</v>
      </c>
      <c r="AJ623">
        <v>72512.781449254049</v>
      </c>
      <c r="AK623">
        <v>854.70085470085473</v>
      </c>
      <c r="AL623" t="s">
        <v>93</v>
      </c>
      <c r="AM623">
        <v>177462.04944595619</v>
      </c>
      <c r="AN623">
        <v>2074.9398336772051</v>
      </c>
      <c r="AO623">
        <v>77854.318466613055</v>
      </c>
      <c r="AP623">
        <v>252904.47158358831</v>
      </c>
      <c r="AQ623">
        <v>175050.1531169753</v>
      </c>
      <c r="AR623">
        <v>9.9548359341269863E-3</v>
      </c>
      <c r="AS623">
        <v>221.13729607222109</v>
      </c>
      <c r="AT623">
        <v>541.19393830420051</v>
      </c>
      <c r="AU623">
        <v>6.3278028391867958</v>
      </c>
      <c r="AV623">
        <v>237.42701809474599</v>
      </c>
      <c r="AW623">
        <v>771.26556026136188</v>
      </c>
      <c r="AX623">
        <v>533.83854216661587</v>
      </c>
      <c r="AY623">
        <v>1.3966295182043891</v>
      </c>
      <c r="AZ623" t="s">
        <v>125</v>
      </c>
      <c r="BA623" t="str">
        <f>VLOOKUP($AZ623,Sheet1!$A$2:$B$58,2)</f>
        <v>Ethyl Acetate</v>
      </c>
      <c r="BB623" t="s">
        <v>175</v>
      </c>
      <c r="BC623">
        <v>88.103520000000003</v>
      </c>
      <c r="BD623">
        <v>5</v>
      </c>
      <c r="BE623">
        <v>77.099999999999994</v>
      </c>
      <c r="BF623" t="s">
        <v>208</v>
      </c>
      <c r="BG623">
        <v>10.542738871991659</v>
      </c>
      <c r="BH623">
        <v>3.9831932773109098E-2</v>
      </c>
      <c r="BI623">
        <v>7.6240799088288194E-2</v>
      </c>
      <c r="BJ623">
        <v>80</v>
      </c>
      <c r="BK623">
        <v>12645.22357917941</v>
      </c>
      <c r="BL623">
        <v>8752.5076558487635</v>
      </c>
      <c r="BM623">
        <v>12.355590088776889</v>
      </c>
      <c r="BN623">
        <v>2100.4503150920709</v>
      </c>
      <c r="BO623">
        <v>10544.77326408734</v>
      </c>
    </row>
    <row r="624" spans="1:67" x14ac:dyDescent="0.25">
      <c r="A624" s="1">
        <v>622</v>
      </c>
      <c r="B624" t="s">
        <v>73</v>
      </c>
      <c r="C624" t="s">
        <v>85</v>
      </c>
      <c r="D624">
        <v>1</v>
      </c>
      <c r="E624">
        <v>1</v>
      </c>
      <c r="F624">
        <v>2</v>
      </c>
      <c r="G624">
        <v>45.016539999999999</v>
      </c>
      <c r="H624">
        <v>2</v>
      </c>
      <c r="I624" t="s">
        <v>89</v>
      </c>
      <c r="J624">
        <v>4</v>
      </c>
      <c r="K624">
        <v>300</v>
      </c>
      <c r="L624">
        <v>70</v>
      </c>
      <c r="N624" t="s">
        <v>82</v>
      </c>
      <c r="O624">
        <v>30</v>
      </c>
      <c r="P624">
        <v>0.5</v>
      </c>
      <c r="Q624">
        <v>3.2500000000000001E-2</v>
      </c>
      <c r="R624">
        <v>77.5</v>
      </c>
      <c r="S624">
        <v>170</v>
      </c>
      <c r="T624">
        <v>20</v>
      </c>
      <c r="U624">
        <v>1812.1301775147931</v>
      </c>
      <c r="V624">
        <v>20</v>
      </c>
      <c r="W624">
        <v>0.95</v>
      </c>
      <c r="X624">
        <v>1</v>
      </c>
      <c r="Y624">
        <v>363089.11280544341</v>
      </c>
      <c r="Z624">
        <v>1089267338.4163301</v>
      </c>
      <c r="AA624">
        <v>4357069353.6653204</v>
      </c>
      <c r="AB624">
        <v>4357069.3536653202</v>
      </c>
      <c r="AC624">
        <v>0</v>
      </c>
      <c r="AD624">
        <v>11289.46033222766</v>
      </c>
      <c r="AE624">
        <v>20321028.59800978</v>
      </c>
      <c r="AF624">
        <v>14224720.018606851</v>
      </c>
      <c r="AG624">
        <v>640.34767770641588</v>
      </c>
      <c r="AH624">
        <v>4471.6423429920524</v>
      </c>
      <c r="AI624">
        <v>894.3284685984105</v>
      </c>
      <c r="AJ624">
        <v>141604.7539941229</v>
      </c>
      <c r="AK624">
        <v>1835.336538461539</v>
      </c>
      <c r="AL624" t="s">
        <v>94</v>
      </c>
      <c r="AM624">
        <v>346552.28158188408</v>
      </c>
      <c r="AN624">
        <v>4051.9938530573299</v>
      </c>
      <c r="AO624">
        <v>152035.83966172981</v>
      </c>
      <c r="AP624">
        <v>494044.36596752593</v>
      </c>
      <c r="AQ624">
        <v>342008.52630579611</v>
      </c>
      <c r="AR624">
        <v>9.9548359341269845E-3</v>
      </c>
      <c r="AS624">
        <v>221.13729607222109</v>
      </c>
      <c r="AT624">
        <v>541.19393830420051</v>
      </c>
      <c r="AU624">
        <v>6.3278028391867966</v>
      </c>
      <c r="AV624">
        <v>237.42701809474599</v>
      </c>
      <c r="AW624">
        <v>771.52519352780962</v>
      </c>
      <c r="AX624">
        <v>534.0981754330636</v>
      </c>
      <c r="AY624">
        <v>1.396629518204388</v>
      </c>
      <c r="AZ624" t="s">
        <v>126</v>
      </c>
      <c r="BA624" t="str">
        <f>VLOOKUP($AZ624,Sheet1!$A$2:$B$58,2)</f>
        <v>Farnesene</v>
      </c>
      <c r="BB624" t="s">
        <v>176</v>
      </c>
      <c r="BC624">
        <v>204.34866</v>
      </c>
      <c r="BD624">
        <v>5.6</v>
      </c>
      <c r="BE624" t="s">
        <v>198</v>
      </c>
      <c r="BF624" t="s">
        <v>208</v>
      </c>
      <c r="BG624">
        <v>21.259560293803041</v>
      </c>
      <c r="BH624">
        <v>8.7940630797773405E-3</v>
      </c>
      <c r="BI624">
        <v>3.9041290958599997E-2</v>
      </c>
      <c r="BJ624">
        <v>80</v>
      </c>
      <c r="BK624">
        <v>24702.218298376301</v>
      </c>
      <c r="BL624">
        <v>17100.426315289809</v>
      </c>
      <c r="BM624">
        <v>23.456863136117491</v>
      </c>
      <c r="BN624">
        <v>3987.666733139974</v>
      </c>
      <c r="BO624">
        <v>20714.551565236328</v>
      </c>
    </row>
    <row r="625" spans="1:67" x14ac:dyDescent="0.25">
      <c r="A625" s="1">
        <v>623</v>
      </c>
      <c r="B625" t="s">
        <v>73</v>
      </c>
      <c r="C625" t="s">
        <v>85</v>
      </c>
      <c r="D625">
        <v>1</v>
      </c>
      <c r="E625">
        <v>1</v>
      </c>
      <c r="F625">
        <v>2</v>
      </c>
      <c r="G625">
        <v>45.016539999999999</v>
      </c>
      <c r="H625">
        <v>2</v>
      </c>
      <c r="I625" t="s">
        <v>89</v>
      </c>
      <c r="J625">
        <v>4</v>
      </c>
      <c r="K625">
        <v>300</v>
      </c>
      <c r="L625">
        <v>70</v>
      </c>
      <c r="N625" t="s">
        <v>82</v>
      </c>
      <c r="O625">
        <v>30</v>
      </c>
      <c r="P625">
        <v>0.5</v>
      </c>
      <c r="Q625">
        <v>3.2500000000000001E-2</v>
      </c>
      <c r="R625">
        <v>77.5</v>
      </c>
      <c r="S625">
        <v>170</v>
      </c>
      <c r="T625">
        <v>20</v>
      </c>
      <c r="U625">
        <v>1812.1301775147931</v>
      </c>
      <c r="V625">
        <v>20</v>
      </c>
      <c r="W625">
        <v>0.95</v>
      </c>
      <c r="X625">
        <v>1</v>
      </c>
      <c r="Y625">
        <v>187085.5764270098</v>
      </c>
      <c r="Z625">
        <v>561256729.28102946</v>
      </c>
      <c r="AA625">
        <v>2245026917.1241179</v>
      </c>
      <c r="AB625">
        <v>2245026.9171241182</v>
      </c>
      <c r="AC625">
        <v>0</v>
      </c>
      <c r="AD625">
        <v>5817.0160418343703</v>
      </c>
      <c r="AE625">
        <v>10470628.87530187</v>
      </c>
      <c r="AF625">
        <v>7329440.2127113054</v>
      </c>
      <c r="AG625">
        <v>329.94603851312701</v>
      </c>
      <c r="AH625">
        <v>2304.0618840101752</v>
      </c>
      <c r="AI625">
        <v>460.81237680203509</v>
      </c>
      <c r="AJ625">
        <v>72963.37480653383</v>
      </c>
      <c r="AK625">
        <v>1835.336538461539</v>
      </c>
      <c r="AL625" t="s">
        <v>94</v>
      </c>
      <c r="AM625">
        <v>178564.79601078859</v>
      </c>
      <c r="AN625">
        <v>2087.8334792818009</v>
      </c>
      <c r="AO625">
        <v>78338.104056345968</v>
      </c>
      <c r="AP625">
        <v>255451.34083506581</v>
      </c>
      <c r="AQ625">
        <v>177113.23677871979</v>
      </c>
      <c r="AR625">
        <v>9.9548359341269845E-3</v>
      </c>
      <c r="AS625">
        <v>221.13729607222109</v>
      </c>
      <c r="AT625">
        <v>541.1939383042004</v>
      </c>
      <c r="AU625">
        <v>6.3278028391867958</v>
      </c>
      <c r="AV625">
        <v>237.42701809474599</v>
      </c>
      <c r="AW625">
        <v>774.22157267362536</v>
      </c>
      <c r="AX625">
        <v>536.79455457887934</v>
      </c>
      <c r="AY625">
        <v>1.396629518204388</v>
      </c>
      <c r="AZ625" t="s">
        <v>127</v>
      </c>
      <c r="BA625" t="str">
        <f>VLOOKUP($AZ625,Sheet1!$A$2:$B$58,2)</f>
        <v>Gamma Butyrolactone</v>
      </c>
      <c r="BB625" t="s">
        <v>177</v>
      </c>
      <c r="BC625">
        <v>86.08784</v>
      </c>
      <c r="BD625">
        <v>4.5</v>
      </c>
      <c r="BE625">
        <v>204</v>
      </c>
      <c r="BF625" t="s">
        <v>208</v>
      </c>
      <c r="BG625">
        <v>10.573883428950319</v>
      </c>
      <c r="BH625">
        <v>4.0512820512820499E-2</v>
      </c>
      <c r="BI625">
        <v>7.5769965636381997E-2</v>
      </c>
      <c r="BJ625">
        <v>80</v>
      </c>
      <c r="BK625">
        <v>12772.567041753289</v>
      </c>
      <c r="BL625">
        <v>8855.6618389359883</v>
      </c>
      <c r="BM625">
        <v>12.466735411151429</v>
      </c>
      <c r="BN625">
        <v>2119.345019895743</v>
      </c>
      <c r="BO625">
        <v>10653.22202185754</v>
      </c>
    </row>
    <row r="626" spans="1:67" x14ac:dyDescent="0.25">
      <c r="A626" s="1">
        <v>624</v>
      </c>
      <c r="B626" t="s">
        <v>73</v>
      </c>
      <c r="C626" t="s">
        <v>85</v>
      </c>
      <c r="D626">
        <v>1</v>
      </c>
      <c r="E626">
        <v>1</v>
      </c>
      <c r="F626">
        <v>2</v>
      </c>
      <c r="G626">
        <v>45.016539999999999</v>
      </c>
      <c r="H626">
        <v>2</v>
      </c>
      <c r="I626" t="s">
        <v>89</v>
      </c>
      <c r="J626">
        <v>4</v>
      </c>
      <c r="K626">
        <v>300</v>
      </c>
      <c r="L626">
        <v>70</v>
      </c>
      <c r="N626" t="s">
        <v>82</v>
      </c>
      <c r="O626">
        <v>30</v>
      </c>
      <c r="P626">
        <v>0.5</v>
      </c>
      <c r="Q626">
        <v>3.2500000000000001E-2</v>
      </c>
      <c r="R626">
        <v>77.5</v>
      </c>
      <c r="S626">
        <v>170</v>
      </c>
      <c r="T626">
        <v>20</v>
      </c>
      <c r="U626">
        <v>1812.1301775147931</v>
      </c>
      <c r="V626">
        <v>20</v>
      </c>
      <c r="W626">
        <v>0.95</v>
      </c>
      <c r="X626">
        <v>1</v>
      </c>
      <c r="Y626">
        <v>110223.8722388329</v>
      </c>
      <c r="Z626">
        <v>330671616.71649879</v>
      </c>
      <c r="AA626">
        <v>1322686466.8659949</v>
      </c>
      <c r="AB626">
        <v>1322686.466865995</v>
      </c>
      <c r="AC626">
        <v>0</v>
      </c>
      <c r="AD626">
        <v>3427.1697757338502</v>
      </c>
      <c r="AE626">
        <v>6168905.5963209299</v>
      </c>
      <c r="AF626">
        <v>4318233.9174246509</v>
      </c>
      <c r="AG626">
        <v>194.3919498731035</v>
      </c>
      <c r="AH626">
        <v>1357.4676764704211</v>
      </c>
      <c r="AI626">
        <v>271.49353529408421</v>
      </c>
      <c r="AJ626">
        <v>42987.310173144848</v>
      </c>
      <c r="AK626">
        <v>854.70085470085473</v>
      </c>
      <c r="AL626" t="s">
        <v>93</v>
      </c>
      <c r="AM626">
        <v>105203.7449264576</v>
      </c>
      <c r="AN626">
        <v>1230.073932322081</v>
      </c>
      <c r="AO626">
        <v>46153.900999994308</v>
      </c>
      <c r="AP626">
        <v>150275.8298866254</v>
      </c>
      <c r="AQ626">
        <v>104121.9288866311</v>
      </c>
      <c r="AR626">
        <v>9.9548359341269828E-3</v>
      </c>
      <c r="AS626">
        <v>221.13729607222109</v>
      </c>
      <c r="AT626">
        <v>541.19393830420051</v>
      </c>
      <c r="AU626">
        <v>6.3278028391867949</v>
      </c>
      <c r="AV626">
        <v>237.4270180947461</v>
      </c>
      <c r="AW626">
        <v>773.0558286221393</v>
      </c>
      <c r="AX626">
        <v>535.62881052739317</v>
      </c>
      <c r="AY626">
        <v>1.396629518204388</v>
      </c>
      <c r="AZ626" t="s">
        <v>128</v>
      </c>
      <c r="BA626" t="str">
        <f>VLOOKUP($AZ626,Sheet1!$A$2:$B$58,2)</f>
        <v>L-Glutamate</v>
      </c>
      <c r="BB626" t="s">
        <v>178</v>
      </c>
      <c r="BC626">
        <v>146.11892</v>
      </c>
      <c r="BD626">
        <v>3.4</v>
      </c>
      <c r="BE626">
        <v>333.8</v>
      </c>
      <c r="BF626" t="s">
        <v>208</v>
      </c>
      <c r="BG626">
        <v>5.9285463156320173</v>
      </c>
      <c r="BH626">
        <v>4.0512820512820402E-2</v>
      </c>
      <c r="BI626">
        <v>0.12860614864103001</v>
      </c>
      <c r="BJ626">
        <v>80</v>
      </c>
      <c r="BK626">
        <v>7513.791494331268</v>
      </c>
      <c r="BL626">
        <v>5206.0964443315524</v>
      </c>
      <c r="BM626">
        <v>7.6461304490721886</v>
      </c>
      <c r="BN626">
        <v>1299.8421763422721</v>
      </c>
      <c r="BO626">
        <v>6213.949317988996</v>
      </c>
    </row>
    <row r="627" spans="1:67" x14ac:dyDescent="0.25">
      <c r="A627" s="1">
        <v>625</v>
      </c>
      <c r="B627" t="s">
        <v>73</v>
      </c>
      <c r="C627" t="s">
        <v>85</v>
      </c>
      <c r="D627">
        <v>1</v>
      </c>
      <c r="E627">
        <v>1</v>
      </c>
      <c r="F627">
        <v>2</v>
      </c>
      <c r="G627">
        <v>45.016539999999999</v>
      </c>
      <c r="H627">
        <v>2</v>
      </c>
      <c r="I627" t="s">
        <v>89</v>
      </c>
      <c r="J627">
        <v>4</v>
      </c>
      <c r="K627">
        <v>300</v>
      </c>
      <c r="L627">
        <v>70</v>
      </c>
      <c r="N627" t="s">
        <v>82</v>
      </c>
      <c r="O627">
        <v>30</v>
      </c>
      <c r="P627">
        <v>0.5</v>
      </c>
      <c r="Q627">
        <v>3.2500000000000001E-2</v>
      </c>
      <c r="R627">
        <v>77.5</v>
      </c>
      <c r="S627">
        <v>170</v>
      </c>
      <c r="T627">
        <v>20</v>
      </c>
      <c r="U627">
        <v>1812.1301775147931</v>
      </c>
      <c r="V627">
        <v>20</v>
      </c>
      <c r="W627">
        <v>0.95</v>
      </c>
      <c r="X627">
        <v>1</v>
      </c>
      <c r="Y627">
        <v>177762.35336887001</v>
      </c>
      <c r="Z627">
        <v>533287060.10660988</v>
      </c>
      <c r="AA627">
        <v>2133148240.42644</v>
      </c>
      <c r="AB627">
        <v>2133148.2404264398</v>
      </c>
      <c r="AC627">
        <v>0</v>
      </c>
      <c r="AD627">
        <v>5527.1308506477671</v>
      </c>
      <c r="AE627">
        <v>9948835.5311659817</v>
      </c>
      <c r="AF627">
        <v>6964184.8718161862</v>
      </c>
      <c r="AG627">
        <v>313.5035068495082</v>
      </c>
      <c r="AH627">
        <v>2189.2412586330738</v>
      </c>
      <c r="AI627">
        <v>437.84825172661482</v>
      </c>
      <c r="AJ627">
        <v>69327.317813859292</v>
      </c>
      <c r="AK627">
        <v>854.70085470085473</v>
      </c>
      <c r="AL627" t="s">
        <v>93</v>
      </c>
      <c r="AM627">
        <v>169666.19754406321</v>
      </c>
      <c r="AN627">
        <v>1983.788380737335</v>
      </c>
      <c r="AO627">
        <v>74434.202793524513</v>
      </c>
      <c r="AP627">
        <v>241832.0045933607</v>
      </c>
      <c r="AQ627">
        <v>167397.80179983619</v>
      </c>
      <c r="AR627">
        <v>9.9548359341269828E-3</v>
      </c>
      <c r="AS627">
        <v>221.13729607222109</v>
      </c>
      <c r="AT627">
        <v>541.19393830420029</v>
      </c>
      <c r="AU627">
        <v>6.3278028391867958</v>
      </c>
      <c r="AV627">
        <v>237.42701809474599</v>
      </c>
      <c r="AW627">
        <v>771.38532523480785</v>
      </c>
      <c r="AX627">
        <v>533.95830714006183</v>
      </c>
      <c r="AY627">
        <v>1.396629518204388</v>
      </c>
      <c r="AZ627" t="s">
        <v>129</v>
      </c>
      <c r="BA627" t="str">
        <f>VLOOKUP($AZ627,Sheet1!$A$2:$B$58,2)</f>
        <v>Glutarate</v>
      </c>
      <c r="BB627" t="s">
        <v>179</v>
      </c>
      <c r="BC627">
        <v>130.09654</v>
      </c>
      <c r="BD627">
        <v>3.6</v>
      </c>
      <c r="BE627">
        <v>200</v>
      </c>
      <c r="BF627" t="s">
        <v>208</v>
      </c>
      <c r="BG627">
        <v>10.298491422337779</v>
      </c>
      <c r="BH627">
        <v>2.8214285714285699E-2</v>
      </c>
      <c r="BI627">
        <v>7.9743924561586493E-2</v>
      </c>
      <c r="BJ627">
        <v>80</v>
      </c>
      <c r="BK627">
        <v>12091.600229668031</v>
      </c>
      <c r="BL627">
        <v>8369.8900899918099</v>
      </c>
      <c r="BM627">
        <v>11.59392116399296</v>
      </c>
      <c r="BN627">
        <v>1970.966597878803</v>
      </c>
      <c r="BO627">
        <v>10120.633631789229</v>
      </c>
    </row>
    <row r="628" spans="1:67" x14ac:dyDescent="0.25">
      <c r="A628" s="1">
        <v>626</v>
      </c>
      <c r="B628" t="s">
        <v>73</v>
      </c>
      <c r="C628" t="s">
        <v>85</v>
      </c>
      <c r="D628">
        <v>1</v>
      </c>
      <c r="E628">
        <v>1</v>
      </c>
      <c r="F628">
        <v>2</v>
      </c>
      <c r="G628">
        <v>45.016539999999999</v>
      </c>
      <c r="H628">
        <v>2</v>
      </c>
      <c r="I628" t="s">
        <v>89</v>
      </c>
      <c r="J628">
        <v>4</v>
      </c>
      <c r="K628">
        <v>300</v>
      </c>
      <c r="L628">
        <v>70</v>
      </c>
      <c r="N628" t="s">
        <v>82</v>
      </c>
      <c r="O628">
        <v>30</v>
      </c>
      <c r="P628">
        <v>0.5</v>
      </c>
      <c r="Q628">
        <v>3.2500000000000001E-2</v>
      </c>
      <c r="R628">
        <v>77.5</v>
      </c>
      <c r="S628">
        <v>170</v>
      </c>
      <c r="T628">
        <v>20</v>
      </c>
      <c r="U628">
        <v>1812.1301775147931</v>
      </c>
      <c r="V628">
        <v>20</v>
      </c>
      <c r="W628">
        <v>0.95</v>
      </c>
      <c r="X628">
        <v>1</v>
      </c>
      <c r="Y628">
        <v>80713.279759410914</v>
      </c>
      <c r="Z628">
        <v>242139839.27823281</v>
      </c>
      <c r="AA628">
        <v>968559357.11293101</v>
      </c>
      <c r="AB628">
        <v>968559.35711293097</v>
      </c>
      <c r="AC628">
        <v>0</v>
      </c>
      <c r="AD628">
        <v>2509.6025686017269</v>
      </c>
      <c r="AE628">
        <v>4517284.6234831093</v>
      </c>
      <c r="AF628">
        <v>3162099.2364381771</v>
      </c>
      <c r="AG628">
        <v>142.34676676108859</v>
      </c>
      <c r="AH628">
        <v>994.02848139745811</v>
      </c>
      <c r="AI628">
        <v>198.8056962794916</v>
      </c>
      <c r="AJ628">
        <v>31478.179106170261</v>
      </c>
      <c r="AK628">
        <v>854.70085470085473</v>
      </c>
      <c r="AL628" t="s">
        <v>93</v>
      </c>
      <c r="AM628">
        <v>77037.207308302997</v>
      </c>
      <c r="AN628">
        <v>900.74227485987751</v>
      </c>
      <c r="AO628">
        <v>33796.968367513568</v>
      </c>
      <c r="AP628">
        <v>110270.829544034</v>
      </c>
      <c r="AQ628">
        <v>76473.861176520411</v>
      </c>
      <c r="AR628">
        <v>9.9548359341269828E-3</v>
      </c>
      <c r="AS628">
        <v>221.13729607222109</v>
      </c>
      <c r="AT628">
        <v>541.19393830420029</v>
      </c>
      <c r="AU628">
        <v>6.3278028391867966</v>
      </c>
      <c r="AV628">
        <v>237.42701809474599</v>
      </c>
      <c r="AW628">
        <v>774.66339456174569</v>
      </c>
      <c r="AX628">
        <v>537.23637646699967</v>
      </c>
      <c r="AY628">
        <v>1.396629518204388</v>
      </c>
      <c r="AZ628" t="s">
        <v>130</v>
      </c>
      <c r="BA628" t="str">
        <f>VLOOKUP($AZ628,Sheet1!$A$2:$B$58,2)</f>
        <v>Glycolate</v>
      </c>
      <c r="BB628" t="s">
        <v>180</v>
      </c>
      <c r="BC628">
        <v>75.041920000000005</v>
      </c>
      <c r="BD628">
        <v>2.5</v>
      </c>
      <c r="BE628">
        <v>112</v>
      </c>
      <c r="BF628" t="s">
        <v>208</v>
      </c>
      <c r="BG628">
        <v>4.2711013466822214</v>
      </c>
      <c r="BH628">
        <v>0.107727272727273</v>
      </c>
      <c r="BI628">
        <v>0.17562745237451999</v>
      </c>
      <c r="BJ628">
        <v>80</v>
      </c>
      <c r="BK628">
        <v>5513.5414772016993</v>
      </c>
      <c r="BL628">
        <v>3823.6930588260211</v>
      </c>
      <c r="BM628">
        <v>5.6691834672923589</v>
      </c>
      <c r="BN628">
        <v>963.76118943970096</v>
      </c>
      <c r="BO628">
        <v>4549.7802877619979</v>
      </c>
    </row>
    <row r="629" spans="1:67" x14ac:dyDescent="0.25">
      <c r="A629" s="1">
        <v>627</v>
      </c>
      <c r="B629" t="s">
        <v>73</v>
      </c>
      <c r="C629" t="s">
        <v>85</v>
      </c>
      <c r="D629">
        <v>1</v>
      </c>
      <c r="E629">
        <v>1</v>
      </c>
      <c r="F629">
        <v>2</v>
      </c>
      <c r="G629">
        <v>45.016539999999999</v>
      </c>
      <c r="H629">
        <v>2</v>
      </c>
      <c r="I629" t="s">
        <v>89</v>
      </c>
      <c r="J629">
        <v>4</v>
      </c>
      <c r="K629">
        <v>300</v>
      </c>
      <c r="L629">
        <v>70</v>
      </c>
      <c r="N629" t="s">
        <v>82</v>
      </c>
      <c r="O629">
        <v>30</v>
      </c>
      <c r="P629">
        <v>0.5</v>
      </c>
      <c r="Q629">
        <v>3.2500000000000001E-2</v>
      </c>
      <c r="R629">
        <v>77.5</v>
      </c>
      <c r="S629">
        <v>170</v>
      </c>
      <c r="T629">
        <v>20</v>
      </c>
      <c r="U629">
        <v>1812.1301775147931</v>
      </c>
      <c r="V629">
        <v>20</v>
      </c>
      <c r="W629">
        <v>0.95</v>
      </c>
      <c r="X629">
        <v>1</v>
      </c>
      <c r="Y629">
        <v>369555.2196255172</v>
      </c>
      <c r="Z629">
        <v>1108665658.8765521</v>
      </c>
      <c r="AA629">
        <v>4434662635.5062075</v>
      </c>
      <c r="AB629">
        <v>4434662.6355062062</v>
      </c>
      <c r="AC629">
        <v>0</v>
      </c>
      <c r="AD629">
        <v>11490.50975473757</v>
      </c>
      <c r="AE629">
        <v>20682917.558527619</v>
      </c>
      <c r="AF629">
        <v>14478042.290969331</v>
      </c>
      <c r="AG629">
        <v>651.75136991311263</v>
      </c>
      <c r="AH629">
        <v>4551.2760087540037</v>
      </c>
      <c r="AI629">
        <v>910.25520175080078</v>
      </c>
      <c r="AJ629">
        <v>144126.53565395169</v>
      </c>
      <c r="AK629">
        <v>854.70085470085473</v>
      </c>
      <c r="AL629" t="s">
        <v>93</v>
      </c>
      <c r="AM629">
        <v>352723.89067843527</v>
      </c>
      <c r="AN629">
        <v>4124.1541689800779</v>
      </c>
      <c r="AO629">
        <v>154743.3842976361</v>
      </c>
      <c r="AP629">
        <v>501829.28135606792</v>
      </c>
      <c r="AQ629">
        <v>347085.89705843182</v>
      </c>
      <c r="AR629">
        <v>9.9548359341269845E-3</v>
      </c>
      <c r="AS629">
        <v>221.13729607222109</v>
      </c>
      <c r="AT629">
        <v>541.19393830420051</v>
      </c>
      <c r="AU629">
        <v>6.3278028391867958</v>
      </c>
      <c r="AV629">
        <v>237.4270180947461</v>
      </c>
      <c r="AW629">
        <v>769.9704281756533</v>
      </c>
      <c r="AX629">
        <v>532.54341008090728</v>
      </c>
      <c r="AY629">
        <v>1.3966295182043891</v>
      </c>
      <c r="AZ629" t="s">
        <v>131</v>
      </c>
      <c r="BA629" t="str">
        <f>VLOOKUP($AZ629,Sheet1!$A$2:$B$58,2)</f>
        <v>Heptane</v>
      </c>
      <c r="BB629" t="s">
        <v>181</v>
      </c>
      <c r="BC629">
        <v>100.20034</v>
      </c>
      <c r="BD629">
        <v>6.2857142857142856</v>
      </c>
      <c r="BE629">
        <v>98</v>
      </c>
      <c r="BF629" t="s">
        <v>208</v>
      </c>
      <c r="BG629">
        <v>21.851661621613658</v>
      </c>
      <c r="BH629">
        <v>1.7620817843866099E-2</v>
      </c>
      <c r="BI629">
        <v>3.8358185581309698E-2</v>
      </c>
      <c r="BJ629">
        <v>80</v>
      </c>
      <c r="BK629">
        <v>25091.46406780339</v>
      </c>
      <c r="BL629">
        <v>17354.29485292159</v>
      </c>
      <c r="BM629">
        <v>23.661098465926369</v>
      </c>
      <c r="BN629">
        <v>4022.3867392074831</v>
      </c>
      <c r="BO629">
        <v>21069.077328595911</v>
      </c>
    </row>
    <row r="630" spans="1:67" x14ac:dyDescent="0.25">
      <c r="A630" s="1">
        <v>628</v>
      </c>
      <c r="B630" t="s">
        <v>73</v>
      </c>
      <c r="C630" t="s">
        <v>85</v>
      </c>
      <c r="D630">
        <v>1</v>
      </c>
      <c r="E630">
        <v>1</v>
      </c>
      <c r="F630">
        <v>2</v>
      </c>
      <c r="G630">
        <v>45.016539999999999</v>
      </c>
      <c r="H630">
        <v>2</v>
      </c>
      <c r="I630" t="s">
        <v>89</v>
      </c>
      <c r="J630">
        <v>4</v>
      </c>
      <c r="K630">
        <v>300</v>
      </c>
      <c r="L630">
        <v>70</v>
      </c>
      <c r="N630" t="s">
        <v>82</v>
      </c>
      <c r="O630">
        <v>30</v>
      </c>
      <c r="P630">
        <v>0.5</v>
      </c>
      <c r="Q630">
        <v>3.2500000000000001E-2</v>
      </c>
      <c r="R630">
        <v>77.5</v>
      </c>
      <c r="S630">
        <v>170</v>
      </c>
      <c r="T630">
        <v>20</v>
      </c>
      <c r="U630">
        <v>1812.1301775147931</v>
      </c>
      <c r="V630">
        <v>20</v>
      </c>
      <c r="W630">
        <v>0.95</v>
      </c>
      <c r="X630">
        <v>1</v>
      </c>
      <c r="Y630">
        <v>378589.48799784807</v>
      </c>
      <c r="Z630">
        <v>1135768463.9935441</v>
      </c>
      <c r="AA630">
        <v>4543073855.9741774</v>
      </c>
      <c r="AB630">
        <v>4543073.8559741769</v>
      </c>
      <c r="AC630">
        <v>0</v>
      </c>
      <c r="AD630">
        <v>11771.41053315</v>
      </c>
      <c r="AE630">
        <v>21188538.95967</v>
      </c>
      <c r="AF630">
        <v>14831977.271769</v>
      </c>
      <c r="AG630">
        <v>667.68429813368016</v>
      </c>
      <c r="AH630">
        <v>4662.5379980753833</v>
      </c>
      <c r="AI630">
        <v>932.50759961507674</v>
      </c>
      <c r="AJ630">
        <v>147649.90031916069</v>
      </c>
      <c r="AK630">
        <v>854.70085470085473</v>
      </c>
      <c r="AL630" t="s">
        <v>93</v>
      </c>
      <c r="AM630">
        <v>361346.69485084218</v>
      </c>
      <c r="AN630">
        <v>4224.9745974107454</v>
      </c>
      <c r="AO630">
        <v>158526.29193456311</v>
      </c>
      <c r="AP630">
        <v>514076.27062211448</v>
      </c>
      <c r="AQ630">
        <v>355549.97868755151</v>
      </c>
      <c r="AR630">
        <v>9.9548359341269828E-3</v>
      </c>
      <c r="AS630">
        <v>221.13729607222109</v>
      </c>
      <c r="AT630">
        <v>541.19393830420029</v>
      </c>
      <c r="AU630">
        <v>6.3278028391867958</v>
      </c>
      <c r="AV630">
        <v>237.42701809474599</v>
      </c>
      <c r="AW630">
        <v>769.93913449674824</v>
      </c>
      <c r="AX630">
        <v>532.51211640200222</v>
      </c>
      <c r="AY630">
        <v>1.396629518204388</v>
      </c>
      <c r="AZ630" t="s">
        <v>132</v>
      </c>
      <c r="BA630" t="str">
        <f>VLOOKUP($AZ630,Sheet1!$A$2:$B$58,2)</f>
        <v>Hexane</v>
      </c>
      <c r="BB630" t="s">
        <v>182</v>
      </c>
      <c r="BC630">
        <v>86.173959999999994</v>
      </c>
      <c r="BD630">
        <v>6.333333333333333</v>
      </c>
      <c r="BE630">
        <v>69</v>
      </c>
      <c r="BF630" t="s">
        <v>208</v>
      </c>
      <c r="BG630">
        <v>22.471289470740231</v>
      </c>
      <c r="BH630">
        <v>2.0000000000000101E-2</v>
      </c>
      <c r="BI630">
        <v>3.7442845473347697E-2</v>
      </c>
      <c r="BJ630">
        <v>80</v>
      </c>
      <c r="BK630">
        <v>25703.813531105719</v>
      </c>
      <c r="BL630">
        <v>17777.498934377571</v>
      </c>
      <c r="BM630">
        <v>24.15409051001361</v>
      </c>
      <c r="BN630">
        <v>4106.195386702313</v>
      </c>
      <c r="BO630">
        <v>21597.618144403408</v>
      </c>
    </row>
    <row r="631" spans="1:67" x14ac:dyDescent="0.25">
      <c r="A631" s="1">
        <v>629</v>
      </c>
      <c r="B631" t="s">
        <v>73</v>
      </c>
      <c r="C631" t="s">
        <v>85</v>
      </c>
      <c r="D631">
        <v>1</v>
      </c>
      <c r="E631">
        <v>1</v>
      </c>
      <c r="F631">
        <v>2</v>
      </c>
      <c r="G631">
        <v>45.016539999999999</v>
      </c>
      <c r="H631">
        <v>2</v>
      </c>
      <c r="I631" t="s">
        <v>89</v>
      </c>
      <c r="J631">
        <v>4</v>
      </c>
      <c r="K631">
        <v>300</v>
      </c>
      <c r="L631">
        <v>70</v>
      </c>
      <c r="N631" t="s">
        <v>82</v>
      </c>
      <c r="O631">
        <v>30</v>
      </c>
      <c r="P631">
        <v>0.5</v>
      </c>
      <c r="Q631">
        <v>3.2500000000000001E-2</v>
      </c>
      <c r="R631">
        <v>77.5</v>
      </c>
      <c r="S631">
        <v>170</v>
      </c>
      <c r="T631">
        <v>20</v>
      </c>
      <c r="U631">
        <v>1812.1301775147931</v>
      </c>
      <c r="V631">
        <v>20</v>
      </c>
      <c r="W631">
        <v>0.95</v>
      </c>
      <c r="X631">
        <v>1</v>
      </c>
      <c r="Y631">
        <v>231742.2785823374</v>
      </c>
      <c r="Z631">
        <v>695226835.74701226</v>
      </c>
      <c r="AA631">
        <v>2780907342.988049</v>
      </c>
      <c r="AB631">
        <v>2780907.3429880491</v>
      </c>
      <c r="AC631">
        <v>0</v>
      </c>
      <c r="AD631">
        <v>7205.5183399487687</v>
      </c>
      <c r="AE631">
        <v>12969933.011907781</v>
      </c>
      <c r="AF631">
        <v>9078953.1083354484</v>
      </c>
      <c r="AG631">
        <v>408.70305575950698</v>
      </c>
      <c r="AH631">
        <v>2854.0337592703081</v>
      </c>
      <c r="AI631">
        <v>570.80675185406164</v>
      </c>
      <c r="AJ631">
        <v>90379.488647111604</v>
      </c>
      <c r="AK631">
        <v>854.70085470085473</v>
      </c>
      <c r="AL631" t="s">
        <v>93</v>
      </c>
      <c r="AM631">
        <v>221187.6163434489</v>
      </c>
      <c r="AN631">
        <v>2586.1923566193282</v>
      </c>
      <c r="AO631">
        <v>97037.147815190474</v>
      </c>
      <c r="AP631">
        <v>315007.99820188072</v>
      </c>
      <c r="AQ631">
        <v>217970.8503866902</v>
      </c>
      <c r="AR631">
        <v>9.9548359341269845E-3</v>
      </c>
      <c r="AS631">
        <v>221.13729607222109</v>
      </c>
      <c r="AT631">
        <v>541.19393830420051</v>
      </c>
      <c r="AU631">
        <v>6.3278028391867958</v>
      </c>
      <c r="AV631">
        <v>237.42701809474599</v>
      </c>
      <c r="AW631">
        <v>770.75028865759373</v>
      </c>
      <c r="AX631">
        <v>533.32327056284771</v>
      </c>
      <c r="AY631">
        <v>1.396629518204388</v>
      </c>
      <c r="AZ631" t="s">
        <v>133</v>
      </c>
      <c r="BA631" t="str">
        <f>VLOOKUP($AZ631,Sheet1!$A$2:$B$58,2)</f>
        <v>Isobutanol</v>
      </c>
      <c r="BB631" t="s">
        <v>183</v>
      </c>
      <c r="BC631">
        <v>86.130899999999997</v>
      </c>
      <c r="BD631">
        <v>5.6</v>
      </c>
      <c r="BE631">
        <v>108</v>
      </c>
      <c r="BF631" t="s">
        <v>208</v>
      </c>
      <c r="BG631">
        <v>13.58696435721018</v>
      </c>
      <c r="BH631">
        <v>3.2689655172413699E-2</v>
      </c>
      <c r="BI631">
        <v>6.1169104678069103E-2</v>
      </c>
      <c r="BJ631">
        <v>80</v>
      </c>
      <c r="BK631">
        <v>15750.399910094029</v>
      </c>
      <c r="BL631">
        <v>10898.542519334511</v>
      </c>
      <c r="BM631">
        <v>14.953373235492901</v>
      </c>
      <c r="BN631">
        <v>2542.073450033794</v>
      </c>
      <c r="BO631">
        <v>13208.32646006024</v>
      </c>
    </row>
    <row r="632" spans="1:67" x14ac:dyDescent="0.25">
      <c r="A632" s="1">
        <v>630</v>
      </c>
      <c r="B632" t="s">
        <v>73</v>
      </c>
      <c r="C632" t="s">
        <v>85</v>
      </c>
      <c r="D632">
        <v>1</v>
      </c>
      <c r="E632">
        <v>1</v>
      </c>
      <c r="F632">
        <v>2</v>
      </c>
      <c r="G632">
        <v>45.016539999999999</v>
      </c>
      <c r="H632">
        <v>2</v>
      </c>
      <c r="I632" t="s">
        <v>89</v>
      </c>
      <c r="J632">
        <v>4</v>
      </c>
      <c r="K632">
        <v>300</v>
      </c>
      <c r="L632">
        <v>70</v>
      </c>
      <c r="N632" t="s">
        <v>82</v>
      </c>
      <c r="O632">
        <v>30</v>
      </c>
      <c r="P632">
        <v>0.5</v>
      </c>
      <c r="Q632">
        <v>3.2500000000000001E-2</v>
      </c>
      <c r="R632">
        <v>77.5</v>
      </c>
      <c r="S632">
        <v>170</v>
      </c>
      <c r="T632">
        <v>20</v>
      </c>
      <c r="U632">
        <v>1812.1301775147931</v>
      </c>
      <c r="V632">
        <v>20</v>
      </c>
      <c r="W632">
        <v>0.95</v>
      </c>
      <c r="X632">
        <v>1</v>
      </c>
      <c r="Y632">
        <v>170696.02077682639</v>
      </c>
      <c r="Z632">
        <v>512088062.33047932</v>
      </c>
      <c r="AA632">
        <v>2048352249.3219171</v>
      </c>
      <c r="AB632">
        <v>2048352.2493219171</v>
      </c>
      <c r="AC632">
        <v>0</v>
      </c>
      <c r="AD632">
        <v>5307.4187230220896</v>
      </c>
      <c r="AE632">
        <v>9553353.7014397625</v>
      </c>
      <c r="AF632">
        <v>6687347.5910078334</v>
      </c>
      <c r="AG632">
        <v>301.04125032450781</v>
      </c>
      <c r="AH632">
        <v>2102.21548200182</v>
      </c>
      <c r="AI632">
        <v>420.44309640036391</v>
      </c>
      <c r="AJ632">
        <v>66571.448102962313</v>
      </c>
      <c r="AK632">
        <v>854.70085470085473</v>
      </c>
      <c r="AL632" t="s">
        <v>93</v>
      </c>
      <c r="AM632">
        <v>162921.69985514099</v>
      </c>
      <c r="AN632">
        <v>1904.929678515763</v>
      </c>
      <c r="AO632">
        <v>71475.326388061862</v>
      </c>
      <c r="AP632">
        <v>232252.77849131991</v>
      </c>
      <c r="AQ632">
        <v>160777.45210325811</v>
      </c>
      <c r="AR632">
        <v>9.9548359341269863E-3</v>
      </c>
      <c r="AS632">
        <v>221.13729607222109</v>
      </c>
      <c r="AT632">
        <v>541.19393830420051</v>
      </c>
      <c r="AU632">
        <v>6.3278028391867958</v>
      </c>
      <c r="AV632">
        <v>237.42701809474599</v>
      </c>
      <c r="AW632">
        <v>771.49818584982222</v>
      </c>
      <c r="AX632">
        <v>534.0711677550762</v>
      </c>
      <c r="AY632">
        <v>1.396629518204388</v>
      </c>
      <c r="AZ632" t="s">
        <v>134</v>
      </c>
      <c r="BA632" t="str">
        <f>VLOOKUP($AZ632,Sheet1!$A$2:$B$58,2)</f>
        <v>Isobutyrate</v>
      </c>
      <c r="BB632" t="s">
        <v>170</v>
      </c>
      <c r="BC632">
        <v>87.095680000000002</v>
      </c>
      <c r="BD632">
        <v>4.75</v>
      </c>
      <c r="BE632">
        <v>155</v>
      </c>
      <c r="BF632" t="s">
        <v>208</v>
      </c>
      <c r="BG632">
        <v>9.4920838056592878</v>
      </c>
      <c r="BH632">
        <v>4.3888888888888998E-2</v>
      </c>
      <c r="BI632">
        <v>8.3045097550754995E-2</v>
      </c>
      <c r="BJ632">
        <v>80</v>
      </c>
      <c r="BK632">
        <v>11612.638924565999</v>
      </c>
      <c r="BL632">
        <v>8038.8726051629028</v>
      </c>
      <c r="BM632">
        <v>11.530071014358899</v>
      </c>
      <c r="BN632">
        <v>1960.112072441013</v>
      </c>
      <c r="BO632">
        <v>9652.5268521249818</v>
      </c>
    </row>
    <row r="633" spans="1:67" x14ac:dyDescent="0.25">
      <c r="A633" s="1">
        <v>631</v>
      </c>
      <c r="B633" t="s">
        <v>73</v>
      </c>
      <c r="C633" t="s">
        <v>85</v>
      </c>
      <c r="D633">
        <v>1</v>
      </c>
      <c r="E633">
        <v>1</v>
      </c>
      <c r="F633">
        <v>2</v>
      </c>
      <c r="G633">
        <v>45.016539999999999</v>
      </c>
      <c r="H633">
        <v>2</v>
      </c>
      <c r="I633" t="s">
        <v>89</v>
      </c>
      <c r="J633">
        <v>4</v>
      </c>
      <c r="K633">
        <v>300</v>
      </c>
      <c r="L633">
        <v>70</v>
      </c>
      <c r="N633" t="s">
        <v>82</v>
      </c>
      <c r="O633">
        <v>30</v>
      </c>
      <c r="P633">
        <v>0.5</v>
      </c>
      <c r="Q633">
        <v>3.2500000000000001E-2</v>
      </c>
      <c r="R633">
        <v>77.5</v>
      </c>
      <c r="S633">
        <v>170</v>
      </c>
      <c r="T633">
        <v>20</v>
      </c>
      <c r="U633">
        <v>1812.1301775147931</v>
      </c>
      <c r="V633">
        <v>20</v>
      </c>
      <c r="W633">
        <v>0.95</v>
      </c>
      <c r="X633">
        <v>1</v>
      </c>
      <c r="Y633">
        <v>363762.74752308457</v>
      </c>
      <c r="Z633">
        <v>1091288242.5692539</v>
      </c>
      <c r="AA633">
        <v>4365152970.2770147</v>
      </c>
      <c r="AB633">
        <v>4365152.9702770151</v>
      </c>
      <c r="AC633">
        <v>66773.504273504266</v>
      </c>
      <c r="AD633">
        <v>11310.405527649409</v>
      </c>
      <c r="AE633">
        <v>20358729.949768942</v>
      </c>
      <c r="AF633">
        <v>14251110.964838261</v>
      </c>
      <c r="AG633">
        <v>641.53570679308007</v>
      </c>
      <c r="AH633">
        <v>4479.9385254466561</v>
      </c>
      <c r="AI633">
        <v>895.98770508933126</v>
      </c>
      <c r="AJ633">
        <v>141867.47153400301</v>
      </c>
      <c r="AK633">
        <v>2170.1388888888891</v>
      </c>
      <c r="AL633" t="s">
        <v>95</v>
      </c>
      <c r="AM633">
        <v>347195.23572211579</v>
      </c>
      <c r="AN633">
        <v>4059.5114668849601</v>
      </c>
      <c r="AO633">
        <v>152317.90986518629</v>
      </c>
      <c r="AP633">
        <v>495292.35761189269</v>
      </c>
      <c r="AQ633">
        <v>342974.44774670643</v>
      </c>
      <c r="AR633">
        <v>9.9548359341269863E-3</v>
      </c>
      <c r="AS633">
        <v>221.13729607222109</v>
      </c>
      <c r="AT633">
        <v>541.19393830420051</v>
      </c>
      <c r="AU633">
        <v>6.3278028391867958</v>
      </c>
      <c r="AV633">
        <v>237.4270180947461</v>
      </c>
      <c r="AW633">
        <v>772.0417622391883</v>
      </c>
      <c r="AX633">
        <v>534.61474414444228</v>
      </c>
      <c r="AY633">
        <v>1.396629518204388</v>
      </c>
      <c r="AZ633" t="s">
        <v>135</v>
      </c>
      <c r="BA633" t="str">
        <f>VLOOKUP($AZ633,Sheet1!$A$2:$B$58,2)</f>
        <v>Isoprene</v>
      </c>
      <c r="BB633" t="s">
        <v>184</v>
      </c>
      <c r="BC633">
        <v>68.116219999999998</v>
      </c>
      <c r="BD633">
        <v>5.6</v>
      </c>
      <c r="BE633">
        <v>34.07</v>
      </c>
      <c r="BF633" t="s">
        <v>208</v>
      </c>
      <c r="BG633">
        <v>21.304996413260039</v>
      </c>
      <c r="BH633">
        <v>2.63333333333329E-2</v>
      </c>
      <c r="BI633">
        <v>3.8968992271638997E-2</v>
      </c>
      <c r="BJ633">
        <v>80</v>
      </c>
      <c r="BK633">
        <v>24764.61788059464</v>
      </c>
      <c r="BL633">
        <v>17148.722387335321</v>
      </c>
      <c r="BM633">
        <v>23.494388841206529</v>
      </c>
      <c r="BN633">
        <v>3994.0461030051092</v>
      </c>
      <c r="BO633">
        <v>20770.571777589528</v>
      </c>
    </row>
    <row r="634" spans="1:67" x14ac:dyDescent="0.25">
      <c r="A634" s="1">
        <v>632</v>
      </c>
      <c r="B634" t="s">
        <v>73</v>
      </c>
      <c r="C634" t="s">
        <v>85</v>
      </c>
      <c r="D634">
        <v>1</v>
      </c>
      <c r="E634">
        <v>1</v>
      </c>
      <c r="F634">
        <v>2</v>
      </c>
      <c r="G634">
        <v>45.016539999999999</v>
      </c>
      <c r="H634">
        <v>2</v>
      </c>
      <c r="I634" t="s">
        <v>89</v>
      </c>
      <c r="J634">
        <v>4</v>
      </c>
      <c r="K634">
        <v>300</v>
      </c>
      <c r="L634">
        <v>70</v>
      </c>
      <c r="N634" t="s">
        <v>82</v>
      </c>
      <c r="O634">
        <v>30</v>
      </c>
      <c r="P634">
        <v>0.5</v>
      </c>
      <c r="Q634">
        <v>3.2500000000000001E-2</v>
      </c>
      <c r="R634">
        <v>77.5</v>
      </c>
      <c r="S634">
        <v>170</v>
      </c>
      <c r="T634">
        <v>20</v>
      </c>
      <c r="U634">
        <v>1812.1301775147931</v>
      </c>
      <c r="V634">
        <v>20</v>
      </c>
      <c r="W634">
        <v>0.95</v>
      </c>
      <c r="X634">
        <v>1</v>
      </c>
      <c r="Y634">
        <v>240522.51874181221</v>
      </c>
      <c r="Z634">
        <v>721567556.22543657</v>
      </c>
      <c r="AA634">
        <v>2886270224.9017458</v>
      </c>
      <c r="AB634">
        <v>2886270.224901746</v>
      </c>
      <c r="AC634">
        <v>0</v>
      </c>
      <c r="AD634">
        <v>7478.5206677297647</v>
      </c>
      <c r="AE634">
        <v>13461337.20191358</v>
      </c>
      <c r="AF634">
        <v>9422936.0413395036</v>
      </c>
      <c r="AG634">
        <v>424.1879772224014</v>
      </c>
      <c r="AH634">
        <v>2962.1672512810819</v>
      </c>
      <c r="AI634">
        <v>592.43345025621647</v>
      </c>
      <c r="AJ634">
        <v>93803.782309306771</v>
      </c>
      <c r="AK634">
        <v>854.70085470085473</v>
      </c>
      <c r="AL634" t="s">
        <v>93</v>
      </c>
      <c r="AM634">
        <v>229567.96197428391</v>
      </c>
      <c r="AN634">
        <v>2684.1778866168161</v>
      </c>
      <c r="AO634">
        <v>100713.6865435568</v>
      </c>
      <c r="AP634">
        <v>326910.6230249083</v>
      </c>
      <c r="AQ634">
        <v>226196.9364813515</v>
      </c>
      <c r="AR634">
        <v>9.9548359341269845E-3</v>
      </c>
      <c r="AS634">
        <v>221.13729607222109</v>
      </c>
      <c r="AT634">
        <v>541.1939383042004</v>
      </c>
      <c r="AU634">
        <v>6.3278028391867958</v>
      </c>
      <c r="AV634">
        <v>237.42701809474599</v>
      </c>
      <c r="AW634">
        <v>770.6739478226873</v>
      </c>
      <c r="AX634">
        <v>533.24692972794128</v>
      </c>
      <c r="AY634">
        <v>1.396629518204388</v>
      </c>
      <c r="AZ634" t="s">
        <v>136</v>
      </c>
      <c r="BA634" t="str">
        <f>VLOOKUP($AZ634,Sheet1!$A$2:$B$58,2)</f>
        <v>Isopropanol</v>
      </c>
      <c r="BB634" t="s">
        <v>156</v>
      </c>
      <c r="BC634">
        <v>60.093820000000001</v>
      </c>
      <c r="BD634">
        <v>6</v>
      </c>
      <c r="BE634">
        <v>82.5</v>
      </c>
      <c r="BF634" t="s">
        <v>208</v>
      </c>
      <c r="BG634">
        <v>14.025985755126561</v>
      </c>
      <c r="BH634">
        <v>4.5142857142857103E-2</v>
      </c>
      <c r="BI634">
        <v>5.8936135257064398E-2</v>
      </c>
      <c r="BJ634">
        <v>80</v>
      </c>
      <c r="BK634">
        <v>16345.53115124541</v>
      </c>
      <c r="BL634">
        <v>11309.84682406757</v>
      </c>
      <c r="BM634">
        <v>15.595686757684261</v>
      </c>
      <c r="BN634">
        <v>2651.2667488063239</v>
      </c>
      <c r="BO634">
        <v>13694.26440243909</v>
      </c>
    </row>
    <row r="635" spans="1:67" x14ac:dyDescent="0.25">
      <c r="A635" s="1">
        <v>633</v>
      </c>
      <c r="B635" t="s">
        <v>73</v>
      </c>
      <c r="C635" t="s">
        <v>85</v>
      </c>
      <c r="D635">
        <v>1</v>
      </c>
      <c r="E635">
        <v>1</v>
      </c>
      <c r="F635">
        <v>2</v>
      </c>
      <c r="G635">
        <v>45.016539999999999</v>
      </c>
      <c r="H635">
        <v>2</v>
      </c>
      <c r="I635" t="s">
        <v>89</v>
      </c>
      <c r="J635">
        <v>4</v>
      </c>
      <c r="K635">
        <v>300</v>
      </c>
      <c r="L635">
        <v>70</v>
      </c>
      <c r="N635" t="s">
        <v>82</v>
      </c>
      <c r="O635">
        <v>30</v>
      </c>
      <c r="P635">
        <v>0.5</v>
      </c>
      <c r="Q635">
        <v>3.2500000000000001E-2</v>
      </c>
      <c r="R635">
        <v>77.5</v>
      </c>
      <c r="S635">
        <v>170</v>
      </c>
      <c r="T635">
        <v>20</v>
      </c>
      <c r="U635">
        <v>1812.1301775147931</v>
      </c>
      <c r="V635">
        <v>20</v>
      </c>
      <c r="W635">
        <v>0.95</v>
      </c>
      <c r="X635">
        <v>1</v>
      </c>
      <c r="Y635">
        <v>125747.0723553561</v>
      </c>
      <c r="Z635">
        <v>377241217.06606817</v>
      </c>
      <c r="AA635">
        <v>1508964868.2642729</v>
      </c>
      <c r="AB635">
        <v>1508964.868264273</v>
      </c>
      <c r="AC635">
        <v>0</v>
      </c>
      <c r="AD635">
        <v>3909.8296676558211</v>
      </c>
      <c r="AE635">
        <v>7037693.4017804777</v>
      </c>
      <c r="AF635">
        <v>4926385.3812463339</v>
      </c>
      <c r="AG635">
        <v>221.7688245702908</v>
      </c>
      <c r="AH635">
        <v>1548.644433061794</v>
      </c>
      <c r="AI635">
        <v>309.72888661235879</v>
      </c>
      <c r="AJ635">
        <v>49041.358218588874</v>
      </c>
      <c r="AK635">
        <v>854.70085470085473</v>
      </c>
      <c r="AL635" t="s">
        <v>93</v>
      </c>
      <c r="AM635">
        <v>120019.943562289</v>
      </c>
      <c r="AN635">
        <v>1403.3093977590049</v>
      </c>
      <c r="AO635">
        <v>52653.910724101013</v>
      </c>
      <c r="AP635">
        <v>171319.3120333378</v>
      </c>
      <c r="AQ635">
        <v>118665.4013092368</v>
      </c>
      <c r="AR635">
        <v>9.9548359341269845E-3</v>
      </c>
      <c r="AS635">
        <v>221.13729607222109</v>
      </c>
      <c r="AT635">
        <v>541.19393830420051</v>
      </c>
      <c r="AU635">
        <v>6.3278028391867958</v>
      </c>
      <c r="AV635">
        <v>237.4270180947461</v>
      </c>
      <c r="AW635">
        <v>772.51305437224414</v>
      </c>
      <c r="AX635">
        <v>535.08603627749812</v>
      </c>
      <c r="AY635">
        <v>1.3966295182043891</v>
      </c>
      <c r="AZ635" t="s">
        <v>137</v>
      </c>
      <c r="BA635" t="str">
        <f>VLOOKUP($AZ635,Sheet1!$A$2:$B$58,2)</f>
        <v>Itaconate</v>
      </c>
      <c r="BB635" t="s">
        <v>185</v>
      </c>
      <c r="BC635">
        <v>128.08086</v>
      </c>
      <c r="BD635">
        <v>3.2</v>
      </c>
      <c r="BE635">
        <v>381</v>
      </c>
      <c r="BF635" t="s">
        <v>208</v>
      </c>
      <c r="BG635">
        <v>6.7634835119792784</v>
      </c>
      <c r="BH635">
        <v>4.0512820512820499E-2</v>
      </c>
      <c r="BI635">
        <v>0.112730001831597</v>
      </c>
      <c r="BJ635">
        <v>80</v>
      </c>
      <c r="BK635">
        <v>8565.9656016668887</v>
      </c>
      <c r="BL635">
        <v>5933.2700654618384</v>
      </c>
      <c r="BM635">
        <v>8.7229608186386649</v>
      </c>
      <c r="BN635">
        <v>1482.903339168573</v>
      </c>
      <c r="BO635">
        <v>7083.0622624983152</v>
      </c>
    </row>
    <row r="636" spans="1:67" x14ac:dyDescent="0.25">
      <c r="A636" s="1">
        <v>634</v>
      </c>
      <c r="B636" t="s">
        <v>73</v>
      </c>
      <c r="C636" t="s">
        <v>85</v>
      </c>
      <c r="D636">
        <v>1</v>
      </c>
      <c r="E636">
        <v>1</v>
      </c>
      <c r="F636">
        <v>2</v>
      </c>
      <c r="G636">
        <v>45.016539999999999</v>
      </c>
      <c r="H636">
        <v>2</v>
      </c>
      <c r="I636" t="s">
        <v>89</v>
      </c>
      <c r="J636">
        <v>4</v>
      </c>
      <c r="K636">
        <v>300</v>
      </c>
      <c r="L636">
        <v>70</v>
      </c>
      <c r="N636" t="s">
        <v>82</v>
      </c>
      <c r="O636">
        <v>30</v>
      </c>
      <c r="P636">
        <v>0.5</v>
      </c>
      <c r="Q636">
        <v>3.2500000000000001E-2</v>
      </c>
      <c r="R636">
        <v>77.5</v>
      </c>
      <c r="S636">
        <v>170</v>
      </c>
      <c r="T636">
        <v>20</v>
      </c>
      <c r="U636">
        <v>1812.1301775147931</v>
      </c>
      <c r="V636">
        <v>20</v>
      </c>
      <c r="W636">
        <v>0.95</v>
      </c>
      <c r="X636">
        <v>1</v>
      </c>
      <c r="Y636">
        <v>362752.29544662818</v>
      </c>
      <c r="Z636">
        <v>1088256886.339885</v>
      </c>
      <c r="AA636">
        <v>4353027545.3595381</v>
      </c>
      <c r="AB636">
        <v>4353027.5453595379</v>
      </c>
      <c r="AC636">
        <v>0</v>
      </c>
      <c r="AD636">
        <v>11278.98773451695</v>
      </c>
      <c r="AE636">
        <v>20302177.92213051</v>
      </c>
      <c r="AF636">
        <v>14211524.545491351</v>
      </c>
      <c r="AG636">
        <v>639.75366316309328</v>
      </c>
      <c r="AH636">
        <v>4467.4942517648178</v>
      </c>
      <c r="AI636">
        <v>893.49885035296359</v>
      </c>
      <c r="AJ636">
        <v>141473.39522418499</v>
      </c>
      <c r="AK636">
        <v>854.70085470085473</v>
      </c>
      <c r="AL636" t="s">
        <v>93</v>
      </c>
      <c r="AM636">
        <v>346230.8045117734</v>
      </c>
      <c r="AN636">
        <v>4048.2350461435758</v>
      </c>
      <c r="AO636">
        <v>151894.8045600038</v>
      </c>
      <c r="AP636">
        <v>492607.13563680282</v>
      </c>
      <c r="AQ636">
        <v>340712.33107679902</v>
      </c>
      <c r="AR636">
        <v>9.9548359341269845E-3</v>
      </c>
      <c r="AS636">
        <v>221.13729607222109</v>
      </c>
      <c r="AT636">
        <v>541.19393830420051</v>
      </c>
      <c r="AU636">
        <v>6.3278028391867966</v>
      </c>
      <c r="AV636">
        <v>237.42701809474599</v>
      </c>
      <c r="AW636">
        <v>769.99502152318541</v>
      </c>
      <c r="AX636">
        <v>532.5680034284394</v>
      </c>
      <c r="AY636">
        <v>1.396629518204388</v>
      </c>
      <c r="AZ636" t="s">
        <v>138</v>
      </c>
      <c r="BA636" t="str">
        <f>VLOOKUP($AZ636,Sheet1!$A$2:$B$58,2)</f>
        <v>Limonene</v>
      </c>
      <c r="BB636" t="s">
        <v>186</v>
      </c>
      <c r="BC636">
        <v>136.23244</v>
      </c>
      <c r="BD636">
        <v>5.6</v>
      </c>
      <c r="BE636">
        <v>176</v>
      </c>
      <c r="BF636" t="s">
        <v>208</v>
      </c>
      <c r="BG636">
        <v>21.236842234074789</v>
      </c>
      <c r="BH636">
        <v>1.32033426183843E-2</v>
      </c>
      <c r="BI636">
        <v>3.9077540996630002E-2</v>
      </c>
      <c r="BJ636">
        <v>80</v>
      </c>
      <c r="BK636">
        <v>24630.356781840139</v>
      </c>
      <c r="BL636">
        <v>17035.616553839951</v>
      </c>
      <c r="BM636">
        <v>23.43810028357338</v>
      </c>
      <c r="BN636">
        <v>3984.477048207475</v>
      </c>
      <c r="BO636">
        <v>20645.879733632661</v>
      </c>
    </row>
    <row r="637" spans="1:67" x14ac:dyDescent="0.25">
      <c r="A637" s="1">
        <v>635</v>
      </c>
      <c r="B637" t="s">
        <v>73</v>
      </c>
      <c r="C637" t="s">
        <v>85</v>
      </c>
      <c r="D637">
        <v>1</v>
      </c>
      <c r="E637">
        <v>1</v>
      </c>
      <c r="F637">
        <v>2</v>
      </c>
      <c r="G637">
        <v>45.016539999999999</v>
      </c>
      <c r="H637">
        <v>2</v>
      </c>
      <c r="I637" t="s">
        <v>89</v>
      </c>
      <c r="J637">
        <v>4</v>
      </c>
      <c r="K637">
        <v>300</v>
      </c>
      <c r="L637">
        <v>70</v>
      </c>
      <c r="N637" t="s">
        <v>82</v>
      </c>
      <c r="O637">
        <v>30</v>
      </c>
      <c r="P637">
        <v>0.5</v>
      </c>
      <c r="Q637">
        <v>3.2500000000000001E-2</v>
      </c>
      <c r="R637">
        <v>77.5</v>
      </c>
      <c r="S637">
        <v>170</v>
      </c>
      <c r="T637">
        <v>20</v>
      </c>
      <c r="U637">
        <v>1812.1301775147931</v>
      </c>
      <c r="V637">
        <v>20</v>
      </c>
      <c r="W637">
        <v>0.95</v>
      </c>
      <c r="X637">
        <v>1</v>
      </c>
      <c r="Y637">
        <v>181430.4754865171</v>
      </c>
      <c r="Z637">
        <v>544291426.45955133</v>
      </c>
      <c r="AA637">
        <v>2177165705.8382049</v>
      </c>
      <c r="AB637">
        <v>2177165.7058382048</v>
      </c>
      <c r="AC637">
        <v>0</v>
      </c>
      <c r="AD637">
        <v>5641.183070007849</v>
      </c>
      <c r="AE637">
        <v>10154129.526014131</v>
      </c>
      <c r="AF637">
        <v>7107890.6682098899</v>
      </c>
      <c r="AG637">
        <v>319.97264458109731</v>
      </c>
      <c r="AH637">
        <v>2234.4162021994089</v>
      </c>
      <c r="AI637">
        <v>446.88324043988177</v>
      </c>
      <c r="AJ637">
        <v>70757.885439741673</v>
      </c>
      <c r="AK637">
        <v>854.70085470085473</v>
      </c>
      <c r="AL637" t="s">
        <v>93</v>
      </c>
      <c r="AM637">
        <v>173167.25567045421</v>
      </c>
      <c r="AN637">
        <v>2024.7238088423751</v>
      </c>
      <c r="AO637">
        <v>75970.150874779909</v>
      </c>
      <c r="AP637">
        <v>246804.56577373901</v>
      </c>
      <c r="AQ637">
        <v>170834.4148989591</v>
      </c>
      <c r="AR637">
        <v>9.9548359341269845E-3</v>
      </c>
      <c r="AS637">
        <v>221.13729607222109</v>
      </c>
      <c r="AT637">
        <v>541.1939383042004</v>
      </c>
      <c r="AU637">
        <v>6.3278028391867966</v>
      </c>
      <c r="AV637">
        <v>237.42701809474599</v>
      </c>
      <c r="AW637">
        <v>771.3302057332163</v>
      </c>
      <c r="AX637">
        <v>533.90318763847029</v>
      </c>
      <c r="AY637">
        <v>1.396629518204388</v>
      </c>
      <c r="AZ637" t="s">
        <v>139</v>
      </c>
      <c r="BA637" t="str">
        <f>VLOOKUP($AZ637,Sheet1!$A$2:$B$58,2)</f>
        <v>L-Lysine</v>
      </c>
      <c r="BB637" t="s">
        <v>187</v>
      </c>
      <c r="BC637">
        <v>147.19319999999999</v>
      </c>
      <c r="BD637">
        <v>4.833333333333333</v>
      </c>
      <c r="BF637" t="s">
        <v>208</v>
      </c>
      <c r="BG637">
        <v>10.443370784499271</v>
      </c>
      <c r="BH637">
        <v>2.4432989690721701E-2</v>
      </c>
      <c r="BI637">
        <v>7.8131679140038907E-2</v>
      </c>
      <c r="BJ637">
        <v>80</v>
      </c>
      <c r="BK637">
        <v>12340.228288686951</v>
      </c>
      <c r="BL637">
        <v>8541.7207449479556</v>
      </c>
      <c r="BM637">
        <v>11.90079123749482</v>
      </c>
      <c r="BN637">
        <v>2023.1345103741189</v>
      </c>
      <c r="BO637">
        <v>10317.09377831283</v>
      </c>
    </row>
    <row r="638" spans="1:67" x14ac:dyDescent="0.25">
      <c r="A638" s="1">
        <v>636</v>
      </c>
      <c r="B638" t="s">
        <v>73</v>
      </c>
      <c r="C638" t="s">
        <v>85</v>
      </c>
      <c r="D638">
        <v>1</v>
      </c>
      <c r="E638">
        <v>1</v>
      </c>
      <c r="F638">
        <v>2</v>
      </c>
      <c r="G638">
        <v>45.016539999999999</v>
      </c>
      <c r="H638">
        <v>2</v>
      </c>
      <c r="I638" t="s">
        <v>89</v>
      </c>
      <c r="J638">
        <v>4</v>
      </c>
      <c r="K638">
        <v>300</v>
      </c>
      <c r="L638">
        <v>70</v>
      </c>
      <c r="N638" t="s">
        <v>82</v>
      </c>
      <c r="O638">
        <v>30</v>
      </c>
      <c r="P638">
        <v>0.5</v>
      </c>
      <c r="Q638">
        <v>3.2500000000000001E-2</v>
      </c>
      <c r="R638">
        <v>77.5</v>
      </c>
      <c r="S638">
        <v>170</v>
      </c>
      <c r="T638">
        <v>20</v>
      </c>
      <c r="U638">
        <v>1812.1301775147931</v>
      </c>
      <c r="V638">
        <v>20</v>
      </c>
      <c r="W638">
        <v>0.95</v>
      </c>
      <c r="X638">
        <v>1</v>
      </c>
      <c r="Y638">
        <v>86511.318811260528</v>
      </c>
      <c r="Z638">
        <v>259533956.43378159</v>
      </c>
      <c r="AA638">
        <v>1038135825.735126</v>
      </c>
      <c r="AB638">
        <v>1038135.825735126</v>
      </c>
      <c r="AC638">
        <v>0</v>
      </c>
      <c r="AD638">
        <v>2689.879887783251</v>
      </c>
      <c r="AE638">
        <v>4841783.7980098519</v>
      </c>
      <c r="AF638">
        <v>3389248.6586068962</v>
      </c>
      <c r="AG638">
        <v>152.57224781012371</v>
      </c>
      <c r="AH638">
        <v>1065.434524752068</v>
      </c>
      <c r="AI638">
        <v>213.08690495041361</v>
      </c>
      <c r="AJ638">
        <v>33739.414336391608</v>
      </c>
      <c r="AK638">
        <v>854.70085470085473</v>
      </c>
      <c r="AL638" t="s">
        <v>93</v>
      </c>
      <c r="AM638">
        <v>82571.175668285257</v>
      </c>
      <c r="AN638">
        <v>965.44710287401199</v>
      </c>
      <c r="AO638">
        <v>36224.773841570313</v>
      </c>
      <c r="AP638">
        <v>118130.7379622517</v>
      </c>
      <c r="AQ638">
        <v>81905.964120681427</v>
      </c>
      <c r="AR638">
        <v>9.9548359341269845E-3</v>
      </c>
      <c r="AS638">
        <v>221.13729607222109</v>
      </c>
      <c r="AT638">
        <v>541.1939383042004</v>
      </c>
      <c r="AU638">
        <v>6.3278028391867958</v>
      </c>
      <c r="AV638">
        <v>237.42701809474599</v>
      </c>
      <c r="AW638">
        <v>774.26097902985305</v>
      </c>
      <c r="AX638">
        <v>536.83396093510703</v>
      </c>
      <c r="AY638">
        <v>1.396629518204388</v>
      </c>
      <c r="AZ638" t="s">
        <v>140</v>
      </c>
      <c r="BA638" t="str">
        <f>VLOOKUP($AZ638,Sheet1!$A$2:$B$58,2)</f>
        <v>L-Malate</v>
      </c>
      <c r="BB638" t="s">
        <v>188</v>
      </c>
      <c r="BC638">
        <v>132.06916000000001</v>
      </c>
      <c r="BD638">
        <v>2.5</v>
      </c>
      <c r="BF638" t="s">
        <v>208</v>
      </c>
      <c r="BG638">
        <v>4.5021808309095599</v>
      </c>
      <c r="BH638">
        <v>5.7108433734939901E-2</v>
      </c>
      <c r="BI638">
        <v>0.16385679806666101</v>
      </c>
      <c r="BJ638">
        <v>80</v>
      </c>
      <c r="BK638">
        <v>5906.5368981125857</v>
      </c>
      <c r="BL638">
        <v>4095.298206034071</v>
      </c>
      <c r="BM638">
        <v>6.1521644166111216</v>
      </c>
      <c r="BN638">
        <v>1045.8679508238911</v>
      </c>
      <c r="BO638">
        <v>4860.6689472886947</v>
      </c>
    </row>
    <row r="639" spans="1:67" x14ac:dyDescent="0.25">
      <c r="A639" s="1">
        <v>637</v>
      </c>
      <c r="B639" t="s">
        <v>73</v>
      </c>
      <c r="C639" t="s">
        <v>85</v>
      </c>
      <c r="D639">
        <v>1</v>
      </c>
      <c r="E639">
        <v>1</v>
      </c>
      <c r="F639">
        <v>2</v>
      </c>
      <c r="G639">
        <v>45.016539999999999</v>
      </c>
      <c r="H639">
        <v>2</v>
      </c>
      <c r="I639" t="s">
        <v>89</v>
      </c>
      <c r="J639">
        <v>4</v>
      </c>
      <c r="K639">
        <v>300</v>
      </c>
      <c r="L639">
        <v>70</v>
      </c>
      <c r="N639" t="s">
        <v>82</v>
      </c>
      <c r="O639">
        <v>30</v>
      </c>
      <c r="P639">
        <v>0.5</v>
      </c>
      <c r="Q639">
        <v>3.2500000000000001E-2</v>
      </c>
      <c r="R639">
        <v>77.5</v>
      </c>
      <c r="S639">
        <v>170</v>
      </c>
      <c r="T639">
        <v>20</v>
      </c>
      <c r="U639">
        <v>1812.1301775147931</v>
      </c>
      <c r="V639">
        <v>20</v>
      </c>
      <c r="W639">
        <v>0.95</v>
      </c>
      <c r="X639">
        <v>1</v>
      </c>
      <c r="Y639">
        <v>74194.618753873932</v>
      </c>
      <c r="Z639">
        <v>222583856.2616218</v>
      </c>
      <c r="AA639">
        <v>890335425.04648721</v>
      </c>
      <c r="AB639">
        <v>890335.42504648725</v>
      </c>
      <c r="AC639">
        <v>0</v>
      </c>
      <c r="AD639">
        <v>2306.9190888558551</v>
      </c>
      <c r="AE639">
        <v>4152454.3599405391</v>
      </c>
      <c r="AF639">
        <v>2906718.051958377</v>
      </c>
      <c r="AG639">
        <v>130.85038945470629</v>
      </c>
      <c r="AH639">
        <v>913.74758190491548</v>
      </c>
      <c r="AI639">
        <v>182.7495163809831</v>
      </c>
      <c r="AJ639">
        <v>28935.90131401084</v>
      </c>
      <c r="AK639">
        <v>854.70085470085473</v>
      </c>
      <c r="AL639" t="s">
        <v>93</v>
      </c>
      <c r="AM639">
        <v>70815.437597630953</v>
      </c>
      <c r="AN639">
        <v>827.99546590018872</v>
      </c>
      <c r="AO639">
        <v>31067.417784767131</v>
      </c>
      <c r="AP639">
        <v>101434.0352322429</v>
      </c>
      <c r="AQ639">
        <v>70366.617447475728</v>
      </c>
      <c r="AR639">
        <v>9.9548359341269845E-3</v>
      </c>
      <c r="AS639">
        <v>221.13729607222109</v>
      </c>
      <c r="AT639">
        <v>541.19393830420051</v>
      </c>
      <c r="AU639">
        <v>6.3278028391867949</v>
      </c>
      <c r="AV639">
        <v>237.42701809474599</v>
      </c>
      <c r="AW639">
        <v>775.19093106982371</v>
      </c>
      <c r="AX639">
        <v>537.76391297507769</v>
      </c>
      <c r="AY639">
        <v>1.396629518204388</v>
      </c>
      <c r="AZ639" t="s">
        <v>141</v>
      </c>
      <c r="BA639" t="str">
        <f>VLOOKUP($AZ639,Sheet1!$A$2:$B$58,2)</f>
        <v>Malonate</v>
      </c>
      <c r="BB639" t="s">
        <v>189</v>
      </c>
      <c r="BC639">
        <v>102.04378</v>
      </c>
      <c r="BD639">
        <v>2</v>
      </c>
      <c r="BE639">
        <v>199</v>
      </c>
      <c r="BF639" t="s">
        <v>208</v>
      </c>
      <c r="BG639">
        <v>3.7105108901495512</v>
      </c>
      <c r="BH639">
        <v>8.6181818181818207E-2</v>
      </c>
      <c r="BI639">
        <v>0.191057895235793</v>
      </c>
      <c r="BJ639">
        <v>80</v>
      </c>
      <c r="BK639">
        <v>5071.7017616121429</v>
      </c>
      <c r="BL639">
        <v>3518.330872373786</v>
      </c>
      <c r="BM639">
        <v>5.4269649288996042</v>
      </c>
      <c r="BN639">
        <v>922.58403791293267</v>
      </c>
      <c r="BO639">
        <v>4149.1177236992098</v>
      </c>
    </row>
    <row r="640" spans="1:67" x14ac:dyDescent="0.25">
      <c r="A640" s="1">
        <v>638</v>
      </c>
      <c r="B640" t="s">
        <v>73</v>
      </c>
      <c r="C640" t="s">
        <v>85</v>
      </c>
      <c r="D640">
        <v>1</v>
      </c>
      <c r="E640">
        <v>1</v>
      </c>
      <c r="F640">
        <v>2</v>
      </c>
      <c r="G640">
        <v>45.016539999999999</v>
      </c>
      <c r="H640">
        <v>2</v>
      </c>
      <c r="I640" t="s">
        <v>89</v>
      </c>
      <c r="J640">
        <v>4</v>
      </c>
      <c r="K640">
        <v>300</v>
      </c>
      <c r="L640">
        <v>70</v>
      </c>
      <c r="N640" t="s">
        <v>82</v>
      </c>
      <c r="O640">
        <v>30</v>
      </c>
      <c r="P640">
        <v>0.5</v>
      </c>
      <c r="Q640">
        <v>3.2500000000000001E-2</v>
      </c>
      <c r="R640">
        <v>77.5</v>
      </c>
      <c r="S640">
        <v>170</v>
      </c>
      <c r="T640">
        <v>20</v>
      </c>
      <c r="U640">
        <v>1812.1301775147931</v>
      </c>
      <c r="V640">
        <v>20</v>
      </c>
      <c r="W640">
        <v>0.95</v>
      </c>
      <c r="X640">
        <v>1</v>
      </c>
      <c r="Y640">
        <v>366001.41431657941</v>
      </c>
      <c r="Z640">
        <v>1098004242.949738</v>
      </c>
      <c r="AA640">
        <v>4392016971.7989531</v>
      </c>
      <c r="AB640">
        <v>4392016.9717989527</v>
      </c>
      <c r="AC640">
        <v>0</v>
      </c>
      <c r="AD640">
        <v>11380.01196604399</v>
      </c>
      <c r="AE640">
        <v>20484021.53887919</v>
      </c>
      <c r="AF640">
        <v>14338815.077215429</v>
      </c>
      <c r="AG640">
        <v>645.48384247607157</v>
      </c>
      <c r="AH640">
        <v>4507.5089396303656</v>
      </c>
      <c r="AI640">
        <v>901.50178792607312</v>
      </c>
      <c r="AJ640">
        <v>142740.551583466</v>
      </c>
      <c r="AK640">
        <v>854.70085470085473</v>
      </c>
      <c r="AL640" t="s">
        <v>93</v>
      </c>
      <c r="AM640">
        <v>349331.94282135332</v>
      </c>
      <c r="AN640">
        <v>4084.494491069288</v>
      </c>
      <c r="AO640">
        <v>153255.3039474324</v>
      </c>
      <c r="AP640">
        <v>497011.68975058949</v>
      </c>
      <c r="AQ640">
        <v>343756.38580315711</v>
      </c>
      <c r="AR640">
        <v>9.9548359341269845E-3</v>
      </c>
      <c r="AS640">
        <v>221.13729607222109</v>
      </c>
      <c r="AT640">
        <v>541.1939383042004</v>
      </c>
      <c r="AU640">
        <v>6.3278028391867958</v>
      </c>
      <c r="AV640">
        <v>237.42701809474599</v>
      </c>
      <c r="AW640">
        <v>769.98316153671021</v>
      </c>
      <c r="AX640">
        <v>532.5561434419642</v>
      </c>
      <c r="AY640">
        <v>1.396629518204388</v>
      </c>
      <c r="AZ640" t="s">
        <v>142</v>
      </c>
      <c r="BA640" t="str">
        <f>VLOOKUP($AZ640,Sheet1!$A$2:$B$58,2)</f>
        <v>Nonane</v>
      </c>
      <c r="BB640" t="s">
        <v>190</v>
      </c>
      <c r="BC640">
        <v>128.25309999999999</v>
      </c>
      <c r="BD640">
        <v>6.2222222222222223</v>
      </c>
      <c r="BE640">
        <v>151</v>
      </c>
      <c r="BF640" t="s">
        <v>208</v>
      </c>
      <c r="BG640">
        <v>21.598154377278611</v>
      </c>
      <c r="BH640">
        <v>1.3900293255132101E-2</v>
      </c>
      <c r="BI640">
        <v>3.8730636392229699E-2</v>
      </c>
      <c r="BJ640">
        <v>80</v>
      </c>
      <c r="BK640">
        <v>24850.584487529472</v>
      </c>
      <c r="BL640">
        <v>17187.819290157851</v>
      </c>
      <c r="BM640">
        <v>23.476935019025049</v>
      </c>
      <c r="BN640">
        <v>3991.0789532342578</v>
      </c>
      <c r="BO640">
        <v>20859.505534295211</v>
      </c>
    </row>
    <row r="641" spans="1:67" x14ac:dyDescent="0.25">
      <c r="A641" s="1">
        <v>639</v>
      </c>
      <c r="B641" t="s">
        <v>73</v>
      </c>
      <c r="C641" t="s">
        <v>85</v>
      </c>
      <c r="D641">
        <v>1</v>
      </c>
      <c r="E641">
        <v>1</v>
      </c>
      <c r="F641">
        <v>2</v>
      </c>
      <c r="G641">
        <v>45.016539999999999</v>
      </c>
      <c r="H641">
        <v>2</v>
      </c>
      <c r="I641" t="s">
        <v>89</v>
      </c>
      <c r="J641">
        <v>4</v>
      </c>
      <c r="K641">
        <v>300</v>
      </c>
      <c r="L641">
        <v>70</v>
      </c>
      <c r="N641" t="s">
        <v>82</v>
      </c>
      <c r="O641">
        <v>30</v>
      </c>
      <c r="P641">
        <v>0.5</v>
      </c>
      <c r="Q641">
        <v>3.2500000000000001E-2</v>
      </c>
      <c r="R641">
        <v>77.5</v>
      </c>
      <c r="S641">
        <v>170</v>
      </c>
      <c r="T641">
        <v>20</v>
      </c>
      <c r="U641">
        <v>1812.1301775147931</v>
      </c>
      <c r="V641">
        <v>20</v>
      </c>
      <c r="W641">
        <v>0.95</v>
      </c>
      <c r="X641">
        <v>1</v>
      </c>
      <c r="Y641">
        <v>372380.58424843271</v>
      </c>
      <c r="Z641">
        <v>1117141752.7452979</v>
      </c>
      <c r="AA641">
        <v>4468567010.9811916</v>
      </c>
      <c r="AB641">
        <v>4468567.0109811919</v>
      </c>
      <c r="AC641">
        <v>0</v>
      </c>
      <c r="AD641">
        <v>11578.35827651788</v>
      </c>
      <c r="AE641">
        <v>20841044.89773218</v>
      </c>
      <c r="AF641">
        <v>14588731.428412531</v>
      </c>
      <c r="AG641">
        <v>656.73421189638975</v>
      </c>
      <c r="AH641">
        <v>4586.0719297459664</v>
      </c>
      <c r="AI641">
        <v>917.21438594919334</v>
      </c>
      <c r="AJ641">
        <v>145228.42785688871</v>
      </c>
      <c r="AK641">
        <v>854.70085470085473</v>
      </c>
      <c r="AL641" t="s">
        <v>93</v>
      </c>
      <c r="AM641">
        <v>355420.5745553124</v>
      </c>
      <c r="AN641">
        <v>4155.6846106290786</v>
      </c>
      <c r="AO641">
        <v>155926.4456113629</v>
      </c>
      <c r="AP641">
        <v>505659.38787753112</v>
      </c>
      <c r="AQ641">
        <v>349732.94226616819</v>
      </c>
      <c r="AR641">
        <v>9.9548359341269845E-3</v>
      </c>
      <c r="AS641">
        <v>221.13729607222109</v>
      </c>
      <c r="AT641">
        <v>541.1939383042004</v>
      </c>
      <c r="AU641">
        <v>6.3278028391867966</v>
      </c>
      <c r="AV641">
        <v>237.42701809474599</v>
      </c>
      <c r="AW641">
        <v>769.96047825403525</v>
      </c>
      <c r="AX641">
        <v>532.53346015928923</v>
      </c>
      <c r="AY641">
        <v>1.396629518204388</v>
      </c>
      <c r="AZ641" t="s">
        <v>143</v>
      </c>
      <c r="BA641" t="str">
        <f>VLOOKUP($AZ641,Sheet1!$A$2:$B$58,2)</f>
        <v>Octane</v>
      </c>
      <c r="BB641" t="s">
        <v>191</v>
      </c>
      <c r="BC641">
        <v>114.22672</v>
      </c>
      <c r="BD641">
        <v>6.25</v>
      </c>
      <c r="BE641">
        <v>126</v>
      </c>
      <c r="BF641" t="s">
        <v>208</v>
      </c>
      <c r="BG641">
        <v>22.03447957810522</v>
      </c>
      <c r="BH641">
        <v>1.53398058252426E-2</v>
      </c>
      <c r="BI641">
        <v>3.80671503739844E-2</v>
      </c>
      <c r="BJ641">
        <v>80</v>
      </c>
      <c r="BK641">
        <v>25282.969393876559</v>
      </c>
      <c r="BL641">
        <v>17486.647113308409</v>
      </c>
      <c r="BM641">
        <v>23.826239719354451</v>
      </c>
      <c r="BN641">
        <v>4050.460752290257</v>
      </c>
      <c r="BO641">
        <v>21232.508641586301</v>
      </c>
    </row>
    <row r="642" spans="1:67" x14ac:dyDescent="0.25">
      <c r="A642" s="1">
        <v>640</v>
      </c>
      <c r="B642" t="s">
        <v>73</v>
      </c>
      <c r="C642" t="s">
        <v>85</v>
      </c>
      <c r="D642">
        <v>1</v>
      </c>
      <c r="E642">
        <v>1</v>
      </c>
      <c r="F642">
        <v>2</v>
      </c>
      <c r="G642">
        <v>45.016539999999999</v>
      </c>
      <c r="H642">
        <v>2</v>
      </c>
      <c r="I642" t="s">
        <v>89</v>
      </c>
      <c r="J642">
        <v>4</v>
      </c>
      <c r="K642">
        <v>300</v>
      </c>
      <c r="L642">
        <v>70</v>
      </c>
      <c r="N642" t="s">
        <v>82</v>
      </c>
      <c r="O642">
        <v>30</v>
      </c>
      <c r="P642">
        <v>0.5</v>
      </c>
      <c r="Q642">
        <v>3.2500000000000001E-2</v>
      </c>
      <c r="R642">
        <v>77.5</v>
      </c>
      <c r="S642">
        <v>170</v>
      </c>
      <c r="T642">
        <v>20</v>
      </c>
      <c r="U642">
        <v>1812.1301775147931</v>
      </c>
      <c r="V642">
        <v>20</v>
      </c>
      <c r="W642">
        <v>0.95</v>
      </c>
      <c r="X642">
        <v>1</v>
      </c>
      <c r="Y642">
        <v>377780.62232849712</v>
      </c>
      <c r="Z642">
        <v>1133341866.985491</v>
      </c>
      <c r="AA642">
        <v>4533367467.9419651</v>
      </c>
      <c r="AB642">
        <v>4533367.467941965</v>
      </c>
      <c r="AC642">
        <v>66773.504273504266</v>
      </c>
      <c r="AD642">
        <v>11746.26062761391</v>
      </c>
      <c r="AE642">
        <v>21143269.129705042</v>
      </c>
      <c r="AF642">
        <v>14800288.39079353</v>
      </c>
      <c r="AG642">
        <v>666.2577743556925</v>
      </c>
      <c r="AH642">
        <v>4652.5763719915949</v>
      </c>
      <c r="AI642">
        <v>930.51527439831898</v>
      </c>
      <c r="AJ642">
        <v>147334.4427081139</v>
      </c>
      <c r="AK642">
        <v>2170.1388888888891</v>
      </c>
      <c r="AL642" t="s">
        <v>95</v>
      </c>
      <c r="AM642">
        <v>360574.66882934858</v>
      </c>
      <c r="AN642">
        <v>4215.9478361982274</v>
      </c>
      <c r="AO642">
        <v>158187.59664771421</v>
      </c>
      <c r="AP642">
        <v>514295.19826254947</v>
      </c>
      <c r="AQ642">
        <v>356107.60161483532</v>
      </c>
      <c r="AR642">
        <v>9.9548359341269845E-3</v>
      </c>
      <c r="AS642">
        <v>221.13729607222109</v>
      </c>
      <c r="AT642">
        <v>541.19393830420051</v>
      </c>
      <c r="AU642">
        <v>6.3278028391867966</v>
      </c>
      <c r="AV642">
        <v>237.4270180947461</v>
      </c>
      <c r="AW642">
        <v>771.916243318738</v>
      </c>
      <c r="AX642">
        <v>534.48922522399198</v>
      </c>
      <c r="AY642">
        <v>1.396629518204388</v>
      </c>
      <c r="AZ642" t="s">
        <v>144</v>
      </c>
      <c r="BA642" t="str">
        <f>VLOOKUP($AZ642,Sheet1!$A$2:$B$58,2)</f>
        <v>Pentane</v>
      </c>
      <c r="BB642" t="s">
        <v>192</v>
      </c>
      <c r="BC642">
        <v>72.147580000000005</v>
      </c>
      <c r="BD642">
        <v>6.4</v>
      </c>
      <c r="BE642">
        <v>36.1</v>
      </c>
      <c r="BF642" t="s">
        <v>208</v>
      </c>
      <c r="BG642">
        <v>22.431000527852611</v>
      </c>
      <c r="BH642">
        <v>2.3939393939394E-2</v>
      </c>
      <c r="BI642">
        <v>3.7523014308052702E-2</v>
      </c>
      <c r="BJ642">
        <v>80</v>
      </c>
      <c r="BK642">
        <v>25714.75991312748</v>
      </c>
      <c r="BL642">
        <v>17805.380080741768</v>
      </c>
      <c r="BM642">
        <v>24.09476319206334</v>
      </c>
      <c r="BN642">
        <v>4096.1097426507686</v>
      </c>
      <c r="BO642">
        <v>21618.650170476711</v>
      </c>
    </row>
    <row r="643" spans="1:67" x14ac:dyDescent="0.25">
      <c r="A643" s="1">
        <v>641</v>
      </c>
      <c r="B643" t="s">
        <v>73</v>
      </c>
      <c r="C643" t="s">
        <v>85</v>
      </c>
      <c r="D643">
        <v>1</v>
      </c>
      <c r="E643">
        <v>1</v>
      </c>
      <c r="F643">
        <v>2</v>
      </c>
      <c r="G643">
        <v>45.016539999999999</v>
      </c>
      <c r="H643">
        <v>2</v>
      </c>
      <c r="I643" t="s">
        <v>89</v>
      </c>
      <c r="J643">
        <v>4</v>
      </c>
      <c r="K643">
        <v>300</v>
      </c>
      <c r="L643">
        <v>70</v>
      </c>
      <c r="N643" t="s">
        <v>82</v>
      </c>
      <c r="O643">
        <v>30</v>
      </c>
      <c r="P643">
        <v>0.5</v>
      </c>
      <c r="Q643">
        <v>3.2500000000000001E-2</v>
      </c>
      <c r="R643">
        <v>77.5</v>
      </c>
      <c r="S643">
        <v>170</v>
      </c>
      <c r="T643">
        <v>20</v>
      </c>
      <c r="U643">
        <v>1812.1301775147931</v>
      </c>
      <c r="V643">
        <v>20</v>
      </c>
      <c r="W643">
        <v>0.95</v>
      </c>
      <c r="X643">
        <v>1</v>
      </c>
      <c r="Y643">
        <v>295156.66410416347</v>
      </c>
      <c r="Z643">
        <v>885469992.31249034</v>
      </c>
      <c r="AA643">
        <v>3541879969.2499609</v>
      </c>
      <c r="AB643">
        <v>3541879.969249961</v>
      </c>
      <c r="AC643">
        <v>0</v>
      </c>
      <c r="AD643">
        <v>9177.2496989797964</v>
      </c>
      <c r="AE643">
        <v>16519049.45816363</v>
      </c>
      <c r="AF643">
        <v>11563334.62071454</v>
      </c>
      <c r="AG643">
        <v>520.54131548678095</v>
      </c>
      <c r="AH643">
        <v>3635.0168332689082</v>
      </c>
      <c r="AI643">
        <v>727.00336665378154</v>
      </c>
      <c r="AJ643">
        <v>115111.0990006238</v>
      </c>
      <c r="AK643">
        <v>854.70085470085473</v>
      </c>
      <c r="AL643" t="s">
        <v>93</v>
      </c>
      <c r="AM643">
        <v>281713.80457834032</v>
      </c>
      <c r="AN643">
        <v>3293.8828140512828</v>
      </c>
      <c r="AO643">
        <v>123590.5723311429</v>
      </c>
      <c r="AP643">
        <v>400973.48724771623</v>
      </c>
      <c r="AQ643">
        <v>277382.91491657338</v>
      </c>
      <c r="AR643">
        <v>9.9548359341269863E-3</v>
      </c>
      <c r="AS643">
        <v>221.13729607222109</v>
      </c>
      <c r="AT643">
        <v>541.19393830420051</v>
      </c>
      <c r="AU643">
        <v>6.3278028391867984</v>
      </c>
      <c r="AV643">
        <v>237.4270180947461</v>
      </c>
      <c r="AW643">
        <v>770.30098345363501</v>
      </c>
      <c r="AX643">
        <v>532.87396535888888</v>
      </c>
      <c r="AY643">
        <v>1.3966295182043891</v>
      </c>
      <c r="AZ643" t="s">
        <v>145</v>
      </c>
      <c r="BA643" t="str">
        <f>VLOOKUP($AZ643,Sheet1!$A$2:$B$58,2)</f>
        <v>Pentanol (PW1)</v>
      </c>
      <c r="BB643" t="s">
        <v>157</v>
      </c>
      <c r="BC643">
        <v>88.14658</v>
      </c>
      <c r="BD643">
        <v>6</v>
      </c>
      <c r="BE643">
        <v>138</v>
      </c>
      <c r="BF643" t="s">
        <v>208</v>
      </c>
      <c r="BG643">
        <v>17.411669447913351</v>
      </c>
      <c r="BH643">
        <v>2.5079365079365101E-2</v>
      </c>
      <c r="BI643">
        <v>4.8026927462273397E-2</v>
      </c>
      <c r="BJ643">
        <v>80</v>
      </c>
      <c r="BK643">
        <v>20048.674362385809</v>
      </c>
      <c r="BL643">
        <v>13869.14574582867</v>
      </c>
      <c r="BM643">
        <v>18.938498884775729</v>
      </c>
      <c r="BN643">
        <v>3219.5448104118741</v>
      </c>
      <c r="BO643">
        <v>16829.12955197394</v>
      </c>
    </row>
    <row r="644" spans="1:67" x14ac:dyDescent="0.25">
      <c r="A644" s="1">
        <v>642</v>
      </c>
      <c r="B644" t="s">
        <v>73</v>
      </c>
      <c r="C644" t="s">
        <v>85</v>
      </c>
      <c r="D644">
        <v>1</v>
      </c>
      <c r="E644">
        <v>1</v>
      </c>
      <c r="F644">
        <v>2</v>
      </c>
      <c r="G644">
        <v>45.016539999999999</v>
      </c>
      <c r="H644">
        <v>2</v>
      </c>
      <c r="I644" t="s">
        <v>89</v>
      </c>
      <c r="J644">
        <v>4</v>
      </c>
      <c r="K644">
        <v>300</v>
      </c>
      <c r="L644">
        <v>70</v>
      </c>
      <c r="N644" t="s">
        <v>82</v>
      </c>
      <c r="O644">
        <v>30</v>
      </c>
      <c r="P644">
        <v>0.5</v>
      </c>
      <c r="Q644">
        <v>3.2500000000000001E-2</v>
      </c>
      <c r="R644">
        <v>77.5</v>
      </c>
      <c r="S644">
        <v>170</v>
      </c>
      <c r="T644">
        <v>20</v>
      </c>
      <c r="U644">
        <v>1812.1301775147931</v>
      </c>
      <c r="V644">
        <v>20</v>
      </c>
      <c r="W644">
        <v>0.95</v>
      </c>
      <c r="X644">
        <v>1</v>
      </c>
      <c r="Y644">
        <v>313896.76976158097</v>
      </c>
      <c r="Z644">
        <v>941690309.28474295</v>
      </c>
      <c r="AA644">
        <v>3766761237.1389718</v>
      </c>
      <c r="AB644">
        <v>3766761.2371389722</v>
      </c>
      <c r="AC644">
        <v>0</v>
      </c>
      <c r="AD644">
        <v>9759.9322195502627</v>
      </c>
      <c r="AE644">
        <v>17567877.995190471</v>
      </c>
      <c r="AF644">
        <v>12297514.59663333</v>
      </c>
      <c r="AG644">
        <v>553.59155773992813</v>
      </c>
      <c r="AH644">
        <v>3865.8115528416638</v>
      </c>
      <c r="AI644">
        <v>773.16231056833283</v>
      </c>
      <c r="AJ644">
        <v>122419.7402070166</v>
      </c>
      <c r="AK644">
        <v>854.70085470085473</v>
      </c>
      <c r="AL644" t="s">
        <v>93</v>
      </c>
      <c r="AM644">
        <v>299600.39534522902</v>
      </c>
      <c r="AN644">
        <v>3503.018230816559</v>
      </c>
      <c r="AO644">
        <v>131437.59279661661</v>
      </c>
      <c r="AP644">
        <v>426377.854637763</v>
      </c>
      <c r="AQ644">
        <v>294940.26184114639</v>
      </c>
      <c r="AR644">
        <v>9.9548359341269845E-3</v>
      </c>
      <c r="AS644">
        <v>221.13729607222109</v>
      </c>
      <c r="AT644">
        <v>541.19393830420051</v>
      </c>
      <c r="AU644">
        <v>6.3278028391867958</v>
      </c>
      <c r="AV644">
        <v>237.4270180947461</v>
      </c>
      <c r="AW644">
        <v>770.2029568125588</v>
      </c>
      <c r="AX644">
        <v>532.77593871781278</v>
      </c>
      <c r="AY644">
        <v>1.3966295182043891</v>
      </c>
      <c r="AZ644" t="s">
        <v>146</v>
      </c>
      <c r="BA644" t="str">
        <f>VLOOKUP($AZ644,Sheet1!$A$2:$B$58,2)</f>
        <v>Pentanol (PW2)</v>
      </c>
      <c r="BB644" t="s">
        <v>157</v>
      </c>
      <c r="BC644">
        <v>88.14658</v>
      </c>
      <c r="BD644">
        <v>6</v>
      </c>
      <c r="BE644">
        <v>138</v>
      </c>
      <c r="BF644" t="s">
        <v>208</v>
      </c>
      <c r="BG644">
        <v>18.675674489504711</v>
      </c>
      <c r="BH644">
        <v>2.3582089552237999E-2</v>
      </c>
      <c r="BI644">
        <v>4.5159648210792901E-2</v>
      </c>
      <c r="BJ644">
        <v>80</v>
      </c>
      <c r="BK644">
        <v>21318.892731888151</v>
      </c>
      <c r="BL644">
        <v>14747.013092057319</v>
      </c>
      <c r="BM644">
        <v>19.982441038911919</v>
      </c>
      <c r="BN644">
        <v>3397.0149766150271</v>
      </c>
      <c r="BO644">
        <v>17921.877755273119</v>
      </c>
    </row>
    <row r="645" spans="1:67" x14ac:dyDescent="0.25">
      <c r="A645" s="1">
        <v>643</v>
      </c>
      <c r="B645" t="s">
        <v>73</v>
      </c>
      <c r="C645" t="s">
        <v>85</v>
      </c>
      <c r="D645">
        <v>1</v>
      </c>
      <c r="E645">
        <v>1</v>
      </c>
      <c r="F645">
        <v>2</v>
      </c>
      <c r="G645">
        <v>45.016539999999999</v>
      </c>
      <c r="H645">
        <v>2</v>
      </c>
      <c r="I645" t="s">
        <v>89</v>
      </c>
      <c r="J645">
        <v>4</v>
      </c>
      <c r="K645">
        <v>300</v>
      </c>
      <c r="L645">
        <v>70</v>
      </c>
      <c r="N645" t="s">
        <v>82</v>
      </c>
      <c r="O645">
        <v>30</v>
      </c>
      <c r="P645">
        <v>0.5</v>
      </c>
      <c r="Q645">
        <v>3.2500000000000001E-2</v>
      </c>
      <c r="R645">
        <v>77.5</v>
      </c>
      <c r="S645">
        <v>170</v>
      </c>
      <c r="T645">
        <v>20</v>
      </c>
      <c r="U645">
        <v>1812.1301775147931</v>
      </c>
      <c r="V645">
        <v>20</v>
      </c>
      <c r="W645">
        <v>0.95</v>
      </c>
      <c r="X645">
        <v>1</v>
      </c>
      <c r="Y645">
        <v>302781.7678373711</v>
      </c>
      <c r="Z645">
        <v>908345303.51211333</v>
      </c>
      <c r="AA645">
        <v>3633381214.0484529</v>
      </c>
      <c r="AB645">
        <v>3633381.2140484531</v>
      </c>
      <c r="AC645">
        <v>0</v>
      </c>
      <c r="AD645">
        <v>9414.3355908151025</v>
      </c>
      <c r="AE645">
        <v>16945804.06346719</v>
      </c>
      <c r="AF645">
        <v>11862062.844427031</v>
      </c>
      <c r="AG645">
        <v>533.98902651866308</v>
      </c>
      <c r="AH645">
        <v>3728.9241841659541</v>
      </c>
      <c r="AI645">
        <v>745.78483683319075</v>
      </c>
      <c r="AJ645">
        <v>118084.8894565747</v>
      </c>
      <c r="AK645">
        <v>854.70085470085473</v>
      </c>
      <c r="AL645" t="s">
        <v>93</v>
      </c>
      <c r="AM645">
        <v>288991.6242728614</v>
      </c>
      <c r="AN645">
        <v>3378.977278099389</v>
      </c>
      <c r="AO645">
        <v>126783.42226164239</v>
      </c>
      <c r="AP645">
        <v>411310.19186223642</v>
      </c>
      <c r="AQ645">
        <v>284526.76960059401</v>
      </c>
      <c r="AR645">
        <v>9.9548359341269845E-3</v>
      </c>
      <c r="AS645">
        <v>221.13729607222109</v>
      </c>
      <c r="AT645">
        <v>541.1939383042004</v>
      </c>
      <c r="AU645">
        <v>6.3278028391867958</v>
      </c>
      <c r="AV645">
        <v>237.42701809474599</v>
      </c>
      <c r="AW645">
        <v>770.25963350552297</v>
      </c>
      <c r="AX645">
        <v>532.83261541077695</v>
      </c>
      <c r="AY645">
        <v>1.396629518204388</v>
      </c>
      <c r="AZ645" t="s">
        <v>147</v>
      </c>
      <c r="BA645" t="str">
        <f>VLOOKUP($AZ645,Sheet1!$A$2:$B$58,2)</f>
        <v>Phenol</v>
      </c>
      <c r="BB645" t="s">
        <v>193</v>
      </c>
      <c r="BC645">
        <v>94.11023999999999</v>
      </c>
      <c r="BD645">
        <v>4.666666666666667</v>
      </c>
      <c r="BE645">
        <v>181.7</v>
      </c>
      <c r="BF645" t="s">
        <v>208</v>
      </c>
      <c r="BG645">
        <v>17.61652819292059</v>
      </c>
      <c r="BH645">
        <v>2.2898550724637801E-2</v>
      </c>
      <c r="BI645">
        <v>4.6817441480000603E-2</v>
      </c>
      <c r="BJ645">
        <v>80</v>
      </c>
      <c r="BK645">
        <v>20565.509593111819</v>
      </c>
      <c r="BL645">
        <v>14226.338480029701</v>
      </c>
      <c r="BM645">
        <v>19.672713648738949</v>
      </c>
      <c r="BN645">
        <v>3344.3613202856209</v>
      </c>
      <c r="BO645">
        <v>17221.148272826202</v>
      </c>
    </row>
    <row r="646" spans="1:67" x14ac:dyDescent="0.25">
      <c r="A646" s="1">
        <v>644</v>
      </c>
      <c r="B646" t="s">
        <v>73</v>
      </c>
      <c r="C646" t="s">
        <v>85</v>
      </c>
      <c r="D646">
        <v>1</v>
      </c>
      <c r="E646">
        <v>1</v>
      </c>
      <c r="F646">
        <v>2</v>
      </c>
      <c r="G646">
        <v>45.016539999999999</v>
      </c>
      <c r="H646">
        <v>2</v>
      </c>
      <c r="I646" t="s">
        <v>89</v>
      </c>
      <c r="J646">
        <v>4</v>
      </c>
      <c r="K646">
        <v>300</v>
      </c>
      <c r="L646">
        <v>70</v>
      </c>
      <c r="N646" t="s">
        <v>82</v>
      </c>
      <c r="O646">
        <v>30</v>
      </c>
      <c r="P646">
        <v>0.5</v>
      </c>
      <c r="Q646">
        <v>3.2500000000000001E-2</v>
      </c>
      <c r="R646">
        <v>77.5</v>
      </c>
      <c r="S646">
        <v>170</v>
      </c>
      <c r="T646">
        <v>20</v>
      </c>
      <c r="U646">
        <v>1812.1301775147931</v>
      </c>
      <c r="V646">
        <v>20</v>
      </c>
      <c r="W646">
        <v>0.95</v>
      </c>
      <c r="X646">
        <v>1</v>
      </c>
      <c r="Y646">
        <v>393350.06553287938</v>
      </c>
      <c r="Z646">
        <v>1180050196.5986381</v>
      </c>
      <c r="AA646">
        <v>4720200786.3945522</v>
      </c>
      <c r="AB646">
        <v>4720200.7863945523</v>
      </c>
      <c r="AC646">
        <v>66773.504273504266</v>
      </c>
      <c r="AD646">
        <v>12230.35834702124</v>
      </c>
      <c r="AE646">
        <v>22014645.024638239</v>
      </c>
      <c r="AF646">
        <v>15410251.51724676</v>
      </c>
      <c r="AG646">
        <v>693.71620383619961</v>
      </c>
      <c r="AH646">
        <v>4844.322637671643</v>
      </c>
      <c r="AI646">
        <v>968.86452753432866</v>
      </c>
      <c r="AJ646">
        <v>153406.52555782301</v>
      </c>
      <c r="AK646">
        <v>2170.1388888888891</v>
      </c>
      <c r="AL646" t="s">
        <v>95</v>
      </c>
      <c r="AM646">
        <v>375435.00441955228</v>
      </c>
      <c r="AN646">
        <v>4389.6993642245898</v>
      </c>
      <c r="AO646">
        <v>164706.9696808359</v>
      </c>
      <c r="AP646">
        <v>535401.36823048873</v>
      </c>
      <c r="AQ646">
        <v>370694.39854965289</v>
      </c>
      <c r="AR646">
        <v>9.9548359341269828E-3</v>
      </c>
      <c r="AS646">
        <v>221.13729607222109</v>
      </c>
      <c r="AT646">
        <v>541.1939383042004</v>
      </c>
      <c r="AU646">
        <v>6.3278028391867958</v>
      </c>
      <c r="AV646">
        <v>237.42701809474599</v>
      </c>
      <c r="AW646">
        <v>771.78731773851973</v>
      </c>
      <c r="AX646">
        <v>534.36029964377371</v>
      </c>
      <c r="AY646">
        <v>1.396629518204388</v>
      </c>
      <c r="AZ646" t="s">
        <v>148</v>
      </c>
      <c r="BA646" t="str">
        <f>VLOOKUP($AZ646,Sheet1!$A$2:$B$58,2)</f>
        <v>Propane (PW1)</v>
      </c>
      <c r="BB646" t="s">
        <v>194</v>
      </c>
      <c r="BC646">
        <v>44.094819999999999</v>
      </c>
      <c r="BD646">
        <v>6.666666666666667</v>
      </c>
      <c r="BE646">
        <v>-42</v>
      </c>
      <c r="BF646" t="s">
        <v>208</v>
      </c>
      <c r="BG646">
        <v>23.536916035701481</v>
      </c>
      <c r="BH646">
        <v>3.7619047619047503E-2</v>
      </c>
      <c r="BI646">
        <v>3.6037791623940503E-2</v>
      </c>
      <c r="BJ646">
        <v>80</v>
      </c>
      <c r="BK646">
        <v>26770.06841152444</v>
      </c>
      <c r="BL646">
        <v>18534.719927482642</v>
      </c>
      <c r="BM646">
        <v>24.906310341014962</v>
      </c>
      <c r="BN646">
        <v>4234.0727579725426</v>
      </c>
      <c r="BO646">
        <v>22535.99565355189</v>
      </c>
    </row>
    <row r="647" spans="1:67" x14ac:dyDescent="0.25">
      <c r="A647" s="1">
        <v>645</v>
      </c>
      <c r="B647" t="s">
        <v>73</v>
      </c>
      <c r="C647" t="s">
        <v>85</v>
      </c>
      <c r="D647">
        <v>1</v>
      </c>
      <c r="E647">
        <v>1</v>
      </c>
      <c r="F647">
        <v>2</v>
      </c>
      <c r="G647">
        <v>45.016539999999999</v>
      </c>
      <c r="H647">
        <v>2</v>
      </c>
      <c r="I647" t="s">
        <v>89</v>
      </c>
      <c r="J647">
        <v>4</v>
      </c>
      <c r="K647">
        <v>300</v>
      </c>
      <c r="L647">
        <v>70</v>
      </c>
      <c r="N647" t="s">
        <v>82</v>
      </c>
      <c r="O647">
        <v>30</v>
      </c>
      <c r="P647">
        <v>0.5</v>
      </c>
      <c r="Q647">
        <v>3.2500000000000001E-2</v>
      </c>
      <c r="R647">
        <v>77.5</v>
      </c>
      <c r="S647">
        <v>170</v>
      </c>
      <c r="T647">
        <v>20</v>
      </c>
      <c r="U647">
        <v>1812.1301775147931</v>
      </c>
      <c r="V647">
        <v>20</v>
      </c>
      <c r="W647">
        <v>0.95</v>
      </c>
      <c r="X647">
        <v>1</v>
      </c>
      <c r="Y647">
        <v>487004.84304071491</v>
      </c>
      <c r="Z647">
        <v>1461014529.1221449</v>
      </c>
      <c r="AA647">
        <v>5844058116.4885788</v>
      </c>
      <c r="AB647">
        <v>5844058.1164885787</v>
      </c>
      <c r="AC647">
        <v>66773.504273504266</v>
      </c>
      <c r="AD647">
        <v>15142.34842964557</v>
      </c>
      <c r="AE647">
        <v>27256227.17336202</v>
      </c>
      <c r="AF647">
        <v>19079359.02135342</v>
      </c>
      <c r="AG647">
        <v>858.88672855911682</v>
      </c>
      <c r="AH647">
        <v>5997.7327894983118</v>
      </c>
      <c r="AI647">
        <v>1199.546557899663</v>
      </c>
      <c r="AJ647">
        <v>189931.88878587881</v>
      </c>
      <c r="AK647">
        <v>2170.1388888888891</v>
      </c>
      <c r="AL647" t="s">
        <v>95</v>
      </c>
      <c r="AM647">
        <v>464824.29118611908</v>
      </c>
      <c r="AN647">
        <v>5434.8658795162373</v>
      </c>
      <c r="AO647">
        <v>203922.91484294261</v>
      </c>
      <c r="AP647">
        <v>662361.18474040309</v>
      </c>
      <c r="AQ647">
        <v>458438.26989746047</v>
      </c>
      <c r="AR647">
        <v>9.9548359341269828E-3</v>
      </c>
      <c r="AS647">
        <v>221.13729607222109</v>
      </c>
      <c r="AT647">
        <v>541.19393830420017</v>
      </c>
      <c r="AU647">
        <v>6.3278028391867949</v>
      </c>
      <c r="AV647">
        <v>237.42701809474599</v>
      </c>
      <c r="AW647">
        <v>771.18572533026747</v>
      </c>
      <c r="AX647">
        <v>533.75870723552146</v>
      </c>
      <c r="AY647">
        <v>1.396629518204388</v>
      </c>
      <c r="AZ647" t="s">
        <v>149</v>
      </c>
      <c r="BA647" t="str">
        <f>VLOOKUP($AZ647,Sheet1!$A$2:$B$58,2)</f>
        <v>Propane (PW2)</v>
      </c>
      <c r="BB647" t="s">
        <v>194</v>
      </c>
      <c r="BC647">
        <v>44.094819999999999</v>
      </c>
      <c r="BD647">
        <v>6.666666666666667</v>
      </c>
      <c r="BE647">
        <v>-42</v>
      </c>
      <c r="BF647" t="s">
        <v>208</v>
      </c>
      <c r="BG647">
        <v>29.85385539042576</v>
      </c>
      <c r="BH647">
        <v>3.0384615384614899E-2</v>
      </c>
      <c r="BI647">
        <v>2.91074470808746E-2</v>
      </c>
      <c r="BJ647">
        <v>80</v>
      </c>
      <c r="BK647">
        <v>33118.059237020148</v>
      </c>
      <c r="BL647">
        <v>22921.913494873021</v>
      </c>
      <c r="BM647">
        <v>30.123472504557359</v>
      </c>
      <c r="BN647">
        <v>5120.990325774751</v>
      </c>
      <c r="BO647">
        <v>27997.068911245398</v>
      </c>
    </row>
    <row r="648" spans="1:67" x14ac:dyDescent="0.25">
      <c r="A648" s="1">
        <v>646</v>
      </c>
      <c r="B648" t="s">
        <v>73</v>
      </c>
      <c r="C648" t="s">
        <v>85</v>
      </c>
      <c r="D648">
        <v>1</v>
      </c>
      <c r="E648">
        <v>1</v>
      </c>
      <c r="F648">
        <v>2</v>
      </c>
      <c r="G648">
        <v>45.016539999999999</v>
      </c>
      <c r="H648">
        <v>2</v>
      </c>
      <c r="I648" t="s">
        <v>89</v>
      </c>
      <c r="J648">
        <v>4</v>
      </c>
      <c r="K648">
        <v>300</v>
      </c>
      <c r="L648">
        <v>70</v>
      </c>
      <c r="N648" t="s">
        <v>82</v>
      </c>
      <c r="O648">
        <v>30</v>
      </c>
      <c r="P648">
        <v>0.5</v>
      </c>
      <c r="Q648">
        <v>3.2500000000000001E-2</v>
      </c>
      <c r="R648">
        <v>77.5</v>
      </c>
      <c r="S648">
        <v>170</v>
      </c>
      <c r="T648">
        <v>20</v>
      </c>
      <c r="U648">
        <v>1812.1301775147931</v>
      </c>
      <c r="V648">
        <v>20</v>
      </c>
      <c r="W648">
        <v>0.95</v>
      </c>
      <c r="X648">
        <v>1</v>
      </c>
      <c r="Y648">
        <v>154240.85314537061</v>
      </c>
      <c r="Z648">
        <v>462722559.43611169</v>
      </c>
      <c r="AA648">
        <v>1850890237.744447</v>
      </c>
      <c r="AB648">
        <v>1850890.2377444471</v>
      </c>
      <c r="AC648">
        <v>0</v>
      </c>
      <c r="AD648">
        <v>4795.7813434264654</v>
      </c>
      <c r="AE648">
        <v>8632406.4181676377</v>
      </c>
      <c r="AF648">
        <v>6042684.4927173462</v>
      </c>
      <c r="AG648">
        <v>272.02074817379008</v>
      </c>
      <c r="AH648">
        <v>1899.561032317788</v>
      </c>
      <c r="AI648">
        <v>379.91220646355771</v>
      </c>
      <c r="AJ648">
        <v>60153.932726694533</v>
      </c>
      <c r="AK648">
        <v>854.70085470085473</v>
      </c>
      <c r="AL648" t="s">
        <v>93</v>
      </c>
      <c r="AM648">
        <v>147215.9800046286</v>
      </c>
      <c r="AN648">
        <v>1721.293662611826</v>
      </c>
      <c r="AO648">
        <v>64585.075098804809</v>
      </c>
      <c r="AP648">
        <v>209945.90724863581</v>
      </c>
      <c r="AQ648">
        <v>145360.832149831</v>
      </c>
      <c r="AR648">
        <v>9.9548359341269845E-3</v>
      </c>
      <c r="AS648">
        <v>221.13729607222109</v>
      </c>
      <c r="AT648">
        <v>541.19393830420029</v>
      </c>
      <c r="AU648">
        <v>6.3278028391867966</v>
      </c>
      <c r="AV648">
        <v>237.42701809474599</v>
      </c>
      <c r="AW648">
        <v>771.80108009446542</v>
      </c>
      <c r="AX648">
        <v>534.3740619997194</v>
      </c>
      <c r="AY648">
        <v>1.396629518204388</v>
      </c>
      <c r="AZ648" t="s">
        <v>150</v>
      </c>
      <c r="BA648" t="str">
        <f>VLOOKUP($AZ648,Sheet1!$A$2:$B$58,2)</f>
        <v>Shikimate</v>
      </c>
      <c r="BB648" t="s">
        <v>195</v>
      </c>
      <c r="BC648">
        <v>173.14045999999999</v>
      </c>
      <c r="BD648">
        <v>3.8571428571428572</v>
      </c>
      <c r="BE648">
        <v>400.5</v>
      </c>
      <c r="BF648" t="s">
        <v>208</v>
      </c>
      <c r="BG648">
        <v>8.6241145747039933</v>
      </c>
      <c r="BH648">
        <v>2.4432989690721801E-2</v>
      </c>
      <c r="BI648">
        <v>9.1904754206572001E-2</v>
      </c>
      <c r="BJ648">
        <v>80</v>
      </c>
      <c r="BK648">
        <v>10497.295362431791</v>
      </c>
      <c r="BL648">
        <v>7268.0416074915483</v>
      </c>
      <c r="BM648">
        <v>10.371495748473899</v>
      </c>
      <c r="BN648">
        <v>1763.1542772405619</v>
      </c>
      <c r="BO648">
        <v>8734.141085191226</v>
      </c>
    </row>
    <row r="649" spans="1:67" x14ac:dyDescent="0.25">
      <c r="A649" s="1">
        <v>647</v>
      </c>
      <c r="B649" t="s">
        <v>73</v>
      </c>
      <c r="C649" t="s">
        <v>85</v>
      </c>
      <c r="D649">
        <v>1</v>
      </c>
      <c r="E649">
        <v>1</v>
      </c>
      <c r="F649">
        <v>2</v>
      </c>
      <c r="G649">
        <v>45.016539999999999</v>
      </c>
      <c r="H649">
        <v>2</v>
      </c>
      <c r="I649" t="s">
        <v>89</v>
      </c>
      <c r="J649">
        <v>4</v>
      </c>
      <c r="K649">
        <v>300</v>
      </c>
      <c r="L649">
        <v>70</v>
      </c>
      <c r="N649" t="s">
        <v>82</v>
      </c>
      <c r="O649">
        <v>30</v>
      </c>
      <c r="P649">
        <v>0.5</v>
      </c>
      <c r="Q649">
        <v>3.2500000000000001E-2</v>
      </c>
      <c r="R649">
        <v>77.5</v>
      </c>
      <c r="S649">
        <v>170</v>
      </c>
      <c r="T649">
        <v>20</v>
      </c>
      <c r="U649">
        <v>1812.1301775147931</v>
      </c>
      <c r="V649">
        <v>20</v>
      </c>
      <c r="W649">
        <v>0.95</v>
      </c>
      <c r="X649">
        <v>1</v>
      </c>
      <c r="Y649">
        <v>368763.72248763859</v>
      </c>
      <c r="Z649">
        <v>1106291167.4629159</v>
      </c>
      <c r="AA649">
        <v>4425164669.8516626</v>
      </c>
      <c r="AB649">
        <v>4425164.6698516626</v>
      </c>
      <c r="AC649">
        <v>0</v>
      </c>
      <c r="AD649">
        <v>11465.899885628271</v>
      </c>
      <c r="AE649">
        <v>20638619.794130892</v>
      </c>
      <c r="AF649">
        <v>14447033.855891621</v>
      </c>
      <c r="AG649">
        <v>650.3554774550995</v>
      </c>
      <c r="AH649">
        <v>4541.5282856985023</v>
      </c>
      <c r="AI649">
        <v>908.30565713970054</v>
      </c>
      <c r="AJ649">
        <v>143817.851770179</v>
      </c>
      <c r="AK649">
        <v>854.70085470085473</v>
      </c>
      <c r="AL649" t="s">
        <v>93</v>
      </c>
      <c r="AM649">
        <v>351968.44214163389</v>
      </c>
      <c r="AN649">
        <v>4115.3212367210626</v>
      </c>
      <c r="AO649">
        <v>154411.9617137491</v>
      </c>
      <c r="AP649">
        <v>500756.31600323488</v>
      </c>
      <c r="AQ649">
        <v>346344.35428948578</v>
      </c>
      <c r="AR649">
        <v>9.9548359341269828E-3</v>
      </c>
      <c r="AS649">
        <v>221.13729607222109</v>
      </c>
      <c r="AT649">
        <v>541.19393830420051</v>
      </c>
      <c r="AU649">
        <v>6.3278028391867958</v>
      </c>
      <c r="AV649">
        <v>237.4270180947461</v>
      </c>
      <c r="AW649">
        <v>769.97324288363075</v>
      </c>
      <c r="AX649">
        <v>532.54622478888473</v>
      </c>
      <c r="AY649">
        <v>1.396629518204388</v>
      </c>
      <c r="AZ649" t="s">
        <v>151</v>
      </c>
      <c r="BA649" t="str">
        <f>VLOOKUP($AZ649,Sheet1!$A$2:$B$58,2)</f>
        <v>Styrene</v>
      </c>
      <c r="BB649" t="s">
        <v>196</v>
      </c>
      <c r="BC649">
        <v>104.14832</v>
      </c>
      <c r="BD649">
        <v>5</v>
      </c>
      <c r="BE649">
        <v>145</v>
      </c>
      <c r="BF649" t="s">
        <v>208</v>
      </c>
      <c r="BG649">
        <v>21.492252830544469</v>
      </c>
      <c r="BH649">
        <v>1.6989247311828E-2</v>
      </c>
      <c r="BI649">
        <v>3.84405157896529E-2</v>
      </c>
      <c r="BJ649">
        <v>80</v>
      </c>
      <c r="BK649">
        <v>25037.815800161741</v>
      </c>
      <c r="BL649">
        <v>17317.217714474289</v>
      </c>
      <c r="BM649">
        <v>23.92303002644055</v>
      </c>
      <c r="BN649">
        <v>4066.915104494894</v>
      </c>
      <c r="BO649">
        <v>20970.900695666849</v>
      </c>
    </row>
    <row r="650" spans="1:67" x14ac:dyDescent="0.25">
      <c r="A650" s="1">
        <v>648</v>
      </c>
      <c r="B650" t="s">
        <v>73</v>
      </c>
      <c r="C650" t="s">
        <v>85</v>
      </c>
      <c r="D650">
        <v>1</v>
      </c>
      <c r="E650">
        <v>1</v>
      </c>
      <c r="F650">
        <v>2</v>
      </c>
      <c r="G650">
        <v>45.016539999999999</v>
      </c>
      <c r="H650">
        <v>2</v>
      </c>
      <c r="I650" t="s">
        <v>89</v>
      </c>
      <c r="J650">
        <v>4</v>
      </c>
      <c r="K650">
        <v>300</v>
      </c>
      <c r="L650">
        <v>70</v>
      </c>
      <c r="N650" t="s">
        <v>82</v>
      </c>
      <c r="O650">
        <v>30</v>
      </c>
      <c r="P650">
        <v>0.5</v>
      </c>
      <c r="Q650">
        <v>3.2500000000000001E-2</v>
      </c>
      <c r="R650">
        <v>77.5</v>
      </c>
      <c r="S650">
        <v>170</v>
      </c>
      <c r="T650">
        <v>20</v>
      </c>
      <c r="U650">
        <v>1812.1301775147931</v>
      </c>
      <c r="V650">
        <v>20</v>
      </c>
      <c r="W650">
        <v>0.95</v>
      </c>
      <c r="X650">
        <v>1</v>
      </c>
      <c r="Y650">
        <v>103179.85788430421</v>
      </c>
      <c r="Z650">
        <v>309539573.6529125</v>
      </c>
      <c r="AA650">
        <v>1238158294.61165</v>
      </c>
      <c r="AB650">
        <v>1238158.2946116501</v>
      </c>
      <c r="AC650">
        <v>0</v>
      </c>
      <c r="AD650">
        <v>3208.151584798155</v>
      </c>
      <c r="AE650">
        <v>5774672.8526366781</v>
      </c>
      <c r="AF650">
        <v>4042270.9968456738</v>
      </c>
      <c r="AG650">
        <v>181.96905402034321</v>
      </c>
      <c r="AH650">
        <v>1270.7167612227011</v>
      </c>
      <c r="AI650">
        <v>254.14335224454021</v>
      </c>
      <c r="AJ650">
        <v>40240.144574878628</v>
      </c>
      <c r="AK650">
        <v>854.70085470085473</v>
      </c>
      <c r="AL650" t="s">
        <v>93</v>
      </c>
      <c r="AM650">
        <v>98480.548994759331</v>
      </c>
      <c r="AN650">
        <v>1151.464296674063</v>
      </c>
      <c r="AO650">
        <v>43204.369881571838</v>
      </c>
      <c r="AP650">
        <v>140726.85872101289</v>
      </c>
      <c r="AQ650">
        <v>97522.488839441023</v>
      </c>
      <c r="AR650">
        <v>9.9548359341269863E-3</v>
      </c>
      <c r="AS650">
        <v>221.13729607222109</v>
      </c>
      <c r="AT650">
        <v>541.19393830420051</v>
      </c>
      <c r="AU650">
        <v>6.3278028391867949</v>
      </c>
      <c r="AV650">
        <v>237.4270180947461</v>
      </c>
      <c r="AW650">
        <v>773.35599439496104</v>
      </c>
      <c r="AX650">
        <v>535.92897630021503</v>
      </c>
      <c r="AY650">
        <v>1.3966295182043891</v>
      </c>
      <c r="AZ650" t="s">
        <v>152</v>
      </c>
      <c r="BA650" t="str">
        <f>VLOOKUP($AZ650,Sheet1!$A$2:$B$58,2)</f>
        <v>Succinate</v>
      </c>
      <c r="BB650" t="s">
        <v>197</v>
      </c>
      <c r="BC650">
        <v>116.07016</v>
      </c>
      <c r="BD650">
        <v>3</v>
      </c>
      <c r="BE650">
        <v>235</v>
      </c>
      <c r="BF650" t="s">
        <v>208</v>
      </c>
      <c r="BG650">
        <v>5.4427294751093527</v>
      </c>
      <c r="BH650">
        <v>5.4482758620689603E-2</v>
      </c>
      <c r="BI650">
        <v>0.13738599749606401</v>
      </c>
      <c r="BJ650">
        <v>80</v>
      </c>
      <c r="BK650">
        <v>7036.3429360506416</v>
      </c>
      <c r="BL650">
        <v>4876.1244419720506</v>
      </c>
      <c r="BM650">
        <v>7.2644381371176578</v>
      </c>
      <c r="BN650">
        <v>1234.9544833100019</v>
      </c>
      <c r="BO650">
        <v>5801.3884527406408</v>
      </c>
    </row>
    <row r="651" spans="1:67" x14ac:dyDescent="0.25">
      <c r="A651" s="1">
        <v>649</v>
      </c>
      <c r="B651" t="s">
        <v>73</v>
      </c>
      <c r="C651" t="s">
        <v>85</v>
      </c>
      <c r="D651">
        <v>1</v>
      </c>
      <c r="E651">
        <v>1</v>
      </c>
      <c r="F651">
        <v>2</v>
      </c>
      <c r="G651">
        <v>45.016539999999999</v>
      </c>
      <c r="H651">
        <v>2</v>
      </c>
      <c r="I651" t="s">
        <v>89</v>
      </c>
      <c r="J651">
        <v>4</v>
      </c>
      <c r="K651">
        <v>300</v>
      </c>
      <c r="L651">
        <v>70</v>
      </c>
      <c r="N651" t="s">
        <v>82</v>
      </c>
      <c r="O651">
        <v>30</v>
      </c>
      <c r="P651">
        <v>0.5</v>
      </c>
      <c r="Q651">
        <v>3.2500000000000001E-2</v>
      </c>
      <c r="R651">
        <v>77.5</v>
      </c>
      <c r="S651">
        <v>170</v>
      </c>
      <c r="T651">
        <v>20</v>
      </c>
      <c r="U651">
        <v>1812.1301775147931</v>
      </c>
      <c r="V651">
        <v>20</v>
      </c>
      <c r="W651">
        <v>0.95</v>
      </c>
      <c r="X651">
        <v>1</v>
      </c>
      <c r="Y651">
        <v>445722.14886590041</v>
      </c>
      <c r="Z651">
        <v>1337166446.5977011</v>
      </c>
      <c r="AA651">
        <v>5348665786.3908052</v>
      </c>
      <c r="AB651">
        <v>5348665.7863908056</v>
      </c>
      <c r="AC651">
        <v>0</v>
      </c>
      <c r="AD651">
        <v>13858.753516283939</v>
      </c>
      <c r="AE651">
        <v>24945756.329311091</v>
      </c>
      <c r="AF651">
        <v>17462029.430517759</v>
      </c>
      <c r="AG651">
        <v>786.08014634007998</v>
      </c>
      <c r="AH651">
        <v>5489.3136802649042</v>
      </c>
      <c r="AI651">
        <v>1097.8627360529811</v>
      </c>
      <c r="AJ651">
        <v>173831.6380577012</v>
      </c>
      <c r="AK651">
        <v>854.70085470085473</v>
      </c>
      <c r="AL651" t="s">
        <v>93</v>
      </c>
      <c r="AM651">
        <v>425421.81022053008</v>
      </c>
      <c r="AN651">
        <v>4974.16018183913</v>
      </c>
      <c r="AO651">
        <v>186636.66512900681</v>
      </c>
      <c r="AP651">
        <v>605082.30931477132</v>
      </c>
      <c r="AQ651">
        <v>418445.6441857646</v>
      </c>
      <c r="AR651">
        <v>9.9548359341269845E-3</v>
      </c>
      <c r="AS651">
        <v>221.13729607222109</v>
      </c>
      <c r="AT651">
        <v>541.19393830420029</v>
      </c>
      <c r="AU651">
        <v>6.3278028391867949</v>
      </c>
      <c r="AV651">
        <v>237.42701809474599</v>
      </c>
      <c r="AW651">
        <v>769.74633201459324</v>
      </c>
      <c r="AX651">
        <v>532.31931391984722</v>
      </c>
      <c r="AY651">
        <v>1.396629518204388</v>
      </c>
      <c r="AZ651" t="s">
        <v>96</v>
      </c>
      <c r="BA651" t="str">
        <f>VLOOKUP($AZ651,Sheet1!$A$2:$B$58,2)</f>
        <v>1,3-Butanediol (PW1)</v>
      </c>
      <c r="BB651" t="s">
        <v>153</v>
      </c>
      <c r="BC651">
        <v>90.119200000000006</v>
      </c>
      <c r="BD651">
        <v>5.5</v>
      </c>
      <c r="BE651">
        <v>207</v>
      </c>
      <c r="BF651" t="s">
        <v>209</v>
      </c>
      <c r="BG651">
        <v>28.11018734006419</v>
      </c>
      <c r="BH651">
        <v>1.62440027416038E-2</v>
      </c>
      <c r="BI651">
        <v>3.1803372870308197E-2</v>
      </c>
      <c r="BJ651">
        <v>80</v>
      </c>
      <c r="BK651">
        <v>30254.11546573856</v>
      </c>
      <c r="BL651">
        <v>20922.282209288231</v>
      </c>
      <c r="BM651">
        <v>26.78294946258486</v>
      </c>
      <c r="BN651">
        <v>4553.1014086394252</v>
      </c>
      <c r="BO651">
        <v>25701.014057099139</v>
      </c>
    </row>
    <row r="652" spans="1:67" x14ac:dyDescent="0.25">
      <c r="A652" s="1">
        <v>650</v>
      </c>
      <c r="B652" t="s">
        <v>73</v>
      </c>
      <c r="C652" t="s">
        <v>85</v>
      </c>
      <c r="D652">
        <v>1</v>
      </c>
      <c r="E652">
        <v>1</v>
      </c>
      <c r="F652">
        <v>2</v>
      </c>
      <c r="G652">
        <v>45.016539999999999</v>
      </c>
      <c r="H652">
        <v>2</v>
      </c>
      <c r="I652" t="s">
        <v>89</v>
      </c>
      <c r="J652">
        <v>4</v>
      </c>
      <c r="K652">
        <v>300</v>
      </c>
      <c r="L652">
        <v>70</v>
      </c>
      <c r="N652" t="s">
        <v>82</v>
      </c>
      <c r="O652">
        <v>30</v>
      </c>
      <c r="P652">
        <v>0.5</v>
      </c>
      <c r="Q652">
        <v>3.2500000000000001E-2</v>
      </c>
      <c r="R652">
        <v>77.5</v>
      </c>
      <c r="S652">
        <v>170</v>
      </c>
      <c r="T652">
        <v>20</v>
      </c>
      <c r="U652">
        <v>1812.1301775147931</v>
      </c>
      <c r="V652">
        <v>20</v>
      </c>
      <c r="W652">
        <v>0.95</v>
      </c>
      <c r="X652">
        <v>1</v>
      </c>
      <c r="Y652">
        <v>445111.15208882908</v>
      </c>
      <c r="Z652">
        <v>1335333456.2664869</v>
      </c>
      <c r="AA652">
        <v>5341333825.0659494</v>
      </c>
      <c r="AB652">
        <v>5341333.825065949</v>
      </c>
      <c r="AC652">
        <v>0</v>
      </c>
      <c r="AD652">
        <v>13839.755910366841</v>
      </c>
      <c r="AE652">
        <v>24911560.638660319</v>
      </c>
      <c r="AF652">
        <v>17438092.44706222</v>
      </c>
      <c r="AG652">
        <v>785.00258616687427</v>
      </c>
      <c r="AH652">
        <v>5481.7889185372023</v>
      </c>
      <c r="AI652">
        <v>1096.3577837074411</v>
      </c>
      <c r="AJ652">
        <v>173593.34931464339</v>
      </c>
      <c r="AK652">
        <v>854.70085470085473</v>
      </c>
      <c r="AL652" t="s">
        <v>93</v>
      </c>
      <c r="AM652">
        <v>424838.64118663321</v>
      </c>
      <c r="AN652">
        <v>4967.3415935157254</v>
      </c>
      <c r="AO652">
        <v>186380.82323026491</v>
      </c>
      <c r="AP652">
        <v>604254.03294949315</v>
      </c>
      <c r="AQ652">
        <v>417873.20971922821</v>
      </c>
      <c r="AR652">
        <v>9.9548359341269845E-3</v>
      </c>
      <c r="AS652">
        <v>221.13729607222109</v>
      </c>
      <c r="AT652">
        <v>541.19393830420051</v>
      </c>
      <c r="AU652">
        <v>6.3278028391867958</v>
      </c>
      <c r="AV652">
        <v>237.4270180947461</v>
      </c>
      <c r="AW652">
        <v>769.74782452632837</v>
      </c>
      <c r="AX652">
        <v>532.32080643158224</v>
      </c>
      <c r="AY652">
        <v>1.3966295182043891</v>
      </c>
      <c r="AZ652" t="s">
        <v>97</v>
      </c>
      <c r="BA652" t="str">
        <f>VLOOKUP($AZ652,Sheet1!$A$2:$B$58,2)</f>
        <v>1,3-Butanediol (PW2)</v>
      </c>
      <c r="BB652" t="s">
        <v>153</v>
      </c>
      <c r="BC652">
        <v>90.119200000000006</v>
      </c>
      <c r="BD652">
        <v>5.5</v>
      </c>
      <c r="BE652">
        <v>207</v>
      </c>
      <c r="BF652" t="s">
        <v>209</v>
      </c>
      <c r="BG652">
        <v>28.068976099277769</v>
      </c>
      <c r="BH652">
        <v>1.62663006177079E-2</v>
      </c>
      <c r="BI652">
        <v>3.1847028838559201E-2</v>
      </c>
      <c r="BJ652">
        <v>80</v>
      </c>
      <c r="BK652">
        <v>30212.701647474649</v>
      </c>
      <c r="BL652">
        <v>20893.660485961409</v>
      </c>
      <c r="BM652">
        <v>26.748913086094269</v>
      </c>
      <c r="BN652">
        <v>4547.315224636026</v>
      </c>
      <c r="BO652">
        <v>25665.38642283863</v>
      </c>
    </row>
    <row r="653" spans="1:67" x14ac:dyDescent="0.25">
      <c r="A653" s="1">
        <v>651</v>
      </c>
      <c r="B653" t="s">
        <v>73</v>
      </c>
      <c r="C653" t="s">
        <v>85</v>
      </c>
      <c r="D653">
        <v>1</v>
      </c>
      <c r="E653">
        <v>1</v>
      </c>
      <c r="F653">
        <v>2</v>
      </c>
      <c r="G653">
        <v>45.016539999999999</v>
      </c>
      <c r="H653">
        <v>2</v>
      </c>
      <c r="I653" t="s">
        <v>89</v>
      </c>
      <c r="J653">
        <v>4</v>
      </c>
      <c r="K653">
        <v>300</v>
      </c>
      <c r="L653">
        <v>70</v>
      </c>
      <c r="N653" t="s">
        <v>82</v>
      </c>
      <c r="O653">
        <v>30</v>
      </c>
      <c r="P653">
        <v>0.5</v>
      </c>
      <c r="Q653">
        <v>3.2500000000000001E-2</v>
      </c>
      <c r="R653">
        <v>77.5</v>
      </c>
      <c r="S653">
        <v>170</v>
      </c>
      <c r="T653">
        <v>20</v>
      </c>
      <c r="U653">
        <v>1812.1301775147931</v>
      </c>
      <c r="V653">
        <v>20</v>
      </c>
      <c r="W653">
        <v>0.95</v>
      </c>
      <c r="X653">
        <v>1</v>
      </c>
      <c r="Y653">
        <v>415466.30099120073</v>
      </c>
      <c r="Z653">
        <v>1246398902.9736021</v>
      </c>
      <c r="AA653">
        <v>4985595611.8944082</v>
      </c>
      <c r="AB653">
        <v>4985595.6118944082</v>
      </c>
      <c r="AC653">
        <v>0</v>
      </c>
      <c r="AD653">
        <v>12918.014225700021</v>
      </c>
      <c r="AE653">
        <v>23252425.606260039</v>
      </c>
      <c r="AF653">
        <v>16276697.92438202</v>
      </c>
      <c r="AG653">
        <v>732.72062318086023</v>
      </c>
      <c r="AH653">
        <v>5116.6962546575214</v>
      </c>
      <c r="AI653">
        <v>1023.339250931504</v>
      </c>
      <c r="AJ653">
        <v>162031.8573865683</v>
      </c>
      <c r="AK653">
        <v>854.70085470085473</v>
      </c>
      <c r="AL653" t="s">
        <v>93</v>
      </c>
      <c r="AM653">
        <v>396543.95973595779</v>
      </c>
      <c r="AN653">
        <v>4636.5116396945659</v>
      </c>
      <c r="AO653">
        <v>173967.6726583557</v>
      </c>
      <c r="AP653">
        <v>564067.02961692156</v>
      </c>
      <c r="AQ653">
        <v>390099.35695856583</v>
      </c>
      <c r="AR653">
        <v>9.9548359341269845E-3</v>
      </c>
      <c r="AS653">
        <v>221.13729607222109</v>
      </c>
      <c r="AT653">
        <v>541.19393830420051</v>
      </c>
      <c r="AU653">
        <v>6.3278028391867958</v>
      </c>
      <c r="AV653">
        <v>237.4270180947461</v>
      </c>
      <c r="AW653">
        <v>769.82551298776627</v>
      </c>
      <c r="AX653">
        <v>532.39849489302014</v>
      </c>
      <c r="AY653">
        <v>1.3966295182043891</v>
      </c>
      <c r="AZ653" t="s">
        <v>98</v>
      </c>
      <c r="BA653" t="str">
        <f>VLOOKUP($AZ653,Sheet1!$A$2:$B$58,2)</f>
        <v>1,3-Diaminopropane</v>
      </c>
      <c r="BB653" t="s">
        <v>154</v>
      </c>
      <c r="BC653">
        <v>76.139580000000009</v>
      </c>
      <c r="BD653">
        <v>6</v>
      </c>
      <c r="BE653">
        <v>139.30000000000001</v>
      </c>
      <c r="BF653" t="s">
        <v>209</v>
      </c>
      <c r="BG653">
        <v>26.288815450368901</v>
      </c>
      <c r="BH653">
        <v>2.0626631853786E-2</v>
      </c>
      <c r="BI653">
        <v>3.4119416335616298E-2</v>
      </c>
      <c r="BJ653">
        <v>80</v>
      </c>
      <c r="BK653">
        <v>28203.351480846079</v>
      </c>
      <c r="BL653">
        <v>19504.967847928288</v>
      </c>
      <c r="BM653">
        <v>24.87814709620632</v>
      </c>
      <c r="BN653">
        <v>4229.2850063550741</v>
      </c>
      <c r="BO653">
        <v>23974.066474490999</v>
      </c>
    </row>
    <row r="654" spans="1:67" x14ac:dyDescent="0.25">
      <c r="A654" s="1">
        <v>652</v>
      </c>
      <c r="B654" t="s">
        <v>73</v>
      </c>
      <c r="C654" t="s">
        <v>85</v>
      </c>
      <c r="D654">
        <v>1</v>
      </c>
      <c r="E654">
        <v>1</v>
      </c>
      <c r="F654">
        <v>2</v>
      </c>
      <c r="G654">
        <v>45.016539999999999</v>
      </c>
      <c r="H654">
        <v>2</v>
      </c>
      <c r="I654" t="s">
        <v>89</v>
      </c>
      <c r="J654">
        <v>4</v>
      </c>
      <c r="K654">
        <v>300</v>
      </c>
      <c r="L654">
        <v>70</v>
      </c>
      <c r="N654" t="s">
        <v>82</v>
      </c>
      <c r="O654">
        <v>30</v>
      </c>
      <c r="P654">
        <v>0.5</v>
      </c>
      <c r="Q654">
        <v>3.2500000000000001E-2</v>
      </c>
      <c r="R654">
        <v>77.5</v>
      </c>
      <c r="S654">
        <v>170</v>
      </c>
      <c r="T654">
        <v>20</v>
      </c>
      <c r="U654">
        <v>1812.1301775147931</v>
      </c>
      <c r="V654">
        <v>20</v>
      </c>
      <c r="W654">
        <v>0.95</v>
      </c>
      <c r="X654">
        <v>1</v>
      </c>
      <c r="Y654">
        <v>407038.13017585338</v>
      </c>
      <c r="Z654">
        <v>1221114390.52756</v>
      </c>
      <c r="AA654">
        <v>4884457562.1102409</v>
      </c>
      <c r="AB654">
        <v>4884457.5621102406</v>
      </c>
      <c r="AC654">
        <v>0</v>
      </c>
      <c r="AD654">
        <v>12655.95872269163</v>
      </c>
      <c r="AE654">
        <v>22780725.700844929</v>
      </c>
      <c r="AF654">
        <v>15946507.99059145</v>
      </c>
      <c r="AG654">
        <v>717.85661481877958</v>
      </c>
      <c r="AH654">
        <v>5012.8986904709254</v>
      </c>
      <c r="AI654">
        <v>1002.579738094185</v>
      </c>
      <c r="AJ654">
        <v>158744.8707685828</v>
      </c>
      <c r="AK654">
        <v>854.70085470085473</v>
      </c>
      <c r="AL654" t="s">
        <v>93</v>
      </c>
      <c r="AM654">
        <v>388499.64851149672</v>
      </c>
      <c r="AN654">
        <v>4542.4551253792952</v>
      </c>
      <c r="AO654">
        <v>170438.5554760115</v>
      </c>
      <c r="AP654">
        <v>552641.67526015965</v>
      </c>
      <c r="AQ654">
        <v>382203.11978414818</v>
      </c>
      <c r="AR654">
        <v>9.9548359341269828E-3</v>
      </c>
      <c r="AS654">
        <v>221.13729607222109</v>
      </c>
      <c r="AT654">
        <v>541.19393830420029</v>
      </c>
      <c r="AU654">
        <v>6.3278028391867949</v>
      </c>
      <c r="AV654">
        <v>237.42701809474599</v>
      </c>
      <c r="AW654">
        <v>769.84966614770565</v>
      </c>
      <c r="AX654">
        <v>532.42264805295963</v>
      </c>
      <c r="AY654">
        <v>1.396629518204388</v>
      </c>
      <c r="AZ654" t="s">
        <v>99</v>
      </c>
      <c r="BA654" t="str">
        <f>VLOOKUP($AZ654,Sheet1!$A$2:$B$58,2)</f>
        <v>1,3-Propanediol</v>
      </c>
      <c r="BB654" t="s">
        <v>155</v>
      </c>
      <c r="BC654">
        <v>76.092820000000003</v>
      </c>
      <c r="BD654">
        <v>5.333333333333333</v>
      </c>
      <c r="BE654">
        <v>213</v>
      </c>
      <c r="BF654" t="s">
        <v>209</v>
      </c>
      <c r="BG654">
        <v>25.719276516246779</v>
      </c>
      <c r="BH654">
        <v>2.10666666666669E-2</v>
      </c>
      <c r="BI654">
        <v>3.4825896263853698E-2</v>
      </c>
      <c r="BJ654">
        <v>80</v>
      </c>
      <c r="BK654">
        <v>27632.08376300798</v>
      </c>
      <c r="BL654">
        <v>19110.1559892074</v>
      </c>
      <c r="BM654">
        <v>24.409710388462489</v>
      </c>
      <c r="BN654">
        <v>4149.6507660386233</v>
      </c>
      <c r="BO654">
        <v>23482.432996969361</v>
      </c>
    </row>
    <row r="655" spans="1:67" x14ac:dyDescent="0.25">
      <c r="A655" s="1">
        <v>653</v>
      </c>
      <c r="B655" t="s">
        <v>73</v>
      </c>
      <c r="C655" t="s">
        <v>85</v>
      </c>
      <c r="D655">
        <v>1</v>
      </c>
      <c r="E655">
        <v>1</v>
      </c>
      <c r="F655">
        <v>2</v>
      </c>
      <c r="G655">
        <v>45.016539999999999</v>
      </c>
      <c r="H655">
        <v>2</v>
      </c>
      <c r="I655" t="s">
        <v>89</v>
      </c>
      <c r="J655">
        <v>4</v>
      </c>
      <c r="K655">
        <v>300</v>
      </c>
      <c r="L655">
        <v>70</v>
      </c>
      <c r="N655" t="s">
        <v>82</v>
      </c>
      <c r="O655">
        <v>30</v>
      </c>
      <c r="P655">
        <v>0.5</v>
      </c>
      <c r="Q655">
        <v>3.2500000000000001E-2</v>
      </c>
      <c r="R655">
        <v>77.5</v>
      </c>
      <c r="S655">
        <v>170</v>
      </c>
      <c r="T655">
        <v>20</v>
      </c>
      <c r="U655">
        <v>1812.1301775147931</v>
      </c>
      <c r="V655">
        <v>20</v>
      </c>
      <c r="W655">
        <v>0.95</v>
      </c>
      <c r="X655">
        <v>1</v>
      </c>
      <c r="Y655">
        <v>448166.13597413758</v>
      </c>
      <c r="Z655">
        <v>1344498407.9224131</v>
      </c>
      <c r="AA655">
        <v>5377993631.6896505</v>
      </c>
      <c r="AB655">
        <v>5377993.6316896519</v>
      </c>
      <c r="AC655">
        <v>0</v>
      </c>
      <c r="AD655">
        <v>13934.74393995082</v>
      </c>
      <c r="AE655">
        <v>25082539.09191148</v>
      </c>
      <c r="AF655">
        <v>17557777.36433804</v>
      </c>
      <c r="AG655">
        <v>790.39038703281778</v>
      </c>
      <c r="AH655">
        <v>5519.4127271751222</v>
      </c>
      <c r="AI655">
        <v>1103.882545435024</v>
      </c>
      <c r="AJ655">
        <v>174784.79302991371</v>
      </c>
      <c r="AK655">
        <v>854.70085470085473</v>
      </c>
      <c r="AL655" t="s">
        <v>93</v>
      </c>
      <c r="AM655">
        <v>427754.48635607201</v>
      </c>
      <c r="AN655">
        <v>5001.4345351322154</v>
      </c>
      <c r="AO655">
        <v>187660.03272395421</v>
      </c>
      <c r="AP655">
        <v>608395.4147758187</v>
      </c>
      <c r="AQ655">
        <v>420735.38205186452</v>
      </c>
      <c r="AR655">
        <v>9.9548359341269863E-3</v>
      </c>
      <c r="AS655">
        <v>221.13729607222109</v>
      </c>
      <c r="AT655">
        <v>541.19393830420051</v>
      </c>
      <c r="AU655">
        <v>6.3278028391867966</v>
      </c>
      <c r="AV655">
        <v>237.42701809474599</v>
      </c>
      <c r="AW655">
        <v>769.74040266326972</v>
      </c>
      <c r="AX655">
        <v>532.3133845685237</v>
      </c>
      <c r="AY655">
        <v>1.396629518204388</v>
      </c>
      <c r="AZ655" t="s">
        <v>100</v>
      </c>
      <c r="BA655" t="str">
        <f>VLOOKUP($AZ655,Sheet1!$A$2:$B$58,2)</f>
        <v>1,4-Butanediol</v>
      </c>
      <c r="BB655" t="s">
        <v>153</v>
      </c>
      <c r="BC655">
        <v>90.119200000000006</v>
      </c>
      <c r="BD655">
        <v>5.5</v>
      </c>
      <c r="BE655">
        <v>230</v>
      </c>
      <c r="BF655" t="s">
        <v>209</v>
      </c>
      <c r="BG655">
        <v>28.275032303207539</v>
      </c>
      <c r="BH655">
        <v>1.6155419222904002E-2</v>
      </c>
      <c r="BI655">
        <v>3.1629939344090197E-2</v>
      </c>
      <c r="BJ655">
        <v>80</v>
      </c>
      <c r="BK655">
        <v>30419.770738790929</v>
      </c>
      <c r="BL655">
        <v>21036.769102593229</v>
      </c>
      <c r="BM655">
        <v>26.919094968543678</v>
      </c>
      <c r="BN655">
        <v>4576.2461446524258</v>
      </c>
      <c r="BO655">
        <v>25843.524594138511</v>
      </c>
    </row>
    <row r="656" spans="1:67" x14ac:dyDescent="0.25">
      <c r="A656" s="1">
        <v>654</v>
      </c>
      <c r="B656" t="s">
        <v>73</v>
      </c>
      <c r="C656" t="s">
        <v>85</v>
      </c>
      <c r="D656">
        <v>1</v>
      </c>
      <c r="E656">
        <v>1</v>
      </c>
      <c r="F656">
        <v>2</v>
      </c>
      <c r="G656">
        <v>45.016539999999999</v>
      </c>
      <c r="H656">
        <v>2</v>
      </c>
      <c r="I656" t="s">
        <v>89</v>
      </c>
      <c r="J656">
        <v>4</v>
      </c>
      <c r="K656">
        <v>300</v>
      </c>
      <c r="L656">
        <v>70</v>
      </c>
      <c r="N656" t="s">
        <v>82</v>
      </c>
      <c r="O656">
        <v>30</v>
      </c>
      <c r="P656">
        <v>0.5</v>
      </c>
      <c r="Q656">
        <v>3.2500000000000001E-2</v>
      </c>
      <c r="R656">
        <v>77.5</v>
      </c>
      <c r="S656">
        <v>170</v>
      </c>
      <c r="T656">
        <v>20</v>
      </c>
      <c r="U656">
        <v>1812.1301775147931</v>
      </c>
      <c r="V656">
        <v>20</v>
      </c>
      <c r="W656">
        <v>0.95</v>
      </c>
      <c r="X656">
        <v>1</v>
      </c>
      <c r="Y656">
        <v>588707.49825376668</v>
      </c>
      <c r="Z656">
        <v>1766122494.7613001</v>
      </c>
      <c r="AA656">
        <v>7064489979.0452003</v>
      </c>
      <c r="AB656">
        <v>7064489.9790452002</v>
      </c>
      <c r="AC656">
        <v>0</v>
      </c>
      <c r="AD656">
        <v>18304.569634348019</v>
      </c>
      <c r="AE656">
        <v>32948225.341826439</v>
      </c>
      <c r="AF656">
        <v>23063757.73927851</v>
      </c>
      <c r="AG656">
        <v>1038.2505728205399</v>
      </c>
      <c r="AH656">
        <v>7250.2569864689094</v>
      </c>
      <c r="AI656">
        <v>1450.051397293782</v>
      </c>
      <c r="AJ656">
        <v>229595.92431896899</v>
      </c>
      <c r="AK656">
        <v>854.70085470085473</v>
      </c>
      <c r="AL656" t="s">
        <v>93</v>
      </c>
      <c r="AM656">
        <v>561894.91645134042</v>
      </c>
      <c r="AN656">
        <v>6569.844922481132</v>
      </c>
      <c r="AO656">
        <v>246508.7375399429</v>
      </c>
      <c r="AP656">
        <v>798915.38654749142</v>
      </c>
      <c r="AQ656">
        <v>552406.64900754858</v>
      </c>
      <c r="AR656">
        <v>9.9548359341269845E-3</v>
      </c>
      <c r="AS656">
        <v>221.13729607222109</v>
      </c>
      <c r="AT656">
        <v>541.19393830420051</v>
      </c>
      <c r="AU656">
        <v>6.3278028391867949</v>
      </c>
      <c r="AV656">
        <v>237.4270180947461</v>
      </c>
      <c r="AW656">
        <v>769.48224972044613</v>
      </c>
      <c r="AX656">
        <v>532.05523162570012</v>
      </c>
      <c r="AY656">
        <v>1.3966295182043891</v>
      </c>
      <c r="AZ656" t="s">
        <v>101</v>
      </c>
      <c r="BA656" t="str">
        <f>VLOOKUP($AZ656,Sheet1!$A$2:$B$58,2)</f>
        <v>1-Propanol (PW1)</v>
      </c>
      <c r="BB656" t="s">
        <v>156</v>
      </c>
      <c r="BC656">
        <v>60.093820000000001</v>
      </c>
      <c r="BD656">
        <v>6</v>
      </c>
      <c r="BE656">
        <v>97</v>
      </c>
      <c r="BF656" t="s">
        <v>209</v>
      </c>
      <c r="BG656">
        <v>37.510782348861177</v>
      </c>
      <c r="BH656">
        <v>1.8443579766536999E-2</v>
      </c>
      <c r="BI656">
        <v>2.4078965766504999E-2</v>
      </c>
      <c r="BJ656">
        <v>80</v>
      </c>
      <c r="BK656">
        <v>39945.769327374568</v>
      </c>
      <c r="BL656">
        <v>27620.33245037742</v>
      </c>
      <c r="BM656">
        <v>34.991787515827923</v>
      </c>
      <c r="BN656">
        <v>5948.6038776907453</v>
      </c>
      <c r="BO656">
        <v>33997.165449683816</v>
      </c>
    </row>
    <row r="657" spans="1:67" x14ac:dyDescent="0.25">
      <c r="A657" s="1">
        <v>655</v>
      </c>
      <c r="B657" t="s">
        <v>73</v>
      </c>
      <c r="C657" t="s">
        <v>85</v>
      </c>
      <c r="D657">
        <v>1</v>
      </c>
      <c r="E657">
        <v>1</v>
      </c>
      <c r="F657">
        <v>2</v>
      </c>
      <c r="G657">
        <v>45.016539999999999</v>
      </c>
      <c r="H657">
        <v>2</v>
      </c>
      <c r="I657" t="s">
        <v>89</v>
      </c>
      <c r="J657">
        <v>4</v>
      </c>
      <c r="K657">
        <v>300</v>
      </c>
      <c r="L657">
        <v>70</v>
      </c>
      <c r="N657" t="s">
        <v>82</v>
      </c>
      <c r="O657">
        <v>30</v>
      </c>
      <c r="P657">
        <v>0.5</v>
      </c>
      <c r="Q657">
        <v>3.2500000000000001E-2</v>
      </c>
      <c r="R657">
        <v>77.5</v>
      </c>
      <c r="S657">
        <v>170</v>
      </c>
      <c r="T657">
        <v>20</v>
      </c>
      <c r="U657">
        <v>1812.1301775147931</v>
      </c>
      <c r="V657">
        <v>20</v>
      </c>
      <c r="W657">
        <v>0.95</v>
      </c>
      <c r="X657">
        <v>1</v>
      </c>
      <c r="Y657">
        <v>600619.08965812216</v>
      </c>
      <c r="Z657">
        <v>1801857268.9743659</v>
      </c>
      <c r="AA657">
        <v>7207429075.8974657</v>
      </c>
      <c r="AB657">
        <v>7207429.0758974655</v>
      </c>
      <c r="AC657">
        <v>0</v>
      </c>
      <c r="AD657">
        <v>18674.934467416511</v>
      </c>
      <c r="AE657">
        <v>33614882.041349716</v>
      </c>
      <c r="AF657">
        <v>23530417.4289448</v>
      </c>
      <c r="AG657">
        <v>1059.257977406791</v>
      </c>
      <c r="AH657">
        <v>7396.9547931990064</v>
      </c>
      <c r="AI657">
        <v>1479.3909586398011</v>
      </c>
      <c r="AJ657">
        <v>234241.44496666759</v>
      </c>
      <c r="AK657">
        <v>854.70085470085473</v>
      </c>
      <c r="AL657" t="s">
        <v>93</v>
      </c>
      <c r="AM657">
        <v>573263.99647292297</v>
      </c>
      <c r="AN657">
        <v>6702.7756368659557</v>
      </c>
      <c r="AO657">
        <v>251496.46296876619</v>
      </c>
      <c r="AP657">
        <v>815062.91793115751</v>
      </c>
      <c r="AQ657">
        <v>563566.45496239129</v>
      </c>
      <c r="AR657">
        <v>9.9548359341269845E-3</v>
      </c>
      <c r="AS657">
        <v>221.13729607222109</v>
      </c>
      <c r="AT657">
        <v>541.19393830420051</v>
      </c>
      <c r="AU657">
        <v>6.3278028391867966</v>
      </c>
      <c r="AV657">
        <v>237.42701809474599</v>
      </c>
      <c r="AW657">
        <v>769.46592361432442</v>
      </c>
      <c r="AX657">
        <v>532.03890551957841</v>
      </c>
      <c r="AY657">
        <v>1.396629518204388</v>
      </c>
      <c r="AZ657" t="s">
        <v>102</v>
      </c>
      <c r="BA657" t="str">
        <f>VLOOKUP($AZ657,Sheet1!$A$2:$B$58,2)</f>
        <v>1-Propanol (PW2)</v>
      </c>
      <c r="BB657" t="s">
        <v>156</v>
      </c>
      <c r="BC657">
        <v>60.093820000000001</v>
      </c>
      <c r="BD657">
        <v>6</v>
      </c>
      <c r="BE657">
        <v>97</v>
      </c>
      <c r="BF657" t="s">
        <v>209</v>
      </c>
      <c r="BG657">
        <v>38.314209600752022</v>
      </c>
      <c r="BH657">
        <v>1.80778032036614E-2</v>
      </c>
      <c r="BI657">
        <v>2.3601427162440101E-2</v>
      </c>
      <c r="BJ657">
        <v>80</v>
      </c>
      <c r="BK657">
        <v>40753.145896557879</v>
      </c>
      <c r="BL657">
        <v>28178.322748119572</v>
      </c>
      <c r="BM657">
        <v>35.655338331238063</v>
      </c>
      <c r="BN657">
        <v>6061.4075163104699</v>
      </c>
      <c r="BO657">
        <v>34691.738380247407</v>
      </c>
    </row>
    <row r="658" spans="1:67" x14ac:dyDescent="0.25">
      <c r="A658" s="1">
        <v>656</v>
      </c>
      <c r="B658" t="s">
        <v>73</v>
      </c>
      <c r="C658" t="s">
        <v>85</v>
      </c>
      <c r="D658">
        <v>1</v>
      </c>
      <c r="E658">
        <v>1</v>
      </c>
      <c r="F658">
        <v>2</v>
      </c>
      <c r="G658">
        <v>45.016539999999999</v>
      </c>
      <c r="H658">
        <v>2</v>
      </c>
      <c r="I658" t="s">
        <v>89</v>
      </c>
      <c r="J658">
        <v>4</v>
      </c>
      <c r="K658">
        <v>300</v>
      </c>
      <c r="L658">
        <v>70</v>
      </c>
      <c r="N658" t="s">
        <v>82</v>
      </c>
      <c r="O658">
        <v>30</v>
      </c>
      <c r="P658">
        <v>0.5</v>
      </c>
      <c r="Q658">
        <v>3.2500000000000001E-2</v>
      </c>
      <c r="R658">
        <v>77.5</v>
      </c>
      <c r="S658">
        <v>170</v>
      </c>
      <c r="T658">
        <v>20</v>
      </c>
      <c r="U658">
        <v>1812.1301775147931</v>
      </c>
      <c r="V658">
        <v>20</v>
      </c>
      <c r="W658">
        <v>0.95</v>
      </c>
      <c r="X658">
        <v>1</v>
      </c>
      <c r="Y658">
        <v>446333.1456429555</v>
      </c>
      <c r="Z658">
        <v>1338999436.9288659</v>
      </c>
      <c r="AA658">
        <v>5355997747.7154655</v>
      </c>
      <c r="AB658">
        <v>5355997.7477154657</v>
      </c>
      <c r="AC658">
        <v>0</v>
      </c>
      <c r="AD658">
        <v>13877.751122200531</v>
      </c>
      <c r="AE658">
        <v>24979952.019960951</v>
      </c>
      <c r="AF658">
        <v>17485966.413972661</v>
      </c>
      <c r="AG658">
        <v>787.15770651325681</v>
      </c>
      <c r="AH658">
        <v>5496.838441992405</v>
      </c>
      <c r="AI658">
        <v>1099.3676883984811</v>
      </c>
      <c r="AJ658">
        <v>174069.92680075261</v>
      </c>
      <c r="AK658">
        <v>854.70085470085473</v>
      </c>
      <c r="AL658" t="s">
        <v>93</v>
      </c>
      <c r="AM658">
        <v>426004.97925441142</v>
      </c>
      <c r="AN658">
        <v>4980.9787701623554</v>
      </c>
      <c r="AO658">
        <v>186892.50702774181</v>
      </c>
      <c r="AP658">
        <v>605910.58568002726</v>
      </c>
      <c r="AQ658">
        <v>419018.07865228551</v>
      </c>
      <c r="AR658">
        <v>9.9548359341269863E-3</v>
      </c>
      <c r="AS658">
        <v>221.13729607222109</v>
      </c>
      <c r="AT658">
        <v>541.1939383042004</v>
      </c>
      <c r="AU658">
        <v>6.3278028391867984</v>
      </c>
      <c r="AV658">
        <v>237.42701809474599</v>
      </c>
      <c r="AW658">
        <v>769.74484358913276</v>
      </c>
      <c r="AX658">
        <v>532.31782549438674</v>
      </c>
      <c r="AY658">
        <v>1.396629518204388</v>
      </c>
      <c r="AZ658" t="s">
        <v>103</v>
      </c>
      <c r="BA658" t="str">
        <f>VLOOKUP($AZ658,Sheet1!$A$2:$B$58,2)</f>
        <v>2,3-Butanediol</v>
      </c>
      <c r="BB658" t="s">
        <v>153</v>
      </c>
      <c r="BC658">
        <v>90.119200000000006</v>
      </c>
      <c r="BD658">
        <v>5.5</v>
      </c>
      <c r="BE658">
        <v>177</v>
      </c>
      <c r="BF658" t="s">
        <v>209</v>
      </c>
      <c r="BG658">
        <v>28.151398580849719</v>
      </c>
      <c r="BH658">
        <v>1.6221765913757898E-2</v>
      </c>
      <c r="BI658">
        <v>3.17598364255854E-2</v>
      </c>
      <c r="BJ658">
        <v>80</v>
      </c>
      <c r="BK658">
        <v>30295.529284001372</v>
      </c>
      <c r="BL658">
        <v>20950.903932614281</v>
      </c>
      <c r="BM658">
        <v>26.816985839074349</v>
      </c>
      <c r="BN658">
        <v>4558.887592642639</v>
      </c>
      <c r="BO658">
        <v>25736.641691358731</v>
      </c>
    </row>
    <row r="659" spans="1:67" x14ac:dyDescent="0.25">
      <c r="A659" s="1">
        <v>657</v>
      </c>
      <c r="B659" t="s">
        <v>73</v>
      </c>
      <c r="C659" t="s">
        <v>85</v>
      </c>
      <c r="D659">
        <v>1</v>
      </c>
      <c r="E659">
        <v>1</v>
      </c>
      <c r="F659">
        <v>2</v>
      </c>
      <c r="G659">
        <v>45.016539999999999</v>
      </c>
      <c r="H659">
        <v>2</v>
      </c>
      <c r="I659" t="s">
        <v>89</v>
      </c>
      <c r="J659">
        <v>4</v>
      </c>
      <c r="K659">
        <v>300</v>
      </c>
      <c r="L659">
        <v>70</v>
      </c>
      <c r="N659" t="s">
        <v>82</v>
      </c>
      <c r="O659">
        <v>30</v>
      </c>
      <c r="P659">
        <v>0.5</v>
      </c>
      <c r="Q659">
        <v>3.2500000000000001E-2</v>
      </c>
      <c r="R659">
        <v>77.5</v>
      </c>
      <c r="S659">
        <v>170</v>
      </c>
      <c r="T659">
        <v>20</v>
      </c>
      <c r="U659">
        <v>1812.1301775147931</v>
      </c>
      <c r="V659">
        <v>20</v>
      </c>
      <c r="W659">
        <v>0.95</v>
      </c>
      <c r="X659">
        <v>1</v>
      </c>
      <c r="Y659">
        <v>661213.39461223315</v>
      </c>
      <c r="Z659">
        <v>1983640183.836699</v>
      </c>
      <c r="AA659">
        <v>7934560735.3467979</v>
      </c>
      <c r="AB659">
        <v>7934560.7353467979</v>
      </c>
      <c r="AC659">
        <v>0</v>
      </c>
      <c r="AD659">
        <v>20558.981600784831</v>
      </c>
      <c r="AE659">
        <v>37006166.8814127</v>
      </c>
      <c r="AF659">
        <v>25904316.816988889</v>
      </c>
      <c r="AG659">
        <v>1166.122714164653</v>
      </c>
      <c r="AH659">
        <v>8143.2070222548627</v>
      </c>
      <c r="AI659">
        <v>1628.6414044509729</v>
      </c>
      <c r="AJ659">
        <v>257873.2238987709</v>
      </c>
      <c r="AK659">
        <v>854.70085470085473</v>
      </c>
      <c r="AL659" t="s">
        <v>93</v>
      </c>
      <c r="AM659">
        <v>631098.54422475188</v>
      </c>
      <c r="AN659">
        <v>7378.9946215313039</v>
      </c>
      <c r="AO659">
        <v>276869.03875666542</v>
      </c>
      <c r="AP659">
        <v>897205.46359975508</v>
      </c>
      <c r="AQ659">
        <v>620336.42484308966</v>
      </c>
      <c r="AR659">
        <v>9.9548359341269845E-3</v>
      </c>
      <c r="AS659">
        <v>221.13729607222109</v>
      </c>
      <c r="AT659">
        <v>541.19393830420029</v>
      </c>
      <c r="AU659">
        <v>6.3278028391867958</v>
      </c>
      <c r="AV659">
        <v>237.42701809474599</v>
      </c>
      <c r="AW659">
        <v>769.39197967896916</v>
      </c>
      <c r="AX659">
        <v>531.96496158422315</v>
      </c>
      <c r="AY659">
        <v>1.396629518204388</v>
      </c>
      <c r="AZ659" t="s">
        <v>104</v>
      </c>
      <c r="BA659" t="str">
        <f>VLOOKUP($AZ659,Sheet1!$A$2:$B$58,2)</f>
        <v>2-Methyl-1-Butanol</v>
      </c>
      <c r="BB659" t="s">
        <v>157</v>
      </c>
      <c r="BC659">
        <v>88.14658</v>
      </c>
      <c r="BD659">
        <v>6</v>
      </c>
      <c r="BE659">
        <v>129</v>
      </c>
      <c r="BF659" t="s">
        <v>209</v>
      </c>
      <c r="BG659">
        <v>42.101901260323459</v>
      </c>
      <c r="BH659">
        <v>1.11950873878121E-2</v>
      </c>
      <c r="BI659">
        <v>2.14385670533042E-2</v>
      </c>
      <c r="BJ659">
        <v>80</v>
      </c>
      <c r="BK659">
        <v>44860.273179987751</v>
      </c>
      <c r="BL659">
        <v>31016.821242154481</v>
      </c>
      <c r="BM659">
        <v>39.330168962225187</v>
      </c>
      <c r="BN659">
        <v>6686.128723578282</v>
      </c>
      <c r="BO659">
        <v>38174.144456409471</v>
      </c>
    </row>
    <row r="660" spans="1:67" x14ac:dyDescent="0.25">
      <c r="A660" s="1">
        <v>658</v>
      </c>
      <c r="B660" t="s">
        <v>73</v>
      </c>
      <c r="C660" t="s">
        <v>85</v>
      </c>
      <c r="D660">
        <v>1</v>
      </c>
      <c r="E660">
        <v>1</v>
      </c>
      <c r="F660">
        <v>2</v>
      </c>
      <c r="G660">
        <v>45.016539999999999</v>
      </c>
      <c r="H660">
        <v>2</v>
      </c>
      <c r="I660" t="s">
        <v>89</v>
      </c>
      <c r="J660">
        <v>4</v>
      </c>
      <c r="K660">
        <v>300</v>
      </c>
      <c r="L660">
        <v>70</v>
      </c>
      <c r="N660" t="s">
        <v>82</v>
      </c>
      <c r="O660">
        <v>30</v>
      </c>
      <c r="P660">
        <v>0.5</v>
      </c>
      <c r="Q660">
        <v>3.2500000000000001E-2</v>
      </c>
      <c r="R660">
        <v>77.5</v>
      </c>
      <c r="S660">
        <v>170</v>
      </c>
      <c r="T660">
        <v>20</v>
      </c>
      <c r="U660">
        <v>1812.1301775147931</v>
      </c>
      <c r="V660">
        <v>20</v>
      </c>
      <c r="W660">
        <v>0.95</v>
      </c>
      <c r="X660">
        <v>1</v>
      </c>
      <c r="Y660">
        <v>259308.77119985991</v>
      </c>
      <c r="Z660">
        <v>777926313.59957981</v>
      </c>
      <c r="AA660">
        <v>3111705254.3983188</v>
      </c>
      <c r="AB660">
        <v>3111705.2543983189</v>
      </c>
      <c r="AC660">
        <v>0</v>
      </c>
      <c r="AD660">
        <v>8062.6380219451967</v>
      </c>
      <c r="AE660">
        <v>14512748.439501351</v>
      </c>
      <c r="AF660">
        <v>10158923.907650949</v>
      </c>
      <c r="AG660">
        <v>457.31960444572519</v>
      </c>
      <c r="AH660">
        <v>3193.5302941122732</v>
      </c>
      <c r="AI660">
        <v>638.70605882245457</v>
      </c>
      <c r="AJ660">
        <v>101130.4207679454</v>
      </c>
      <c r="AK660">
        <v>1835.336538461539</v>
      </c>
      <c r="AL660" t="s">
        <v>94</v>
      </c>
      <c r="AM660">
        <v>247498.5977937011</v>
      </c>
      <c r="AN660">
        <v>2893.8282914274419</v>
      </c>
      <c r="AO660">
        <v>108580.0299998173</v>
      </c>
      <c r="AP660">
        <v>353358.18339153548</v>
      </c>
      <c r="AQ660">
        <v>244778.15339171831</v>
      </c>
      <c r="AR660">
        <v>9.9548359341269845E-3</v>
      </c>
      <c r="AS660">
        <v>221.13729607222109</v>
      </c>
      <c r="AT660">
        <v>541.1939383042004</v>
      </c>
      <c r="AU660">
        <v>6.3278028391867958</v>
      </c>
      <c r="AV660">
        <v>237.42701809474599</v>
      </c>
      <c r="AW660">
        <v>772.67228423283609</v>
      </c>
      <c r="AX660">
        <v>535.24526613809007</v>
      </c>
      <c r="AY660">
        <v>1.396629518204388</v>
      </c>
      <c r="AZ660" t="s">
        <v>105</v>
      </c>
      <c r="BA660" t="str">
        <f>VLOOKUP($AZ660,Sheet1!$A$2:$B$58,2)</f>
        <v>2-Pyrone-4,6-Dicarboxylate</v>
      </c>
      <c r="BB660" t="s">
        <v>158</v>
      </c>
      <c r="BC660">
        <v>182.08457999999999</v>
      </c>
      <c r="BD660">
        <v>2.5714285714285721</v>
      </c>
      <c r="BE660">
        <v>355.5</v>
      </c>
      <c r="BF660" t="s">
        <v>209</v>
      </c>
      <c r="BG660">
        <v>15.798261848519619</v>
      </c>
      <c r="BH660">
        <v>1.3819241982507301E-2</v>
      </c>
      <c r="BI660">
        <v>5.4666364085353802E-2</v>
      </c>
      <c r="BJ660">
        <v>80</v>
      </c>
      <c r="BK660">
        <v>17667.909169576778</v>
      </c>
      <c r="BL660">
        <v>12238.907669585909</v>
      </c>
      <c r="BM660">
        <v>16.137041092603109</v>
      </c>
      <c r="BN660">
        <v>2743.2969857425278</v>
      </c>
      <c r="BO660">
        <v>14924.61218383425</v>
      </c>
    </row>
    <row r="661" spans="1:67" x14ac:dyDescent="0.25">
      <c r="A661" s="1">
        <v>659</v>
      </c>
      <c r="B661" t="s">
        <v>73</v>
      </c>
      <c r="C661" t="s">
        <v>85</v>
      </c>
      <c r="D661">
        <v>1</v>
      </c>
      <c r="E661">
        <v>1</v>
      </c>
      <c r="F661">
        <v>2</v>
      </c>
      <c r="G661">
        <v>45.016539999999999</v>
      </c>
      <c r="H661">
        <v>2</v>
      </c>
      <c r="I661" t="s">
        <v>89</v>
      </c>
      <c r="J661">
        <v>4</v>
      </c>
      <c r="K661">
        <v>300</v>
      </c>
      <c r="L661">
        <v>70</v>
      </c>
      <c r="N661" t="s">
        <v>82</v>
      </c>
      <c r="O661">
        <v>30</v>
      </c>
      <c r="P661">
        <v>0.5</v>
      </c>
      <c r="Q661">
        <v>3.2500000000000001E-2</v>
      </c>
      <c r="R661">
        <v>77.5</v>
      </c>
      <c r="S661">
        <v>170</v>
      </c>
      <c r="T661">
        <v>20</v>
      </c>
      <c r="U661">
        <v>1812.1301775147931</v>
      </c>
      <c r="V661">
        <v>20</v>
      </c>
      <c r="W661">
        <v>0.95</v>
      </c>
      <c r="X661">
        <v>1</v>
      </c>
      <c r="Y661">
        <v>672296.46265752253</v>
      </c>
      <c r="Z661">
        <v>2016889387.972568</v>
      </c>
      <c r="AA661">
        <v>8067557551.8902702</v>
      </c>
      <c r="AB661">
        <v>8067557.5518902699</v>
      </c>
      <c r="AC661">
        <v>0</v>
      </c>
      <c r="AD661">
        <v>20903.58531553108</v>
      </c>
      <c r="AE661">
        <v>37626453.567955941</v>
      </c>
      <c r="AF661">
        <v>26338517.497569159</v>
      </c>
      <c r="AG661">
        <v>1185.6689264700219</v>
      </c>
      <c r="AH661">
        <v>8279.7011076287035</v>
      </c>
      <c r="AI661">
        <v>1655.940221525741</v>
      </c>
      <c r="AJ661">
        <v>262195.62043643382</v>
      </c>
      <c r="AK661">
        <v>854.70085470085473</v>
      </c>
      <c r="AL661" t="s">
        <v>93</v>
      </c>
      <c r="AM661">
        <v>641676.83584122453</v>
      </c>
      <c r="AN661">
        <v>7502.679199252565</v>
      </c>
      <c r="AO661">
        <v>281509.83765937592</v>
      </c>
      <c r="AP661">
        <v>912229.83633161162</v>
      </c>
      <c r="AQ661">
        <v>630719.99867223576</v>
      </c>
      <c r="AR661">
        <v>9.9548359341269828E-3</v>
      </c>
      <c r="AS661">
        <v>221.13729607222109</v>
      </c>
      <c r="AT661">
        <v>541.19393830420029</v>
      </c>
      <c r="AU661">
        <v>6.3278028391867958</v>
      </c>
      <c r="AV661">
        <v>237.42701809474599</v>
      </c>
      <c r="AW661">
        <v>769.37989683807086</v>
      </c>
      <c r="AX661">
        <v>531.95287874332485</v>
      </c>
      <c r="AY661">
        <v>1.396629518204388</v>
      </c>
      <c r="AZ661" t="s">
        <v>106</v>
      </c>
      <c r="BA661" t="str">
        <f>VLOOKUP($AZ661,Sheet1!$A$2:$B$58,2)</f>
        <v>3-Methyl-1-Pentanol</v>
      </c>
      <c r="BB661" t="s">
        <v>159</v>
      </c>
      <c r="BC661">
        <v>102.17296</v>
      </c>
      <c r="BD661">
        <v>6</v>
      </c>
      <c r="BE661">
        <v>153</v>
      </c>
      <c r="BF661" t="s">
        <v>209</v>
      </c>
      <c r="BG661">
        <v>42.761414107650687</v>
      </c>
      <c r="BH661">
        <v>9.4989979959922699E-3</v>
      </c>
      <c r="BI661">
        <v>2.1085143957031999E-2</v>
      </c>
      <c r="BJ661">
        <v>80</v>
      </c>
      <c r="BK661">
        <v>45611.491816580579</v>
      </c>
      <c r="BL661">
        <v>31535.99993361178</v>
      </c>
      <c r="BM661">
        <v>40.035596968636341</v>
      </c>
      <c r="BN661">
        <v>6806.0514846681781</v>
      </c>
      <c r="BO661">
        <v>38805.440331912403</v>
      </c>
    </row>
    <row r="662" spans="1:67" x14ac:dyDescent="0.25">
      <c r="A662" s="1">
        <v>660</v>
      </c>
      <c r="B662" t="s">
        <v>73</v>
      </c>
      <c r="C662" t="s">
        <v>85</v>
      </c>
      <c r="D662">
        <v>1</v>
      </c>
      <c r="E662">
        <v>1</v>
      </c>
      <c r="F662">
        <v>2</v>
      </c>
      <c r="G662">
        <v>45.016539999999999</v>
      </c>
      <c r="H662">
        <v>2</v>
      </c>
      <c r="I662" t="s">
        <v>89</v>
      </c>
      <c r="J662">
        <v>4</v>
      </c>
      <c r="K662">
        <v>300</v>
      </c>
      <c r="L662">
        <v>70</v>
      </c>
      <c r="N662" t="s">
        <v>82</v>
      </c>
      <c r="O662">
        <v>30</v>
      </c>
      <c r="P662">
        <v>0.5</v>
      </c>
      <c r="Q662">
        <v>3.2500000000000001E-2</v>
      </c>
      <c r="R662">
        <v>77.5</v>
      </c>
      <c r="S662">
        <v>170</v>
      </c>
      <c r="T662">
        <v>20</v>
      </c>
      <c r="U662">
        <v>1812.1301775147931</v>
      </c>
      <c r="V662">
        <v>20</v>
      </c>
      <c r="W662">
        <v>0.95</v>
      </c>
      <c r="X662">
        <v>1</v>
      </c>
      <c r="Y662">
        <v>622589.51436158386</v>
      </c>
      <c r="Z662">
        <v>1867768543.0847509</v>
      </c>
      <c r="AA662">
        <v>7471074172.3390055</v>
      </c>
      <c r="AB662">
        <v>7471074.1723390054</v>
      </c>
      <c r="AC662">
        <v>0</v>
      </c>
      <c r="AD662">
        <v>19358.056680185338</v>
      </c>
      <c r="AE662">
        <v>34844502.024333619</v>
      </c>
      <c r="AF662">
        <v>24391151.417033531</v>
      </c>
      <c r="AG662">
        <v>1098.0052434109471</v>
      </c>
      <c r="AH662">
        <v>7667.5326704546096</v>
      </c>
      <c r="AI662">
        <v>1533.5065340909221</v>
      </c>
      <c r="AJ662">
        <v>242809.91060101771</v>
      </c>
      <c r="AK662">
        <v>854.70085470085473</v>
      </c>
      <c r="AL662" t="s">
        <v>93</v>
      </c>
      <c r="AM662">
        <v>594233.7819602323</v>
      </c>
      <c r="AN662">
        <v>6947.9606966977781</v>
      </c>
      <c r="AO662">
        <v>260696.11079545671</v>
      </c>
      <c r="AP662">
        <v>844846.35411264864</v>
      </c>
      <c r="AQ662">
        <v>584150.24331719195</v>
      </c>
      <c r="AR662">
        <v>9.9548359341269828E-3</v>
      </c>
      <c r="AS662">
        <v>221.13729607222109</v>
      </c>
      <c r="AT662">
        <v>541.19393830420029</v>
      </c>
      <c r="AU662">
        <v>6.3278028391867966</v>
      </c>
      <c r="AV662">
        <v>237.4270180947459</v>
      </c>
      <c r="AW662">
        <v>769.43744957732486</v>
      </c>
      <c r="AX662">
        <v>532.01043148257895</v>
      </c>
      <c r="AY662">
        <v>1.396629518204388</v>
      </c>
      <c r="AZ662" t="s">
        <v>107</v>
      </c>
      <c r="BA662" t="str">
        <f>VLOOKUP($AZ662,Sheet1!$A$2:$B$58,2)</f>
        <v>4-Hydroxystyrene</v>
      </c>
      <c r="BB662" t="s">
        <v>160</v>
      </c>
      <c r="BC662">
        <v>120.14731999999999</v>
      </c>
      <c r="BD662">
        <v>4.75</v>
      </c>
      <c r="BE662">
        <v>229</v>
      </c>
      <c r="BF662" t="s">
        <v>209</v>
      </c>
      <c r="BG662">
        <v>39.062759142566222</v>
      </c>
      <c r="BH662">
        <v>8.7228560912770998E-3</v>
      </c>
      <c r="BI662">
        <v>2.2768561580214002E-2</v>
      </c>
      <c r="BJ662">
        <v>80</v>
      </c>
      <c r="BK662">
        <v>42242.31770563242</v>
      </c>
      <c r="BL662">
        <v>29207.512165859589</v>
      </c>
      <c r="BM662">
        <v>37.612567561979859</v>
      </c>
      <c r="BN662">
        <v>6394.1364855365746</v>
      </c>
      <c r="BO662">
        <v>35848.181220095837</v>
      </c>
    </row>
    <row r="663" spans="1:67" x14ac:dyDescent="0.25">
      <c r="A663" s="1">
        <v>661</v>
      </c>
      <c r="B663" t="s">
        <v>73</v>
      </c>
      <c r="C663" t="s">
        <v>85</v>
      </c>
      <c r="D663">
        <v>1</v>
      </c>
      <c r="E663">
        <v>1</v>
      </c>
      <c r="F663">
        <v>2</v>
      </c>
      <c r="G663">
        <v>45.016539999999999</v>
      </c>
      <c r="H663">
        <v>2</v>
      </c>
      <c r="I663" t="s">
        <v>89</v>
      </c>
      <c r="J663">
        <v>4</v>
      </c>
      <c r="K663">
        <v>300</v>
      </c>
      <c r="L663">
        <v>70</v>
      </c>
      <c r="N663" t="s">
        <v>82</v>
      </c>
      <c r="O663">
        <v>30</v>
      </c>
      <c r="P663">
        <v>0.5</v>
      </c>
      <c r="Q663">
        <v>3.2500000000000001E-2</v>
      </c>
      <c r="R663">
        <v>77.5</v>
      </c>
      <c r="S663">
        <v>170</v>
      </c>
      <c r="T663">
        <v>20</v>
      </c>
      <c r="U663">
        <v>1812.1301775147931</v>
      </c>
      <c r="V663">
        <v>20</v>
      </c>
      <c r="W663">
        <v>0.95</v>
      </c>
      <c r="X663">
        <v>1</v>
      </c>
      <c r="Y663">
        <v>465339.3310326066</v>
      </c>
      <c r="Z663">
        <v>1396017993.09782</v>
      </c>
      <c r="AA663">
        <v>5584071972.3912792</v>
      </c>
      <c r="AB663">
        <v>5584071.9723912794</v>
      </c>
      <c r="AC663">
        <v>0</v>
      </c>
      <c r="AD663">
        <v>14468.7068089892</v>
      </c>
      <c r="AE663">
        <v>26043672.256180558</v>
      </c>
      <c r="AF663">
        <v>18230570.579326391</v>
      </c>
      <c r="AG663">
        <v>820.67720970706966</v>
      </c>
      <c r="AH663">
        <v>5730.9100799725329</v>
      </c>
      <c r="AI663">
        <v>1146.1820159945071</v>
      </c>
      <c r="AJ663">
        <v>181482.33910271659</v>
      </c>
      <c r="AK663">
        <v>854.70085470085473</v>
      </c>
      <c r="AL663" t="s">
        <v>93</v>
      </c>
      <c r="AM663">
        <v>444145.53119787131</v>
      </c>
      <c r="AN663">
        <v>5193.0835776402946</v>
      </c>
      <c r="AO663">
        <v>194850.94271906611</v>
      </c>
      <c r="AP663">
        <v>631675.65473292908</v>
      </c>
      <c r="AQ663">
        <v>436824.71201386291</v>
      </c>
      <c r="AR663">
        <v>9.9548359341269863E-3</v>
      </c>
      <c r="AS663">
        <v>221.13729607222109</v>
      </c>
      <c r="AT663">
        <v>541.19393830420051</v>
      </c>
      <c r="AU663">
        <v>6.3278028391867984</v>
      </c>
      <c r="AV663">
        <v>237.4270180947461</v>
      </c>
      <c r="AW663">
        <v>769.70049522685997</v>
      </c>
      <c r="AX663">
        <v>532.27347713211384</v>
      </c>
      <c r="AY663">
        <v>1.3966295182043891</v>
      </c>
      <c r="AZ663" t="s">
        <v>108</v>
      </c>
      <c r="BA663" t="str">
        <f>VLOOKUP($AZ663,Sheet1!$A$2:$B$58,2)</f>
        <v>5-Aminopentanoate</v>
      </c>
      <c r="BB663" t="s">
        <v>161</v>
      </c>
      <c r="BC663">
        <v>117.14444</v>
      </c>
      <c r="BD663">
        <v>4.8</v>
      </c>
      <c r="BE663">
        <v>247.5</v>
      </c>
      <c r="BF663" t="s">
        <v>209</v>
      </c>
      <c r="BG663">
        <v>29.508313071679019</v>
      </c>
      <c r="BH663">
        <v>1.1969696969697199E-2</v>
      </c>
      <c r="BI663">
        <v>3.04626468291028E-2</v>
      </c>
      <c r="BJ663">
        <v>80</v>
      </c>
      <c r="BK663">
        <v>31583.782736646459</v>
      </c>
      <c r="BL663">
        <v>21841.235600693151</v>
      </c>
      <c r="BM663">
        <v>27.800787728046309</v>
      </c>
      <c r="BN663">
        <v>4726.1339137678733</v>
      </c>
      <c r="BO663">
        <v>26857.648822878578</v>
      </c>
    </row>
    <row r="664" spans="1:67" x14ac:dyDescent="0.25">
      <c r="A664" s="1">
        <v>662</v>
      </c>
      <c r="B664" t="s">
        <v>73</v>
      </c>
      <c r="C664" t="s">
        <v>85</v>
      </c>
      <c r="D664">
        <v>1</v>
      </c>
      <c r="E664">
        <v>1</v>
      </c>
      <c r="F664">
        <v>2</v>
      </c>
      <c r="G664">
        <v>45.016539999999999</v>
      </c>
      <c r="H664">
        <v>2</v>
      </c>
      <c r="I664" t="s">
        <v>89</v>
      </c>
      <c r="J664">
        <v>4</v>
      </c>
      <c r="K664">
        <v>300</v>
      </c>
      <c r="L664">
        <v>70</v>
      </c>
      <c r="N664" t="s">
        <v>82</v>
      </c>
      <c r="O664">
        <v>30</v>
      </c>
      <c r="P664">
        <v>0.5</v>
      </c>
      <c r="Q664">
        <v>3.2500000000000001E-2</v>
      </c>
      <c r="R664">
        <v>77.5</v>
      </c>
      <c r="S664">
        <v>170</v>
      </c>
      <c r="T664">
        <v>20</v>
      </c>
      <c r="U664">
        <v>1812.1301775147931</v>
      </c>
      <c r="V664">
        <v>20</v>
      </c>
      <c r="W664">
        <v>0.95</v>
      </c>
      <c r="X664">
        <v>1</v>
      </c>
      <c r="Y664">
        <v>479252.8539960765</v>
      </c>
      <c r="Z664">
        <v>1437758561.98823</v>
      </c>
      <c r="AA664">
        <v>5751034247.9529181</v>
      </c>
      <c r="AB664">
        <v>5751034.2479529176</v>
      </c>
      <c r="AC664">
        <v>0</v>
      </c>
      <c r="AD664">
        <v>14901.31731709276</v>
      </c>
      <c r="AE664">
        <v>26822371.170766961</v>
      </c>
      <c r="AF664">
        <v>18775659.819536868</v>
      </c>
      <c r="AG664">
        <v>845.21524129257443</v>
      </c>
      <c r="AH664">
        <v>5902.2627761272697</v>
      </c>
      <c r="AI664">
        <v>1180.452555225454</v>
      </c>
      <c r="AJ664">
        <v>186908.61305846981</v>
      </c>
      <c r="AK664">
        <v>854.70085470085473</v>
      </c>
      <c r="AL664" t="s">
        <v>93</v>
      </c>
      <c r="AM664">
        <v>457425.36514986341</v>
      </c>
      <c r="AN664">
        <v>5348.3554035751058</v>
      </c>
      <c r="AO664">
        <v>200676.93438832721</v>
      </c>
      <c r="AP664">
        <v>650537.03446660924</v>
      </c>
      <c r="AQ664">
        <v>449860.10007828212</v>
      </c>
      <c r="AR664">
        <v>9.9548359341269845E-3</v>
      </c>
      <c r="AS664">
        <v>221.13729607222109</v>
      </c>
      <c r="AT664">
        <v>541.19393830420051</v>
      </c>
      <c r="AU664">
        <v>6.3278028391867966</v>
      </c>
      <c r="AV664">
        <v>237.42701809474599</v>
      </c>
      <c r="AW664">
        <v>769.670259934917</v>
      </c>
      <c r="AX664">
        <v>532.24324184017098</v>
      </c>
      <c r="AY664">
        <v>1.396629518204388</v>
      </c>
      <c r="AZ664" t="s">
        <v>109</v>
      </c>
      <c r="BA664" t="str">
        <f>VLOOKUP($AZ664,Sheet1!$A$2:$B$58,2)</f>
        <v>Acetone</v>
      </c>
      <c r="BB664" t="s">
        <v>162</v>
      </c>
      <c r="BC664">
        <v>58.078139999999998</v>
      </c>
      <c r="BD664">
        <v>5.333333333333333</v>
      </c>
      <c r="BE664">
        <v>56</v>
      </c>
      <c r="BF664" t="s">
        <v>209</v>
      </c>
      <c r="BG664">
        <v>30.051902619383661</v>
      </c>
      <c r="BH664">
        <v>2.3442136498516401E-2</v>
      </c>
      <c r="BI664">
        <v>2.9578264539773198E-2</v>
      </c>
      <c r="BJ664">
        <v>80</v>
      </c>
      <c r="BK664">
        <v>32526.851723330459</v>
      </c>
      <c r="BL664">
        <v>22493.00500391411</v>
      </c>
      <c r="BM664">
        <v>28.970725141889051</v>
      </c>
      <c r="BN664">
        <v>4925.0232741211375</v>
      </c>
      <c r="BO664">
        <v>27601.828449209319</v>
      </c>
    </row>
    <row r="665" spans="1:67" x14ac:dyDescent="0.25">
      <c r="A665" s="1">
        <v>663</v>
      </c>
      <c r="B665" t="s">
        <v>73</v>
      </c>
      <c r="C665" t="s">
        <v>85</v>
      </c>
      <c r="D665">
        <v>1</v>
      </c>
      <c r="E665">
        <v>1</v>
      </c>
      <c r="F665">
        <v>2</v>
      </c>
      <c r="G665">
        <v>45.016539999999999</v>
      </c>
      <c r="H665">
        <v>2</v>
      </c>
      <c r="I665" t="s">
        <v>89</v>
      </c>
      <c r="J665">
        <v>4</v>
      </c>
      <c r="K665">
        <v>300</v>
      </c>
      <c r="L665">
        <v>70</v>
      </c>
      <c r="N665" t="s">
        <v>82</v>
      </c>
      <c r="O665">
        <v>30</v>
      </c>
      <c r="P665">
        <v>0.5</v>
      </c>
      <c r="Q665">
        <v>3.2500000000000001E-2</v>
      </c>
      <c r="R665">
        <v>77.5</v>
      </c>
      <c r="S665">
        <v>170</v>
      </c>
      <c r="T665">
        <v>20</v>
      </c>
      <c r="U665">
        <v>1812.1301775147931</v>
      </c>
      <c r="V665">
        <v>20</v>
      </c>
      <c r="W665">
        <v>0.95</v>
      </c>
      <c r="X665">
        <v>1</v>
      </c>
      <c r="Y665">
        <v>343299.96913355129</v>
      </c>
      <c r="Z665">
        <v>1029899907.400654</v>
      </c>
      <c r="AA665">
        <v>4119599629.6026149</v>
      </c>
      <c r="AB665">
        <v>4119599.6296026148</v>
      </c>
      <c r="AC665">
        <v>0</v>
      </c>
      <c r="AD665">
        <v>10674.160273334701</v>
      </c>
      <c r="AE665">
        <v>19213488.492002469</v>
      </c>
      <c r="AF665">
        <v>13449441.94440173</v>
      </c>
      <c r="AG665">
        <v>605.44734126783817</v>
      </c>
      <c r="AH665">
        <v>4227.9281426651432</v>
      </c>
      <c r="AI665">
        <v>845.58562853302863</v>
      </c>
      <c r="AJ665">
        <v>133886.987962085</v>
      </c>
      <c r="AK665">
        <v>854.70085470085473</v>
      </c>
      <c r="AL665" t="s">
        <v>93</v>
      </c>
      <c r="AM665">
        <v>327664.43105654861</v>
      </c>
      <c r="AN665">
        <v>3831.151405052723</v>
      </c>
      <c r="AO665">
        <v>143749.5568506149</v>
      </c>
      <c r="AP665">
        <v>466237.27127838723</v>
      </c>
      <c r="AQ665">
        <v>322487.71442777233</v>
      </c>
      <c r="AR665">
        <v>9.9548359341269828E-3</v>
      </c>
      <c r="AS665">
        <v>221.13729607222109</v>
      </c>
      <c r="AT665">
        <v>541.19393830420051</v>
      </c>
      <c r="AU665">
        <v>6.3278028391867958</v>
      </c>
      <c r="AV665">
        <v>237.42701809474599</v>
      </c>
      <c r="AW665">
        <v>770.07072209130877</v>
      </c>
      <c r="AX665">
        <v>532.64370399656275</v>
      </c>
      <c r="AY665">
        <v>1.396629518204388</v>
      </c>
      <c r="AZ665" t="s">
        <v>110</v>
      </c>
      <c r="BA665" t="str">
        <f>VLOOKUP($AZ665,Sheet1!$A$2:$B$58,2)</f>
        <v>Acrylate (PW1)</v>
      </c>
      <c r="BB665" t="s">
        <v>163</v>
      </c>
      <c r="BC665">
        <v>71.053619999999995</v>
      </c>
      <c r="BD665">
        <v>3.666666666666667</v>
      </c>
      <c r="BE665">
        <v>80</v>
      </c>
      <c r="BF665" t="s">
        <v>209</v>
      </c>
      <c r="BG665">
        <v>21.29713242520738</v>
      </c>
      <c r="BH665">
        <v>2.6749435665914499E-2</v>
      </c>
      <c r="BI665">
        <v>4.1291782614238097E-2</v>
      </c>
      <c r="BJ665">
        <v>80</v>
      </c>
      <c r="BK665">
        <v>23311.86356391936</v>
      </c>
      <c r="BL665">
        <v>16124.385721388609</v>
      </c>
      <c r="BM665">
        <v>20.98214900144405</v>
      </c>
      <c r="BN665">
        <v>3566.965330245489</v>
      </c>
      <c r="BO665">
        <v>19744.89823367387</v>
      </c>
    </row>
    <row r="666" spans="1:67" x14ac:dyDescent="0.25">
      <c r="A666" s="1">
        <v>664</v>
      </c>
      <c r="B666" t="s">
        <v>73</v>
      </c>
      <c r="C666" t="s">
        <v>85</v>
      </c>
      <c r="D666">
        <v>1</v>
      </c>
      <c r="E666">
        <v>1</v>
      </c>
      <c r="F666">
        <v>2</v>
      </c>
      <c r="G666">
        <v>45.016539999999999</v>
      </c>
      <c r="H666">
        <v>2</v>
      </c>
      <c r="I666" t="s">
        <v>89</v>
      </c>
      <c r="J666">
        <v>4</v>
      </c>
      <c r="K666">
        <v>300</v>
      </c>
      <c r="L666">
        <v>70</v>
      </c>
      <c r="N666" t="s">
        <v>82</v>
      </c>
      <c r="O666">
        <v>30</v>
      </c>
      <c r="P666">
        <v>0.5</v>
      </c>
      <c r="Q666">
        <v>3.2500000000000001E-2</v>
      </c>
      <c r="R666">
        <v>77.5</v>
      </c>
      <c r="S666">
        <v>170</v>
      </c>
      <c r="T666">
        <v>20</v>
      </c>
      <c r="U666">
        <v>1812.1301775147931</v>
      </c>
      <c r="V666">
        <v>20</v>
      </c>
      <c r="W666">
        <v>0.95</v>
      </c>
      <c r="X666">
        <v>1</v>
      </c>
      <c r="Y666">
        <v>319276.72072917712</v>
      </c>
      <c r="Z666">
        <v>957830162.18753111</v>
      </c>
      <c r="AA666">
        <v>3831320648.750124</v>
      </c>
      <c r="AB666">
        <v>3831320.648750124</v>
      </c>
      <c r="AC666">
        <v>0</v>
      </c>
      <c r="AD666">
        <v>9927.2100059006079</v>
      </c>
      <c r="AE666">
        <v>17868978.010621089</v>
      </c>
      <c r="AF666">
        <v>12508284.607434761</v>
      </c>
      <c r="AG666">
        <v>563.07969436197141</v>
      </c>
      <c r="AH666">
        <v>3932.0686112371709</v>
      </c>
      <c r="AI666">
        <v>786.41372224743429</v>
      </c>
      <c r="AJ666">
        <v>124517.92108437901</v>
      </c>
      <c r="AK666">
        <v>854.70085470085473</v>
      </c>
      <c r="AL666" t="s">
        <v>93</v>
      </c>
      <c r="AM666">
        <v>304735.3173708808</v>
      </c>
      <c r="AN666">
        <v>3563.057288672117</v>
      </c>
      <c r="AO666">
        <v>133690.33278206381</v>
      </c>
      <c r="AP666">
        <v>433670.99659863277</v>
      </c>
      <c r="AQ666">
        <v>299980.66381656902</v>
      </c>
      <c r="AR666">
        <v>9.9548359341269863E-3</v>
      </c>
      <c r="AS666">
        <v>221.13729607222109</v>
      </c>
      <c r="AT666">
        <v>541.19393830420051</v>
      </c>
      <c r="AU666">
        <v>6.3278028391867966</v>
      </c>
      <c r="AV666">
        <v>237.42701809474599</v>
      </c>
      <c r="AW666">
        <v>770.1769410989466</v>
      </c>
      <c r="AX666">
        <v>532.74992300420058</v>
      </c>
      <c r="AY666">
        <v>1.396629518204388</v>
      </c>
      <c r="AZ666" t="s">
        <v>111</v>
      </c>
      <c r="BA666" t="str">
        <f>VLOOKUP($AZ666,Sheet1!$A$2:$B$58,2)</f>
        <v>Acrylate (PW2)</v>
      </c>
      <c r="BB666" t="s">
        <v>163</v>
      </c>
      <c r="BC666">
        <v>71.053619999999995</v>
      </c>
      <c r="BD666">
        <v>3.666666666666667</v>
      </c>
      <c r="BE666">
        <v>80</v>
      </c>
      <c r="BF666" t="s">
        <v>209</v>
      </c>
      <c r="BG666">
        <v>19.676783658042609</v>
      </c>
      <c r="BH666">
        <v>2.8762135922329901E-2</v>
      </c>
      <c r="BI666">
        <v>4.4398688587638797E-2</v>
      </c>
      <c r="BJ666">
        <v>80</v>
      </c>
      <c r="BK666">
        <v>21683.549829931639</v>
      </c>
      <c r="BL666">
        <v>14999.03319082845</v>
      </c>
      <c r="BM666">
        <v>19.643902454329101</v>
      </c>
      <c r="BN666">
        <v>3339.4634172359479</v>
      </c>
      <c r="BO666">
        <v>18344.086412695691</v>
      </c>
    </row>
    <row r="667" spans="1:67" x14ac:dyDescent="0.25">
      <c r="A667" s="1">
        <v>665</v>
      </c>
      <c r="B667" t="s">
        <v>73</v>
      </c>
      <c r="C667" t="s">
        <v>85</v>
      </c>
      <c r="D667">
        <v>1</v>
      </c>
      <c r="E667">
        <v>1</v>
      </c>
      <c r="F667">
        <v>2</v>
      </c>
      <c r="G667">
        <v>45.016539999999999</v>
      </c>
      <c r="H667">
        <v>2</v>
      </c>
      <c r="I667" t="s">
        <v>89</v>
      </c>
      <c r="J667">
        <v>4</v>
      </c>
      <c r="K667">
        <v>300</v>
      </c>
      <c r="L667">
        <v>70</v>
      </c>
      <c r="N667" t="s">
        <v>82</v>
      </c>
      <c r="O667">
        <v>30</v>
      </c>
      <c r="P667">
        <v>0.5</v>
      </c>
      <c r="Q667">
        <v>3.2500000000000001E-2</v>
      </c>
      <c r="R667">
        <v>77.5</v>
      </c>
      <c r="S667">
        <v>170</v>
      </c>
      <c r="T667">
        <v>20</v>
      </c>
      <c r="U667">
        <v>1812.1301775147931</v>
      </c>
      <c r="V667">
        <v>20</v>
      </c>
      <c r="W667">
        <v>0.95</v>
      </c>
      <c r="X667">
        <v>1</v>
      </c>
      <c r="Y667">
        <v>409369.39395219978</v>
      </c>
      <c r="Z667">
        <v>1228108181.8566</v>
      </c>
      <c r="AA667">
        <v>4912432727.4263983</v>
      </c>
      <c r="AB667">
        <v>4912432.7274263985</v>
      </c>
      <c r="AC667">
        <v>0</v>
      </c>
      <c r="AD667">
        <v>12728.444261361919</v>
      </c>
      <c r="AE667">
        <v>22911199.670451459</v>
      </c>
      <c r="AF667">
        <v>16037839.769316019</v>
      </c>
      <c r="AG667">
        <v>721.96805548900534</v>
      </c>
      <c r="AH667">
        <v>5041.6094874828441</v>
      </c>
      <c r="AI667">
        <v>1008.321897496569</v>
      </c>
      <c r="AJ667">
        <v>159654.06364135799</v>
      </c>
      <c r="AK667">
        <v>854.70085470085473</v>
      </c>
      <c r="AL667" t="s">
        <v>93</v>
      </c>
      <c r="AM667">
        <v>390724.73527992039</v>
      </c>
      <c r="AN667">
        <v>4568.4715113254988</v>
      </c>
      <c r="AO667">
        <v>171414.72257441669</v>
      </c>
      <c r="AP667">
        <v>555801.97128730465</v>
      </c>
      <c r="AQ667">
        <v>384387.24871288799</v>
      </c>
      <c r="AR667">
        <v>9.9548359341269863E-3</v>
      </c>
      <c r="AS667">
        <v>221.13729607222109</v>
      </c>
      <c r="AT667">
        <v>541.19393830420051</v>
      </c>
      <c r="AU667">
        <v>6.3278028391867966</v>
      </c>
      <c r="AV667">
        <v>237.4270180947461</v>
      </c>
      <c r="AW667">
        <v>769.84288579201382</v>
      </c>
      <c r="AX667">
        <v>532.41586769726769</v>
      </c>
      <c r="AY667">
        <v>1.3966295182043891</v>
      </c>
      <c r="AZ667" t="s">
        <v>112</v>
      </c>
      <c r="BA667" t="str">
        <f>VLOOKUP($AZ667,Sheet1!$A$2:$B$58,2)</f>
        <v>Adipate</v>
      </c>
      <c r="BB667" t="s">
        <v>164</v>
      </c>
      <c r="BC667">
        <v>144.12291999999999</v>
      </c>
      <c r="BD667">
        <v>4</v>
      </c>
      <c r="BE667">
        <v>337.5</v>
      </c>
      <c r="BF667" t="s">
        <v>209</v>
      </c>
      <c r="BG667">
        <v>25.779450071183561</v>
      </c>
      <c r="BH667">
        <v>1.1059262715818899E-2</v>
      </c>
      <c r="BI667">
        <v>3.4627570859858799E-2</v>
      </c>
      <c r="BJ667">
        <v>80</v>
      </c>
      <c r="BK667">
        <v>27790.098564365231</v>
      </c>
      <c r="BL667">
        <v>19219.362435644391</v>
      </c>
      <c r="BM667">
        <v>24.636644803644881</v>
      </c>
      <c r="BN667">
        <v>4188.2296166196302</v>
      </c>
      <c r="BO667">
        <v>23601.868947745599</v>
      </c>
    </row>
    <row r="668" spans="1:67" x14ac:dyDescent="0.25">
      <c r="A668" s="1">
        <v>666</v>
      </c>
      <c r="B668" t="s">
        <v>73</v>
      </c>
      <c r="C668" t="s">
        <v>85</v>
      </c>
      <c r="D668">
        <v>1</v>
      </c>
      <c r="E668">
        <v>1</v>
      </c>
      <c r="F668">
        <v>2</v>
      </c>
      <c r="G668">
        <v>45.016539999999999</v>
      </c>
      <c r="H668">
        <v>2</v>
      </c>
      <c r="I668" t="s">
        <v>89</v>
      </c>
      <c r="J668">
        <v>4</v>
      </c>
      <c r="K668">
        <v>300</v>
      </c>
      <c r="L668">
        <v>70</v>
      </c>
      <c r="N668" t="s">
        <v>82</v>
      </c>
      <c r="O668">
        <v>30</v>
      </c>
      <c r="P668">
        <v>0.5</v>
      </c>
      <c r="Q668">
        <v>3.2500000000000001E-2</v>
      </c>
      <c r="R668">
        <v>77.5</v>
      </c>
      <c r="S668">
        <v>170</v>
      </c>
      <c r="T668">
        <v>20</v>
      </c>
      <c r="U668">
        <v>1812.1301775147931</v>
      </c>
      <c r="V668">
        <v>20</v>
      </c>
      <c r="W668">
        <v>0.95</v>
      </c>
      <c r="X668">
        <v>1</v>
      </c>
      <c r="Y668">
        <v>505560.92508881318</v>
      </c>
      <c r="Z668">
        <v>1516682775.2664399</v>
      </c>
      <c r="AA668">
        <v>6066731101.0657587</v>
      </c>
      <c r="AB668">
        <v>6066731.1010657586</v>
      </c>
      <c r="AC668">
        <v>0</v>
      </c>
      <c r="AD668">
        <v>15719.30913933179</v>
      </c>
      <c r="AE668">
        <v>28294756.450797219</v>
      </c>
      <c r="AF668">
        <v>19806329.515558049</v>
      </c>
      <c r="AG668">
        <v>891.61242489029951</v>
      </c>
      <c r="AH668">
        <v>6226.2611569979263</v>
      </c>
      <c r="AI668">
        <v>1245.2522313995851</v>
      </c>
      <c r="AJ668">
        <v>197168.76078463721</v>
      </c>
      <c r="AK668">
        <v>854.70085470085473</v>
      </c>
      <c r="AL668" t="s">
        <v>93</v>
      </c>
      <c r="AM668">
        <v>482535.23966733931</v>
      </c>
      <c r="AN668">
        <v>5641.9476336750604</v>
      </c>
      <c r="AO668">
        <v>211692.87933792951</v>
      </c>
      <c r="AP668">
        <v>686200.64894035237</v>
      </c>
      <c r="AQ668">
        <v>474507.76960242278</v>
      </c>
      <c r="AR668">
        <v>9.9548359341269828E-3</v>
      </c>
      <c r="AS668">
        <v>221.13729607222109</v>
      </c>
      <c r="AT668">
        <v>541.1939383042004</v>
      </c>
      <c r="AU668">
        <v>6.3278028391867949</v>
      </c>
      <c r="AV668">
        <v>237.42701809474599</v>
      </c>
      <c r="AW668">
        <v>769.617638543765</v>
      </c>
      <c r="AX668">
        <v>532.19062044901898</v>
      </c>
      <c r="AY668">
        <v>1.396629518204388</v>
      </c>
      <c r="AZ668" t="s">
        <v>113</v>
      </c>
      <c r="BA668" t="str">
        <f>VLOOKUP($AZ668,Sheet1!$A$2:$B$58,2)</f>
        <v>Benzoate (PW1)</v>
      </c>
      <c r="BB668" t="s">
        <v>165</v>
      </c>
      <c r="BC668">
        <v>121.1121</v>
      </c>
      <c r="BD668">
        <v>4.1428571428571432</v>
      </c>
      <c r="BE668">
        <v>249.2</v>
      </c>
      <c r="BF668" t="s">
        <v>209</v>
      </c>
      <c r="BG668">
        <v>31.55600096360142</v>
      </c>
      <c r="BH668">
        <v>1.06564748201439E-2</v>
      </c>
      <c r="BI668">
        <v>2.8039088848583402E-2</v>
      </c>
      <c r="BJ668">
        <v>80</v>
      </c>
      <c r="BK668">
        <v>34310.032447017613</v>
      </c>
      <c r="BL668">
        <v>23725.388480121139</v>
      </c>
      <c r="BM668">
        <v>30.706610606377829</v>
      </c>
      <c r="BN668">
        <v>5220.1238030842314</v>
      </c>
      <c r="BO668">
        <v>29089.908643933381</v>
      </c>
    </row>
    <row r="669" spans="1:67" x14ac:dyDescent="0.25">
      <c r="A669" s="1">
        <v>667</v>
      </c>
      <c r="B669" t="s">
        <v>73</v>
      </c>
      <c r="C669" t="s">
        <v>85</v>
      </c>
      <c r="D669">
        <v>1</v>
      </c>
      <c r="E669">
        <v>1</v>
      </c>
      <c r="F669">
        <v>2</v>
      </c>
      <c r="G669">
        <v>45.016539999999999</v>
      </c>
      <c r="H669">
        <v>2</v>
      </c>
      <c r="I669" t="s">
        <v>89</v>
      </c>
      <c r="J669">
        <v>4</v>
      </c>
      <c r="K669">
        <v>300</v>
      </c>
      <c r="L669">
        <v>70</v>
      </c>
      <c r="N669" t="s">
        <v>82</v>
      </c>
      <c r="O669">
        <v>30</v>
      </c>
      <c r="P669">
        <v>0.5</v>
      </c>
      <c r="Q669">
        <v>3.2500000000000001E-2</v>
      </c>
      <c r="R669">
        <v>77.5</v>
      </c>
      <c r="S669">
        <v>170</v>
      </c>
      <c r="T669">
        <v>20</v>
      </c>
      <c r="U669">
        <v>1812.1301775147931</v>
      </c>
      <c r="V669">
        <v>20</v>
      </c>
      <c r="W669">
        <v>0.95</v>
      </c>
      <c r="X669">
        <v>1</v>
      </c>
      <c r="Y669">
        <v>505560.92508881848</v>
      </c>
      <c r="Z669">
        <v>1516682775.2664559</v>
      </c>
      <c r="AA669">
        <v>6066731101.0658226</v>
      </c>
      <c r="AB669">
        <v>6066731.1010658229</v>
      </c>
      <c r="AC669">
        <v>0</v>
      </c>
      <c r="AD669">
        <v>15719.30913933195</v>
      </c>
      <c r="AE669">
        <v>28294756.450797509</v>
      </c>
      <c r="AF669">
        <v>19806329.515558261</v>
      </c>
      <c r="AG669">
        <v>891.61242489030883</v>
      </c>
      <c r="AH669">
        <v>6226.2611569979908</v>
      </c>
      <c r="AI669">
        <v>1245.252231399598</v>
      </c>
      <c r="AJ669">
        <v>197168.76078463919</v>
      </c>
      <c r="AK669">
        <v>854.70085470085473</v>
      </c>
      <c r="AL669" t="s">
        <v>93</v>
      </c>
      <c r="AM669">
        <v>482535.23966734431</v>
      </c>
      <c r="AN669">
        <v>5641.9476336751204</v>
      </c>
      <c r="AO669">
        <v>211692.87933793169</v>
      </c>
      <c r="AP669">
        <v>686200.64894035948</v>
      </c>
      <c r="AQ669">
        <v>474507.76960242778</v>
      </c>
      <c r="AR669">
        <v>9.9548359341269845E-3</v>
      </c>
      <c r="AS669">
        <v>221.13729607222109</v>
      </c>
      <c r="AT669">
        <v>541.19393830420029</v>
      </c>
      <c r="AU669">
        <v>6.3278028391867949</v>
      </c>
      <c r="AV669">
        <v>237.4270180947459</v>
      </c>
      <c r="AW669">
        <v>769.61763854376488</v>
      </c>
      <c r="AX669">
        <v>532.19062044901898</v>
      </c>
      <c r="AY669">
        <v>1.396629518204388</v>
      </c>
      <c r="AZ669" t="s">
        <v>114</v>
      </c>
      <c r="BA669" t="str">
        <f>VLOOKUP($AZ669,Sheet1!$A$2:$B$58,2)</f>
        <v>Benzoate (PW2)</v>
      </c>
      <c r="BB669" t="s">
        <v>165</v>
      </c>
      <c r="BC669">
        <v>121.1121</v>
      </c>
      <c r="BD669">
        <v>4.1428571428571432</v>
      </c>
      <c r="BE669">
        <v>249.2</v>
      </c>
      <c r="BF669" t="s">
        <v>209</v>
      </c>
      <c r="BG669">
        <v>31.55600096360169</v>
      </c>
      <c r="BH669">
        <v>1.0656474820143799E-2</v>
      </c>
      <c r="BI669">
        <v>2.80390888485831E-2</v>
      </c>
      <c r="BJ669">
        <v>80</v>
      </c>
      <c r="BK669">
        <v>34310.032447017977</v>
      </c>
      <c r="BL669">
        <v>23725.38848012139</v>
      </c>
      <c r="BM669">
        <v>30.706610606378241</v>
      </c>
      <c r="BN669">
        <v>5220.1238030843006</v>
      </c>
      <c r="BO669">
        <v>29089.908643933679</v>
      </c>
    </row>
    <row r="670" spans="1:67" x14ac:dyDescent="0.25">
      <c r="A670" s="1">
        <v>668</v>
      </c>
      <c r="B670" t="s">
        <v>73</v>
      </c>
      <c r="C670" t="s">
        <v>85</v>
      </c>
      <c r="D670">
        <v>1</v>
      </c>
      <c r="E670">
        <v>1</v>
      </c>
      <c r="F670">
        <v>2</v>
      </c>
      <c r="G670">
        <v>45.016539999999999</v>
      </c>
      <c r="H670">
        <v>2</v>
      </c>
      <c r="I670" t="s">
        <v>89</v>
      </c>
      <c r="J670">
        <v>4</v>
      </c>
      <c r="K670">
        <v>300</v>
      </c>
      <c r="L670">
        <v>70</v>
      </c>
      <c r="N670" t="s">
        <v>82</v>
      </c>
      <c r="O670">
        <v>30</v>
      </c>
      <c r="P670">
        <v>0.5</v>
      </c>
      <c r="Q670">
        <v>3.2500000000000001E-2</v>
      </c>
      <c r="R670">
        <v>77.5</v>
      </c>
      <c r="S670">
        <v>170</v>
      </c>
      <c r="T670">
        <v>20</v>
      </c>
      <c r="U670">
        <v>1812.1301775147931</v>
      </c>
      <c r="V670">
        <v>20</v>
      </c>
      <c r="W670">
        <v>0.95</v>
      </c>
      <c r="X670">
        <v>1</v>
      </c>
      <c r="Y670">
        <v>691231.13955193409</v>
      </c>
      <c r="Z670">
        <v>2073693418.655802</v>
      </c>
      <c r="AA670">
        <v>8294773674.623208</v>
      </c>
      <c r="AB670">
        <v>8294773.6746232081</v>
      </c>
      <c r="AC670">
        <v>0</v>
      </c>
      <c r="AD670">
        <v>21492.317602355521</v>
      </c>
      <c r="AE670">
        <v>38686171.684239939</v>
      </c>
      <c r="AF670">
        <v>27080320.17896796</v>
      </c>
      <c r="AG670">
        <v>1219.062316549318</v>
      </c>
      <c r="AH670">
        <v>8512.8920791169967</v>
      </c>
      <c r="AI670">
        <v>1702.5784158234001</v>
      </c>
      <c r="AJ670">
        <v>269580.14442525432</v>
      </c>
      <c r="AK670">
        <v>854.70085470085473</v>
      </c>
      <c r="AL670" t="s">
        <v>93</v>
      </c>
      <c r="AM670">
        <v>659749.1361315673</v>
      </c>
      <c r="AN670">
        <v>7713.985987806408</v>
      </c>
      <c r="AO670">
        <v>289438.33068997791</v>
      </c>
      <c r="AP670">
        <v>937897.96739932883</v>
      </c>
      <c r="AQ670">
        <v>648459.63670935086</v>
      </c>
      <c r="AR670">
        <v>9.9548359341269828E-3</v>
      </c>
      <c r="AS670">
        <v>221.13729607222109</v>
      </c>
      <c r="AT670">
        <v>541.1939383042004</v>
      </c>
      <c r="AU670">
        <v>6.3278028391867958</v>
      </c>
      <c r="AV670">
        <v>237.42701809474599</v>
      </c>
      <c r="AW670">
        <v>769.360150557476</v>
      </c>
      <c r="AX670">
        <v>531.93313246272999</v>
      </c>
      <c r="AY670">
        <v>1.396629518204388</v>
      </c>
      <c r="AZ670" t="s">
        <v>115</v>
      </c>
      <c r="BA670" t="str">
        <f>VLOOKUP($AZ670,Sheet1!$A$2:$B$58,2)</f>
        <v>Benzyl Alcohol</v>
      </c>
      <c r="BB670" t="s">
        <v>166</v>
      </c>
      <c r="BC670">
        <v>108.13661999999999</v>
      </c>
      <c r="BD670">
        <v>4.8571428571428568</v>
      </c>
      <c r="BE670">
        <v>205</v>
      </c>
      <c r="BF670" t="s">
        <v>209</v>
      </c>
      <c r="BG670">
        <v>43.774087804244218</v>
      </c>
      <c r="BH670">
        <v>8.7292817679557599E-3</v>
      </c>
      <c r="BI670">
        <v>2.0507565249629801E-2</v>
      </c>
      <c r="BJ670">
        <v>80</v>
      </c>
      <c r="BK670">
        <v>46894.898369966439</v>
      </c>
      <c r="BL670">
        <v>32422.981835467541</v>
      </c>
      <c r="BM670">
        <v>41.354832986925757</v>
      </c>
      <c r="BN670">
        <v>7030.3216077773804</v>
      </c>
      <c r="BO670">
        <v>39864.576762189063</v>
      </c>
    </row>
    <row r="671" spans="1:67" x14ac:dyDescent="0.25">
      <c r="A671" s="1">
        <v>669</v>
      </c>
      <c r="B671" t="s">
        <v>73</v>
      </c>
      <c r="C671" t="s">
        <v>85</v>
      </c>
      <c r="D671">
        <v>1</v>
      </c>
      <c r="E671">
        <v>1</v>
      </c>
      <c r="F671">
        <v>2</v>
      </c>
      <c r="G671">
        <v>45.016539999999999</v>
      </c>
      <c r="H671">
        <v>2</v>
      </c>
      <c r="I671" t="s">
        <v>89</v>
      </c>
      <c r="J671">
        <v>4</v>
      </c>
      <c r="K671">
        <v>300</v>
      </c>
      <c r="L671">
        <v>70</v>
      </c>
      <c r="N671" t="s">
        <v>82</v>
      </c>
      <c r="O671">
        <v>30</v>
      </c>
      <c r="P671">
        <v>0.5</v>
      </c>
      <c r="Q671">
        <v>3.2500000000000001E-2</v>
      </c>
      <c r="R671">
        <v>77.5</v>
      </c>
      <c r="S671">
        <v>170</v>
      </c>
      <c r="T671">
        <v>20</v>
      </c>
      <c r="U671">
        <v>1812.1301775147931</v>
      </c>
      <c r="V671">
        <v>20</v>
      </c>
      <c r="W671">
        <v>0.95</v>
      </c>
      <c r="X671">
        <v>1</v>
      </c>
      <c r="Y671">
        <v>781733.00712674449</v>
      </c>
      <c r="Z671">
        <v>2345199021.3802328</v>
      </c>
      <c r="AA671">
        <v>9380796085.5209332</v>
      </c>
      <c r="AB671">
        <v>9380796.0855209325</v>
      </c>
      <c r="AC671">
        <v>0</v>
      </c>
      <c r="AD671">
        <v>24306.274859525649</v>
      </c>
      <c r="AE671">
        <v>43751294.747146167</v>
      </c>
      <c r="AF671">
        <v>30625906.32300232</v>
      </c>
      <c r="AG671">
        <v>1378.6723370256871</v>
      </c>
      <c r="AH671">
        <v>9627.472409109514</v>
      </c>
      <c r="AI671">
        <v>1925.494481821903</v>
      </c>
      <c r="AJ671">
        <v>304875.8727794303</v>
      </c>
      <c r="AK671">
        <v>854.70085470085473</v>
      </c>
      <c r="AL671" t="s">
        <v>93</v>
      </c>
      <c r="AM671">
        <v>746129.11170598736</v>
      </c>
      <c r="AN671">
        <v>8723.9667285394371</v>
      </c>
      <c r="AO671">
        <v>327334.0619097235</v>
      </c>
      <c r="AP671">
        <v>1060583.652068658</v>
      </c>
      <c r="AQ671">
        <v>733249.59015893424</v>
      </c>
      <c r="AR671">
        <v>9.9548359341269845E-3</v>
      </c>
      <c r="AS671">
        <v>221.13729607222109</v>
      </c>
      <c r="AT671">
        <v>541.1939383042004</v>
      </c>
      <c r="AU671">
        <v>6.3278028391867966</v>
      </c>
      <c r="AV671">
        <v>237.42701809474599</v>
      </c>
      <c r="AW671">
        <v>769.27898209427667</v>
      </c>
      <c r="AX671">
        <v>531.85196399953065</v>
      </c>
      <c r="AY671">
        <v>1.396629518204388</v>
      </c>
      <c r="AZ671" t="s">
        <v>116</v>
      </c>
      <c r="BA671" t="str">
        <f>VLOOKUP($AZ671,Sheet1!$A$2:$B$58,2)</f>
        <v>Beta Carotene</v>
      </c>
      <c r="BB671" t="s">
        <v>167</v>
      </c>
      <c r="BC671">
        <v>536.86703999999997</v>
      </c>
      <c r="BD671">
        <v>5.4</v>
      </c>
      <c r="BE671">
        <v>633</v>
      </c>
      <c r="BF671" t="s">
        <v>209</v>
      </c>
      <c r="BG671">
        <v>49.448237898761747</v>
      </c>
      <c r="BH671">
        <v>1.5547100498556801E-3</v>
      </c>
      <c r="BI671">
        <v>1.8133387701050399E-2</v>
      </c>
      <c r="BJ671">
        <v>80</v>
      </c>
      <c r="BK671">
        <v>53029.182603432891</v>
      </c>
      <c r="BL671">
        <v>36662.479507946708</v>
      </c>
      <c r="BM671">
        <v>46.826486192333377</v>
      </c>
      <c r="BN671">
        <v>7960.5026526966749</v>
      </c>
      <c r="BO671">
        <v>45068.679950736223</v>
      </c>
    </row>
    <row r="672" spans="1:67" x14ac:dyDescent="0.25">
      <c r="A672" s="1">
        <v>670</v>
      </c>
      <c r="B672" t="s">
        <v>73</v>
      </c>
      <c r="C672" t="s">
        <v>85</v>
      </c>
      <c r="D672">
        <v>1</v>
      </c>
      <c r="E672">
        <v>1</v>
      </c>
      <c r="F672">
        <v>2</v>
      </c>
      <c r="G672">
        <v>45.016539999999999</v>
      </c>
      <c r="H672">
        <v>2</v>
      </c>
      <c r="I672" t="s">
        <v>89</v>
      </c>
      <c r="J672">
        <v>4</v>
      </c>
      <c r="K672">
        <v>300</v>
      </c>
      <c r="L672">
        <v>70</v>
      </c>
      <c r="N672" t="s">
        <v>82</v>
      </c>
      <c r="O672">
        <v>30</v>
      </c>
      <c r="P672">
        <v>0.5</v>
      </c>
      <c r="Q672">
        <v>3.2500000000000001E-2</v>
      </c>
      <c r="R672">
        <v>77.5</v>
      </c>
      <c r="S672">
        <v>170</v>
      </c>
      <c r="T672">
        <v>20</v>
      </c>
      <c r="U672">
        <v>1812.1301775147931</v>
      </c>
      <c r="V672">
        <v>20</v>
      </c>
      <c r="W672">
        <v>0.95</v>
      </c>
      <c r="X672">
        <v>1</v>
      </c>
      <c r="Y672">
        <v>862110.763089641</v>
      </c>
      <c r="Z672">
        <v>2586332289.2689228</v>
      </c>
      <c r="AA672">
        <v>10345329157.075689</v>
      </c>
      <c r="AB672">
        <v>10345329.15707569</v>
      </c>
      <c r="AC672">
        <v>66773.504273504266</v>
      </c>
      <c r="AD672">
        <v>26805.445050901861</v>
      </c>
      <c r="AE672">
        <v>48249801.091623344</v>
      </c>
      <c r="AF672">
        <v>33774860.764136337</v>
      </c>
      <c r="AG672">
        <v>1520.427370583174</v>
      </c>
      <c r="AH672">
        <v>10617.36873021171</v>
      </c>
      <c r="AI672">
        <v>2123.473746042343</v>
      </c>
      <c r="AJ672">
        <v>336223.19760496001</v>
      </c>
      <c r="AK672">
        <v>2170.1388888888891</v>
      </c>
      <c r="AL672" t="s">
        <v>95</v>
      </c>
      <c r="AM672">
        <v>822846.07659140788</v>
      </c>
      <c r="AN672">
        <v>9620.9646323535235</v>
      </c>
      <c r="AO672">
        <v>360990.53682719829</v>
      </c>
      <c r="AP672">
        <v>1170860.37771761</v>
      </c>
      <c r="AQ672">
        <v>809869.84089041222</v>
      </c>
      <c r="AR672">
        <v>9.9548359341269845E-3</v>
      </c>
      <c r="AS672">
        <v>221.13729607222109</v>
      </c>
      <c r="AT672">
        <v>541.1939383042004</v>
      </c>
      <c r="AU672">
        <v>6.3278028391867958</v>
      </c>
      <c r="AV672">
        <v>237.42701809474599</v>
      </c>
      <c r="AW672">
        <v>770.08635885613933</v>
      </c>
      <c r="AX672">
        <v>532.65934076139331</v>
      </c>
      <c r="AY672">
        <v>1.396629518204388</v>
      </c>
      <c r="AZ672" t="s">
        <v>117</v>
      </c>
      <c r="BA672" t="str">
        <f>VLOOKUP($AZ672,Sheet1!$A$2:$B$58,2)</f>
        <v>Butane</v>
      </c>
      <c r="BB672" t="s">
        <v>168</v>
      </c>
      <c r="BC672">
        <v>58.121200000000002</v>
      </c>
      <c r="BD672">
        <v>6.5</v>
      </c>
      <c r="BE672">
        <v>-1</v>
      </c>
      <c r="BF672" t="s">
        <v>209</v>
      </c>
      <c r="BG672">
        <v>55.119833831303097</v>
      </c>
      <c r="BH672">
        <v>1.30219780219781E-2</v>
      </c>
      <c r="BI672">
        <v>1.6442745298916199E-2</v>
      </c>
      <c r="BJ672">
        <v>80</v>
      </c>
      <c r="BK672">
        <v>58543.01888588052</v>
      </c>
      <c r="BL672">
        <v>40493.492044520601</v>
      </c>
      <c r="BM672">
        <v>51.05385347081404</v>
      </c>
      <c r="BN672">
        <v>8679.1550900383863</v>
      </c>
      <c r="BO672">
        <v>49863.863795842131</v>
      </c>
    </row>
    <row r="673" spans="1:67" x14ac:dyDescent="0.25">
      <c r="A673" s="1">
        <v>671</v>
      </c>
      <c r="B673" t="s">
        <v>73</v>
      </c>
      <c r="C673" t="s">
        <v>85</v>
      </c>
      <c r="D673">
        <v>1</v>
      </c>
      <c r="E673">
        <v>1</v>
      </c>
      <c r="F673">
        <v>2</v>
      </c>
      <c r="G673">
        <v>45.016539999999999</v>
      </c>
      <c r="H673">
        <v>2</v>
      </c>
      <c r="I673" t="s">
        <v>89</v>
      </c>
      <c r="J673">
        <v>4</v>
      </c>
      <c r="K673">
        <v>300</v>
      </c>
      <c r="L673">
        <v>70</v>
      </c>
      <c r="N673" t="s">
        <v>82</v>
      </c>
      <c r="O673">
        <v>30</v>
      </c>
      <c r="P673">
        <v>0.5</v>
      </c>
      <c r="Q673">
        <v>3.2500000000000001E-2</v>
      </c>
      <c r="R673">
        <v>77.5</v>
      </c>
      <c r="S673">
        <v>170</v>
      </c>
      <c r="T673">
        <v>20</v>
      </c>
      <c r="U673">
        <v>1812.1301775147931</v>
      </c>
      <c r="V673">
        <v>20</v>
      </c>
      <c r="W673">
        <v>0.95</v>
      </c>
      <c r="X673">
        <v>1</v>
      </c>
      <c r="Y673">
        <v>593933.92530871078</v>
      </c>
      <c r="Z673">
        <v>1781801775.926132</v>
      </c>
      <c r="AA673">
        <v>7127207103.7045298</v>
      </c>
      <c r="AB673">
        <v>7127207.1037045298</v>
      </c>
      <c r="AC673">
        <v>0</v>
      </c>
      <c r="AD673">
        <v>18467.07393104857</v>
      </c>
      <c r="AE673">
        <v>33240733.075887419</v>
      </c>
      <c r="AF673">
        <v>23268513.153121188</v>
      </c>
      <c r="AG673">
        <v>1047.4679530980061</v>
      </c>
      <c r="AH673">
        <v>7314.6233133490259</v>
      </c>
      <c r="AI673">
        <v>1462.924662669805</v>
      </c>
      <c r="AJ673">
        <v>231634.23087039721</v>
      </c>
      <c r="AK673">
        <v>854.70085470085473</v>
      </c>
      <c r="AL673" t="s">
        <v>93</v>
      </c>
      <c r="AM673">
        <v>566883.3067845495</v>
      </c>
      <c r="AN673">
        <v>6628.1706875707459</v>
      </c>
      <c r="AO673">
        <v>248697.19265386689</v>
      </c>
      <c r="AP673">
        <v>806000.40919721837</v>
      </c>
      <c r="AQ673">
        <v>557303.21654335153</v>
      </c>
      <c r="AR673">
        <v>9.9548359341269845E-3</v>
      </c>
      <c r="AS673">
        <v>221.13729607222109</v>
      </c>
      <c r="AT673">
        <v>541.1939383042004</v>
      </c>
      <c r="AU673">
        <v>6.3278028391867958</v>
      </c>
      <c r="AV673">
        <v>237.42701809474599</v>
      </c>
      <c r="AW673">
        <v>769.47500571581213</v>
      </c>
      <c r="AX673">
        <v>532.04798762106611</v>
      </c>
      <c r="AY673">
        <v>1.396629518204388</v>
      </c>
      <c r="AZ673" t="s">
        <v>118</v>
      </c>
      <c r="BA673" t="str">
        <f>VLOOKUP($AZ673,Sheet1!$A$2:$B$58,2)</f>
        <v>Butanol (PW1)</v>
      </c>
      <c r="BB673" t="s">
        <v>169</v>
      </c>
      <c r="BC673">
        <v>74.120199999999997</v>
      </c>
      <c r="BD673">
        <v>6</v>
      </c>
      <c r="BE673">
        <v>117.7</v>
      </c>
      <c r="BF673" t="s">
        <v>209</v>
      </c>
      <c r="BG673">
        <v>37.685304120617509</v>
      </c>
      <c r="BH673">
        <v>1.48217636022515E-2</v>
      </c>
      <c r="BI673">
        <v>2.3867078630959201E-2</v>
      </c>
      <c r="BJ673">
        <v>80</v>
      </c>
      <c r="BK673">
        <v>40300.02045986092</v>
      </c>
      <c r="BL673">
        <v>27865.160827167569</v>
      </c>
      <c r="BM673">
        <v>35.460929012872747</v>
      </c>
      <c r="BN673">
        <v>6028.3579321883672</v>
      </c>
      <c r="BO673">
        <v>34271.662527672554</v>
      </c>
    </row>
    <row r="674" spans="1:67" x14ac:dyDescent="0.25">
      <c r="A674" s="1">
        <v>672</v>
      </c>
      <c r="B674" t="s">
        <v>73</v>
      </c>
      <c r="C674" t="s">
        <v>85</v>
      </c>
      <c r="D674">
        <v>1</v>
      </c>
      <c r="E674">
        <v>1</v>
      </c>
      <c r="F674">
        <v>2</v>
      </c>
      <c r="G674">
        <v>45.016539999999999</v>
      </c>
      <c r="H674">
        <v>2</v>
      </c>
      <c r="I674" t="s">
        <v>89</v>
      </c>
      <c r="J674">
        <v>4</v>
      </c>
      <c r="K674">
        <v>300</v>
      </c>
      <c r="L674">
        <v>70</v>
      </c>
      <c r="N674" t="s">
        <v>82</v>
      </c>
      <c r="O674">
        <v>30</v>
      </c>
      <c r="P674">
        <v>0.5</v>
      </c>
      <c r="Q674">
        <v>3.2500000000000001E-2</v>
      </c>
      <c r="R674">
        <v>77.5</v>
      </c>
      <c r="S674">
        <v>170</v>
      </c>
      <c r="T674">
        <v>20</v>
      </c>
      <c r="U674">
        <v>1812.1301775147931</v>
      </c>
      <c r="V674">
        <v>20</v>
      </c>
      <c r="W674">
        <v>0.95</v>
      </c>
      <c r="X674">
        <v>1</v>
      </c>
      <c r="Y674">
        <v>626620.72044765751</v>
      </c>
      <c r="Z674">
        <v>1879862161.342972</v>
      </c>
      <c r="AA674">
        <v>7519448645.3718891</v>
      </c>
      <c r="AB674">
        <v>7519448.6453718888</v>
      </c>
      <c r="AC674">
        <v>0</v>
      </c>
      <c r="AD674">
        <v>19483.398199924461</v>
      </c>
      <c r="AE674">
        <v>35070116.759864032</v>
      </c>
      <c r="AF674">
        <v>24549081.73190482</v>
      </c>
      <c r="AG674">
        <v>1105.114719747563</v>
      </c>
      <c r="AH674">
        <v>7717.179193008079</v>
      </c>
      <c r="AI674">
        <v>1543.4358386016161</v>
      </c>
      <c r="AJ674">
        <v>244382.0809745864</v>
      </c>
      <c r="AK674">
        <v>854.70085470085473</v>
      </c>
      <c r="AL674" t="s">
        <v>93</v>
      </c>
      <c r="AM674">
        <v>598081.38745812618</v>
      </c>
      <c r="AN674">
        <v>6992.9480612457473</v>
      </c>
      <c r="AO674">
        <v>262384.09256227472</v>
      </c>
      <c r="AP674">
        <v>850311.1173486592</v>
      </c>
      <c r="AQ674">
        <v>587927.02478638454</v>
      </c>
      <c r="AR674">
        <v>9.9548359341269845E-3</v>
      </c>
      <c r="AS674">
        <v>221.13729607222109</v>
      </c>
      <c r="AT674">
        <v>541.19393830420051</v>
      </c>
      <c r="AU674">
        <v>6.3278028391867966</v>
      </c>
      <c r="AV674">
        <v>237.42701809474599</v>
      </c>
      <c r="AW674">
        <v>769.43244185806577</v>
      </c>
      <c r="AX674">
        <v>532.00542376331975</v>
      </c>
      <c r="AY674">
        <v>1.396629518204388</v>
      </c>
      <c r="AZ674" t="s">
        <v>119</v>
      </c>
      <c r="BA674" t="str">
        <f>VLOOKUP($AZ674,Sheet1!$A$2:$B$58,2)</f>
        <v>Butanol (PW2)</v>
      </c>
      <c r="BB674" t="s">
        <v>169</v>
      </c>
      <c r="BC674">
        <v>74.120199999999997</v>
      </c>
      <c r="BD674">
        <v>6</v>
      </c>
      <c r="BE674">
        <v>117.7</v>
      </c>
      <c r="BF674" t="s">
        <v>209</v>
      </c>
      <c r="BG674">
        <v>39.890002141236543</v>
      </c>
      <c r="BH674">
        <v>1.4048606994665E-2</v>
      </c>
      <c r="BI674">
        <v>2.2622085791881099E-2</v>
      </c>
      <c r="BJ674">
        <v>80</v>
      </c>
      <c r="BK674">
        <v>42515.555867432959</v>
      </c>
      <c r="BL674">
        <v>29396.351239319221</v>
      </c>
      <c r="BM674">
        <v>37.281789788844243</v>
      </c>
      <c r="BN674">
        <v>6337.9042641035203</v>
      </c>
      <c r="BO674">
        <v>36177.651603329439</v>
      </c>
    </row>
    <row r="675" spans="1:67" x14ac:dyDescent="0.25">
      <c r="A675" s="1">
        <v>673</v>
      </c>
      <c r="B675" t="s">
        <v>73</v>
      </c>
      <c r="C675" t="s">
        <v>85</v>
      </c>
      <c r="D675">
        <v>1</v>
      </c>
      <c r="E675">
        <v>1</v>
      </c>
      <c r="F675">
        <v>2</v>
      </c>
      <c r="G675">
        <v>45.016539999999999</v>
      </c>
      <c r="H675">
        <v>2</v>
      </c>
      <c r="I675" t="s">
        <v>89</v>
      </c>
      <c r="J675">
        <v>4</v>
      </c>
      <c r="K675">
        <v>300</v>
      </c>
      <c r="L675">
        <v>70</v>
      </c>
      <c r="N675" t="s">
        <v>82</v>
      </c>
      <c r="O675">
        <v>30</v>
      </c>
      <c r="P675">
        <v>0.5</v>
      </c>
      <c r="Q675">
        <v>3.2500000000000001E-2</v>
      </c>
      <c r="R675">
        <v>77.5</v>
      </c>
      <c r="S675">
        <v>170</v>
      </c>
      <c r="T675">
        <v>20</v>
      </c>
      <c r="U675">
        <v>1812.1301775147931</v>
      </c>
      <c r="V675">
        <v>20</v>
      </c>
      <c r="W675">
        <v>0.95</v>
      </c>
      <c r="X675">
        <v>1</v>
      </c>
      <c r="Y675">
        <v>410934.86483309849</v>
      </c>
      <c r="Z675">
        <v>1232804594.4992959</v>
      </c>
      <c r="AA675">
        <v>4931218377.9971828</v>
      </c>
      <c r="AB675">
        <v>4931218.3779971832</v>
      </c>
      <c r="AC675">
        <v>0</v>
      </c>
      <c r="AD675">
        <v>12777.11914801608</v>
      </c>
      <c r="AE675">
        <v>22998814.466428939</v>
      </c>
      <c r="AF675">
        <v>16099170.12650026</v>
      </c>
      <c r="AG675">
        <v>724.72893596640392</v>
      </c>
      <c r="AH675">
        <v>5060.889123337688</v>
      </c>
      <c r="AI675">
        <v>1012.1778246675379</v>
      </c>
      <c r="AJ675">
        <v>160264.59728490849</v>
      </c>
      <c r="AK675">
        <v>854.70085470085473</v>
      </c>
      <c r="AL675" t="s">
        <v>93</v>
      </c>
      <c r="AM675">
        <v>392218.90705867083</v>
      </c>
      <c r="AN675">
        <v>4585.9418186490366</v>
      </c>
      <c r="AO675">
        <v>172070.2301934814</v>
      </c>
      <c r="AP675">
        <v>557924.14701692923</v>
      </c>
      <c r="AQ675">
        <v>385853.9168234478</v>
      </c>
      <c r="AR675">
        <v>9.9548359341269863E-3</v>
      </c>
      <c r="AS675">
        <v>221.13729607222109</v>
      </c>
      <c r="AT675">
        <v>541.1939383042004</v>
      </c>
      <c r="AU675">
        <v>6.3278028391867958</v>
      </c>
      <c r="AV675">
        <v>237.42701809474599</v>
      </c>
      <c r="AW675">
        <v>769.83837587905123</v>
      </c>
      <c r="AX675">
        <v>532.41135778430521</v>
      </c>
      <c r="AY675">
        <v>1.396629518204388</v>
      </c>
      <c r="AZ675" t="s">
        <v>120</v>
      </c>
      <c r="BA675" t="str">
        <f>VLOOKUP($AZ675,Sheet1!$A$2:$B$58,2)</f>
        <v>Butyrate</v>
      </c>
      <c r="BB675" t="s">
        <v>170</v>
      </c>
      <c r="BC675">
        <v>87.095680000000002</v>
      </c>
      <c r="BD675">
        <v>4.75</v>
      </c>
      <c r="BE675">
        <v>163.5</v>
      </c>
      <c r="BF675" t="s">
        <v>209</v>
      </c>
      <c r="BG675">
        <v>25.69600045503255</v>
      </c>
      <c r="BH675">
        <v>1.8230769230769401E-2</v>
      </c>
      <c r="BI675">
        <v>3.4495655905698398E-2</v>
      </c>
      <c r="BJ675">
        <v>80</v>
      </c>
      <c r="BK675">
        <v>27896.20735084646</v>
      </c>
      <c r="BL675">
        <v>19292.695841172401</v>
      </c>
      <c r="BM675">
        <v>24.912890778344352</v>
      </c>
      <c r="BN675">
        <v>4235.1914323185392</v>
      </c>
      <c r="BO675">
        <v>23661.01591852793</v>
      </c>
    </row>
    <row r="676" spans="1:67" x14ac:dyDescent="0.25">
      <c r="A676" s="1">
        <v>674</v>
      </c>
      <c r="B676" t="s">
        <v>73</v>
      </c>
      <c r="C676" t="s">
        <v>85</v>
      </c>
      <c r="D676">
        <v>1</v>
      </c>
      <c r="E676">
        <v>1</v>
      </c>
      <c r="F676">
        <v>2</v>
      </c>
      <c r="G676">
        <v>45.016539999999999</v>
      </c>
      <c r="H676">
        <v>2</v>
      </c>
      <c r="I676" t="s">
        <v>89</v>
      </c>
      <c r="J676">
        <v>4</v>
      </c>
      <c r="K676">
        <v>300</v>
      </c>
      <c r="L676">
        <v>70</v>
      </c>
      <c r="N676" t="s">
        <v>82</v>
      </c>
      <c r="O676">
        <v>30</v>
      </c>
      <c r="P676">
        <v>0.5</v>
      </c>
      <c r="Q676">
        <v>3.2500000000000001E-2</v>
      </c>
      <c r="R676">
        <v>77.5</v>
      </c>
      <c r="S676">
        <v>170</v>
      </c>
      <c r="T676">
        <v>20</v>
      </c>
      <c r="U676">
        <v>1812.1301775147931</v>
      </c>
      <c r="V676">
        <v>20</v>
      </c>
      <c r="W676">
        <v>0.95</v>
      </c>
      <c r="X676">
        <v>1</v>
      </c>
      <c r="Y676">
        <v>462316.50426957727</v>
      </c>
      <c r="Z676">
        <v>1386949512.808732</v>
      </c>
      <c r="AA676">
        <v>5547798051.2349272</v>
      </c>
      <c r="AB676">
        <v>5547798.051234927</v>
      </c>
      <c r="AC676">
        <v>0</v>
      </c>
      <c r="AD676">
        <v>14374.718634657191</v>
      </c>
      <c r="AE676">
        <v>25874493.542382929</v>
      </c>
      <c r="AF676">
        <v>18112145.479668051</v>
      </c>
      <c r="AG676">
        <v>815.34612147129599</v>
      </c>
      <c r="AH676">
        <v>5693.6823040013642</v>
      </c>
      <c r="AI676">
        <v>1138.7364608002731</v>
      </c>
      <c r="AJ676">
        <v>180303.43666513509</v>
      </c>
      <c r="AK676">
        <v>854.70085470085473</v>
      </c>
      <c r="AL676" t="s">
        <v>93</v>
      </c>
      <c r="AM676">
        <v>441260.37856010569</v>
      </c>
      <c r="AN676">
        <v>5159.3495023660107</v>
      </c>
      <c r="AO676">
        <v>193585.19833604639</v>
      </c>
      <c r="AP676">
        <v>627577.8655823078</v>
      </c>
      <c r="AQ676">
        <v>433992.66724626138</v>
      </c>
      <c r="AR676">
        <v>9.9548359341269845E-3</v>
      </c>
      <c r="AS676">
        <v>221.13729607222109</v>
      </c>
      <c r="AT676">
        <v>541.19393830420051</v>
      </c>
      <c r="AU676">
        <v>6.3278028391867984</v>
      </c>
      <c r="AV676">
        <v>237.42701809474599</v>
      </c>
      <c r="AW676">
        <v>769.70730473316098</v>
      </c>
      <c r="AX676">
        <v>532.28028663841496</v>
      </c>
      <c r="AY676">
        <v>1.396629518204388</v>
      </c>
      <c r="AZ676" t="s">
        <v>121</v>
      </c>
      <c r="BA676" t="str">
        <f>VLOOKUP($AZ676,Sheet1!$A$2:$B$58,2)</f>
        <v>Catechol</v>
      </c>
      <c r="BB676" t="s">
        <v>171</v>
      </c>
      <c r="BC676">
        <v>110.10924</v>
      </c>
      <c r="BD676">
        <v>4.333333333333333</v>
      </c>
      <c r="BE676">
        <v>245</v>
      </c>
      <c r="BF676" t="s">
        <v>209</v>
      </c>
      <c r="BG676">
        <v>28.784712207714051</v>
      </c>
      <c r="BH676">
        <v>1.2817739318550601E-2</v>
      </c>
      <c r="BI676">
        <v>3.06618248884135E-2</v>
      </c>
      <c r="BJ676">
        <v>80</v>
      </c>
      <c r="BK676">
        <v>31378.893279115389</v>
      </c>
      <c r="BL676">
        <v>21699.633362313059</v>
      </c>
      <c r="BM676">
        <v>28.152110832299581</v>
      </c>
      <c r="BN676">
        <v>4785.8588414909291</v>
      </c>
      <c r="BO676">
        <v>26593.034437624461</v>
      </c>
    </row>
    <row r="677" spans="1:67" x14ac:dyDescent="0.25">
      <c r="A677" s="1">
        <v>675</v>
      </c>
      <c r="B677" t="s">
        <v>73</v>
      </c>
      <c r="C677" t="s">
        <v>85</v>
      </c>
      <c r="D677">
        <v>1</v>
      </c>
      <c r="E677">
        <v>1</v>
      </c>
      <c r="F677">
        <v>2</v>
      </c>
      <c r="G677">
        <v>45.016539999999999</v>
      </c>
      <c r="H677">
        <v>2</v>
      </c>
      <c r="I677" t="s">
        <v>89</v>
      </c>
      <c r="J677">
        <v>4</v>
      </c>
      <c r="K677">
        <v>300</v>
      </c>
      <c r="L677">
        <v>70</v>
      </c>
      <c r="N677" t="s">
        <v>82</v>
      </c>
      <c r="O677">
        <v>30</v>
      </c>
      <c r="P677">
        <v>0.5</v>
      </c>
      <c r="Q677">
        <v>3.2500000000000001E-2</v>
      </c>
      <c r="R677">
        <v>77.5</v>
      </c>
      <c r="S677">
        <v>170</v>
      </c>
      <c r="T677">
        <v>20</v>
      </c>
      <c r="U677">
        <v>1812.1301775147931</v>
      </c>
      <c r="V677">
        <v>20</v>
      </c>
      <c r="W677">
        <v>0.95</v>
      </c>
      <c r="X677">
        <v>1</v>
      </c>
      <c r="Y677">
        <v>365337.00979799201</v>
      </c>
      <c r="Z677">
        <v>1096011029.393976</v>
      </c>
      <c r="AA677">
        <v>4384044117.5759039</v>
      </c>
      <c r="AB677">
        <v>4384044.1175759044</v>
      </c>
      <c r="AC677">
        <v>0</v>
      </c>
      <c r="AD677">
        <v>11359.353763435851</v>
      </c>
      <c r="AE677">
        <v>20446836.77418454</v>
      </c>
      <c r="AF677">
        <v>14312785.741929181</v>
      </c>
      <c r="AG677">
        <v>644.3120918629844</v>
      </c>
      <c r="AH677">
        <v>4499.326432159306</v>
      </c>
      <c r="AI677">
        <v>899.86528643186125</v>
      </c>
      <c r="AJ677">
        <v>142481.4338212169</v>
      </c>
      <c r="AK677">
        <v>854.70085470085473</v>
      </c>
      <c r="AL677" t="s">
        <v>93</v>
      </c>
      <c r="AM677">
        <v>348697.79849234619</v>
      </c>
      <c r="AN677">
        <v>4077.0798842129761</v>
      </c>
      <c r="AO677">
        <v>152977.0986934164</v>
      </c>
      <c r="AP677">
        <v>496111.01305247698</v>
      </c>
      <c r="AQ677">
        <v>343133.91435906058</v>
      </c>
      <c r="AR677">
        <v>9.9548359341269845E-3</v>
      </c>
      <c r="AS677">
        <v>221.13729607222109</v>
      </c>
      <c r="AT677">
        <v>541.19393830420017</v>
      </c>
      <c r="AU677">
        <v>6.3278028391867958</v>
      </c>
      <c r="AV677">
        <v>237.42701809474599</v>
      </c>
      <c r="AW677">
        <v>769.98556959874202</v>
      </c>
      <c r="AX677">
        <v>532.558551503996</v>
      </c>
      <c r="AY677">
        <v>1.396629518204388</v>
      </c>
      <c r="AZ677" t="s">
        <v>122</v>
      </c>
      <c r="BA677" t="str">
        <f>VLOOKUP($AZ677,Sheet1!$A$2:$B$58,2)</f>
        <v>cis,cis-Muconate</v>
      </c>
      <c r="BB677" t="s">
        <v>172</v>
      </c>
      <c r="BC677">
        <v>140.09155999999999</v>
      </c>
      <c r="BD677">
        <v>3.333333333333333</v>
      </c>
      <c r="BE677">
        <v>345.4</v>
      </c>
      <c r="BF677" t="s">
        <v>209</v>
      </c>
      <c r="BG677">
        <v>22.756777103940191</v>
      </c>
      <c r="BH677">
        <v>1.2748789671866699E-2</v>
      </c>
      <c r="BI677">
        <v>3.8801072206660299E-2</v>
      </c>
      <c r="BJ677">
        <v>80</v>
      </c>
      <c r="BK677">
        <v>24805.55065262385</v>
      </c>
      <c r="BL677">
        <v>17156.695717953029</v>
      </c>
      <c r="BM677">
        <v>22.236487217652879</v>
      </c>
      <c r="BN677">
        <v>3780.2028270009901</v>
      </c>
      <c r="BO677">
        <v>21025.347825622859</v>
      </c>
    </row>
    <row r="678" spans="1:67" x14ac:dyDescent="0.25">
      <c r="A678" s="1">
        <v>676</v>
      </c>
      <c r="B678" t="s">
        <v>73</v>
      </c>
      <c r="C678" t="s">
        <v>85</v>
      </c>
      <c r="D678">
        <v>1</v>
      </c>
      <c r="E678">
        <v>1</v>
      </c>
      <c r="F678">
        <v>2</v>
      </c>
      <c r="G678">
        <v>45.016539999999999</v>
      </c>
      <c r="H678">
        <v>2</v>
      </c>
      <c r="I678" t="s">
        <v>89</v>
      </c>
      <c r="J678">
        <v>4</v>
      </c>
      <c r="K678">
        <v>300</v>
      </c>
      <c r="L678">
        <v>70</v>
      </c>
      <c r="N678" t="s">
        <v>82</v>
      </c>
      <c r="O678">
        <v>30</v>
      </c>
      <c r="P678">
        <v>0.5</v>
      </c>
      <c r="Q678">
        <v>3.2500000000000001E-2</v>
      </c>
      <c r="R678">
        <v>77.5</v>
      </c>
      <c r="S678">
        <v>170</v>
      </c>
      <c r="T678">
        <v>20</v>
      </c>
      <c r="U678">
        <v>1812.1301775147931</v>
      </c>
      <c r="V678">
        <v>20</v>
      </c>
      <c r="W678">
        <v>0.95</v>
      </c>
      <c r="X678">
        <v>1</v>
      </c>
      <c r="Y678">
        <v>180536.3574653354</v>
      </c>
      <c r="Z678">
        <v>541609072.39600623</v>
      </c>
      <c r="AA678">
        <v>2166436289.5840249</v>
      </c>
      <c r="AB678">
        <v>2166436.2895840248</v>
      </c>
      <c r="AC678">
        <v>0</v>
      </c>
      <c r="AD678">
        <v>5613.3824294034875</v>
      </c>
      <c r="AE678">
        <v>10104088.37292628</v>
      </c>
      <c r="AF678">
        <v>7072861.8610483948</v>
      </c>
      <c r="AG678">
        <v>318.3957688823595</v>
      </c>
      <c r="AH678">
        <v>2223.4046464624271</v>
      </c>
      <c r="AI678">
        <v>444.68092929248547</v>
      </c>
      <c r="AJ678">
        <v>70409.179411480814</v>
      </c>
      <c r="AK678">
        <v>854.70085470085473</v>
      </c>
      <c r="AL678" t="s">
        <v>93</v>
      </c>
      <c r="AM678">
        <v>172313.86010083809</v>
      </c>
      <c r="AN678">
        <v>2014.7456503188571</v>
      </c>
      <c r="AO678">
        <v>75595.757979722533</v>
      </c>
      <c r="AP678">
        <v>245592.48601733861</v>
      </c>
      <c r="AQ678">
        <v>169996.72803761609</v>
      </c>
      <c r="AR678">
        <v>9.9548359341269845E-3</v>
      </c>
      <c r="AS678">
        <v>221.13729607222109</v>
      </c>
      <c r="AT678">
        <v>541.19393830420029</v>
      </c>
      <c r="AU678">
        <v>6.3278028391867958</v>
      </c>
      <c r="AV678">
        <v>237.42701809474599</v>
      </c>
      <c r="AW678">
        <v>771.34343486857017</v>
      </c>
      <c r="AX678">
        <v>533.91641677382415</v>
      </c>
      <c r="AY678">
        <v>1.396629518204388</v>
      </c>
      <c r="AZ678" t="s">
        <v>123</v>
      </c>
      <c r="BA678" t="str">
        <f>VLOOKUP($AZ678,Sheet1!$A$2:$B$58,2)</f>
        <v>Citrate</v>
      </c>
      <c r="BB678" t="s">
        <v>173</v>
      </c>
      <c r="BC678">
        <v>189.09639999999999</v>
      </c>
      <c r="BD678">
        <v>2.5</v>
      </c>
      <c r="BF678" t="s">
        <v>209</v>
      </c>
      <c r="BG678">
        <v>10.780601383169691</v>
      </c>
      <c r="BH678">
        <v>1.9112903225806398E-2</v>
      </c>
      <c r="BI678">
        <v>7.8518631349140097E-2</v>
      </c>
      <c r="BJ678">
        <v>80</v>
      </c>
      <c r="BK678">
        <v>12279.62430086693</v>
      </c>
      <c r="BL678">
        <v>8499.8364018808024</v>
      </c>
      <c r="BM678">
        <v>11.45344508145458</v>
      </c>
      <c r="BN678">
        <v>1947.085663847279</v>
      </c>
      <c r="BO678">
        <v>10332.53863701965</v>
      </c>
    </row>
    <row r="679" spans="1:67" x14ac:dyDescent="0.25">
      <c r="A679" s="1">
        <v>677</v>
      </c>
      <c r="B679" t="s">
        <v>73</v>
      </c>
      <c r="C679" t="s">
        <v>85</v>
      </c>
      <c r="D679">
        <v>1</v>
      </c>
      <c r="E679">
        <v>1</v>
      </c>
      <c r="F679">
        <v>2</v>
      </c>
      <c r="G679">
        <v>45.016539999999999</v>
      </c>
      <c r="H679">
        <v>2</v>
      </c>
      <c r="I679" t="s">
        <v>89</v>
      </c>
      <c r="J679">
        <v>4</v>
      </c>
      <c r="K679">
        <v>300</v>
      </c>
      <c r="L679">
        <v>70</v>
      </c>
      <c r="N679" t="s">
        <v>82</v>
      </c>
      <c r="O679">
        <v>30</v>
      </c>
      <c r="P679">
        <v>0.5</v>
      </c>
      <c r="Q679">
        <v>3.2500000000000001E-2</v>
      </c>
      <c r="R679">
        <v>77.5</v>
      </c>
      <c r="S679">
        <v>170</v>
      </c>
      <c r="T679">
        <v>20</v>
      </c>
      <c r="U679">
        <v>1812.1301775147931</v>
      </c>
      <c r="V679">
        <v>20</v>
      </c>
      <c r="W679">
        <v>0.95</v>
      </c>
      <c r="X679">
        <v>1</v>
      </c>
      <c r="Y679">
        <v>459337.75027415942</v>
      </c>
      <c r="Z679">
        <v>1378013250.8224781</v>
      </c>
      <c r="AA679">
        <v>5512053003.2899122</v>
      </c>
      <c r="AB679">
        <v>5512053.0032899119</v>
      </c>
      <c r="AC679">
        <v>0</v>
      </c>
      <c r="AD679">
        <v>14282.1008064582</v>
      </c>
      <c r="AE679">
        <v>25707781.451624759</v>
      </c>
      <c r="AF679">
        <v>17995447.016137332</v>
      </c>
      <c r="AG679">
        <v>810.09276041982685</v>
      </c>
      <c r="AH679">
        <v>5656.9973084300291</v>
      </c>
      <c r="AI679">
        <v>1131.3994616860059</v>
      </c>
      <c r="AJ679">
        <v>179141.72260692221</v>
      </c>
      <c r="AK679">
        <v>854.70085470085473</v>
      </c>
      <c r="AL679" t="s">
        <v>93</v>
      </c>
      <c r="AM679">
        <v>438417.29140332731</v>
      </c>
      <c r="AN679">
        <v>5126.1072693892511</v>
      </c>
      <c r="AO679">
        <v>192337.90848662099</v>
      </c>
      <c r="AP679">
        <v>623539.82213433948</v>
      </c>
      <c r="AQ679">
        <v>431201.91364771849</v>
      </c>
      <c r="AR679">
        <v>9.9548359341269863E-3</v>
      </c>
      <c r="AS679">
        <v>221.13729607222109</v>
      </c>
      <c r="AT679">
        <v>541.19393830420051</v>
      </c>
      <c r="AU679">
        <v>6.3278028391867984</v>
      </c>
      <c r="AV679">
        <v>237.4270180947461</v>
      </c>
      <c r="AW679">
        <v>769.71410263090479</v>
      </c>
      <c r="AX679">
        <v>532.28708453615877</v>
      </c>
      <c r="AY679">
        <v>1.3966295182043891</v>
      </c>
      <c r="AZ679" t="s">
        <v>124</v>
      </c>
      <c r="BA679" t="str">
        <f>VLOOKUP($AZ679,Sheet1!$A$2:$B$58,2)</f>
        <v>Coumaric Acid</v>
      </c>
      <c r="BB679" t="s">
        <v>174</v>
      </c>
      <c r="BC679">
        <v>163.14818</v>
      </c>
      <c r="BD679">
        <v>4.1111111111111107</v>
      </c>
      <c r="BE679">
        <v>346</v>
      </c>
      <c r="BF679" t="s">
        <v>209</v>
      </c>
      <c r="BG679">
        <v>28.554168565725899</v>
      </c>
      <c r="BH679">
        <v>8.7068332108743707E-3</v>
      </c>
      <c r="BI679">
        <v>3.0860663397416201E-2</v>
      </c>
      <c r="BJ679">
        <v>80</v>
      </c>
      <c r="BK679">
        <v>31176.991106716981</v>
      </c>
      <c r="BL679">
        <v>21560.095682385931</v>
      </c>
      <c r="BM679">
        <v>28.015804518574392</v>
      </c>
      <c r="BN679">
        <v>4762.6867681576468</v>
      </c>
      <c r="BO679">
        <v>26414.30433855933</v>
      </c>
    </row>
    <row r="680" spans="1:67" x14ac:dyDescent="0.25">
      <c r="A680" s="1">
        <v>678</v>
      </c>
      <c r="B680" t="s">
        <v>73</v>
      </c>
      <c r="C680" t="s">
        <v>85</v>
      </c>
      <c r="D680">
        <v>1</v>
      </c>
      <c r="E680">
        <v>1</v>
      </c>
      <c r="F680">
        <v>2</v>
      </c>
      <c r="G680">
        <v>45.016539999999999</v>
      </c>
      <c r="H680">
        <v>2</v>
      </c>
      <c r="I680" t="s">
        <v>89</v>
      </c>
      <c r="J680">
        <v>4</v>
      </c>
      <c r="K680">
        <v>300</v>
      </c>
      <c r="L680">
        <v>70</v>
      </c>
      <c r="N680" t="s">
        <v>82</v>
      </c>
      <c r="O680">
        <v>30</v>
      </c>
      <c r="P680">
        <v>0.5</v>
      </c>
      <c r="Q680">
        <v>3.2500000000000001E-2</v>
      </c>
      <c r="R680">
        <v>77.5</v>
      </c>
      <c r="S680">
        <v>170</v>
      </c>
      <c r="T680">
        <v>20</v>
      </c>
      <c r="U680">
        <v>1812.1301775147931</v>
      </c>
      <c r="V680">
        <v>20</v>
      </c>
      <c r="W680">
        <v>0.95</v>
      </c>
      <c r="X680">
        <v>1</v>
      </c>
      <c r="Y680">
        <v>410921.38593306858</v>
      </c>
      <c r="Z680">
        <v>1232764157.799206</v>
      </c>
      <c r="AA680">
        <v>4931056631.1968231</v>
      </c>
      <c r="AB680">
        <v>4931056.631196823</v>
      </c>
      <c r="AC680">
        <v>0</v>
      </c>
      <c r="AD680">
        <v>12776.700051155711</v>
      </c>
      <c r="AE680">
        <v>22998060.09208028</v>
      </c>
      <c r="AF680">
        <v>16098642.0644562</v>
      </c>
      <c r="AG680">
        <v>724.70516444027498</v>
      </c>
      <c r="AH680">
        <v>5060.7231232622653</v>
      </c>
      <c r="AI680">
        <v>1012.144624652453</v>
      </c>
      <c r="AJ680">
        <v>160259.34051389681</v>
      </c>
      <c r="AK680">
        <v>854.70085470085473</v>
      </c>
      <c r="AL680" t="s">
        <v>93</v>
      </c>
      <c r="AM680">
        <v>392206.04205282562</v>
      </c>
      <c r="AN680">
        <v>4585.7913971185026</v>
      </c>
      <c r="AO680">
        <v>172064.58619091701</v>
      </c>
      <c r="AP680">
        <v>557905.87481854169</v>
      </c>
      <c r="AQ680">
        <v>385841.28862762463</v>
      </c>
      <c r="AR680">
        <v>9.9548359341269828E-3</v>
      </c>
      <c r="AS680">
        <v>221.13729607222109</v>
      </c>
      <c r="AT680">
        <v>541.1939383042004</v>
      </c>
      <c r="AU680">
        <v>6.3278028391867931</v>
      </c>
      <c r="AV680">
        <v>237.42701809474599</v>
      </c>
      <c r="AW680">
        <v>769.83841456330663</v>
      </c>
      <c r="AX680">
        <v>532.41139646856061</v>
      </c>
      <c r="AY680">
        <v>1.396629518204388</v>
      </c>
      <c r="AZ680" t="s">
        <v>125</v>
      </c>
      <c r="BA680" t="str">
        <f>VLOOKUP($AZ680,Sheet1!$A$2:$B$58,2)</f>
        <v>Ethyl Acetate</v>
      </c>
      <c r="BB680" t="s">
        <v>175</v>
      </c>
      <c r="BC680">
        <v>88.103520000000003</v>
      </c>
      <c r="BD680">
        <v>5</v>
      </c>
      <c r="BE680">
        <v>77.099999999999994</v>
      </c>
      <c r="BF680" t="s">
        <v>209</v>
      </c>
      <c r="BG680">
        <v>25.718212658144981</v>
      </c>
      <c r="BH680">
        <v>1.8022813688212999E-2</v>
      </c>
      <c r="BI680">
        <v>3.44967874201762E-2</v>
      </c>
      <c r="BJ680">
        <v>80</v>
      </c>
      <c r="BK680">
        <v>27895.293740927082</v>
      </c>
      <c r="BL680">
        <v>19292.06443138123</v>
      </c>
      <c r="BM680">
        <v>24.889018574477671</v>
      </c>
      <c r="BN680">
        <v>4231.1331576612047</v>
      </c>
      <c r="BO680">
        <v>23664.160583265879</v>
      </c>
    </row>
    <row r="681" spans="1:67" x14ac:dyDescent="0.25">
      <c r="A681" s="1">
        <v>679</v>
      </c>
      <c r="B681" t="s">
        <v>73</v>
      </c>
      <c r="C681" t="s">
        <v>85</v>
      </c>
      <c r="D681">
        <v>1</v>
      </c>
      <c r="E681">
        <v>1</v>
      </c>
      <c r="F681">
        <v>2</v>
      </c>
      <c r="G681">
        <v>45.016539999999999</v>
      </c>
      <c r="H681">
        <v>2</v>
      </c>
      <c r="I681" t="s">
        <v>89</v>
      </c>
      <c r="J681">
        <v>4</v>
      </c>
      <c r="K681">
        <v>300</v>
      </c>
      <c r="L681">
        <v>70</v>
      </c>
      <c r="N681" t="s">
        <v>82</v>
      </c>
      <c r="O681">
        <v>30</v>
      </c>
      <c r="P681">
        <v>0.5</v>
      </c>
      <c r="Q681">
        <v>3.2500000000000001E-2</v>
      </c>
      <c r="R681">
        <v>77.5</v>
      </c>
      <c r="S681">
        <v>170</v>
      </c>
      <c r="T681">
        <v>20</v>
      </c>
      <c r="U681">
        <v>1812.1301775147931</v>
      </c>
      <c r="V681">
        <v>20</v>
      </c>
      <c r="W681">
        <v>0.95</v>
      </c>
      <c r="X681">
        <v>1</v>
      </c>
      <c r="Y681">
        <v>759994.68843617802</v>
      </c>
      <c r="Z681">
        <v>2279984065.3085341</v>
      </c>
      <c r="AA681">
        <v>9119936261.2341366</v>
      </c>
      <c r="AB681">
        <v>9119936.2612341363</v>
      </c>
      <c r="AC681">
        <v>0</v>
      </c>
      <c r="AD681">
        <v>23630.36947461819</v>
      </c>
      <c r="AE681">
        <v>42534665.054312743</v>
      </c>
      <c r="AF681">
        <v>29774265.53801892</v>
      </c>
      <c r="AG681">
        <v>1340.3344155628499</v>
      </c>
      <c r="AH681">
        <v>9359.753045201518</v>
      </c>
      <c r="AI681">
        <v>1871.950609040304</v>
      </c>
      <c r="AJ681">
        <v>296397.92849010951</v>
      </c>
      <c r="AK681">
        <v>1835.336538461539</v>
      </c>
      <c r="AL681" t="s">
        <v>94</v>
      </c>
      <c r="AM681">
        <v>725380.86100311764</v>
      </c>
      <c r="AN681">
        <v>8481.3719202583779</v>
      </c>
      <c r="AO681">
        <v>318231.60353685159</v>
      </c>
      <c r="AP681">
        <v>1032095.497951947</v>
      </c>
      <c r="AQ681">
        <v>713863.89441509545</v>
      </c>
      <c r="AR681">
        <v>9.9548359341269845E-3</v>
      </c>
      <c r="AS681">
        <v>221.13729607222109</v>
      </c>
      <c r="AT681">
        <v>541.1939383042004</v>
      </c>
      <c r="AU681">
        <v>6.3278028391867958</v>
      </c>
      <c r="AV681">
        <v>237.42701809474599</v>
      </c>
      <c r="AW681">
        <v>770.02834961790973</v>
      </c>
      <c r="AX681">
        <v>532.60133152316371</v>
      </c>
      <c r="AY681">
        <v>1.396629518204388</v>
      </c>
      <c r="AZ681" t="s">
        <v>126</v>
      </c>
      <c r="BA681" t="str">
        <f>VLOOKUP($AZ681,Sheet1!$A$2:$B$58,2)</f>
        <v>Farnesene</v>
      </c>
      <c r="BB681" t="s">
        <v>176</v>
      </c>
      <c r="BC681">
        <v>204.34866</v>
      </c>
      <c r="BD681">
        <v>5.6</v>
      </c>
      <c r="BE681" t="s">
        <v>198</v>
      </c>
      <c r="BF681" t="s">
        <v>209</v>
      </c>
      <c r="BG681">
        <v>48.030521877707088</v>
      </c>
      <c r="BH681">
        <v>4.2013827335578803E-3</v>
      </c>
      <c r="BI681">
        <v>1.8652061537569101E-2</v>
      </c>
      <c r="BJ681">
        <v>80</v>
      </c>
      <c r="BK681">
        <v>51604.774897597359</v>
      </c>
      <c r="BL681">
        <v>35693.194720754771</v>
      </c>
      <c r="BM681">
        <v>45.567008574308119</v>
      </c>
      <c r="BN681">
        <v>7746.3914576323796</v>
      </c>
      <c r="BO681">
        <v>43858.383439964979</v>
      </c>
    </row>
    <row r="682" spans="1:67" x14ac:dyDescent="0.25">
      <c r="A682" s="1">
        <v>680</v>
      </c>
      <c r="B682" t="s">
        <v>73</v>
      </c>
      <c r="C682" t="s">
        <v>85</v>
      </c>
      <c r="D682">
        <v>1</v>
      </c>
      <c r="E682">
        <v>1</v>
      </c>
      <c r="F682">
        <v>2</v>
      </c>
      <c r="G682">
        <v>45.016539999999999</v>
      </c>
      <c r="H682">
        <v>2</v>
      </c>
      <c r="I682" t="s">
        <v>89</v>
      </c>
      <c r="J682">
        <v>4</v>
      </c>
      <c r="K682">
        <v>300</v>
      </c>
      <c r="L682">
        <v>70</v>
      </c>
      <c r="N682" t="s">
        <v>82</v>
      </c>
      <c r="O682">
        <v>30</v>
      </c>
      <c r="P682">
        <v>0.5</v>
      </c>
      <c r="Q682">
        <v>3.2500000000000001E-2</v>
      </c>
      <c r="R682">
        <v>77.5</v>
      </c>
      <c r="S682">
        <v>170</v>
      </c>
      <c r="T682">
        <v>20</v>
      </c>
      <c r="U682">
        <v>1812.1301775147931</v>
      </c>
      <c r="V682">
        <v>20</v>
      </c>
      <c r="W682">
        <v>0.95</v>
      </c>
      <c r="X682">
        <v>1</v>
      </c>
      <c r="Y682">
        <v>394318.83031538938</v>
      </c>
      <c r="Z682">
        <v>1182956490.9461679</v>
      </c>
      <c r="AA682">
        <v>4731825963.7846727</v>
      </c>
      <c r="AB682">
        <v>4731825.9637846723</v>
      </c>
      <c r="AC682">
        <v>0</v>
      </c>
      <c r="AD682">
        <v>12260.47996509704</v>
      </c>
      <c r="AE682">
        <v>22068863.93717467</v>
      </c>
      <c r="AF682">
        <v>15448204.756022271</v>
      </c>
      <c r="AG682">
        <v>695.42472732766669</v>
      </c>
      <c r="AH682">
        <v>4856.2535093752858</v>
      </c>
      <c r="AI682">
        <v>971.25070187505719</v>
      </c>
      <c r="AJ682">
        <v>153784.34382300189</v>
      </c>
      <c r="AK682">
        <v>1835.336538461539</v>
      </c>
      <c r="AL682" t="s">
        <v>94</v>
      </c>
      <c r="AM682">
        <v>376359.64697658463</v>
      </c>
      <c r="AN682">
        <v>4400.510564024712</v>
      </c>
      <c r="AO682">
        <v>165112.61931875971</v>
      </c>
      <c r="AP682">
        <v>536379.8379020727</v>
      </c>
      <c r="AQ682">
        <v>371267.21858331299</v>
      </c>
      <c r="AR682">
        <v>9.9548359341269863E-3</v>
      </c>
      <c r="AS682">
        <v>221.13729607222109</v>
      </c>
      <c r="AT682">
        <v>541.1939383042004</v>
      </c>
      <c r="AU682">
        <v>6.3278028391867958</v>
      </c>
      <c r="AV682">
        <v>237.42701809474599</v>
      </c>
      <c r="AW682">
        <v>771.29819637452158</v>
      </c>
      <c r="AX682">
        <v>533.87117827977556</v>
      </c>
      <c r="AY682">
        <v>1.396629518204388</v>
      </c>
      <c r="AZ682" t="s">
        <v>127</v>
      </c>
      <c r="BA682" t="str">
        <f>VLOOKUP($AZ682,Sheet1!$A$2:$B$58,2)</f>
        <v>Gamma Butyrolactone</v>
      </c>
      <c r="BB682" t="s">
        <v>177</v>
      </c>
      <c r="BC682">
        <v>86.08784</v>
      </c>
      <c r="BD682">
        <v>4.5</v>
      </c>
      <c r="BE682">
        <v>204</v>
      </c>
      <c r="BF682" t="s">
        <v>209</v>
      </c>
      <c r="BG682">
        <v>24.551599589619041</v>
      </c>
      <c r="BH682">
        <v>1.92214111922141E-2</v>
      </c>
      <c r="BI682">
        <v>3.5949253769086399E-2</v>
      </c>
      <c r="BJ682">
        <v>80</v>
      </c>
      <c r="BK682">
        <v>26818.991895103631</v>
      </c>
      <c r="BL682">
        <v>18563.36092916565</v>
      </c>
      <c r="BM682">
        <v>24.010935504133808</v>
      </c>
      <c r="BN682">
        <v>4081.859035702747</v>
      </c>
      <c r="BO682">
        <v>22737.132859400888</v>
      </c>
    </row>
    <row r="683" spans="1:67" x14ac:dyDescent="0.25">
      <c r="A683" s="1">
        <v>681</v>
      </c>
      <c r="B683" t="s">
        <v>73</v>
      </c>
      <c r="C683" t="s">
        <v>85</v>
      </c>
      <c r="D683">
        <v>1</v>
      </c>
      <c r="E683">
        <v>1</v>
      </c>
      <c r="F683">
        <v>2</v>
      </c>
      <c r="G683">
        <v>45.016539999999999</v>
      </c>
      <c r="H683">
        <v>2</v>
      </c>
      <c r="I683" t="s">
        <v>89</v>
      </c>
      <c r="J683">
        <v>4</v>
      </c>
      <c r="K683">
        <v>300</v>
      </c>
      <c r="L683">
        <v>70</v>
      </c>
      <c r="N683" t="s">
        <v>82</v>
      </c>
      <c r="O683">
        <v>30</v>
      </c>
      <c r="P683">
        <v>0.5</v>
      </c>
      <c r="Q683">
        <v>3.2500000000000001E-2</v>
      </c>
      <c r="R683">
        <v>77.5</v>
      </c>
      <c r="S683">
        <v>170</v>
      </c>
      <c r="T683">
        <v>20</v>
      </c>
      <c r="U683">
        <v>1812.1301775147931</v>
      </c>
      <c r="V683">
        <v>20</v>
      </c>
      <c r="W683">
        <v>0.95</v>
      </c>
      <c r="X683">
        <v>1</v>
      </c>
      <c r="Y683">
        <v>230810.67263687201</v>
      </c>
      <c r="Z683">
        <v>692432017.91061616</v>
      </c>
      <c r="AA683">
        <v>2769728071.6424651</v>
      </c>
      <c r="AB683">
        <v>2769728.071642464</v>
      </c>
      <c r="AC683">
        <v>0</v>
      </c>
      <c r="AD683">
        <v>7176.5520944854024</v>
      </c>
      <c r="AE683">
        <v>12917793.770073719</v>
      </c>
      <c r="AF683">
        <v>9042455.639051605</v>
      </c>
      <c r="AG683">
        <v>407.06006597359209</v>
      </c>
      <c r="AH683">
        <v>2842.560519104723</v>
      </c>
      <c r="AI683">
        <v>568.5121038209445</v>
      </c>
      <c r="AJ683">
        <v>90016.162328380102</v>
      </c>
      <c r="AK683">
        <v>854.70085470085473</v>
      </c>
      <c r="AL683" t="s">
        <v>93</v>
      </c>
      <c r="AM683">
        <v>220298.44023061599</v>
      </c>
      <c r="AN683">
        <v>2575.795841187261</v>
      </c>
      <c r="AO683">
        <v>96647.057649560564</v>
      </c>
      <c r="AP683">
        <v>313745.09925488418</v>
      </c>
      <c r="AQ683">
        <v>217098.04160532361</v>
      </c>
      <c r="AR683">
        <v>9.9548359341269845E-3</v>
      </c>
      <c r="AS683">
        <v>221.13729607222109</v>
      </c>
      <c r="AT683">
        <v>541.19393830420051</v>
      </c>
      <c r="AU683">
        <v>6.3278028391867958</v>
      </c>
      <c r="AV683">
        <v>237.42701809474599</v>
      </c>
      <c r="AW683">
        <v>770.75872943831894</v>
      </c>
      <c r="AX683">
        <v>533.33171134357292</v>
      </c>
      <c r="AY683">
        <v>1.396629518204388</v>
      </c>
      <c r="AZ683" t="s">
        <v>128</v>
      </c>
      <c r="BA683" t="str">
        <f>VLOOKUP($AZ683,Sheet1!$A$2:$B$58,2)</f>
        <v>L-Glutamate</v>
      </c>
      <c r="BB683" t="s">
        <v>178</v>
      </c>
      <c r="BC683">
        <v>146.11892</v>
      </c>
      <c r="BD683">
        <v>3.4</v>
      </c>
      <c r="BE683">
        <v>333.8</v>
      </c>
      <c r="BF683" t="s">
        <v>209</v>
      </c>
      <c r="BG683">
        <v>14.06202893514857</v>
      </c>
      <c r="BH683">
        <v>1.9346938775510199E-2</v>
      </c>
      <c r="BI683">
        <v>6.1415997514287897E-2</v>
      </c>
      <c r="BJ683">
        <v>80</v>
      </c>
      <c r="BK683">
        <v>15687.254962744209</v>
      </c>
      <c r="BL683">
        <v>10854.90208026618</v>
      </c>
      <c r="BM683">
        <v>14.363576255898661</v>
      </c>
      <c r="BN683">
        <v>2441.8079635027721</v>
      </c>
      <c r="BO683">
        <v>13245.446999241431</v>
      </c>
    </row>
    <row r="684" spans="1:67" x14ac:dyDescent="0.25">
      <c r="A684" s="1">
        <v>682</v>
      </c>
      <c r="B684" t="s">
        <v>73</v>
      </c>
      <c r="C684" t="s">
        <v>85</v>
      </c>
      <c r="D684">
        <v>1</v>
      </c>
      <c r="E684">
        <v>1</v>
      </c>
      <c r="F684">
        <v>2</v>
      </c>
      <c r="G684">
        <v>45.016539999999999</v>
      </c>
      <c r="H684">
        <v>2</v>
      </c>
      <c r="I684" t="s">
        <v>89</v>
      </c>
      <c r="J684">
        <v>4</v>
      </c>
      <c r="K684">
        <v>300</v>
      </c>
      <c r="L684">
        <v>70</v>
      </c>
      <c r="N684" t="s">
        <v>82</v>
      </c>
      <c r="O684">
        <v>30</v>
      </c>
      <c r="P684">
        <v>0.5</v>
      </c>
      <c r="Q684">
        <v>3.2500000000000001E-2</v>
      </c>
      <c r="R684">
        <v>77.5</v>
      </c>
      <c r="S684">
        <v>170</v>
      </c>
      <c r="T684">
        <v>20</v>
      </c>
      <c r="U684">
        <v>1812.1301775147931</v>
      </c>
      <c r="V684">
        <v>20</v>
      </c>
      <c r="W684">
        <v>0.95</v>
      </c>
      <c r="X684">
        <v>1</v>
      </c>
      <c r="Y684">
        <v>360603.631119709</v>
      </c>
      <c r="Z684">
        <v>1081810893.359127</v>
      </c>
      <c r="AA684">
        <v>4327243573.4365082</v>
      </c>
      <c r="AB684">
        <v>4327243.573436508</v>
      </c>
      <c r="AC684">
        <v>0</v>
      </c>
      <c r="AD684">
        <v>11212.179725599801</v>
      </c>
      <c r="AE684">
        <v>20181923.50607964</v>
      </c>
      <c r="AF684">
        <v>14127346.454255739</v>
      </c>
      <c r="AG684">
        <v>635.96425675186197</v>
      </c>
      <c r="AH684">
        <v>4441.0322675128236</v>
      </c>
      <c r="AI684">
        <v>888.20645350256484</v>
      </c>
      <c r="AJ684">
        <v>140635.41613668649</v>
      </c>
      <c r="AK684">
        <v>854.70085470085473</v>
      </c>
      <c r="AL684" t="s">
        <v>93</v>
      </c>
      <c r="AM684">
        <v>344180.00073224382</v>
      </c>
      <c r="AN684">
        <v>4024.2564294957519</v>
      </c>
      <c r="AO684">
        <v>150995.09709543601</v>
      </c>
      <c r="AP684">
        <v>489694.37415312702</v>
      </c>
      <c r="AQ684">
        <v>338699.27705769101</v>
      </c>
      <c r="AR684">
        <v>9.9548359341269828E-3</v>
      </c>
      <c r="AS684">
        <v>221.13729607222109</v>
      </c>
      <c r="AT684">
        <v>541.1939383042004</v>
      </c>
      <c r="AU684">
        <v>6.3278028391867958</v>
      </c>
      <c r="AV684">
        <v>237.42701809474599</v>
      </c>
      <c r="AW684">
        <v>770.00298201380531</v>
      </c>
      <c r="AX684">
        <v>532.57596391905929</v>
      </c>
      <c r="AY684">
        <v>1.396629518204388</v>
      </c>
      <c r="AZ684" t="s">
        <v>129</v>
      </c>
      <c r="BA684" t="str">
        <f>VLOOKUP($AZ684,Sheet1!$A$2:$B$58,2)</f>
        <v>Glutarate</v>
      </c>
      <c r="BB684" t="s">
        <v>179</v>
      </c>
      <c r="BC684">
        <v>130.09654</v>
      </c>
      <c r="BD684">
        <v>3.6</v>
      </c>
      <c r="BE684">
        <v>200</v>
      </c>
      <c r="BF684" t="s">
        <v>209</v>
      </c>
      <c r="BG684">
        <v>22.630988427050031</v>
      </c>
      <c r="BH684">
        <v>1.3908450704225301E-2</v>
      </c>
      <c r="BI684">
        <v>3.93103853472608E-2</v>
      </c>
      <c r="BJ684">
        <v>80</v>
      </c>
      <c r="BK684">
        <v>24484.71870765635</v>
      </c>
      <c r="BL684">
        <v>16934.96385288455</v>
      </c>
      <c r="BM684">
        <v>21.779334248078211</v>
      </c>
      <c r="BN684">
        <v>3702.4868221732959</v>
      </c>
      <c r="BO684">
        <v>20782.231885483048</v>
      </c>
    </row>
    <row r="685" spans="1:67" x14ac:dyDescent="0.25">
      <c r="A685" s="1">
        <v>683</v>
      </c>
      <c r="B685" t="s">
        <v>73</v>
      </c>
      <c r="C685" t="s">
        <v>85</v>
      </c>
      <c r="D685">
        <v>1</v>
      </c>
      <c r="E685">
        <v>1</v>
      </c>
      <c r="F685">
        <v>2</v>
      </c>
      <c r="G685">
        <v>45.016539999999999</v>
      </c>
      <c r="H685">
        <v>2</v>
      </c>
      <c r="I685" t="s">
        <v>89</v>
      </c>
      <c r="J685">
        <v>4</v>
      </c>
      <c r="K685">
        <v>300</v>
      </c>
      <c r="L685">
        <v>70</v>
      </c>
      <c r="N685" t="s">
        <v>82</v>
      </c>
      <c r="O685">
        <v>30</v>
      </c>
      <c r="P685">
        <v>0.5</v>
      </c>
      <c r="Q685">
        <v>3.2500000000000001E-2</v>
      </c>
      <c r="R685">
        <v>77.5</v>
      </c>
      <c r="S685">
        <v>170</v>
      </c>
      <c r="T685">
        <v>20</v>
      </c>
      <c r="U685">
        <v>1812.1301775147931</v>
      </c>
      <c r="V685">
        <v>20</v>
      </c>
      <c r="W685">
        <v>0.95</v>
      </c>
      <c r="X685">
        <v>1</v>
      </c>
      <c r="Y685">
        <v>179036.7296481482</v>
      </c>
      <c r="Z685">
        <v>537110188.94444454</v>
      </c>
      <c r="AA685">
        <v>2148440755.7777781</v>
      </c>
      <c r="AB685">
        <v>2148440.7557777781</v>
      </c>
      <c r="AC685">
        <v>0</v>
      </c>
      <c r="AD685">
        <v>5566.7547885347512</v>
      </c>
      <c r="AE685">
        <v>10020158.61936255</v>
      </c>
      <c r="AF685">
        <v>7014111.0335537856</v>
      </c>
      <c r="AG685">
        <v>315.75100990641528</v>
      </c>
      <c r="AH685">
        <v>2204.9359041907292</v>
      </c>
      <c r="AI685">
        <v>440.98718083814578</v>
      </c>
      <c r="AJ685">
        <v>69824.324562777794</v>
      </c>
      <c r="AK685">
        <v>854.70085470085473</v>
      </c>
      <c r="AL685" t="s">
        <v>93</v>
      </c>
      <c r="AM685">
        <v>170882.53257478151</v>
      </c>
      <c r="AN685">
        <v>1998.010136961914</v>
      </c>
      <c r="AO685">
        <v>74967.820742484793</v>
      </c>
      <c r="AP685">
        <v>243559.56812922211</v>
      </c>
      <c r="AQ685">
        <v>168591.74738673729</v>
      </c>
      <c r="AR685">
        <v>9.9548359341269845E-3</v>
      </c>
      <c r="AS685">
        <v>221.13729607222109</v>
      </c>
      <c r="AT685">
        <v>541.1939383042004</v>
      </c>
      <c r="AU685">
        <v>6.3278028391867966</v>
      </c>
      <c r="AV685">
        <v>237.42701809474599</v>
      </c>
      <c r="AW685">
        <v>771.36591962575221</v>
      </c>
      <c r="AX685">
        <v>533.9389015310062</v>
      </c>
      <c r="AY685">
        <v>1.396629518204388</v>
      </c>
      <c r="AZ685" t="s">
        <v>130</v>
      </c>
      <c r="BA685" t="str">
        <f>VLOOKUP($AZ685,Sheet1!$A$2:$B$58,2)</f>
        <v>Glycolate</v>
      </c>
      <c r="BB685" t="s">
        <v>180</v>
      </c>
      <c r="BC685">
        <v>75.041920000000005</v>
      </c>
      <c r="BD685">
        <v>2.5</v>
      </c>
      <c r="BE685">
        <v>112</v>
      </c>
      <c r="BF685" t="s">
        <v>209</v>
      </c>
      <c r="BG685">
        <v>10.902938895412451</v>
      </c>
      <c r="BH685">
        <v>4.85655737704919E-2</v>
      </c>
      <c r="BI685">
        <v>7.9176310496709701E-2</v>
      </c>
      <c r="BJ685">
        <v>80</v>
      </c>
      <c r="BK685">
        <v>12177.978406461099</v>
      </c>
      <c r="BL685">
        <v>8429.587369336863</v>
      </c>
      <c r="BM685">
        <v>11.14642014649484</v>
      </c>
      <c r="BN685">
        <v>1894.8914249041229</v>
      </c>
      <c r="BO685">
        <v>10283.08698155698</v>
      </c>
    </row>
    <row r="686" spans="1:67" x14ac:dyDescent="0.25">
      <c r="A686" s="1">
        <v>684</v>
      </c>
      <c r="B686" t="s">
        <v>73</v>
      </c>
      <c r="C686" t="s">
        <v>85</v>
      </c>
      <c r="D686">
        <v>1</v>
      </c>
      <c r="E686">
        <v>1</v>
      </c>
      <c r="F686">
        <v>2</v>
      </c>
      <c r="G686">
        <v>45.016539999999999</v>
      </c>
      <c r="H686">
        <v>2</v>
      </c>
      <c r="I686" t="s">
        <v>89</v>
      </c>
      <c r="J686">
        <v>4</v>
      </c>
      <c r="K686">
        <v>300</v>
      </c>
      <c r="L686">
        <v>70</v>
      </c>
      <c r="N686" t="s">
        <v>82</v>
      </c>
      <c r="O686">
        <v>30</v>
      </c>
      <c r="P686">
        <v>0.5</v>
      </c>
      <c r="Q686">
        <v>3.2500000000000001E-2</v>
      </c>
      <c r="R686">
        <v>77.5</v>
      </c>
      <c r="S686">
        <v>170</v>
      </c>
      <c r="T686">
        <v>20</v>
      </c>
      <c r="U686">
        <v>1812.1301775147931</v>
      </c>
      <c r="V686">
        <v>20</v>
      </c>
      <c r="W686">
        <v>0.95</v>
      </c>
      <c r="X686">
        <v>1</v>
      </c>
      <c r="Y686">
        <v>832804.36482151342</v>
      </c>
      <c r="Z686">
        <v>2498413094.46454</v>
      </c>
      <c r="AA686">
        <v>9993652377.8581619</v>
      </c>
      <c r="AB686">
        <v>9993652.3778581619</v>
      </c>
      <c r="AC686">
        <v>0</v>
      </c>
      <c r="AD686">
        <v>25894.226815322942</v>
      </c>
      <c r="AE686">
        <v>46609608.267581291</v>
      </c>
      <c r="AF686">
        <v>32626725.787306901</v>
      </c>
      <c r="AG686">
        <v>1468.742306473333</v>
      </c>
      <c r="AH686">
        <v>10256.44429928126</v>
      </c>
      <c r="AI686">
        <v>2051.2888598562531</v>
      </c>
      <c r="AJ686">
        <v>324793.70228039031</v>
      </c>
      <c r="AK686">
        <v>854.70085470085473</v>
      </c>
      <c r="AL686" t="s">
        <v>93</v>
      </c>
      <c r="AM686">
        <v>794874.43319429783</v>
      </c>
      <c r="AN686">
        <v>9293.9117369357173</v>
      </c>
      <c r="AO686">
        <v>348719.10617556289</v>
      </c>
      <c r="AP686">
        <v>1129816.748066325</v>
      </c>
      <c r="AQ686">
        <v>781097.64189076156</v>
      </c>
      <c r="AR686">
        <v>9.9548359341269845E-3</v>
      </c>
      <c r="AS686">
        <v>221.13729607222109</v>
      </c>
      <c r="AT686">
        <v>541.19393830420051</v>
      </c>
      <c r="AU686">
        <v>6.3278028391867958</v>
      </c>
      <c r="AV686">
        <v>237.42701809474599</v>
      </c>
      <c r="AW686">
        <v>769.2409642500063</v>
      </c>
      <c r="AX686">
        <v>531.81394615526028</v>
      </c>
      <c r="AY686">
        <v>1.396629518204388</v>
      </c>
      <c r="AZ686" t="s">
        <v>131</v>
      </c>
      <c r="BA686" t="str">
        <f>VLOOKUP($AZ686,Sheet1!$A$2:$B$58,2)</f>
        <v>Heptane</v>
      </c>
      <c r="BB686" t="s">
        <v>181</v>
      </c>
      <c r="BC686">
        <v>100.20034</v>
      </c>
      <c r="BD686">
        <v>6.2857142857142856</v>
      </c>
      <c r="BE686">
        <v>98</v>
      </c>
      <c r="BF686" t="s">
        <v>209</v>
      </c>
      <c r="BG686">
        <v>53.097443568895677</v>
      </c>
      <c r="BH686">
        <v>7.8192015836357903E-3</v>
      </c>
      <c r="BI686">
        <v>1.7021365756140501E-2</v>
      </c>
      <c r="BJ686">
        <v>80</v>
      </c>
      <c r="BK686">
        <v>56490.837403316233</v>
      </c>
      <c r="BL686">
        <v>39054.882094538079</v>
      </c>
      <c r="BM686">
        <v>49.466999423916931</v>
      </c>
      <c r="BN686">
        <v>8409.3899020658791</v>
      </c>
      <c r="BO686">
        <v>48081.447501250354</v>
      </c>
    </row>
    <row r="687" spans="1:67" x14ac:dyDescent="0.25">
      <c r="A687" s="1">
        <v>685</v>
      </c>
      <c r="B687" t="s">
        <v>73</v>
      </c>
      <c r="C687" t="s">
        <v>85</v>
      </c>
      <c r="D687">
        <v>1</v>
      </c>
      <c r="E687">
        <v>1</v>
      </c>
      <c r="F687">
        <v>2</v>
      </c>
      <c r="G687">
        <v>45.016539999999999</v>
      </c>
      <c r="H687">
        <v>2</v>
      </c>
      <c r="I687" t="s">
        <v>89</v>
      </c>
      <c r="J687">
        <v>4</v>
      </c>
      <c r="K687">
        <v>300</v>
      </c>
      <c r="L687">
        <v>70</v>
      </c>
      <c r="N687" t="s">
        <v>82</v>
      </c>
      <c r="O687">
        <v>30</v>
      </c>
      <c r="P687">
        <v>0.5</v>
      </c>
      <c r="Q687">
        <v>3.2500000000000001E-2</v>
      </c>
      <c r="R687">
        <v>77.5</v>
      </c>
      <c r="S687">
        <v>170</v>
      </c>
      <c r="T687">
        <v>20</v>
      </c>
      <c r="U687">
        <v>1812.1301775147931</v>
      </c>
      <c r="V687">
        <v>20</v>
      </c>
      <c r="W687">
        <v>0.95</v>
      </c>
      <c r="X687">
        <v>1</v>
      </c>
      <c r="Y687">
        <v>829063.0559953443</v>
      </c>
      <c r="Z687">
        <v>2487189167.986033</v>
      </c>
      <c r="AA687">
        <v>9948756671.9441319</v>
      </c>
      <c r="AB687">
        <v>9948756.6719441321</v>
      </c>
      <c r="AC687">
        <v>0</v>
      </c>
      <c r="AD687">
        <v>25777.899015634041</v>
      </c>
      <c r="AE687">
        <v>46400218.228141278</v>
      </c>
      <c r="AF687">
        <v>32480152.75969889</v>
      </c>
      <c r="AG687">
        <v>1462.144095913095</v>
      </c>
      <c r="AH687">
        <v>10210.368021102489</v>
      </c>
      <c r="AI687">
        <v>2042.0736042204981</v>
      </c>
      <c r="AJ687">
        <v>323334.59183818428</v>
      </c>
      <c r="AK687">
        <v>854.70085470085473</v>
      </c>
      <c r="AL687" t="s">
        <v>93</v>
      </c>
      <c r="AM687">
        <v>791303.52163544274</v>
      </c>
      <c r="AN687">
        <v>9252.1595614190974</v>
      </c>
      <c r="AO687">
        <v>347152.51271748461</v>
      </c>
      <c r="AP687">
        <v>1124744.9738897469</v>
      </c>
      <c r="AQ687">
        <v>777592.46117226232</v>
      </c>
      <c r="AR687">
        <v>9.9548359341269845E-3</v>
      </c>
      <c r="AS687">
        <v>221.13729607222109</v>
      </c>
      <c r="AT687">
        <v>541.19393830420051</v>
      </c>
      <c r="AU687">
        <v>6.3278028391867966</v>
      </c>
      <c r="AV687">
        <v>237.4270180947461</v>
      </c>
      <c r="AW687">
        <v>769.24359030930816</v>
      </c>
      <c r="AX687">
        <v>531.81657221456203</v>
      </c>
      <c r="AY687">
        <v>1.396629518204388</v>
      </c>
      <c r="AZ687" t="s">
        <v>132</v>
      </c>
      <c r="BA687" t="str">
        <f>VLOOKUP($AZ687,Sheet1!$A$2:$B$58,2)</f>
        <v>Hexane</v>
      </c>
      <c r="BB687" t="s">
        <v>182</v>
      </c>
      <c r="BC687">
        <v>86.173959999999994</v>
      </c>
      <c r="BD687">
        <v>6.333333333333333</v>
      </c>
      <c r="BE687">
        <v>69</v>
      </c>
      <c r="BF687" t="s">
        <v>209</v>
      </c>
      <c r="BG687">
        <v>52.855369019788313</v>
      </c>
      <c r="BH687">
        <v>9.1329479768780305E-3</v>
      </c>
      <c r="BI687">
        <v>1.7098177990718302E-2</v>
      </c>
      <c r="BJ687">
        <v>80</v>
      </c>
      <c r="BK687">
        <v>56237.248694487353</v>
      </c>
      <c r="BL687">
        <v>38879.623058613113</v>
      </c>
      <c r="BM687">
        <v>49.248311191236567</v>
      </c>
      <c r="BN687">
        <v>8372.2129025102167</v>
      </c>
      <c r="BO687">
        <v>47865.035791977127</v>
      </c>
    </row>
    <row r="688" spans="1:67" x14ac:dyDescent="0.25">
      <c r="A688" s="1">
        <v>686</v>
      </c>
      <c r="B688" t="s">
        <v>73</v>
      </c>
      <c r="C688" t="s">
        <v>85</v>
      </c>
      <c r="D688">
        <v>1</v>
      </c>
      <c r="E688">
        <v>1</v>
      </c>
      <c r="F688">
        <v>2</v>
      </c>
      <c r="G688">
        <v>45.016539999999999</v>
      </c>
      <c r="H688">
        <v>2</v>
      </c>
      <c r="I688" t="s">
        <v>89</v>
      </c>
      <c r="J688">
        <v>4</v>
      </c>
      <c r="K688">
        <v>300</v>
      </c>
      <c r="L688">
        <v>70</v>
      </c>
      <c r="N688" t="s">
        <v>82</v>
      </c>
      <c r="O688">
        <v>30</v>
      </c>
      <c r="P688">
        <v>0.5</v>
      </c>
      <c r="Q688">
        <v>3.2500000000000001E-2</v>
      </c>
      <c r="R688">
        <v>77.5</v>
      </c>
      <c r="S688">
        <v>170</v>
      </c>
      <c r="T688">
        <v>20</v>
      </c>
      <c r="U688">
        <v>1812.1301775147931</v>
      </c>
      <c r="V688">
        <v>20</v>
      </c>
      <c r="W688">
        <v>0.95</v>
      </c>
      <c r="X688">
        <v>1</v>
      </c>
      <c r="Y688">
        <v>513029.45810298371</v>
      </c>
      <c r="Z688">
        <v>1539088374.3089509</v>
      </c>
      <c r="AA688">
        <v>6156353497.2358046</v>
      </c>
      <c r="AB688">
        <v>6156353.4972358048</v>
      </c>
      <c r="AC688">
        <v>0</v>
      </c>
      <c r="AD688">
        <v>15951.526807749149</v>
      </c>
      <c r="AE688">
        <v>28712748.253948469</v>
      </c>
      <c r="AF688">
        <v>20098923.777763929</v>
      </c>
      <c r="AG688">
        <v>904.78400619866102</v>
      </c>
      <c r="AH688">
        <v>6318.2402532813603</v>
      </c>
      <c r="AI688">
        <v>1263.6480506562721</v>
      </c>
      <c r="AJ688">
        <v>200081.48866016371</v>
      </c>
      <c r="AK688">
        <v>854.70085470085473</v>
      </c>
      <c r="AL688" t="s">
        <v>93</v>
      </c>
      <c r="AM688">
        <v>489663.61962930538</v>
      </c>
      <c r="AN688">
        <v>5725.2948032746917</v>
      </c>
      <c r="AO688">
        <v>214820.16861156619</v>
      </c>
      <c r="AP688">
        <v>696325.10394744459</v>
      </c>
      <c r="AQ688">
        <v>481504.93533587828</v>
      </c>
      <c r="AR688">
        <v>9.9548359341269845E-3</v>
      </c>
      <c r="AS688">
        <v>221.13729607222109</v>
      </c>
      <c r="AT688">
        <v>541.1939383042004</v>
      </c>
      <c r="AU688">
        <v>6.3278028391867966</v>
      </c>
      <c r="AV688">
        <v>237.42701809474599</v>
      </c>
      <c r="AW688">
        <v>769.60368350560157</v>
      </c>
      <c r="AX688">
        <v>532.17666541085555</v>
      </c>
      <c r="AY688">
        <v>1.396629518204388</v>
      </c>
      <c r="AZ688" t="s">
        <v>133</v>
      </c>
      <c r="BA688" t="str">
        <f>VLOOKUP($AZ688,Sheet1!$A$2:$B$58,2)</f>
        <v>Isobutanol</v>
      </c>
      <c r="BB688" t="s">
        <v>183</v>
      </c>
      <c r="BC688">
        <v>86.130899999999997</v>
      </c>
      <c r="BD688">
        <v>5.6</v>
      </c>
      <c r="BE688">
        <v>108</v>
      </c>
      <c r="BF688" t="s">
        <v>209</v>
      </c>
      <c r="BG688">
        <v>32.559558191462123</v>
      </c>
      <c r="BH688">
        <v>1.4766355140186401E-2</v>
      </c>
      <c r="BI688">
        <v>2.76309039823045E-2</v>
      </c>
      <c r="BJ688">
        <v>80</v>
      </c>
      <c r="BK688">
        <v>34816.255197372222</v>
      </c>
      <c r="BL688">
        <v>24075.246766793909</v>
      </c>
      <c r="BM688">
        <v>30.62284434135147</v>
      </c>
      <c r="BN688">
        <v>5205.8835380297514</v>
      </c>
      <c r="BO688">
        <v>29610.371659342469</v>
      </c>
    </row>
    <row r="689" spans="1:67" x14ac:dyDescent="0.25">
      <c r="A689" s="1">
        <v>687</v>
      </c>
      <c r="B689" t="s">
        <v>73</v>
      </c>
      <c r="C689" t="s">
        <v>85</v>
      </c>
      <c r="D689">
        <v>1</v>
      </c>
      <c r="E689">
        <v>1</v>
      </c>
      <c r="F689">
        <v>2</v>
      </c>
      <c r="G689">
        <v>45.016539999999999</v>
      </c>
      <c r="H689">
        <v>2</v>
      </c>
      <c r="I689" t="s">
        <v>89</v>
      </c>
      <c r="J689">
        <v>4</v>
      </c>
      <c r="K689">
        <v>300</v>
      </c>
      <c r="L689">
        <v>70</v>
      </c>
      <c r="N689" t="s">
        <v>82</v>
      </c>
      <c r="O689">
        <v>30</v>
      </c>
      <c r="P689">
        <v>0.5</v>
      </c>
      <c r="Q689">
        <v>3.2500000000000001E-2</v>
      </c>
      <c r="R689">
        <v>77.5</v>
      </c>
      <c r="S689">
        <v>170</v>
      </c>
      <c r="T689">
        <v>20</v>
      </c>
      <c r="U689">
        <v>1812.1301775147931</v>
      </c>
      <c r="V689">
        <v>20</v>
      </c>
      <c r="W689">
        <v>0.95</v>
      </c>
      <c r="X689">
        <v>1</v>
      </c>
      <c r="Y689">
        <v>418521.35464540537</v>
      </c>
      <c r="Z689">
        <v>1255564063.9362161</v>
      </c>
      <c r="AA689">
        <v>5022256255.7448645</v>
      </c>
      <c r="AB689">
        <v>5022256.2557448642</v>
      </c>
      <c r="AC689">
        <v>0</v>
      </c>
      <c r="AD689">
        <v>13013.004424594939</v>
      </c>
      <c r="AE689">
        <v>23423407.964270901</v>
      </c>
      <c r="AF689">
        <v>16396385.57498963</v>
      </c>
      <c r="AG689">
        <v>738.10854709194359</v>
      </c>
      <c r="AH689">
        <v>5154.3209225378096</v>
      </c>
      <c r="AI689">
        <v>1030.864184507562</v>
      </c>
      <c r="AJ689">
        <v>163223.32831170809</v>
      </c>
      <c r="AK689">
        <v>854.70085470085473</v>
      </c>
      <c r="AL689" t="s">
        <v>93</v>
      </c>
      <c r="AM689">
        <v>399459.87149668031</v>
      </c>
      <c r="AN689">
        <v>4670.6053599164416</v>
      </c>
      <c r="AO689">
        <v>175246.91136628561</v>
      </c>
      <c r="AP689">
        <v>568208.5060230057</v>
      </c>
      <c r="AQ689">
        <v>392961.59465672012</v>
      </c>
      <c r="AR689">
        <v>9.9548359341269828E-3</v>
      </c>
      <c r="AS689">
        <v>221.13729607222109</v>
      </c>
      <c r="AT689">
        <v>541.19393830420029</v>
      </c>
      <c r="AU689">
        <v>6.3278028391867966</v>
      </c>
      <c r="AV689">
        <v>237.42701809474599</v>
      </c>
      <c r="AW689">
        <v>769.81699813892806</v>
      </c>
      <c r="AX689">
        <v>532.38998004418204</v>
      </c>
      <c r="AY689">
        <v>1.396629518204388</v>
      </c>
      <c r="AZ689" t="s">
        <v>134</v>
      </c>
      <c r="BA689" t="str">
        <f>VLOOKUP($AZ689,Sheet1!$A$2:$B$58,2)</f>
        <v>Isobutyrate</v>
      </c>
      <c r="BB689" t="s">
        <v>170</v>
      </c>
      <c r="BC689">
        <v>87.095680000000002</v>
      </c>
      <c r="BD689">
        <v>4.75</v>
      </c>
      <c r="BE689">
        <v>155</v>
      </c>
      <c r="BF689" t="s">
        <v>209</v>
      </c>
      <c r="BG689">
        <v>26.20770308606571</v>
      </c>
      <c r="BH689">
        <v>1.7900302114803601E-2</v>
      </c>
      <c r="BI689">
        <v>3.3870357007105403E-2</v>
      </c>
      <c r="BJ689">
        <v>80</v>
      </c>
      <c r="BK689">
        <v>28410.425301150281</v>
      </c>
      <c r="BL689">
        <v>19648.079732835999</v>
      </c>
      <c r="BM689">
        <v>25.335506139312411</v>
      </c>
      <c r="BN689">
        <v>4307.0360436831097</v>
      </c>
      <c r="BO689">
        <v>24103.38925746717</v>
      </c>
    </row>
    <row r="690" spans="1:67" x14ac:dyDescent="0.25">
      <c r="A690" s="1">
        <v>688</v>
      </c>
      <c r="B690" t="s">
        <v>73</v>
      </c>
      <c r="C690" t="s">
        <v>85</v>
      </c>
      <c r="D690">
        <v>1</v>
      </c>
      <c r="E690">
        <v>1</v>
      </c>
      <c r="F690">
        <v>2</v>
      </c>
      <c r="G690">
        <v>45.016539999999999</v>
      </c>
      <c r="H690">
        <v>2</v>
      </c>
      <c r="I690" t="s">
        <v>89</v>
      </c>
      <c r="J690">
        <v>4</v>
      </c>
      <c r="K690">
        <v>300</v>
      </c>
      <c r="L690">
        <v>70</v>
      </c>
      <c r="N690" t="s">
        <v>82</v>
      </c>
      <c r="O690">
        <v>30</v>
      </c>
      <c r="P690">
        <v>0.5</v>
      </c>
      <c r="Q690">
        <v>3.2500000000000001E-2</v>
      </c>
      <c r="R690">
        <v>77.5</v>
      </c>
      <c r="S690">
        <v>170</v>
      </c>
      <c r="T690">
        <v>20</v>
      </c>
      <c r="U690">
        <v>1812.1301775147931</v>
      </c>
      <c r="V690">
        <v>20</v>
      </c>
      <c r="W690">
        <v>0.95</v>
      </c>
      <c r="X690">
        <v>1</v>
      </c>
      <c r="Y690">
        <v>760668.32315380464</v>
      </c>
      <c r="Z690">
        <v>2282004969.4614139</v>
      </c>
      <c r="AA690">
        <v>9128019877.8456554</v>
      </c>
      <c r="AB690">
        <v>9128019.8778456561</v>
      </c>
      <c r="AC690">
        <v>66773.504273504266</v>
      </c>
      <c r="AD690">
        <v>23651.31467003949</v>
      </c>
      <c r="AE690">
        <v>42572366.406071082</v>
      </c>
      <c r="AF690">
        <v>29800656.484249759</v>
      </c>
      <c r="AG690">
        <v>1341.522444649489</v>
      </c>
      <c r="AH690">
        <v>9368.0492276559416</v>
      </c>
      <c r="AI690">
        <v>1873.6098455311881</v>
      </c>
      <c r="AJ690">
        <v>296660.64602998382</v>
      </c>
      <c r="AK690">
        <v>2170.1388888888891</v>
      </c>
      <c r="AL690" t="s">
        <v>95</v>
      </c>
      <c r="AM690">
        <v>726023.81514333549</v>
      </c>
      <c r="AN690">
        <v>8488.8895340858453</v>
      </c>
      <c r="AO690">
        <v>318513.67374030198</v>
      </c>
      <c r="AP690">
        <v>1033343.489596294</v>
      </c>
      <c r="AQ690">
        <v>714829.81585599203</v>
      </c>
      <c r="AR690">
        <v>9.9548359341269863E-3</v>
      </c>
      <c r="AS690">
        <v>221.13729607222109</v>
      </c>
      <c r="AT690">
        <v>541.19393830420051</v>
      </c>
      <c r="AU690">
        <v>6.3278028391867966</v>
      </c>
      <c r="AV690">
        <v>237.42701809474599</v>
      </c>
      <c r="AW690">
        <v>770.27670593039159</v>
      </c>
      <c r="AX690">
        <v>532.84968783564557</v>
      </c>
      <c r="AY690">
        <v>1.396629518204388</v>
      </c>
      <c r="AZ690" t="s">
        <v>135</v>
      </c>
      <c r="BA690" t="str">
        <f>VLOOKUP($AZ690,Sheet1!$A$2:$B$58,2)</f>
        <v>Isoprene</v>
      </c>
      <c r="BB690" t="s">
        <v>184</v>
      </c>
      <c r="BC690">
        <v>68.116219999999998</v>
      </c>
      <c r="BD690">
        <v>5.6</v>
      </c>
      <c r="BE690">
        <v>34.07</v>
      </c>
      <c r="BF690" t="s">
        <v>209</v>
      </c>
      <c r="BG690">
        <v>48.075957997163393</v>
      </c>
      <c r="BH690">
        <v>1.25929861849098E-2</v>
      </c>
      <c r="BI690">
        <v>1.86355435943019E-2</v>
      </c>
      <c r="BJ690">
        <v>80</v>
      </c>
      <c r="BK690">
        <v>51667.174479814697</v>
      </c>
      <c r="BL690">
        <v>35741.490792799603</v>
      </c>
      <c r="BM690">
        <v>45.604534279395999</v>
      </c>
      <c r="BN690">
        <v>7752.7708274973202</v>
      </c>
      <c r="BO690">
        <v>43914.403652317378</v>
      </c>
    </row>
    <row r="691" spans="1:67" x14ac:dyDescent="0.25">
      <c r="A691" s="1">
        <v>689</v>
      </c>
      <c r="B691" t="s">
        <v>73</v>
      </c>
      <c r="C691" t="s">
        <v>85</v>
      </c>
      <c r="D691">
        <v>1</v>
      </c>
      <c r="E691">
        <v>1</v>
      </c>
      <c r="F691">
        <v>2</v>
      </c>
      <c r="G691">
        <v>45.016539999999999</v>
      </c>
      <c r="H691">
        <v>2</v>
      </c>
      <c r="I691" t="s">
        <v>89</v>
      </c>
      <c r="J691">
        <v>4</v>
      </c>
      <c r="K691">
        <v>300</v>
      </c>
      <c r="L691">
        <v>70</v>
      </c>
      <c r="N691" t="s">
        <v>82</v>
      </c>
      <c r="O691">
        <v>30</v>
      </c>
      <c r="P691">
        <v>0.5</v>
      </c>
      <c r="Q691">
        <v>3.2500000000000001E-2</v>
      </c>
      <c r="R691">
        <v>77.5</v>
      </c>
      <c r="S691">
        <v>170</v>
      </c>
      <c r="T691">
        <v>20</v>
      </c>
      <c r="U691">
        <v>1812.1301775147931</v>
      </c>
      <c r="V691">
        <v>20</v>
      </c>
      <c r="W691">
        <v>0.95</v>
      </c>
      <c r="X691">
        <v>1</v>
      </c>
      <c r="Y691">
        <v>529149.54123199917</v>
      </c>
      <c r="Z691">
        <v>1587448623.695997</v>
      </c>
      <c r="AA691">
        <v>6349794494.7839899</v>
      </c>
      <c r="AB691">
        <v>6349794.4947839901</v>
      </c>
      <c r="AC691">
        <v>0</v>
      </c>
      <c r="AD691">
        <v>16452.745469005869</v>
      </c>
      <c r="AE691">
        <v>29614941.844210561</v>
      </c>
      <c r="AF691">
        <v>20730459.290947389</v>
      </c>
      <c r="AG691">
        <v>933.21354988930489</v>
      </c>
      <c r="AH691">
        <v>6516.7679528185326</v>
      </c>
      <c r="AI691">
        <v>1303.353590563707</v>
      </c>
      <c r="AJ691">
        <v>206368.32108047971</v>
      </c>
      <c r="AK691">
        <v>854.70085470085473</v>
      </c>
      <c r="AL691" t="s">
        <v>93</v>
      </c>
      <c r="AM691">
        <v>505049.51634343632</v>
      </c>
      <c r="AN691">
        <v>5905.1913505571329</v>
      </c>
      <c r="AO691">
        <v>221570.1103958301</v>
      </c>
      <c r="AP691">
        <v>718177.72962917399</v>
      </c>
      <c r="AQ691">
        <v>496607.61923334392</v>
      </c>
      <c r="AR691">
        <v>9.9548359341269828E-3</v>
      </c>
      <c r="AS691">
        <v>221.13729607222109</v>
      </c>
      <c r="AT691">
        <v>541.19393830420029</v>
      </c>
      <c r="AU691">
        <v>6.3278028391867966</v>
      </c>
      <c r="AV691">
        <v>237.42701809474599</v>
      </c>
      <c r="AW691">
        <v>769.57490567337152</v>
      </c>
      <c r="AX691">
        <v>532.1478875786255</v>
      </c>
      <c r="AY691">
        <v>1.396629518204388</v>
      </c>
      <c r="AZ691" t="s">
        <v>136</v>
      </c>
      <c r="BA691" t="str">
        <f>VLOOKUP($AZ691,Sheet1!$A$2:$B$58,2)</f>
        <v>Isopropanol</v>
      </c>
      <c r="BB691" t="s">
        <v>156</v>
      </c>
      <c r="BC691">
        <v>60.093820000000001</v>
      </c>
      <c r="BD691">
        <v>6</v>
      </c>
      <c r="BE691">
        <v>82.5</v>
      </c>
      <c r="BF691" t="s">
        <v>209</v>
      </c>
      <c r="BG691">
        <v>33.493646089407441</v>
      </c>
      <c r="BH691">
        <v>2.051948051948E-2</v>
      </c>
      <c r="BI691">
        <v>2.6789152389574099E-2</v>
      </c>
      <c r="BJ691">
        <v>80</v>
      </c>
      <c r="BK691">
        <v>35908.8864814587</v>
      </c>
      <c r="BL691">
        <v>24830.38096166719</v>
      </c>
      <c r="BM691">
        <v>31.67403343877789</v>
      </c>
      <c r="BN691">
        <v>5384.5856845922417</v>
      </c>
      <c r="BO691">
        <v>30524.300796866461</v>
      </c>
    </row>
    <row r="692" spans="1:67" x14ac:dyDescent="0.25">
      <c r="A692" s="1">
        <v>690</v>
      </c>
      <c r="B692" t="s">
        <v>73</v>
      </c>
      <c r="C692" t="s">
        <v>85</v>
      </c>
      <c r="D692">
        <v>1</v>
      </c>
      <c r="E692">
        <v>1</v>
      </c>
      <c r="F692">
        <v>2</v>
      </c>
      <c r="G692">
        <v>45.016539999999999</v>
      </c>
      <c r="H692">
        <v>2</v>
      </c>
      <c r="I692" t="s">
        <v>89</v>
      </c>
      <c r="J692">
        <v>4</v>
      </c>
      <c r="K692">
        <v>300</v>
      </c>
      <c r="L692">
        <v>70</v>
      </c>
      <c r="N692" t="s">
        <v>82</v>
      </c>
      <c r="O692">
        <v>30</v>
      </c>
      <c r="P692">
        <v>0.5</v>
      </c>
      <c r="Q692">
        <v>3.2500000000000001E-2</v>
      </c>
      <c r="R692">
        <v>77.5</v>
      </c>
      <c r="S692">
        <v>170</v>
      </c>
      <c r="T692">
        <v>20</v>
      </c>
      <c r="U692">
        <v>1812.1301775147931</v>
      </c>
      <c r="V692">
        <v>20</v>
      </c>
      <c r="W692">
        <v>0.95</v>
      </c>
      <c r="X692">
        <v>1</v>
      </c>
      <c r="Y692">
        <v>263316.51903471933</v>
      </c>
      <c r="Z692">
        <v>789949557.10415792</v>
      </c>
      <c r="AA692">
        <v>3159798228.4166322</v>
      </c>
      <c r="AB692">
        <v>3159798.2284166319</v>
      </c>
      <c r="AC692">
        <v>0</v>
      </c>
      <c r="AD692">
        <v>8187.2501587664419</v>
      </c>
      <c r="AE692">
        <v>14737050.285779599</v>
      </c>
      <c r="AF692">
        <v>10315935.20004572</v>
      </c>
      <c r="AG692">
        <v>464.38770957026588</v>
      </c>
      <c r="AH692">
        <v>3242.8879153858002</v>
      </c>
      <c r="AI692">
        <v>648.57758307716006</v>
      </c>
      <c r="AJ692">
        <v>102693.4424235405</v>
      </c>
      <c r="AK692">
        <v>854.70085470085473</v>
      </c>
      <c r="AL692" t="s">
        <v>93</v>
      </c>
      <c r="AM692">
        <v>251323.81344239949</v>
      </c>
      <c r="AN692">
        <v>2938.5538671021818</v>
      </c>
      <c r="AO692">
        <v>110258.1891231172</v>
      </c>
      <c r="AP692">
        <v>357810.51058774308</v>
      </c>
      <c r="AQ692">
        <v>247552.32146462589</v>
      </c>
      <c r="AR692">
        <v>9.9548359341269863E-3</v>
      </c>
      <c r="AS692">
        <v>221.13729607222109</v>
      </c>
      <c r="AT692">
        <v>541.19393830420051</v>
      </c>
      <c r="AU692">
        <v>6.3278028391867958</v>
      </c>
      <c r="AV692">
        <v>237.42701809474599</v>
      </c>
      <c r="AW692">
        <v>770.49952704143061</v>
      </c>
      <c r="AX692">
        <v>533.07250894668459</v>
      </c>
      <c r="AY692">
        <v>1.3966295182043891</v>
      </c>
      <c r="AZ692" t="s">
        <v>137</v>
      </c>
      <c r="BA692" t="str">
        <f>VLOOKUP($AZ692,Sheet1!$A$2:$B$58,2)</f>
        <v>Itaconate</v>
      </c>
      <c r="BB692" t="s">
        <v>185</v>
      </c>
      <c r="BC692">
        <v>128.08086</v>
      </c>
      <c r="BD692">
        <v>3.2</v>
      </c>
      <c r="BE692">
        <v>381</v>
      </c>
      <c r="BF692" t="s">
        <v>209</v>
      </c>
      <c r="BG692">
        <v>16.042431952851182</v>
      </c>
      <c r="BH692">
        <v>1.9346938775510199E-2</v>
      </c>
      <c r="BI692">
        <v>5.3834327405293397E-2</v>
      </c>
      <c r="BJ692">
        <v>80</v>
      </c>
      <c r="BK692">
        <v>17890.52552938716</v>
      </c>
      <c r="BL692">
        <v>12377.6160732313</v>
      </c>
      <c r="BM692">
        <v>16.386447201006831</v>
      </c>
      <c r="BN692">
        <v>2785.6960241711608</v>
      </c>
      <c r="BO692">
        <v>15104.829505215999</v>
      </c>
    </row>
    <row r="693" spans="1:67" x14ac:dyDescent="0.25">
      <c r="A693" s="1">
        <v>691</v>
      </c>
      <c r="B693" t="s">
        <v>73</v>
      </c>
      <c r="C693" t="s">
        <v>85</v>
      </c>
      <c r="D693">
        <v>1</v>
      </c>
      <c r="E693">
        <v>1</v>
      </c>
      <c r="F693">
        <v>2</v>
      </c>
      <c r="G693">
        <v>45.016539999999999</v>
      </c>
      <c r="H693">
        <v>2</v>
      </c>
      <c r="I693" t="s">
        <v>89</v>
      </c>
      <c r="J693">
        <v>4</v>
      </c>
      <c r="K693">
        <v>300</v>
      </c>
      <c r="L693">
        <v>70</v>
      </c>
      <c r="N693" t="s">
        <v>82</v>
      </c>
      <c r="O693">
        <v>30</v>
      </c>
      <c r="P693">
        <v>0.5</v>
      </c>
      <c r="Q693">
        <v>3.2500000000000001E-2</v>
      </c>
      <c r="R693">
        <v>77.5</v>
      </c>
      <c r="S693">
        <v>170</v>
      </c>
      <c r="T693">
        <v>20</v>
      </c>
      <c r="U693">
        <v>1812.1301775147931</v>
      </c>
      <c r="V693">
        <v>20</v>
      </c>
      <c r="W693">
        <v>0.95</v>
      </c>
      <c r="X693">
        <v>1</v>
      </c>
      <c r="Y693">
        <v>759657.8710773749</v>
      </c>
      <c r="Z693">
        <v>2278973613.2321248</v>
      </c>
      <c r="AA693">
        <v>9115894452.9284992</v>
      </c>
      <c r="AB693">
        <v>9115894.4529284984</v>
      </c>
      <c r="AC693">
        <v>0</v>
      </c>
      <c r="AD693">
        <v>23619.89687690786</v>
      </c>
      <c r="AE693">
        <v>42515814.378434137</v>
      </c>
      <c r="AF693">
        <v>29761070.0649039</v>
      </c>
      <c r="AG693">
        <v>1339.7404010195489</v>
      </c>
      <c r="AH693">
        <v>9355.6049539744326</v>
      </c>
      <c r="AI693">
        <v>1871.1209907948869</v>
      </c>
      <c r="AJ693">
        <v>296266.56972017622</v>
      </c>
      <c r="AK693">
        <v>854.70085470085473</v>
      </c>
      <c r="AL693" t="s">
        <v>93</v>
      </c>
      <c r="AM693">
        <v>725059.38393301854</v>
      </c>
      <c r="AN693">
        <v>8477.6131133447598</v>
      </c>
      <c r="AO693">
        <v>318090.56843513082</v>
      </c>
      <c r="AP693">
        <v>1030658.26762124</v>
      </c>
      <c r="AQ693">
        <v>712567.69918610959</v>
      </c>
      <c r="AR693">
        <v>9.9548359341269845E-3</v>
      </c>
      <c r="AS693">
        <v>221.13729607222109</v>
      </c>
      <c r="AT693">
        <v>541.19393830420051</v>
      </c>
      <c r="AU693">
        <v>6.3278028391867966</v>
      </c>
      <c r="AV693">
        <v>237.4270180947461</v>
      </c>
      <c r="AW693">
        <v>769.29699726671265</v>
      </c>
      <c r="AX693">
        <v>531.86997917196663</v>
      </c>
      <c r="AY693">
        <v>1.396629518204388</v>
      </c>
      <c r="AZ693" t="s">
        <v>138</v>
      </c>
      <c r="BA693" t="str">
        <f>VLOOKUP($AZ693,Sheet1!$A$2:$B$58,2)</f>
        <v>Limonene</v>
      </c>
      <c r="BB693" t="s">
        <v>186</v>
      </c>
      <c r="BC693">
        <v>136.23244</v>
      </c>
      <c r="BD693">
        <v>5.6</v>
      </c>
      <c r="BE693">
        <v>176</v>
      </c>
      <c r="BF693" t="s">
        <v>209</v>
      </c>
      <c r="BG693">
        <v>48.007803817979493</v>
      </c>
      <c r="BH693">
        <v>6.3048683160413996E-3</v>
      </c>
      <c r="BI693">
        <v>1.86603314947992E-2</v>
      </c>
      <c r="BJ693">
        <v>80</v>
      </c>
      <c r="BK693">
        <v>51532.913381062033</v>
      </c>
      <c r="BL693">
        <v>35628.384959305477</v>
      </c>
      <c r="BM693">
        <v>45.54824572176485</v>
      </c>
      <c r="BN693">
        <v>7743.2017727000248</v>
      </c>
      <c r="BO693">
        <v>43789.711608361999</v>
      </c>
    </row>
    <row r="694" spans="1:67" x14ac:dyDescent="0.25">
      <c r="A694" s="1">
        <v>692</v>
      </c>
      <c r="B694" t="s">
        <v>73</v>
      </c>
      <c r="C694" t="s">
        <v>85</v>
      </c>
      <c r="D694">
        <v>1</v>
      </c>
      <c r="E694">
        <v>1</v>
      </c>
      <c r="F694">
        <v>2</v>
      </c>
      <c r="G694">
        <v>45.016539999999999</v>
      </c>
      <c r="H694">
        <v>2</v>
      </c>
      <c r="I694" t="s">
        <v>89</v>
      </c>
      <c r="J694">
        <v>4</v>
      </c>
      <c r="K694">
        <v>300</v>
      </c>
      <c r="L694">
        <v>70</v>
      </c>
      <c r="N694" t="s">
        <v>82</v>
      </c>
      <c r="O694">
        <v>30</v>
      </c>
      <c r="P694">
        <v>0.5</v>
      </c>
      <c r="Q694">
        <v>3.2500000000000001E-2</v>
      </c>
      <c r="R694">
        <v>77.5</v>
      </c>
      <c r="S694">
        <v>170</v>
      </c>
      <c r="T694">
        <v>20</v>
      </c>
      <c r="U694">
        <v>1812.1301775147931</v>
      </c>
      <c r="V694">
        <v>20</v>
      </c>
      <c r="W694">
        <v>0.95</v>
      </c>
      <c r="X694">
        <v>1</v>
      </c>
      <c r="Y694">
        <v>372213.03733831731</v>
      </c>
      <c r="Z694">
        <v>1116639112.0149519</v>
      </c>
      <c r="AA694">
        <v>4466556448.0598068</v>
      </c>
      <c r="AB694">
        <v>4466556.4480598066</v>
      </c>
      <c r="AC694">
        <v>0</v>
      </c>
      <c r="AD694">
        <v>11573.148772490291</v>
      </c>
      <c r="AE694">
        <v>20831667.790482521</v>
      </c>
      <c r="AF694">
        <v>14582167.453337761</v>
      </c>
      <c r="AG694">
        <v>656.43872444987755</v>
      </c>
      <c r="AH694">
        <v>4584.0084972956774</v>
      </c>
      <c r="AI694">
        <v>916.80169945913553</v>
      </c>
      <c r="AJ694">
        <v>145163.08456194369</v>
      </c>
      <c r="AK694">
        <v>854.70085470085473</v>
      </c>
      <c r="AL694" t="s">
        <v>93</v>
      </c>
      <c r="AM694">
        <v>355260.658540415</v>
      </c>
      <c r="AN694">
        <v>4153.814824326093</v>
      </c>
      <c r="AO694">
        <v>155856.28890805299</v>
      </c>
      <c r="AP694">
        <v>505432.25878138572</v>
      </c>
      <c r="AQ694">
        <v>349575.96987333271</v>
      </c>
      <c r="AR694">
        <v>9.9548359341269828E-3</v>
      </c>
      <c r="AS694">
        <v>221.13729607222109</v>
      </c>
      <c r="AT694">
        <v>541.19393830420029</v>
      </c>
      <c r="AU694">
        <v>6.3278028391867949</v>
      </c>
      <c r="AV694">
        <v>237.42701809474599</v>
      </c>
      <c r="AW694">
        <v>769.96106408097501</v>
      </c>
      <c r="AX694">
        <v>532.53404598622899</v>
      </c>
      <c r="AY694">
        <v>1.396629518204388</v>
      </c>
      <c r="AZ694" t="s">
        <v>139</v>
      </c>
      <c r="BA694" t="str">
        <f>VLOOKUP($AZ694,Sheet1!$A$2:$B$58,2)</f>
        <v>L-Lysine</v>
      </c>
      <c r="BB694" t="s">
        <v>187</v>
      </c>
      <c r="BC694">
        <v>147.19319999999999</v>
      </c>
      <c r="BD694">
        <v>4.833333333333333</v>
      </c>
      <c r="BF694" t="s">
        <v>209</v>
      </c>
      <c r="BG694">
        <v>23.311501009419871</v>
      </c>
      <c r="BH694">
        <v>1.19095477386935E-2</v>
      </c>
      <c r="BI694">
        <v>3.8084285811978903E-2</v>
      </c>
      <c r="BJ694">
        <v>80</v>
      </c>
      <c r="BK694">
        <v>25271.61293906928</v>
      </c>
      <c r="BL694">
        <v>17478.798493666629</v>
      </c>
      <c r="BM694">
        <v>22.52858396353691</v>
      </c>
      <c r="BN694">
        <v>3829.859273801274</v>
      </c>
      <c r="BO694">
        <v>21441.75366526801</v>
      </c>
    </row>
    <row r="695" spans="1:67" x14ac:dyDescent="0.25">
      <c r="A695" s="1">
        <v>693</v>
      </c>
      <c r="B695" t="s">
        <v>73</v>
      </c>
      <c r="C695" t="s">
        <v>85</v>
      </c>
      <c r="D695">
        <v>1</v>
      </c>
      <c r="E695">
        <v>1</v>
      </c>
      <c r="F695">
        <v>2</v>
      </c>
      <c r="G695">
        <v>45.016539999999999</v>
      </c>
      <c r="H695">
        <v>2</v>
      </c>
      <c r="I695" t="s">
        <v>89</v>
      </c>
      <c r="J695">
        <v>4</v>
      </c>
      <c r="K695">
        <v>300</v>
      </c>
      <c r="L695">
        <v>70</v>
      </c>
      <c r="N695" t="s">
        <v>82</v>
      </c>
      <c r="O695">
        <v>30</v>
      </c>
      <c r="P695">
        <v>0.5</v>
      </c>
      <c r="Q695">
        <v>3.2500000000000001E-2</v>
      </c>
      <c r="R695">
        <v>77.5</v>
      </c>
      <c r="S695">
        <v>170</v>
      </c>
      <c r="T695">
        <v>20</v>
      </c>
      <c r="U695">
        <v>1812.1301775147931</v>
      </c>
      <c r="V695">
        <v>20</v>
      </c>
      <c r="W695">
        <v>0.95</v>
      </c>
      <c r="X695">
        <v>1</v>
      </c>
      <c r="Y695">
        <v>179068.00688885211</v>
      </c>
      <c r="Z695">
        <v>537204020.66655624</v>
      </c>
      <c r="AA695">
        <v>2148816082.666225</v>
      </c>
      <c r="AB695">
        <v>2148816.0826662248</v>
      </c>
      <c r="AC695">
        <v>0</v>
      </c>
      <c r="AD695">
        <v>5567.7272857972002</v>
      </c>
      <c r="AE695">
        <v>10021909.114434959</v>
      </c>
      <c r="AF695">
        <v>7015336.3801044719</v>
      </c>
      <c r="AG695">
        <v>315.80617076842822</v>
      </c>
      <c r="AH695">
        <v>2205.3211006314118</v>
      </c>
      <c r="AI695">
        <v>441.06422012628252</v>
      </c>
      <c r="AJ695">
        <v>69836.522686652315</v>
      </c>
      <c r="AK695">
        <v>854.70085470085473</v>
      </c>
      <c r="AL695" t="s">
        <v>93</v>
      </c>
      <c r="AM695">
        <v>170912.38529893439</v>
      </c>
      <c r="AN695">
        <v>1998.35918402117</v>
      </c>
      <c r="AO695">
        <v>74980.917421468024</v>
      </c>
      <c r="AP695">
        <v>243601.96802430879</v>
      </c>
      <c r="AQ695">
        <v>168621.0506028407</v>
      </c>
      <c r="AR695">
        <v>9.9548359341269845E-3</v>
      </c>
      <c r="AS695">
        <v>221.13729607222109</v>
      </c>
      <c r="AT695">
        <v>541.19393830420017</v>
      </c>
      <c r="AU695">
        <v>6.3278028391867949</v>
      </c>
      <c r="AV695">
        <v>237.4270180947459</v>
      </c>
      <c r="AW695">
        <v>771.36544682318856</v>
      </c>
      <c r="AX695">
        <v>533.93842872844266</v>
      </c>
      <c r="AY695">
        <v>1.396629518204388</v>
      </c>
      <c r="AZ695" t="s">
        <v>140</v>
      </c>
      <c r="BA695" t="str">
        <f>VLOOKUP($AZ695,Sheet1!$A$2:$B$58,2)</f>
        <v>L-Malate</v>
      </c>
      <c r="BB695" t="s">
        <v>188</v>
      </c>
      <c r="BC695">
        <v>132.06916000000001</v>
      </c>
      <c r="BD695">
        <v>2.5</v>
      </c>
      <c r="BF695" t="s">
        <v>209</v>
      </c>
      <c r="BG695">
        <v>10.74505493748009</v>
      </c>
      <c r="BH695">
        <v>2.7590221187426999E-2</v>
      </c>
      <c r="BI695">
        <v>7.9162481021727099E-2</v>
      </c>
      <c r="BJ695">
        <v>80</v>
      </c>
      <c r="BK695">
        <v>12180.09840121544</v>
      </c>
      <c r="BL695">
        <v>8431.0525301420366</v>
      </c>
      <c r="BM695">
        <v>11.308156068834039</v>
      </c>
      <c r="BN695">
        <v>1922.3865317017869</v>
      </c>
      <c r="BO695">
        <v>10257.711869513651</v>
      </c>
    </row>
    <row r="696" spans="1:67" x14ac:dyDescent="0.25">
      <c r="A696" s="1">
        <v>694</v>
      </c>
      <c r="B696" t="s">
        <v>73</v>
      </c>
      <c r="C696" t="s">
        <v>85</v>
      </c>
      <c r="D696">
        <v>1</v>
      </c>
      <c r="E696">
        <v>1</v>
      </c>
      <c r="F696">
        <v>2</v>
      </c>
      <c r="G696">
        <v>45.016539999999999</v>
      </c>
      <c r="H696">
        <v>2</v>
      </c>
      <c r="I696" t="s">
        <v>89</v>
      </c>
      <c r="J696">
        <v>4</v>
      </c>
      <c r="K696">
        <v>300</v>
      </c>
      <c r="L696">
        <v>70</v>
      </c>
      <c r="N696" t="s">
        <v>82</v>
      </c>
      <c r="O696">
        <v>30</v>
      </c>
      <c r="P696">
        <v>0.5</v>
      </c>
      <c r="Q696">
        <v>3.2500000000000001E-2</v>
      </c>
      <c r="R696">
        <v>77.5</v>
      </c>
      <c r="S696">
        <v>170</v>
      </c>
      <c r="T696">
        <v>20</v>
      </c>
      <c r="U696">
        <v>1812.1301775147931</v>
      </c>
      <c r="V696">
        <v>20</v>
      </c>
      <c r="W696">
        <v>0.95</v>
      </c>
      <c r="X696">
        <v>1</v>
      </c>
      <c r="Y696">
        <v>151896.61948520289</v>
      </c>
      <c r="Z696">
        <v>455689858.4556089</v>
      </c>
      <c r="AA696">
        <v>1822759433.8224361</v>
      </c>
      <c r="AB696">
        <v>1822759.433822436</v>
      </c>
      <c r="AC696">
        <v>0</v>
      </c>
      <c r="AD696">
        <v>4722.8925346394171</v>
      </c>
      <c r="AE696">
        <v>8501206.5623509511</v>
      </c>
      <c r="AF696">
        <v>5950844.5936456658</v>
      </c>
      <c r="AG696">
        <v>267.88643368363392</v>
      </c>
      <c r="AH696">
        <v>1870.6905040453271</v>
      </c>
      <c r="AI696">
        <v>374.13810080906529</v>
      </c>
      <c r="AJ696">
        <v>59239.681599229159</v>
      </c>
      <c r="AK696">
        <v>854.70085470085473</v>
      </c>
      <c r="AL696" t="s">
        <v>93</v>
      </c>
      <c r="AM696">
        <v>144978.51406351279</v>
      </c>
      <c r="AN696">
        <v>1695.1325356429229</v>
      </c>
      <c r="AO696">
        <v>63603.477137541107</v>
      </c>
      <c r="AP696">
        <v>206768.02905308569</v>
      </c>
      <c r="AQ696">
        <v>143164.55191554461</v>
      </c>
      <c r="AR696">
        <v>9.9548359341269828E-3</v>
      </c>
      <c r="AS696">
        <v>221.13729607222109</v>
      </c>
      <c r="AT696">
        <v>541.1939383042004</v>
      </c>
      <c r="AU696">
        <v>6.3278028391867949</v>
      </c>
      <c r="AV696">
        <v>237.42701809474599</v>
      </c>
      <c r="AW696">
        <v>771.84957151384845</v>
      </c>
      <c r="AX696">
        <v>534.42255341910243</v>
      </c>
      <c r="AY696">
        <v>1.396629518204388</v>
      </c>
      <c r="AZ696" t="s">
        <v>141</v>
      </c>
      <c r="BA696" t="str">
        <f>VLOOKUP($AZ696,Sheet1!$A$2:$B$58,2)</f>
        <v>Malonate</v>
      </c>
      <c r="BB696" t="s">
        <v>189</v>
      </c>
      <c r="BC696">
        <v>102.04378</v>
      </c>
      <c r="BD696">
        <v>2</v>
      </c>
      <c r="BE696">
        <v>199</v>
      </c>
      <c r="BF696" t="s">
        <v>209</v>
      </c>
      <c r="BG696">
        <v>8.9514482926167549</v>
      </c>
      <c r="BH696">
        <v>4.2095914742451397E-2</v>
      </c>
      <c r="BI696">
        <v>9.3323128223522803E-2</v>
      </c>
      <c r="BJ696">
        <v>80</v>
      </c>
      <c r="BK696">
        <v>10338.401452654291</v>
      </c>
      <c r="BL696">
        <v>7158.2275957772317</v>
      </c>
      <c r="BM696">
        <v>9.7554567478365097</v>
      </c>
      <c r="BN696">
        <v>1658.4276471322071</v>
      </c>
      <c r="BO696">
        <v>8679.9738055220823</v>
      </c>
    </row>
    <row r="697" spans="1:67" x14ac:dyDescent="0.25">
      <c r="A697" s="1">
        <v>695</v>
      </c>
      <c r="B697" t="s">
        <v>73</v>
      </c>
      <c r="C697" t="s">
        <v>85</v>
      </c>
      <c r="D697">
        <v>1</v>
      </c>
      <c r="E697">
        <v>1</v>
      </c>
      <c r="F697">
        <v>2</v>
      </c>
      <c r="G697">
        <v>45.016539999999999</v>
      </c>
      <c r="H697">
        <v>2</v>
      </c>
      <c r="I697" t="s">
        <v>89</v>
      </c>
      <c r="J697">
        <v>4</v>
      </c>
      <c r="K697">
        <v>300</v>
      </c>
      <c r="L697">
        <v>70</v>
      </c>
      <c r="N697" t="s">
        <v>82</v>
      </c>
      <c r="O697">
        <v>30</v>
      </c>
      <c r="P697">
        <v>0.5</v>
      </c>
      <c r="Q697">
        <v>3.2500000000000001E-2</v>
      </c>
      <c r="R697">
        <v>77.5</v>
      </c>
      <c r="S697">
        <v>170</v>
      </c>
      <c r="T697">
        <v>20</v>
      </c>
      <c r="U697">
        <v>1812.1301775147931</v>
      </c>
      <c r="V697">
        <v>20</v>
      </c>
      <c r="W697">
        <v>0.95</v>
      </c>
      <c r="X697">
        <v>1</v>
      </c>
      <c r="Y697">
        <v>822805.52555745235</v>
      </c>
      <c r="Z697">
        <v>2468416576.6723571</v>
      </c>
      <c r="AA697">
        <v>9873666306.6894283</v>
      </c>
      <c r="AB697">
        <v>9873666.3066894282</v>
      </c>
      <c r="AC697">
        <v>0</v>
      </c>
      <c r="AD697">
        <v>25583.334818678512</v>
      </c>
      <c r="AE697">
        <v>46050002.673621319</v>
      </c>
      <c r="AF697">
        <v>32235001.871534921</v>
      </c>
      <c r="AG697">
        <v>1451.108251150026</v>
      </c>
      <c r="AH697">
        <v>10133.303088330371</v>
      </c>
      <c r="AI697">
        <v>2026.660617666075</v>
      </c>
      <c r="AJ697">
        <v>320894.15496740642</v>
      </c>
      <c r="AK697">
        <v>854.70085470085473</v>
      </c>
      <c r="AL697" t="s">
        <v>93</v>
      </c>
      <c r="AM697">
        <v>785330.98934560386</v>
      </c>
      <c r="AN697">
        <v>9182.3269115945259</v>
      </c>
      <c r="AO697">
        <v>344532.30500323267</v>
      </c>
      <c r="AP697">
        <v>1116262.1720793061</v>
      </c>
      <c r="AQ697">
        <v>771729.86707607296</v>
      </c>
      <c r="AR697">
        <v>9.9548359341269845E-3</v>
      </c>
      <c r="AS697">
        <v>221.13729607222109</v>
      </c>
      <c r="AT697">
        <v>541.19393830420051</v>
      </c>
      <c r="AU697">
        <v>6.3278028391867966</v>
      </c>
      <c r="AV697">
        <v>237.4270180947461</v>
      </c>
      <c r="AW697">
        <v>769.24803590266265</v>
      </c>
      <c r="AX697">
        <v>531.82101780791663</v>
      </c>
      <c r="AY697">
        <v>1.3966295182043891</v>
      </c>
      <c r="AZ697" t="s">
        <v>142</v>
      </c>
      <c r="BA697" t="str">
        <f>VLOOKUP($AZ697,Sheet1!$A$2:$B$58,2)</f>
        <v>Nonane</v>
      </c>
      <c r="BB697" t="s">
        <v>190</v>
      </c>
      <c r="BC697">
        <v>128.25309999999999</v>
      </c>
      <c r="BD697">
        <v>6.2222222222222223</v>
      </c>
      <c r="BE697">
        <v>151</v>
      </c>
      <c r="BF697" t="s">
        <v>209</v>
      </c>
      <c r="BG697">
        <v>52.409223972270091</v>
      </c>
      <c r="BH697">
        <v>6.1831463605531104E-3</v>
      </c>
      <c r="BI697">
        <v>1.7228211596334801E-2</v>
      </c>
      <c r="BJ697">
        <v>80</v>
      </c>
      <c r="BK697">
        <v>55813.10860396528</v>
      </c>
      <c r="BL697">
        <v>38586.493353803649</v>
      </c>
      <c r="BM697">
        <v>48.92380691103363</v>
      </c>
      <c r="BN697">
        <v>8317.0471748757172</v>
      </c>
      <c r="BO697">
        <v>47496.061429089561</v>
      </c>
    </row>
    <row r="698" spans="1:67" x14ac:dyDescent="0.25">
      <c r="A698" s="1">
        <v>696</v>
      </c>
      <c r="B698" t="s">
        <v>73</v>
      </c>
      <c r="C698" t="s">
        <v>85</v>
      </c>
      <c r="D698">
        <v>1</v>
      </c>
      <c r="E698">
        <v>1</v>
      </c>
      <c r="F698">
        <v>2</v>
      </c>
      <c r="G698">
        <v>45.016539999999999</v>
      </c>
      <c r="H698">
        <v>2</v>
      </c>
      <c r="I698" t="s">
        <v>89</v>
      </c>
      <c r="J698">
        <v>4</v>
      </c>
      <c r="K698">
        <v>300</v>
      </c>
      <c r="L698">
        <v>70</v>
      </c>
      <c r="N698" t="s">
        <v>82</v>
      </c>
      <c r="O698">
        <v>30</v>
      </c>
      <c r="P698">
        <v>0.5</v>
      </c>
      <c r="Q698">
        <v>3.2500000000000001E-2</v>
      </c>
      <c r="R698">
        <v>77.5</v>
      </c>
      <c r="S698">
        <v>170</v>
      </c>
      <c r="T698">
        <v>20</v>
      </c>
      <c r="U698">
        <v>1812.1301775147931</v>
      </c>
      <c r="V698">
        <v>20</v>
      </c>
      <c r="W698">
        <v>0.95</v>
      </c>
      <c r="X698">
        <v>1</v>
      </c>
      <c r="Y698">
        <v>818755.23928280396</v>
      </c>
      <c r="Z698">
        <v>2456265717.848412</v>
      </c>
      <c r="AA698">
        <v>9825062871.3936462</v>
      </c>
      <c r="AB698">
        <v>9825062.871393647</v>
      </c>
      <c r="AC698">
        <v>0</v>
      </c>
      <c r="AD698">
        <v>25457.400042285721</v>
      </c>
      <c r="AE698">
        <v>45823320.076114289</v>
      </c>
      <c r="AF698">
        <v>32076324.05328</v>
      </c>
      <c r="AG698">
        <v>1443.9651247974409</v>
      </c>
      <c r="AH698">
        <v>10083.42158274895</v>
      </c>
      <c r="AI698">
        <v>2016.6843165497901</v>
      </c>
      <c r="AJ698">
        <v>319314.54332029348</v>
      </c>
      <c r="AK698">
        <v>854.70085470085473</v>
      </c>
      <c r="AL698" t="s">
        <v>93</v>
      </c>
      <c r="AM698">
        <v>781465.17266304349</v>
      </c>
      <c r="AN698">
        <v>9137.1266163799683</v>
      </c>
      <c r="AO698">
        <v>342836.33381346433</v>
      </c>
      <c r="AP698">
        <v>1110771.543454418</v>
      </c>
      <c r="AQ698">
        <v>767935.20964095346</v>
      </c>
      <c r="AR698">
        <v>9.9548359341269863E-3</v>
      </c>
      <c r="AS698">
        <v>221.13729607222109</v>
      </c>
      <c r="AT698">
        <v>541.1939383042004</v>
      </c>
      <c r="AU698">
        <v>6.3278028391867984</v>
      </c>
      <c r="AV698">
        <v>237.42701809474599</v>
      </c>
      <c r="AW698">
        <v>769.25094961018283</v>
      </c>
      <c r="AX698">
        <v>531.82393151543681</v>
      </c>
      <c r="AY698">
        <v>1.396629518204388</v>
      </c>
      <c r="AZ698" t="s">
        <v>143</v>
      </c>
      <c r="BA698" t="str">
        <f>VLOOKUP($AZ698,Sheet1!$A$2:$B$58,2)</f>
        <v>Octane</v>
      </c>
      <c r="BB698" t="s">
        <v>191</v>
      </c>
      <c r="BC698">
        <v>114.22672</v>
      </c>
      <c r="BD698">
        <v>6.25</v>
      </c>
      <c r="BE698">
        <v>126</v>
      </c>
      <c r="BF698" t="s">
        <v>209</v>
      </c>
      <c r="BG698">
        <v>52.142090747244431</v>
      </c>
      <c r="BH698">
        <v>6.97674418604641E-3</v>
      </c>
      <c r="BI698">
        <v>1.7313437541302799E-2</v>
      </c>
      <c r="BJ698">
        <v>80</v>
      </c>
      <c r="BK698">
        <v>55538.577172720878</v>
      </c>
      <c r="BL698">
        <v>38396.760482047677</v>
      </c>
      <c r="BM698">
        <v>48.69212508024507</v>
      </c>
      <c r="BN698">
        <v>8277.6612636416612</v>
      </c>
      <c r="BO698">
        <v>47260.915909079216</v>
      </c>
    </row>
    <row r="699" spans="1:67" x14ac:dyDescent="0.25">
      <c r="A699" s="1">
        <v>697</v>
      </c>
      <c r="B699" t="s">
        <v>73</v>
      </c>
      <c r="C699" t="s">
        <v>85</v>
      </c>
      <c r="D699">
        <v>1</v>
      </c>
      <c r="E699">
        <v>1</v>
      </c>
      <c r="F699">
        <v>2</v>
      </c>
      <c r="G699">
        <v>45.016539999999999</v>
      </c>
      <c r="H699">
        <v>2</v>
      </c>
      <c r="I699" t="s">
        <v>89</v>
      </c>
      <c r="J699">
        <v>4</v>
      </c>
      <c r="K699">
        <v>300</v>
      </c>
      <c r="L699">
        <v>70</v>
      </c>
      <c r="N699" t="s">
        <v>82</v>
      </c>
      <c r="O699">
        <v>30</v>
      </c>
      <c r="P699">
        <v>0.5</v>
      </c>
      <c r="Q699">
        <v>3.2500000000000001E-2</v>
      </c>
      <c r="R699">
        <v>77.5</v>
      </c>
      <c r="S699">
        <v>170</v>
      </c>
      <c r="T699">
        <v>20</v>
      </c>
      <c r="U699">
        <v>1812.1301775147931</v>
      </c>
      <c r="V699">
        <v>20</v>
      </c>
      <c r="W699">
        <v>0.95</v>
      </c>
      <c r="X699">
        <v>1</v>
      </c>
      <c r="Y699">
        <v>852486.77806248469</v>
      </c>
      <c r="Z699">
        <v>2557460334.1874542</v>
      </c>
      <c r="AA699">
        <v>10229841336.749809</v>
      </c>
      <c r="AB699">
        <v>10229841.336749811</v>
      </c>
      <c r="AC699">
        <v>66773.504273504266</v>
      </c>
      <c r="AD699">
        <v>26506.208325342821</v>
      </c>
      <c r="AE699">
        <v>47711174.985617086</v>
      </c>
      <c r="AF699">
        <v>33397822.48993196</v>
      </c>
      <c r="AG699">
        <v>1503.454412030922</v>
      </c>
      <c r="AH699">
        <v>10498.844055585039</v>
      </c>
      <c r="AI699">
        <v>2099.7688111170082</v>
      </c>
      <c r="AJ699">
        <v>332469.84344436898</v>
      </c>
      <c r="AK699">
        <v>2170.1388888888891</v>
      </c>
      <c r="AL699" t="s">
        <v>95</v>
      </c>
      <c r="AM699">
        <v>813660.4143078404</v>
      </c>
      <c r="AN699">
        <v>9513.5630970371822</v>
      </c>
      <c r="AO699">
        <v>356960.69788989128</v>
      </c>
      <c r="AP699">
        <v>1157813.959738136</v>
      </c>
      <c r="AQ699">
        <v>800853.26184824423</v>
      </c>
      <c r="AR699">
        <v>9.9548359341269845E-3</v>
      </c>
      <c r="AS699">
        <v>221.13729607222109</v>
      </c>
      <c r="AT699">
        <v>541.1939383042004</v>
      </c>
      <c r="AU699">
        <v>6.3278028391867966</v>
      </c>
      <c r="AV699">
        <v>237.42701809474599</v>
      </c>
      <c r="AW699">
        <v>770.10247232845461</v>
      </c>
      <c r="AX699">
        <v>532.67545423370859</v>
      </c>
      <c r="AY699">
        <v>1.396629518204388</v>
      </c>
      <c r="AZ699" t="s">
        <v>144</v>
      </c>
      <c r="BA699" t="str">
        <f>VLOOKUP($AZ699,Sheet1!$A$2:$B$58,2)</f>
        <v>Pentane</v>
      </c>
      <c r="BB699" t="s">
        <v>192</v>
      </c>
      <c r="BC699">
        <v>72.147580000000005</v>
      </c>
      <c r="BD699">
        <v>6.4</v>
      </c>
      <c r="BE699">
        <v>36.1</v>
      </c>
      <c r="BF699" t="s">
        <v>209</v>
      </c>
      <c r="BG699">
        <v>54.449548613507687</v>
      </c>
      <c r="BH699">
        <v>1.0608773500447701E-2</v>
      </c>
      <c r="BI699">
        <v>1.6628372499987599E-2</v>
      </c>
      <c r="BJ699">
        <v>80</v>
      </c>
      <c r="BK699">
        <v>57890.697986906787</v>
      </c>
      <c r="BL699">
        <v>40042.663092412222</v>
      </c>
      <c r="BM699">
        <v>50.538891942342687</v>
      </c>
      <c r="BN699">
        <v>8591.6116301982584</v>
      </c>
      <c r="BO699">
        <v>49299.086356708533</v>
      </c>
    </row>
    <row r="700" spans="1:67" x14ac:dyDescent="0.25">
      <c r="A700" s="1">
        <v>698</v>
      </c>
      <c r="B700" t="s">
        <v>73</v>
      </c>
      <c r="C700" t="s">
        <v>85</v>
      </c>
      <c r="D700">
        <v>1</v>
      </c>
      <c r="E700">
        <v>1</v>
      </c>
      <c r="F700">
        <v>2</v>
      </c>
      <c r="G700">
        <v>45.016539999999999</v>
      </c>
      <c r="H700">
        <v>2</v>
      </c>
      <c r="I700" t="s">
        <v>89</v>
      </c>
      <c r="J700">
        <v>4</v>
      </c>
      <c r="K700">
        <v>300</v>
      </c>
      <c r="L700">
        <v>70</v>
      </c>
      <c r="N700" t="s">
        <v>82</v>
      </c>
      <c r="O700">
        <v>30</v>
      </c>
      <c r="P700">
        <v>0.5</v>
      </c>
      <c r="Q700">
        <v>3.2500000000000001E-2</v>
      </c>
      <c r="R700">
        <v>77.5</v>
      </c>
      <c r="S700">
        <v>170</v>
      </c>
      <c r="T700">
        <v>20</v>
      </c>
      <c r="U700">
        <v>1812.1301775147931</v>
      </c>
      <c r="V700">
        <v>20</v>
      </c>
      <c r="W700">
        <v>0.95</v>
      </c>
      <c r="X700">
        <v>1</v>
      </c>
      <c r="Y700">
        <v>620609.83235446725</v>
      </c>
      <c r="Z700">
        <v>1861829497.0634019</v>
      </c>
      <c r="AA700">
        <v>7447317988.2536068</v>
      </c>
      <c r="AB700">
        <v>7447317.9882536056</v>
      </c>
      <c r="AC700">
        <v>0</v>
      </c>
      <c r="AD700">
        <v>19296.502806214619</v>
      </c>
      <c r="AE700">
        <v>34733705.051186323</v>
      </c>
      <c r="AF700">
        <v>24313593.53583042</v>
      </c>
      <c r="AG700">
        <v>1094.513855949451</v>
      </c>
      <c r="AH700">
        <v>7643.1517965135481</v>
      </c>
      <c r="AI700">
        <v>1528.6303593027101</v>
      </c>
      <c r="AJ700">
        <v>242037.8346182422</v>
      </c>
      <c r="AK700">
        <v>854.70085470085473</v>
      </c>
      <c r="AL700" t="s">
        <v>93</v>
      </c>
      <c r="AM700">
        <v>592344.26422979997</v>
      </c>
      <c r="AN700">
        <v>6925.8678852062267</v>
      </c>
      <c r="AO700">
        <v>259867.1610814606</v>
      </c>
      <c r="AP700">
        <v>842162.66758794931</v>
      </c>
      <c r="AQ700">
        <v>582295.50650648866</v>
      </c>
      <c r="AR700">
        <v>9.9548359341269845E-3</v>
      </c>
      <c r="AS700">
        <v>221.13729607222109</v>
      </c>
      <c r="AT700">
        <v>541.1939383042004</v>
      </c>
      <c r="AU700">
        <v>6.3278028391867958</v>
      </c>
      <c r="AV700">
        <v>237.42701809474599</v>
      </c>
      <c r="AW700">
        <v>769.43993263329082</v>
      </c>
      <c r="AX700">
        <v>532.01291453854481</v>
      </c>
      <c r="AY700">
        <v>1.396629518204388</v>
      </c>
      <c r="AZ700" t="s">
        <v>145</v>
      </c>
      <c r="BA700" t="str">
        <f>VLOOKUP($AZ700,Sheet1!$A$2:$B$58,2)</f>
        <v>Pentanol (PW1)</v>
      </c>
      <c r="BB700" t="s">
        <v>157</v>
      </c>
      <c r="BC700">
        <v>88.14658</v>
      </c>
      <c r="BD700">
        <v>6</v>
      </c>
      <c r="BE700">
        <v>138</v>
      </c>
      <c r="BF700" t="s">
        <v>209</v>
      </c>
      <c r="BG700">
        <v>39.363223670206807</v>
      </c>
      <c r="BH700">
        <v>1.19275289380977E-2</v>
      </c>
      <c r="BI700">
        <v>2.28411909672111E-2</v>
      </c>
      <c r="BJ700">
        <v>80</v>
      </c>
      <c r="BK700">
        <v>42108.133379397463</v>
      </c>
      <c r="BL700">
        <v>29114.77532532443</v>
      </c>
      <c r="BM700">
        <v>37.068294294928663</v>
      </c>
      <c r="BN700">
        <v>6301.610030137871</v>
      </c>
      <c r="BO700">
        <v>35806.523349259587</v>
      </c>
    </row>
    <row r="701" spans="1:67" x14ac:dyDescent="0.25">
      <c r="A701" s="1">
        <v>699</v>
      </c>
      <c r="B701" t="s">
        <v>73</v>
      </c>
      <c r="C701" t="s">
        <v>85</v>
      </c>
      <c r="D701">
        <v>1</v>
      </c>
      <c r="E701">
        <v>1</v>
      </c>
      <c r="F701">
        <v>2</v>
      </c>
      <c r="G701">
        <v>45.016539999999999</v>
      </c>
      <c r="H701">
        <v>2</v>
      </c>
      <c r="I701" t="s">
        <v>89</v>
      </c>
      <c r="J701">
        <v>4</v>
      </c>
      <c r="K701">
        <v>300</v>
      </c>
      <c r="L701">
        <v>70</v>
      </c>
      <c r="N701" t="s">
        <v>82</v>
      </c>
      <c r="O701">
        <v>30</v>
      </c>
      <c r="P701">
        <v>0.5</v>
      </c>
      <c r="Q701">
        <v>3.2500000000000001E-2</v>
      </c>
      <c r="R701">
        <v>77.5</v>
      </c>
      <c r="S701">
        <v>170</v>
      </c>
      <c r="T701">
        <v>20</v>
      </c>
      <c r="U701">
        <v>1812.1301775147931</v>
      </c>
      <c r="V701">
        <v>20</v>
      </c>
      <c r="W701">
        <v>0.95</v>
      </c>
      <c r="X701">
        <v>1</v>
      </c>
      <c r="Y701">
        <v>644347.2995205184</v>
      </c>
      <c r="Z701">
        <v>1933041898.5615549</v>
      </c>
      <c r="AA701">
        <v>7732167594.2462206</v>
      </c>
      <c r="AB701">
        <v>7732167.5942462208</v>
      </c>
      <c r="AC701">
        <v>0</v>
      </c>
      <c r="AD701">
        <v>20034.567332270199</v>
      </c>
      <c r="AE701">
        <v>36062221.198086374</v>
      </c>
      <c r="AF701">
        <v>25243554.83866046</v>
      </c>
      <c r="AG701">
        <v>1136.3774961367519</v>
      </c>
      <c r="AH701">
        <v>7935.4917746389046</v>
      </c>
      <c r="AI701">
        <v>1587.098354927781</v>
      </c>
      <c r="AJ701">
        <v>251295.4468130022</v>
      </c>
      <c r="AK701">
        <v>854.70085470085473</v>
      </c>
      <c r="AL701" t="s">
        <v>93</v>
      </c>
      <c r="AM701">
        <v>615000.61253451509</v>
      </c>
      <c r="AN701">
        <v>7190.7727464421214</v>
      </c>
      <c r="AO701">
        <v>269806.72033772268</v>
      </c>
      <c r="AP701">
        <v>874341.53294866032</v>
      </c>
      <c r="AQ701">
        <v>604534.81261093752</v>
      </c>
      <c r="AR701">
        <v>9.9548359341269828E-3</v>
      </c>
      <c r="AS701">
        <v>221.13729607222109</v>
      </c>
      <c r="AT701">
        <v>541.1939383042004</v>
      </c>
      <c r="AU701">
        <v>6.3278028391867958</v>
      </c>
      <c r="AV701">
        <v>237.42701809474599</v>
      </c>
      <c r="AW701">
        <v>769.41116479434561</v>
      </c>
      <c r="AX701">
        <v>531.98414669959959</v>
      </c>
      <c r="AY701">
        <v>1.396629518204388</v>
      </c>
      <c r="AZ701" t="s">
        <v>146</v>
      </c>
      <c r="BA701" t="str">
        <f>VLOOKUP($AZ701,Sheet1!$A$2:$B$58,2)</f>
        <v>Pentanol (PW2)</v>
      </c>
      <c r="BB701" t="s">
        <v>157</v>
      </c>
      <c r="BC701">
        <v>88.14658</v>
      </c>
      <c r="BD701">
        <v>6</v>
      </c>
      <c r="BE701">
        <v>138</v>
      </c>
      <c r="BF701" t="s">
        <v>209</v>
      </c>
      <c r="BG701">
        <v>40.964296722888797</v>
      </c>
      <c r="BH701">
        <v>1.14881240911294E-2</v>
      </c>
      <c r="BI701">
        <v>2.1999731678065099E-2</v>
      </c>
      <c r="BJ701">
        <v>80</v>
      </c>
      <c r="BK701">
        <v>43717.076647433008</v>
      </c>
      <c r="BL701">
        <v>30226.740630546868</v>
      </c>
      <c r="BM701">
        <v>38.390621023500238</v>
      </c>
      <c r="BN701">
        <v>6526.4055739950418</v>
      </c>
      <c r="BO701">
        <v>37190.671073437967</v>
      </c>
    </row>
    <row r="702" spans="1:67" x14ac:dyDescent="0.25">
      <c r="A702" s="1">
        <v>700</v>
      </c>
      <c r="B702" t="s">
        <v>73</v>
      </c>
      <c r="C702" t="s">
        <v>85</v>
      </c>
      <c r="D702">
        <v>1</v>
      </c>
      <c r="E702">
        <v>1</v>
      </c>
      <c r="F702">
        <v>2</v>
      </c>
      <c r="G702">
        <v>45.016539999999999</v>
      </c>
      <c r="H702">
        <v>2</v>
      </c>
      <c r="I702" t="s">
        <v>89</v>
      </c>
      <c r="J702">
        <v>4</v>
      </c>
      <c r="K702">
        <v>300</v>
      </c>
      <c r="L702">
        <v>70</v>
      </c>
      <c r="N702" t="s">
        <v>82</v>
      </c>
      <c r="O702">
        <v>30</v>
      </c>
      <c r="P702">
        <v>0.5</v>
      </c>
      <c r="Q702">
        <v>3.2500000000000001E-2</v>
      </c>
      <c r="R702">
        <v>77.5</v>
      </c>
      <c r="S702">
        <v>170</v>
      </c>
      <c r="T702">
        <v>20</v>
      </c>
      <c r="U702">
        <v>1812.1301775147931</v>
      </c>
      <c r="V702">
        <v>20</v>
      </c>
      <c r="W702">
        <v>0.95</v>
      </c>
      <c r="X702">
        <v>1</v>
      </c>
      <c r="Y702">
        <v>601175.39411187987</v>
      </c>
      <c r="Z702">
        <v>1803526182.33564</v>
      </c>
      <c r="AA702">
        <v>7214104729.3425589</v>
      </c>
      <c r="AB702">
        <v>7214104.7293425584</v>
      </c>
      <c r="AC702">
        <v>0</v>
      </c>
      <c r="AD702">
        <v>18692.231535386451</v>
      </c>
      <c r="AE702">
        <v>33646016.763695613</v>
      </c>
      <c r="AF702">
        <v>23552211.734586932</v>
      </c>
      <c r="AG702">
        <v>1060.2390816385021</v>
      </c>
      <c r="AH702">
        <v>7403.8059888512189</v>
      </c>
      <c r="AI702">
        <v>1480.7611977702441</v>
      </c>
      <c r="AJ702">
        <v>234458.40370363311</v>
      </c>
      <c r="AK702">
        <v>854.70085470085473</v>
      </c>
      <c r="AL702" t="s">
        <v>93</v>
      </c>
      <c r="AM702">
        <v>573794.96413596941</v>
      </c>
      <c r="AN702">
        <v>6708.9838710089134</v>
      </c>
      <c r="AO702">
        <v>251729.40362094139</v>
      </c>
      <c r="AP702">
        <v>815817.05256531236</v>
      </c>
      <c r="AQ702">
        <v>564087.64894437091</v>
      </c>
      <c r="AR702">
        <v>9.9548359341269828E-3</v>
      </c>
      <c r="AS702">
        <v>221.13729607222109</v>
      </c>
      <c r="AT702">
        <v>541.19393830420029</v>
      </c>
      <c r="AU702">
        <v>6.3278028391867958</v>
      </c>
      <c r="AV702">
        <v>237.42701809474599</v>
      </c>
      <c r="AW702">
        <v>769.46517695286457</v>
      </c>
      <c r="AX702">
        <v>532.03815885811855</v>
      </c>
      <c r="AY702">
        <v>1.396629518204388</v>
      </c>
      <c r="AZ702" t="s">
        <v>147</v>
      </c>
      <c r="BA702" t="str">
        <f>VLOOKUP($AZ702,Sheet1!$A$2:$B$58,2)</f>
        <v>Phenol</v>
      </c>
      <c r="BB702" t="s">
        <v>193</v>
      </c>
      <c r="BC702">
        <v>94.11023999999999</v>
      </c>
      <c r="BD702">
        <v>4.666666666666667</v>
      </c>
      <c r="BE702">
        <v>181.7</v>
      </c>
      <c r="BF702" t="s">
        <v>209</v>
      </c>
      <c r="BG702">
        <v>37.742938090746662</v>
      </c>
      <c r="BH702">
        <v>1.1532846715328501E-2</v>
      </c>
      <c r="BI702">
        <v>2.3579587314744899E-2</v>
      </c>
      <c r="BJ702">
        <v>80</v>
      </c>
      <c r="BK702">
        <v>40790.852628265617</v>
      </c>
      <c r="BL702">
        <v>28204.382447218552</v>
      </c>
      <c r="BM702">
        <v>36.295121797765539</v>
      </c>
      <c r="BN702">
        <v>6170.1707056201412</v>
      </c>
      <c r="BO702">
        <v>34620.681922645483</v>
      </c>
    </row>
    <row r="703" spans="1:67" x14ac:dyDescent="0.25">
      <c r="A703" s="1">
        <v>701</v>
      </c>
      <c r="B703" t="s">
        <v>73</v>
      </c>
      <c r="C703" t="s">
        <v>85</v>
      </c>
      <c r="D703">
        <v>1</v>
      </c>
      <c r="E703">
        <v>1</v>
      </c>
      <c r="F703">
        <v>2</v>
      </c>
      <c r="G703">
        <v>45.016539999999999</v>
      </c>
      <c r="H703">
        <v>2</v>
      </c>
      <c r="I703" t="s">
        <v>89</v>
      </c>
      <c r="J703">
        <v>4</v>
      </c>
      <c r="K703">
        <v>300</v>
      </c>
      <c r="L703">
        <v>70</v>
      </c>
      <c r="N703" t="s">
        <v>82</v>
      </c>
      <c r="O703">
        <v>30</v>
      </c>
      <c r="P703">
        <v>0.5</v>
      </c>
      <c r="Q703">
        <v>3.2500000000000001E-2</v>
      </c>
      <c r="R703">
        <v>77.5</v>
      </c>
      <c r="S703">
        <v>170</v>
      </c>
      <c r="T703">
        <v>20</v>
      </c>
      <c r="U703">
        <v>1812.1301775147931</v>
      </c>
      <c r="V703">
        <v>20</v>
      </c>
      <c r="W703">
        <v>0.95</v>
      </c>
      <c r="X703">
        <v>1</v>
      </c>
      <c r="Y703">
        <v>894090.94260807231</v>
      </c>
      <c r="Z703">
        <v>2682272827.8242168</v>
      </c>
      <c r="AA703">
        <v>10729091311.296869</v>
      </c>
      <c r="AB703">
        <v>10729091.311296869</v>
      </c>
      <c r="AC703">
        <v>66773.504273504266</v>
      </c>
      <c r="AD703">
        <v>27799.79865545157</v>
      </c>
      <c r="AE703">
        <v>50039637.579812817</v>
      </c>
      <c r="AF703">
        <v>35027746.305868968</v>
      </c>
      <c r="AG703">
        <v>1576.8279426880031</v>
      </c>
      <c r="AH703">
        <v>11011.222249437809</v>
      </c>
      <c r="AI703">
        <v>2202.244449887562</v>
      </c>
      <c r="AJ703">
        <v>348695.46761714818</v>
      </c>
      <c r="AK703">
        <v>2170.1388888888891</v>
      </c>
      <c r="AL703" t="s">
        <v>95</v>
      </c>
      <c r="AM703">
        <v>853369.72433143004</v>
      </c>
      <c r="AN703">
        <v>9977.8563326502208</v>
      </c>
      <c r="AO703">
        <v>374381.55648088548</v>
      </c>
      <c r="AP703">
        <v>1214213.1871701169</v>
      </c>
      <c r="AQ703">
        <v>839831.63068923191</v>
      </c>
      <c r="AR703">
        <v>9.9548359341269863E-3</v>
      </c>
      <c r="AS703">
        <v>221.13729607222109</v>
      </c>
      <c r="AT703">
        <v>541.19393830420029</v>
      </c>
      <c r="AU703">
        <v>6.3278028391867984</v>
      </c>
      <c r="AV703">
        <v>237.42701809474599</v>
      </c>
      <c r="AW703">
        <v>770.03530588141439</v>
      </c>
      <c r="AX703">
        <v>532.60828778666837</v>
      </c>
      <c r="AY703">
        <v>1.396629518204388</v>
      </c>
      <c r="AZ703" t="s">
        <v>148</v>
      </c>
      <c r="BA703" t="str">
        <f>VLOOKUP($AZ703,Sheet1!$A$2:$B$58,2)</f>
        <v>Propane (PW1)</v>
      </c>
      <c r="BB703" t="s">
        <v>194</v>
      </c>
      <c r="BC703">
        <v>44.094819999999999</v>
      </c>
      <c r="BD703">
        <v>6.666666666666667</v>
      </c>
      <c r="BE703">
        <v>-42</v>
      </c>
      <c r="BF703" t="s">
        <v>209</v>
      </c>
      <c r="BG703">
        <v>57.311485118958863</v>
      </c>
      <c r="BH703">
        <v>1.65502793296089E-2</v>
      </c>
      <c r="BI703">
        <v>1.5854615030085499E-2</v>
      </c>
      <c r="BJ703">
        <v>80</v>
      </c>
      <c r="BK703">
        <v>60710.659358505858</v>
      </c>
      <c r="BL703">
        <v>41991.581534461591</v>
      </c>
      <c r="BM703">
        <v>52.80073737541921</v>
      </c>
      <c r="BN703">
        <v>8976.1253538212659</v>
      </c>
      <c r="BO703">
        <v>51734.534004684603</v>
      </c>
    </row>
    <row r="704" spans="1:67" x14ac:dyDescent="0.25">
      <c r="A704" s="1">
        <v>702</v>
      </c>
      <c r="B704" t="s">
        <v>73</v>
      </c>
      <c r="C704" t="s">
        <v>85</v>
      </c>
      <c r="D704">
        <v>1</v>
      </c>
      <c r="E704">
        <v>1</v>
      </c>
      <c r="F704">
        <v>2</v>
      </c>
      <c r="G704">
        <v>45.016539999999999</v>
      </c>
      <c r="H704">
        <v>2</v>
      </c>
      <c r="I704" t="s">
        <v>89</v>
      </c>
      <c r="J704">
        <v>4</v>
      </c>
      <c r="K704">
        <v>300</v>
      </c>
      <c r="L704">
        <v>70</v>
      </c>
      <c r="N704" t="s">
        <v>82</v>
      </c>
      <c r="O704">
        <v>30</v>
      </c>
      <c r="P704">
        <v>0.5</v>
      </c>
      <c r="Q704">
        <v>3.2500000000000001E-2</v>
      </c>
      <c r="R704">
        <v>77.5</v>
      </c>
      <c r="S704">
        <v>170</v>
      </c>
      <c r="T704">
        <v>20</v>
      </c>
      <c r="U704">
        <v>1812.1301775147931</v>
      </c>
      <c r="V704">
        <v>20</v>
      </c>
      <c r="W704">
        <v>0.95</v>
      </c>
      <c r="X704">
        <v>1</v>
      </c>
      <c r="Y704">
        <v>1077654.306523422</v>
      </c>
      <c r="Z704">
        <v>3232962919.5702658</v>
      </c>
      <c r="AA704">
        <v>12931851678.281059</v>
      </c>
      <c r="AB704">
        <v>12931851.678281059</v>
      </c>
      <c r="AC704">
        <v>66773.504273504266</v>
      </c>
      <c r="AD704">
        <v>33507.299217394997</v>
      </c>
      <c r="AE704">
        <v>60313138.591310993</v>
      </c>
      <c r="AF704">
        <v>42219197.013917692</v>
      </c>
      <c r="AG704">
        <v>1900.562171144906</v>
      </c>
      <c r="AH704">
        <v>13271.90614701798</v>
      </c>
      <c r="AI704">
        <v>2654.381229403597</v>
      </c>
      <c r="AJ704">
        <v>420285.17954413459</v>
      </c>
      <c r="AK704">
        <v>2170.1388888888891</v>
      </c>
      <c r="AL704" t="s">
        <v>95</v>
      </c>
      <c r="AM704">
        <v>1028572.7263938939</v>
      </c>
      <c r="AN704">
        <v>12026.38270262176</v>
      </c>
      <c r="AO704">
        <v>451244.80899861152</v>
      </c>
      <c r="AP704">
        <v>1463054.427529539</v>
      </c>
      <c r="AQ704">
        <v>1011809.618530928</v>
      </c>
      <c r="AR704">
        <v>9.9548359341269863E-3</v>
      </c>
      <c r="AS704">
        <v>221.13729607222109</v>
      </c>
      <c r="AT704">
        <v>541.19393830420051</v>
      </c>
      <c r="AU704">
        <v>6.3278028391867984</v>
      </c>
      <c r="AV704">
        <v>237.42701809474599</v>
      </c>
      <c r="AW704">
        <v>769.80087773092396</v>
      </c>
      <c r="AX704">
        <v>532.37385963617794</v>
      </c>
      <c r="AY704">
        <v>1.3966295182043891</v>
      </c>
      <c r="AZ704" t="s">
        <v>149</v>
      </c>
      <c r="BA704" t="str">
        <f>VLOOKUP($AZ704,Sheet1!$A$2:$B$58,2)</f>
        <v>Propane (PW2)</v>
      </c>
      <c r="BB704" t="s">
        <v>194</v>
      </c>
      <c r="BC704">
        <v>44.094819999999999</v>
      </c>
      <c r="BD704">
        <v>6.666666666666667</v>
      </c>
      <c r="BE704">
        <v>-42</v>
      </c>
      <c r="BF704" t="s">
        <v>209</v>
      </c>
      <c r="BG704">
        <v>69.692686254218529</v>
      </c>
      <c r="BH704">
        <v>1.3731170336036901E-2</v>
      </c>
      <c r="BI704">
        <v>1.3154002736432399E-2</v>
      </c>
      <c r="BJ704">
        <v>80</v>
      </c>
      <c r="BK704">
        <v>73152.721376476969</v>
      </c>
      <c r="BL704">
        <v>50590.480926546392</v>
      </c>
      <c r="BM704">
        <v>63.026375215961338</v>
      </c>
      <c r="BN704">
        <v>10714.48378671343</v>
      </c>
      <c r="BO704">
        <v>62438.237589763543</v>
      </c>
    </row>
    <row r="705" spans="1:67" x14ac:dyDescent="0.25">
      <c r="A705" s="1">
        <v>703</v>
      </c>
      <c r="B705" t="s">
        <v>73</v>
      </c>
      <c r="C705" t="s">
        <v>85</v>
      </c>
      <c r="D705">
        <v>1</v>
      </c>
      <c r="E705">
        <v>1</v>
      </c>
      <c r="F705">
        <v>2</v>
      </c>
      <c r="G705">
        <v>45.016539999999999</v>
      </c>
      <c r="H705">
        <v>2</v>
      </c>
      <c r="I705" t="s">
        <v>89</v>
      </c>
      <c r="J705">
        <v>4</v>
      </c>
      <c r="K705">
        <v>300</v>
      </c>
      <c r="L705">
        <v>70</v>
      </c>
      <c r="N705" t="s">
        <v>82</v>
      </c>
      <c r="O705">
        <v>30</v>
      </c>
      <c r="P705">
        <v>0.5</v>
      </c>
      <c r="Q705">
        <v>3.2500000000000001E-2</v>
      </c>
      <c r="R705">
        <v>77.5</v>
      </c>
      <c r="S705">
        <v>170</v>
      </c>
      <c r="T705">
        <v>20</v>
      </c>
      <c r="U705">
        <v>1812.1301775147931</v>
      </c>
      <c r="V705">
        <v>20</v>
      </c>
      <c r="W705">
        <v>0.95</v>
      </c>
      <c r="X705">
        <v>1</v>
      </c>
      <c r="Y705">
        <v>317704.35524170368</v>
      </c>
      <c r="Z705">
        <v>953113065.72511125</v>
      </c>
      <c r="AA705">
        <v>3812452262.900445</v>
      </c>
      <c r="AB705">
        <v>3812452.2629004451</v>
      </c>
      <c r="AC705">
        <v>0</v>
      </c>
      <c r="AD705">
        <v>9878.3207465630385</v>
      </c>
      <c r="AE705">
        <v>17780977.343813471</v>
      </c>
      <c r="AF705">
        <v>12446684.14066943</v>
      </c>
      <c r="AG705">
        <v>560.3066544858109</v>
      </c>
      <c r="AH705">
        <v>3912.7040645061529</v>
      </c>
      <c r="AI705">
        <v>782.54081290123065</v>
      </c>
      <c r="AJ705">
        <v>123904.69854426449</v>
      </c>
      <c r="AK705">
        <v>854.70085470085473</v>
      </c>
      <c r="AL705" t="s">
        <v>93</v>
      </c>
      <c r="AM705">
        <v>303234.56499922677</v>
      </c>
      <c r="AN705">
        <v>3545.5100390705688</v>
      </c>
      <c r="AO705">
        <v>133031.93819320921</v>
      </c>
      <c r="AP705">
        <v>431539.47443726269</v>
      </c>
      <c r="AQ705">
        <v>298507.53624405351</v>
      </c>
      <c r="AR705">
        <v>9.9548359341269845E-3</v>
      </c>
      <c r="AS705">
        <v>221.13729607222109</v>
      </c>
      <c r="AT705">
        <v>541.19393830420029</v>
      </c>
      <c r="AU705">
        <v>6.3278028391867949</v>
      </c>
      <c r="AV705">
        <v>237.42701809474599</v>
      </c>
      <c r="AW705">
        <v>770.18445342806638</v>
      </c>
      <c r="AX705">
        <v>532.75743533332036</v>
      </c>
      <c r="AY705">
        <v>1.396629518204388</v>
      </c>
      <c r="AZ705" t="s">
        <v>150</v>
      </c>
      <c r="BA705" t="str">
        <f>VLOOKUP($AZ705,Sheet1!$A$2:$B$58,2)</f>
        <v>Shikimate</v>
      </c>
      <c r="BB705" t="s">
        <v>195</v>
      </c>
      <c r="BC705">
        <v>173.14045999999999</v>
      </c>
      <c r="BD705">
        <v>3.8571428571428572</v>
      </c>
      <c r="BE705">
        <v>400.5</v>
      </c>
      <c r="BF705" t="s">
        <v>209</v>
      </c>
      <c r="BG705">
        <v>19.649596209818871</v>
      </c>
      <c r="BH705">
        <v>1.18618618618618E-2</v>
      </c>
      <c r="BI705">
        <v>4.46184242144015E-2</v>
      </c>
      <c r="BJ705">
        <v>80</v>
      </c>
      <c r="BK705">
        <v>21576.973721863131</v>
      </c>
      <c r="BL705">
        <v>14925.37681220267</v>
      </c>
      <c r="BM705">
        <v>19.47744443524266</v>
      </c>
      <c r="BN705">
        <v>3311.1655539912531</v>
      </c>
      <c r="BO705">
        <v>18265.808167871881</v>
      </c>
    </row>
    <row r="706" spans="1:67" x14ac:dyDescent="0.25">
      <c r="A706" s="1">
        <v>704</v>
      </c>
      <c r="B706" t="s">
        <v>73</v>
      </c>
      <c r="C706" t="s">
        <v>85</v>
      </c>
      <c r="D706">
        <v>1</v>
      </c>
      <c r="E706">
        <v>1</v>
      </c>
      <c r="F706">
        <v>2</v>
      </c>
      <c r="G706">
        <v>45.016539999999999</v>
      </c>
      <c r="H706">
        <v>2</v>
      </c>
      <c r="I706" t="s">
        <v>89</v>
      </c>
      <c r="J706">
        <v>4</v>
      </c>
      <c r="K706">
        <v>300</v>
      </c>
      <c r="L706">
        <v>70</v>
      </c>
      <c r="N706" t="s">
        <v>82</v>
      </c>
      <c r="O706">
        <v>30</v>
      </c>
      <c r="P706">
        <v>0.5</v>
      </c>
      <c r="Q706">
        <v>3.2500000000000001E-2</v>
      </c>
      <c r="R706">
        <v>77.5</v>
      </c>
      <c r="S706">
        <v>170</v>
      </c>
      <c r="T706">
        <v>20</v>
      </c>
      <c r="U706">
        <v>1812.1301775147931</v>
      </c>
      <c r="V706">
        <v>20</v>
      </c>
      <c r="W706">
        <v>0.95</v>
      </c>
      <c r="X706">
        <v>1</v>
      </c>
      <c r="Y706">
        <v>755767.37103375641</v>
      </c>
      <c r="Z706">
        <v>2267302113.1012688</v>
      </c>
      <c r="AA706">
        <v>9069208452.405077</v>
      </c>
      <c r="AB706">
        <v>9069208.4524050765</v>
      </c>
      <c r="AC706">
        <v>0</v>
      </c>
      <c r="AD706">
        <v>23498.93030323233</v>
      </c>
      <c r="AE706">
        <v>42298074.545818202</v>
      </c>
      <c r="AF706">
        <v>29608652.18207274</v>
      </c>
      <c r="AG706">
        <v>1332.879075300365</v>
      </c>
      <c r="AH706">
        <v>9307.6913038072926</v>
      </c>
      <c r="AI706">
        <v>1861.538260761459</v>
      </c>
      <c r="AJ706">
        <v>294749.27470316499</v>
      </c>
      <c r="AK706">
        <v>854.70085470085473</v>
      </c>
      <c r="AL706" t="s">
        <v>93</v>
      </c>
      <c r="AM706">
        <v>721346.07604506519</v>
      </c>
      <c r="AN706">
        <v>8434.1959969783184</v>
      </c>
      <c r="AO706">
        <v>316461.50432944798</v>
      </c>
      <c r="AP706">
        <v>1025384.247599909</v>
      </c>
      <c r="AQ706">
        <v>708922.74327046145</v>
      </c>
      <c r="AR706">
        <v>9.9548359341269828E-3</v>
      </c>
      <c r="AS706">
        <v>221.13729607222109</v>
      </c>
      <c r="AT706">
        <v>541.19393830420029</v>
      </c>
      <c r="AU706">
        <v>6.3278028391867958</v>
      </c>
      <c r="AV706">
        <v>237.42701809474599</v>
      </c>
      <c r="AW706">
        <v>769.3002813243495</v>
      </c>
      <c r="AX706">
        <v>531.87326322960348</v>
      </c>
      <c r="AY706">
        <v>1.396629518204388</v>
      </c>
      <c r="AZ706" t="s">
        <v>151</v>
      </c>
      <c r="BA706" t="str">
        <f>VLOOKUP($AZ706,Sheet1!$A$2:$B$58,2)</f>
        <v>Styrene</v>
      </c>
      <c r="BB706" t="s">
        <v>196</v>
      </c>
      <c r="BC706">
        <v>104.14832</v>
      </c>
      <c r="BD706">
        <v>5</v>
      </c>
      <c r="BE706">
        <v>145</v>
      </c>
      <c r="BF706" t="s">
        <v>209</v>
      </c>
      <c r="BG706">
        <v>47.595337403228449</v>
      </c>
      <c r="BH706">
        <v>8.2896117523615608E-3</v>
      </c>
      <c r="BI706">
        <v>1.8756390180681801E-2</v>
      </c>
      <c r="BJ706">
        <v>80</v>
      </c>
      <c r="BK706">
        <v>51269.212379995457</v>
      </c>
      <c r="BL706">
        <v>35446.137163523068</v>
      </c>
      <c r="BM706">
        <v>45.481575634844482</v>
      </c>
      <c r="BN706">
        <v>7731.867857923562</v>
      </c>
      <c r="BO706">
        <v>43537.3445220719</v>
      </c>
    </row>
    <row r="707" spans="1:67" x14ac:dyDescent="0.25">
      <c r="A707" s="1">
        <v>705</v>
      </c>
      <c r="B707" t="s">
        <v>73</v>
      </c>
      <c r="C707" t="s">
        <v>85</v>
      </c>
      <c r="D707">
        <v>1</v>
      </c>
      <c r="E707">
        <v>1</v>
      </c>
      <c r="F707">
        <v>2</v>
      </c>
      <c r="G707">
        <v>45.016539999999999</v>
      </c>
      <c r="H707">
        <v>2</v>
      </c>
      <c r="I707" t="s">
        <v>89</v>
      </c>
      <c r="J707">
        <v>4</v>
      </c>
      <c r="K707">
        <v>300</v>
      </c>
      <c r="L707">
        <v>70</v>
      </c>
      <c r="N707" t="s">
        <v>82</v>
      </c>
      <c r="O707">
        <v>30</v>
      </c>
      <c r="P707">
        <v>0.5</v>
      </c>
      <c r="Q707">
        <v>3.2500000000000001E-2</v>
      </c>
      <c r="R707">
        <v>77.5</v>
      </c>
      <c r="S707">
        <v>170</v>
      </c>
      <c r="T707">
        <v>20</v>
      </c>
      <c r="U707">
        <v>1812.1301775147931</v>
      </c>
      <c r="V707">
        <v>20</v>
      </c>
      <c r="W707">
        <v>0.95</v>
      </c>
      <c r="X707">
        <v>1</v>
      </c>
      <c r="Y707">
        <v>208494.47144897221</v>
      </c>
      <c r="Z707">
        <v>625483414.34691656</v>
      </c>
      <c r="AA707">
        <v>2501933657.3876662</v>
      </c>
      <c r="AB707">
        <v>2501933.6573876659</v>
      </c>
      <c r="AC707">
        <v>0</v>
      </c>
      <c r="AD707">
        <v>6482.6787196265823</v>
      </c>
      <c r="AE707">
        <v>11668821.69532785</v>
      </c>
      <c r="AF707">
        <v>8168175.1867294936</v>
      </c>
      <c r="AG707">
        <v>367.70298502041572</v>
      </c>
      <c r="AH707">
        <v>2567.7242140568919</v>
      </c>
      <c r="AI707">
        <v>513.54484281137854</v>
      </c>
      <c r="AJ707">
        <v>81312.843865099159</v>
      </c>
      <c r="AK707">
        <v>854.70085470085473</v>
      </c>
      <c r="AL707" t="s">
        <v>93</v>
      </c>
      <c r="AM707">
        <v>198998.62658940919</v>
      </c>
      <c r="AN707">
        <v>2326.7519925896472</v>
      </c>
      <c r="AO707">
        <v>87302.623277934355</v>
      </c>
      <c r="AP707">
        <v>283492.92330179882</v>
      </c>
      <c r="AQ707">
        <v>196190.30002386449</v>
      </c>
      <c r="AR707">
        <v>9.9548359341269845E-3</v>
      </c>
      <c r="AS707">
        <v>221.13729607222109</v>
      </c>
      <c r="AT707">
        <v>541.19393830420029</v>
      </c>
      <c r="AU707">
        <v>6.3278028391867984</v>
      </c>
      <c r="AV707">
        <v>237.42701809474599</v>
      </c>
      <c r="AW707">
        <v>770.98346994941767</v>
      </c>
      <c r="AX707">
        <v>533.55645185467165</v>
      </c>
      <c r="AY707">
        <v>1.396629518204388</v>
      </c>
      <c r="AZ707" t="s">
        <v>152</v>
      </c>
      <c r="BA707" t="str">
        <f>VLOOKUP($AZ707,Sheet1!$A$2:$B$58,2)</f>
        <v>Succinate</v>
      </c>
      <c r="BB707" t="s">
        <v>197</v>
      </c>
      <c r="BC707">
        <v>116.07016</v>
      </c>
      <c r="BD707">
        <v>3</v>
      </c>
      <c r="BE707">
        <v>235</v>
      </c>
      <c r="BF707" t="s">
        <v>209</v>
      </c>
      <c r="BG707">
        <v>12.546115386186729</v>
      </c>
      <c r="BH707">
        <v>2.6962457337884101E-2</v>
      </c>
      <c r="BI707">
        <v>6.7989657463922798E-2</v>
      </c>
      <c r="BJ707">
        <v>80</v>
      </c>
      <c r="BK707">
        <v>14174.64616508994</v>
      </c>
      <c r="BL707">
        <v>9809.5150011932237</v>
      </c>
      <c r="BM707">
        <v>13.131126754382199</v>
      </c>
      <c r="BN707">
        <v>2232.2915482449739</v>
      </c>
      <c r="BO707">
        <v>11942.35461684497</v>
      </c>
    </row>
    <row r="708" spans="1:67" x14ac:dyDescent="0.25">
      <c r="A708" s="1">
        <v>706</v>
      </c>
      <c r="B708" t="s">
        <v>74</v>
      </c>
      <c r="C708" t="s">
        <v>85</v>
      </c>
      <c r="D708">
        <v>1</v>
      </c>
      <c r="E708">
        <v>1</v>
      </c>
      <c r="F708">
        <v>2</v>
      </c>
      <c r="G708">
        <v>45.016539999999999</v>
      </c>
      <c r="H708">
        <v>2</v>
      </c>
      <c r="I708" t="s">
        <v>89</v>
      </c>
      <c r="J708">
        <v>4</v>
      </c>
      <c r="K708">
        <v>300</v>
      </c>
      <c r="L708">
        <v>66.666666666666657</v>
      </c>
      <c r="N708" t="s">
        <v>91</v>
      </c>
      <c r="O708">
        <v>33.333333333333343</v>
      </c>
      <c r="P708">
        <v>0.33333333333333331</v>
      </c>
      <c r="Q708">
        <v>3.2500000000000001E-2</v>
      </c>
      <c r="R708">
        <v>77.5</v>
      </c>
      <c r="S708">
        <v>170</v>
      </c>
      <c r="T708">
        <v>20</v>
      </c>
      <c r="U708">
        <v>1812.1301775147931</v>
      </c>
      <c r="V708">
        <v>20</v>
      </c>
      <c r="W708">
        <v>0.95</v>
      </c>
      <c r="X708">
        <v>1</v>
      </c>
      <c r="Y708">
        <v>56974.183121601949</v>
      </c>
      <c r="Z708">
        <v>170922549.36480579</v>
      </c>
      <c r="AA708">
        <v>683690197.45922339</v>
      </c>
      <c r="AB708">
        <v>683690.19745922345</v>
      </c>
      <c r="AC708">
        <v>0</v>
      </c>
      <c r="AD708">
        <v>1771.487377692468</v>
      </c>
      <c r="AE708">
        <v>3188677.2798464429</v>
      </c>
      <c r="AF708">
        <v>2125784.8532309621</v>
      </c>
      <c r="AG708">
        <v>95.695478876865721</v>
      </c>
      <c r="AH708">
        <v>467.77895695347308</v>
      </c>
      <c r="AI708">
        <v>93.555791390694623</v>
      </c>
      <c r="AJ708">
        <v>22219.931417424759</v>
      </c>
      <c r="AK708">
        <v>854.70085470085473</v>
      </c>
      <c r="AL708" t="s">
        <v>93</v>
      </c>
      <c r="AM708">
        <v>36252.869163894167</v>
      </c>
      <c r="AN708">
        <v>635.81922908108959</v>
      </c>
      <c r="AO708">
        <v>15904.484536418089</v>
      </c>
      <c r="AP708">
        <v>59963.320665100873</v>
      </c>
      <c r="AQ708">
        <v>44058.836128682793</v>
      </c>
      <c r="AR708">
        <v>1.0452577730833339E-2</v>
      </c>
      <c r="AS708">
        <v>227.09892446474009</v>
      </c>
      <c r="AT708">
        <v>370.52263759126799</v>
      </c>
      <c r="AU708">
        <v>6.4983937333435096</v>
      </c>
      <c r="AV708">
        <v>162.5518668142337</v>
      </c>
      <c r="AW708">
        <v>612.8554303142389</v>
      </c>
      <c r="AX708">
        <v>450.30356350000523</v>
      </c>
      <c r="AY708">
        <v>0.97764066274307171</v>
      </c>
      <c r="AZ708" t="s">
        <v>96</v>
      </c>
      <c r="BA708" t="str">
        <f>VLOOKUP($AZ708,Sheet1!$A$2:$B$58,2)</f>
        <v>1,3-Butanediol (PW1)</v>
      </c>
      <c r="BB708" t="s">
        <v>153</v>
      </c>
      <c r="BC708">
        <v>90.119200000000006</v>
      </c>
      <c r="BD708">
        <v>5.5</v>
      </c>
      <c r="BE708">
        <v>207</v>
      </c>
      <c r="BF708" t="s">
        <v>210</v>
      </c>
      <c r="BG708">
        <v>1.627844011043158</v>
      </c>
      <c r="BH708">
        <v>0.13636363636363599</v>
      </c>
      <c r="BI708">
        <v>0.26124536178107499</v>
      </c>
      <c r="BJ708">
        <v>80</v>
      </c>
      <c r="BK708">
        <v>2932.3746943104338</v>
      </c>
      <c r="BL708">
        <v>2154.6007574546052</v>
      </c>
      <c r="BM708">
        <v>3.0499455584915718</v>
      </c>
      <c r="BN708">
        <v>518.49074494356728</v>
      </c>
      <c r="BO708">
        <v>2413.883949366867</v>
      </c>
    </row>
    <row r="709" spans="1:67" x14ac:dyDescent="0.25">
      <c r="A709" s="1">
        <v>707</v>
      </c>
      <c r="B709" t="s">
        <v>74</v>
      </c>
      <c r="C709" t="s">
        <v>85</v>
      </c>
      <c r="D709">
        <v>1</v>
      </c>
      <c r="E709">
        <v>1</v>
      </c>
      <c r="F709">
        <v>2</v>
      </c>
      <c r="G709">
        <v>45.016539999999999</v>
      </c>
      <c r="H709">
        <v>2</v>
      </c>
      <c r="I709" t="s">
        <v>89</v>
      </c>
      <c r="J709">
        <v>4</v>
      </c>
      <c r="K709">
        <v>300</v>
      </c>
      <c r="L709">
        <v>66.666666666666657</v>
      </c>
      <c r="N709" t="s">
        <v>91</v>
      </c>
      <c r="O709">
        <v>33.333333333333343</v>
      </c>
      <c r="P709">
        <v>0.33333333333333331</v>
      </c>
      <c r="Q709">
        <v>3.2500000000000001E-2</v>
      </c>
      <c r="R709">
        <v>77.5</v>
      </c>
      <c r="S709">
        <v>170</v>
      </c>
      <c r="T709">
        <v>20</v>
      </c>
      <c r="U709">
        <v>1812.1301775147931</v>
      </c>
      <c r="V709">
        <v>20</v>
      </c>
      <c r="W709">
        <v>0.95</v>
      </c>
      <c r="X709">
        <v>1</v>
      </c>
      <c r="Y709">
        <v>56973.698647255464</v>
      </c>
      <c r="Z709">
        <v>170921095.94176641</v>
      </c>
      <c r="AA709">
        <v>683684383.76706553</v>
      </c>
      <c r="AB709">
        <v>683684.38376706548</v>
      </c>
      <c r="AC709">
        <v>0</v>
      </c>
      <c r="AD709">
        <v>1771.4723140242841</v>
      </c>
      <c r="AE709">
        <v>3188650.1652437109</v>
      </c>
      <c r="AF709">
        <v>2125766.7768291398</v>
      </c>
      <c r="AG709">
        <v>95.694665139800051</v>
      </c>
      <c r="AH709">
        <v>467.77497924125242</v>
      </c>
      <c r="AI709">
        <v>93.554995848250485</v>
      </c>
      <c r="AJ709">
        <v>22219.742472429629</v>
      </c>
      <c r="AK709">
        <v>854.70085470085473</v>
      </c>
      <c r="AL709" t="s">
        <v>93</v>
      </c>
      <c r="AM709">
        <v>36252.560891197063</v>
      </c>
      <c r="AN709">
        <v>635.81382245498946</v>
      </c>
      <c r="AO709">
        <v>15904.34929420258</v>
      </c>
      <c r="AP709">
        <v>59962.818040782528</v>
      </c>
      <c r="AQ709">
        <v>44058.468746579951</v>
      </c>
      <c r="AR709">
        <v>1.0452577730833339E-2</v>
      </c>
      <c r="AS709">
        <v>227.09892446474001</v>
      </c>
      <c r="AT709">
        <v>370.52263759126799</v>
      </c>
      <c r="AU709">
        <v>6.4983937333435096</v>
      </c>
      <c r="AV709">
        <v>162.55186681423379</v>
      </c>
      <c r="AW709">
        <v>612.85550459611659</v>
      </c>
      <c r="AX709">
        <v>450.30363778188268</v>
      </c>
      <c r="AY709">
        <v>0.97764066274307215</v>
      </c>
      <c r="AZ709" t="s">
        <v>97</v>
      </c>
      <c r="BA709" t="str">
        <f>VLOOKUP($AZ709,Sheet1!$A$2:$B$58,2)</f>
        <v>1,3-Butanediol (PW2)</v>
      </c>
      <c r="BB709" t="s">
        <v>153</v>
      </c>
      <c r="BC709">
        <v>90.119200000000006</v>
      </c>
      <c r="BD709">
        <v>5.5</v>
      </c>
      <c r="BE709">
        <v>207</v>
      </c>
      <c r="BF709" t="s">
        <v>210</v>
      </c>
      <c r="BG709">
        <v>1.627844011043158</v>
      </c>
      <c r="BH709">
        <v>0.13636363636363599</v>
      </c>
      <c r="BI709">
        <v>0.261247583274131</v>
      </c>
      <c r="BJ709">
        <v>80</v>
      </c>
      <c r="BK709">
        <v>2932.350114570429</v>
      </c>
      <c r="BL709">
        <v>2154.582791438555</v>
      </c>
      <c r="BM709">
        <v>3.0499057813693669</v>
      </c>
      <c r="BN709">
        <v>518.48398283279244</v>
      </c>
      <c r="BO709">
        <v>2413.8661317376359</v>
      </c>
    </row>
    <row r="710" spans="1:67" x14ac:dyDescent="0.25">
      <c r="A710" s="1">
        <v>708</v>
      </c>
      <c r="B710" t="s">
        <v>74</v>
      </c>
      <c r="C710" t="s">
        <v>85</v>
      </c>
      <c r="D710">
        <v>1</v>
      </c>
      <c r="E710">
        <v>1</v>
      </c>
      <c r="F710">
        <v>2</v>
      </c>
      <c r="G710">
        <v>45.016539999999999</v>
      </c>
      <c r="H710">
        <v>2</v>
      </c>
      <c r="I710" t="s">
        <v>89</v>
      </c>
      <c r="J710">
        <v>4</v>
      </c>
      <c r="K710">
        <v>300</v>
      </c>
      <c r="L710">
        <v>66.666666666666657</v>
      </c>
      <c r="N710" t="s">
        <v>91</v>
      </c>
      <c r="O710">
        <v>33.333333333333343</v>
      </c>
      <c r="P710">
        <v>0.33333333333333331</v>
      </c>
      <c r="Q710">
        <v>3.2500000000000001E-2</v>
      </c>
      <c r="R710">
        <v>77.5</v>
      </c>
      <c r="S710">
        <v>170</v>
      </c>
      <c r="T710">
        <v>20</v>
      </c>
      <c r="U710">
        <v>1812.1301775147931</v>
      </c>
      <c r="V710">
        <v>20</v>
      </c>
      <c r="W710">
        <v>0.95</v>
      </c>
      <c r="X710">
        <v>1</v>
      </c>
      <c r="Y710">
        <v>82728.536998663825</v>
      </c>
      <c r="Z710">
        <v>248185610.9959915</v>
      </c>
      <c r="AA710">
        <v>992742443.98396599</v>
      </c>
      <c r="AB710">
        <v>992742.44398396602</v>
      </c>
      <c r="AC710">
        <v>0</v>
      </c>
      <c r="AD710">
        <v>2572.2625764603799</v>
      </c>
      <c r="AE710">
        <v>4630072.6376286848</v>
      </c>
      <c r="AF710">
        <v>3086715.091752456</v>
      </c>
      <c r="AG710">
        <v>138.95323339647811</v>
      </c>
      <c r="AH710">
        <v>679.23165594012801</v>
      </c>
      <c r="AI710">
        <v>135.8463311880256</v>
      </c>
      <c r="AJ710">
        <v>32264.1294294789</v>
      </c>
      <c r="AK710">
        <v>854.70085470085473</v>
      </c>
      <c r="AL710" t="s">
        <v>93</v>
      </c>
      <c r="AM710">
        <v>52640.453335359918</v>
      </c>
      <c r="AN710">
        <v>923.23209804044063</v>
      </c>
      <c r="AO710">
        <v>23093.876301964348</v>
      </c>
      <c r="AP710">
        <v>86682.515717580129</v>
      </c>
      <c r="AQ710">
        <v>63588.639415615777</v>
      </c>
      <c r="AR710">
        <v>1.0452577730833339E-2</v>
      </c>
      <c r="AS710">
        <v>227.09892446474001</v>
      </c>
      <c r="AT710">
        <v>370.52263759126799</v>
      </c>
      <c r="AU710">
        <v>6.4983937333435096</v>
      </c>
      <c r="AV710">
        <v>162.55186681423379</v>
      </c>
      <c r="AW710">
        <v>610.13597569362082</v>
      </c>
      <c r="AX710">
        <v>447.58410887938697</v>
      </c>
      <c r="AY710">
        <v>0.97764066274307204</v>
      </c>
      <c r="AZ710" t="s">
        <v>98</v>
      </c>
      <c r="BA710" t="str">
        <f>VLOOKUP($AZ710,Sheet1!$A$2:$B$58,2)</f>
        <v>1,3-Diaminopropane</v>
      </c>
      <c r="BB710" t="s">
        <v>154</v>
      </c>
      <c r="BC710">
        <v>76.139580000000009</v>
      </c>
      <c r="BD710">
        <v>6</v>
      </c>
      <c r="BE710">
        <v>139.30000000000001</v>
      </c>
      <c r="BF710" t="s">
        <v>210</v>
      </c>
      <c r="BG710">
        <v>1.8780564466699721</v>
      </c>
      <c r="BH710">
        <v>0.11115384615384601</v>
      </c>
      <c r="BI710">
        <v>0.17991664813345501</v>
      </c>
      <c r="BJ710">
        <v>80</v>
      </c>
      <c r="BK710">
        <v>4239.0183317071787</v>
      </c>
      <c r="BL710">
        <v>3109.6629572836059</v>
      </c>
      <c r="BM710">
        <v>4.9142601127313092</v>
      </c>
      <c r="BN710">
        <v>835.42421916432261</v>
      </c>
      <c r="BO710">
        <v>3403.5941125428558</v>
      </c>
    </row>
    <row r="711" spans="1:67" x14ac:dyDescent="0.25">
      <c r="A711" s="1">
        <v>709</v>
      </c>
      <c r="B711" t="s">
        <v>74</v>
      </c>
      <c r="C711" t="s">
        <v>85</v>
      </c>
      <c r="D711">
        <v>1</v>
      </c>
      <c r="E711">
        <v>1</v>
      </c>
      <c r="F711">
        <v>2</v>
      </c>
      <c r="G711">
        <v>45.016539999999999</v>
      </c>
      <c r="H711">
        <v>2</v>
      </c>
      <c r="I711" t="s">
        <v>89</v>
      </c>
      <c r="J711">
        <v>4</v>
      </c>
      <c r="K711">
        <v>300</v>
      </c>
      <c r="L711">
        <v>66.666666666666657</v>
      </c>
      <c r="N711" t="s">
        <v>91</v>
      </c>
      <c r="O711">
        <v>33.333333333333343</v>
      </c>
      <c r="P711">
        <v>0.33333333333333331</v>
      </c>
      <c r="Q711">
        <v>3.2500000000000001E-2</v>
      </c>
      <c r="R711">
        <v>77.5</v>
      </c>
      <c r="S711">
        <v>170</v>
      </c>
      <c r="T711">
        <v>20</v>
      </c>
      <c r="U711">
        <v>1812.1301775147931</v>
      </c>
      <c r="V711">
        <v>20</v>
      </c>
      <c r="W711">
        <v>0.95</v>
      </c>
      <c r="X711">
        <v>1</v>
      </c>
      <c r="Y711">
        <v>49073.311378791732</v>
      </c>
      <c r="Z711">
        <v>147219934.13637519</v>
      </c>
      <c r="AA711">
        <v>588879736.54550076</v>
      </c>
      <c r="AB711">
        <v>588879.73654550081</v>
      </c>
      <c r="AC711">
        <v>0</v>
      </c>
      <c r="AD711">
        <v>1525.8270838839089</v>
      </c>
      <c r="AE711">
        <v>2746488.7509910371</v>
      </c>
      <c r="AF711">
        <v>1830992.5006606909</v>
      </c>
      <c r="AG711">
        <v>82.424947145692002</v>
      </c>
      <c r="AH711">
        <v>402.90989977038492</v>
      </c>
      <c r="AI711">
        <v>80.581979954076985</v>
      </c>
      <c r="AJ711">
        <v>19138.591437728781</v>
      </c>
      <c r="AK711">
        <v>854.70085470085473</v>
      </c>
      <c r="AL711" t="s">
        <v>93</v>
      </c>
      <c r="AM711">
        <v>31225.517232204831</v>
      </c>
      <c r="AN711">
        <v>547.6472552967482</v>
      </c>
      <c r="AO711">
        <v>13698.936592193089</v>
      </c>
      <c r="AP711">
        <v>51766.456779931214</v>
      </c>
      <c r="AQ711">
        <v>38067.520187738119</v>
      </c>
      <c r="AR711">
        <v>1.0452577730833339E-2</v>
      </c>
      <c r="AS711">
        <v>227.09892446474001</v>
      </c>
      <c r="AT711">
        <v>370.52263759126788</v>
      </c>
      <c r="AU711">
        <v>6.4983937333435096</v>
      </c>
      <c r="AV711">
        <v>162.5518668142337</v>
      </c>
      <c r="AW711">
        <v>614.26185392606681</v>
      </c>
      <c r="AX711">
        <v>451.70998711183307</v>
      </c>
      <c r="AY711">
        <v>0.97764066274307171</v>
      </c>
      <c r="AZ711" t="s">
        <v>99</v>
      </c>
      <c r="BA711" t="str">
        <f>VLOOKUP($AZ711,Sheet1!$A$2:$B$58,2)</f>
        <v>1,3-Propanediol</v>
      </c>
      <c r="BB711" t="s">
        <v>155</v>
      </c>
      <c r="BC711">
        <v>76.092820000000003</v>
      </c>
      <c r="BD711">
        <v>5.333333333333333</v>
      </c>
      <c r="BE711">
        <v>213</v>
      </c>
      <c r="BF711" t="s">
        <v>210</v>
      </c>
      <c r="BG711">
        <v>1.349536000899956</v>
      </c>
      <c r="BH711">
        <v>0.1875</v>
      </c>
      <c r="BI711">
        <v>0.30330623028257098</v>
      </c>
      <c r="BJ711">
        <v>80</v>
      </c>
      <c r="BK711">
        <v>2531.5250421735418</v>
      </c>
      <c r="BL711">
        <v>1861.6085906437031</v>
      </c>
      <c r="BM711">
        <v>2.679562996803893</v>
      </c>
      <c r="BN711">
        <v>455.5257094566619</v>
      </c>
      <c r="BO711">
        <v>2075.99933271688</v>
      </c>
    </row>
    <row r="712" spans="1:67" x14ac:dyDescent="0.25">
      <c r="A712" s="1">
        <v>710</v>
      </c>
      <c r="B712" t="s">
        <v>74</v>
      </c>
      <c r="C712" t="s">
        <v>85</v>
      </c>
      <c r="D712">
        <v>1</v>
      </c>
      <c r="E712">
        <v>1</v>
      </c>
      <c r="F712">
        <v>2</v>
      </c>
      <c r="G712">
        <v>45.016539999999999</v>
      </c>
      <c r="H712">
        <v>2</v>
      </c>
      <c r="I712" t="s">
        <v>89</v>
      </c>
      <c r="J712">
        <v>4</v>
      </c>
      <c r="K712">
        <v>300</v>
      </c>
      <c r="L712">
        <v>66.666666666666657</v>
      </c>
      <c r="N712" t="s">
        <v>91</v>
      </c>
      <c r="O712">
        <v>33.333333333333343</v>
      </c>
      <c r="P712">
        <v>0.33333333333333331</v>
      </c>
      <c r="Q712">
        <v>3.2500000000000001E-2</v>
      </c>
      <c r="R712">
        <v>77.5</v>
      </c>
      <c r="S712">
        <v>170</v>
      </c>
      <c r="T712">
        <v>20</v>
      </c>
      <c r="U712">
        <v>1812.1301775147931</v>
      </c>
      <c r="V712">
        <v>20</v>
      </c>
      <c r="W712">
        <v>0.95</v>
      </c>
      <c r="X712">
        <v>1</v>
      </c>
      <c r="Y712">
        <v>106187.21751651089</v>
      </c>
      <c r="Z712">
        <v>318561652.54953271</v>
      </c>
      <c r="AA712">
        <v>1274246610.1981311</v>
      </c>
      <c r="AB712">
        <v>1274246.6101981311</v>
      </c>
      <c r="AC712">
        <v>0</v>
      </c>
      <c r="AD712">
        <v>3301.6588425900809</v>
      </c>
      <c r="AE712">
        <v>5942985.9166621454</v>
      </c>
      <c r="AF712">
        <v>3961990.6111080959</v>
      </c>
      <c r="AG712">
        <v>178.35510882457211</v>
      </c>
      <c r="AH712">
        <v>871.83603397433671</v>
      </c>
      <c r="AI712">
        <v>174.36720679486729</v>
      </c>
      <c r="AJ712">
        <v>41413.014831439243</v>
      </c>
      <c r="AK712">
        <v>854.70085470085473</v>
      </c>
      <c r="AL712" t="s">
        <v>93</v>
      </c>
      <c r="AM712">
        <v>67567.292633011093</v>
      </c>
      <c r="AN712">
        <v>1185.025762203777</v>
      </c>
      <c r="AO712">
        <v>29642.42515512745</v>
      </c>
      <c r="AP712">
        <v>111020.034081355</v>
      </c>
      <c r="AQ712">
        <v>81377.60892622752</v>
      </c>
      <c r="AR712">
        <v>1.0452577730833331E-2</v>
      </c>
      <c r="AS712">
        <v>227.09892446474001</v>
      </c>
      <c r="AT712">
        <v>370.52263759126799</v>
      </c>
      <c r="AU712">
        <v>6.4983937333435096</v>
      </c>
      <c r="AV712">
        <v>162.55186681423379</v>
      </c>
      <c r="AW712">
        <v>608.80692788331055</v>
      </c>
      <c r="AX712">
        <v>446.25506106907659</v>
      </c>
      <c r="AY712">
        <v>0.97764066274307193</v>
      </c>
      <c r="AZ712" t="s">
        <v>100</v>
      </c>
      <c r="BA712" t="str">
        <f>VLOOKUP($AZ712,Sheet1!$A$2:$B$58,2)</f>
        <v>1,4-Butanediol</v>
      </c>
      <c r="BB712" t="s">
        <v>153</v>
      </c>
      <c r="BC712">
        <v>90.119200000000006</v>
      </c>
      <c r="BD712">
        <v>5.5</v>
      </c>
      <c r="BE712">
        <v>230</v>
      </c>
      <c r="BF712" t="s">
        <v>210</v>
      </c>
      <c r="BG712">
        <v>2.4012107332446222</v>
      </c>
      <c r="BH712">
        <v>7.3164556962025007E-2</v>
      </c>
      <c r="BI712">
        <v>0.14016980037611201</v>
      </c>
      <c r="BJ712">
        <v>80</v>
      </c>
      <c r="BK712">
        <v>5429.1912937890629</v>
      </c>
      <c r="BL712">
        <v>3979.593499024561</v>
      </c>
      <c r="BM712">
        <v>6.3171496064987451</v>
      </c>
      <c r="BN712">
        <v>1073.9154331047871</v>
      </c>
      <c r="BO712">
        <v>4355.2758606842763</v>
      </c>
    </row>
    <row r="713" spans="1:67" x14ac:dyDescent="0.25">
      <c r="A713" s="1">
        <v>711</v>
      </c>
      <c r="B713" t="s">
        <v>74</v>
      </c>
      <c r="C713" t="s">
        <v>85</v>
      </c>
      <c r="D713">
        <v>1</v>
      </c>
      <c r="E713">
        <v>1</v>
      </c>
      <c r="F713">
        <v>2</v>
      </c>
      <c r="G713">
        <v>45.016539999999999</v>
      </c>
      <c r="H713">
        <v>2</v>
      </c>
      <c r="I713" t="s">
        <v>89</v>
      </c>
      <c r="J713">
        <v>4</v>
      </c>
      <c r="K713">
        <v>300</v>
      </c>
      <c r="L713">
        <v>66.666666666666657</v>
      </c>
      <c r="N713" t="s">
        <v>91</v>
      </c>
      <c r="O713">
        <v>33.333333333333343</v>
      </c>
      <c r="P713">
        <v>0.33333333333333331</v>
      </c>
      <c r="Q713">
        <v>3.2500000000000001E-2</v>
      </c>
      <c r="R713">
        <v>77.5</v>
      </c>
      <c r="S713">
        <v>170</v>
      </c>
      <c r="T713">
        <v>20</v>
      </c>
      <c r="U713">
        <v>1812.1301775147931</v>
      </c>
      <c r="V713">
        <v>20</v>
      </c>
      <c r="W713">
        <v>0.95</v>
      </c>
      <c r="X713">
        <v>1</v>
      </c>
      <c r="Y713">
        <v>106833.7653067753</v>
      </c>
      <c r="Z713">
        <v>320501295.92032582</v>
      </c>
      <c r="AA713">
        <v>1282005183.681303</v>
      </c>
      <c r="AB713">
        <v>1282005.1836813029</v>
      </c>
      <c r="AC713">
        <v>0</v>
      </c>
      <c r="AD713">
        <v>3321.7618293601372</v>
      </c>
      <c r="AE713">
        <v>5979171.2928482462</v>
      </c>
      <c r="AF713">
        <v>3986114.1952321632</v>
      </c>
      <c r="AG713">
        <v>179.44106911423651</v>
      </c>
      <c r="AH713">
        <v>877.14442866083743</v>
      </c>
      <c r="AI713">
        <v>175.42888573216749</v>
      </c>
      <c r="AJ713">
        <v>41665.168469642347</v>
      </c>
      <c r="AK713">
        <v>854.70085470085473</v>
      </c>
      <c r="AL713" t="s">
        <v>93</v>
      </c>
      <c r="AM713">
        <v>67978.693221214897</v>
      </c>
      <c r="AN713">
        <v>1192.2410919381689</v>
      </c>
      <c r="AO713">
        <v>29822.910574468471</v>
      </c>
      <c r="AP713">
        <v>111690.8036374963</v>
      </c>
      <c r="AQ713">
        <v>81867.89306302779</v>
      </c>
      <c r="AR713">
        <v>1.0452577730833331E-2</v>
      </c>
      <c r="AS713">
        <v>227.09892446474001</v>
      </c>
      <c r="AT713">
        <v>370.52263759126788</v>
      </c>
      <c r="AU713">
        <v>6.4983937333435096</v>
      </c>
      <c r="AV713">
        <v>162.5518668142337</v>
      </c>
      <c r="AW713">
        <v>608.77856277381818</v>
      </c>
      <c r="AX713">
        <v>446.2266959595845</v>
      </c>
      <c r="AY713">
        <v>0.97764066274307171</v>
      </c>
      <c r="AZ713" t="s">
        <v>101</v>
      </c>
      <c r="BA713" t="str">
        <f>VLOOKUP($AZ713,Sheet1!$A$2:$B$58,2)</f>
        <v>1-Propanol (PW1)</v>
      </c>
      <c r="BB713" t="s">
        <v>156</v>
      </c>
      <c r="BC713">
        <v>60.093820000000001</v>
      </c>
      <c r="BD713">
        <v>6</v>
      </c>
      <c r="BE713">
        <v>97</v>
      </c>
      <c r="BF713" t="s">
        <v>210</v>
      </c>
      <c r="BG713">
        <v>2.7773733768055759</v>
      </c>
      <c r="BH713">
        <v>0.109056603773585</v>
      </c>
      <c r="BI713">
        <v>0.13932150607107899</v>
      </c>
      <c r="BJ713">
        <v>80</v>
      </c>
      <c r="BK713">
        <v>5461.9938078981122</v>
      </c>
      <c r="BL713">
        <v>4003.5697695150589</v>
      </c>
      <c r="BM713">
        <v>5.9940709098027991</v>
      </c>
      <c r="BN713">
        <v>1018.992054666476</v>
      </c>
      <c r="BO713">
        <v>4443.001753231636</v>
      </c>
    </row>
    <row r="714" spans="1:67" x14ac:dyDescent="0.25">
      <c r="A714" s="1">
        <v>712</v>
      </c>
      <c r="B714" t="s">
        <v>74</v>
      </c>
      <c r="C714" t="s">
        <v>85</v>
      </c>
      <c r="D714">
        <v>1</v>
      </c>
      <c r="E714">
        <v>1</v>
      </c>
      <c r="F714">
        <v>2</v>
      </c>
      <c r="G714">
        <v>45.016539999999999</v>
      </c>
      <c r="H714">
        <v>2</v>
      </c>
      <c r="I714" t="s">
        <v>89</v>
      </c>
      <c r="J714">
        <v>4</v>
      </c>
      <c r="K714">
        <v>300</v>
      </c>
      <c r="L714">
        <v>66.666666666666657</v>
      </c>
      <c r="N714" t="s">
        <v>91</v>
      </c>
      <c r="O714">
        <v>33.333333333333343</v>
      </c>
      <c r="P714">
        <v>0.33333333333333331</v>
      </c>
      <c r="Q714">
        <v>3.2500000000000001E-2</v>
      </c>
      <c r="R714">
        <v>77.5</v>
      </c>
      <c r="S714">
        <v>170</v>
      </c>
      <c r="T714">
        <v>20</v>
      </c>
      <c r="U714">
        <v>1812.1301775147931</v>
      </c>
      <c r="V714">
        <v>20</v>
      </c>
      <c r="W714">
        <v>0.95</v>
      </c>
      <c r="X714">
        <v>1</v>
      </c>
      <c r="Y714">
        <v>69905.565676206723</v>
      </c>
      <c r="Z714">
        <v>209716697.02862021</v>
      </c>
      <c r="AA714">
        <v>838866788.11448073</v>
      </c>
      <c r="AB714">
        <v>838866.78811448079</v>
      </c>
      <c r="AC714">
        <v>0</v>
      </c>
      <c r="AD714">
        <v>2173.560381928477</v>
      </c>
      <c r="AE714">
        <v>3912408.687471258</v>
      </c>
      <c r="AF714">
        <v>2608272.458314172</v>
      </c>
      <c r="AG714">
        <v>117.4154014505982</v>
      </c>
      <c r="AH714">
        <v>573.95035445203337</v>
      </c>
      <c r="AI714">
        <v>114.7900708904067</v>
      </c>
      <c r="AJ714">
        <v>27263.170613720631</v>
      </c>
      <c r="AK714">
        <v>854.70085470085473</v>
      </c>
      <c r="AL714" t="s">
        <v>93</v>
      </c>
      <c r="AM714">
        <v>44481.152470032583</v>
      </c>
      <c r="AN714">
        <v>780.13058619652054</v>
      </c>
      <c r="AO714">
        <v>19514.312051369139</v>
      </c>
      <c r="AP714">
        <v>73379.154524650585</v>
      </c>
      <c r="AQ714">
        <v>53864.842473281453</v>
      </c>
      <c r="AR714">
        <v>1.0452577730833331E-2</v>
      </c>
      <c r="AS714">
        <v>227.09892446474001</v>
      </c>
      <c r="AT714">
        <v>370.52263759126788</v>
      </c>
      <c r="AU714">
        <v>6.4983937333435078</v>
      </c>
      <c r="AV714">
        <v>162.5518668142337</v>
      </c>
      <c r="AW714">
        <v>611.23951086941884</v>
      </c>
      <c r="AX714">
        <v>448.68764405518522</v>
      </c>
      <c r="AY714">
        <v>0.97764066274307171</v>
      </c>
      <c r="AZ714" t="s">
        <v>102</v>
      </c>
      <c r="BA714" t="str">
        <f>VLOOKUP($AZ714,Sheet1!$A$2:$B$58,2)</f>
        <v>1-Propanol (PW2)</v>
      </c>
      <c r="BB714" t="s">
        <v>156</v>
      </c>
      <c r="BC714">
        <v>60.093820000000001</v>
      </c>
      <c r="BD714">
        <v>6</v>
      </c>
      <c r="BE714">
        <v>97</v>
      </c>
      <c r="BF714" t="s">
        <v>210</v>
      </c>
      <c r="BG714">
        <v>2.1970645234401762</v>
      </c>
      <c r="BH714">
        <v>0.16666666666666699</v>
      </c>
      <c r="BI714">
        <v>0.212919256683022</v>
      </c>
      <c r="BJ714">
        <v>80</v>
      </c>
      <c r="BK714">
        <v>3588.4466275600062</v>
      </c>
      <c r="BL714">
        <v>2634.141992633135</v>
      </c>
      <c r="BM714">
        <v>3.542439021080158</v>
      </c>
      <c r="BN714">
        <v>602.21463358362689</v>
      </c>
      <c r="BO714">
        <v>2986.2319939763788</v>
      </c>
    </row>
    <row r="715" spans="1:67" x14ac:dyDescent="0.25">
      <c r="A715" s="1">
        <v>713</v>
      </c>
      <c r="B715" t="s">
        <v>74</v>
      </c>
      <c r="C715" t="s">
        <v>85</v>
      </c>
      <c r="D715">
        <v>1</v>
      </c>
      <c r="E715">
        <v>1</v>
      </c>
      <c r="F715">
        <v>2</v>
      </c>
      <c r="G715">
        <v>45.016539999999999</v>
      </c>
      <c r="H715">
        <v>2</v>
      </c>
      <c r="I715" t="s">
        <v>89</v>
      </c>
      <c r="J715">
        <v>4</v>
      </c>
      <c r="K715">
        <v>300</v>
      </c>
      <c r="L715">
        <v>66.666666666666657</v>
      </c>
      <c r="N715" t="s">
        <v>91</v>
      </c>
      <c r="O715">
        <v>33.333333333333343</v>
      </c>
      <c r="P715">
        <v>0.33333333333333331</v>
      </c>
      <c r="Q715">
        <v>3.2500000000000001E-2</v>
      </c>
      <c r="R715">
        <v>77.5</v>
      </c>
      <c r="S715">
        <v>170</v>
      </c>
      <c r="T715">
        <v>20</v>
      </c>
      <c r="U715">
        <v>1812.1301775147931</v>
      </c>
      <c r="V715">
        <v>20</v>
      </c>
      <c r="W715">
        <v>0.95</v>
      </c>
      <c r="X715">
        <v>1</v>
      </c>
      <c r="Y715">
        <v>56973.698647255464</v>
      </c>
      <c r="Z715">
        <v>170921095.94176641</v>
      </c>
      <c r="AA715">
        <v>683684383.76706553</v>
      </c>
      <c r="AB715">
        <v>683684.38376706548</v>
      </c>
      <c r="AC715">
        <v>0</v>
      </c>
      <c r="AD715">
        <v>1771.4723140242841</v>
      </c>
      <c r="AE715">
        <v>3188650.1652437109</v>
      </c>
      <c r="AF715">
        <v>2125766.7768291398</v>
      </c>
      <c r="AG715">
        <v>95.694665139800051</v>
      </c>
      <c r="AH715">
        <v>467.77497924125242</v>
      </c>
      <c r="AI715">
        <v>93.554995848250485</v>
      </c>
      <c r="AJ715">
        <v>22219.742472429629</v>
      </c>
      <c r="AK715">
        <v>854.70085470085473</v>
      </c>
      <c r="AL715" t="s">
        <v>93</v>
      </c>
      <c r="AM715">
        <v>36252.560891197063</v>
      </c>
      <c r="AN715">
        <v>635.81382245498946</v>
      </c>
      <c r="AO715">
        <v>15904.34929420258</v>
      </c>
      <c r="AP715">
        <v>59962.818040782528</v>
      </c>
      <c r="AQ715">
        <v>44058.468746579951</v>
      </c>
      <c r="AR715">
        <v>1.0452577730833339E-2</v>
      </c>
      <c r="AS715">
        <v>227.09892446474001</v>
      </c>
      <c r="AT715">
        <v>370.52263759126799</v>
      </c>
      <c r="AU715">
        <v>6.4983937333435096</v>
      </c>
      <c r="AV715">
        <v>162.55186681423379</v>
      </c>
      <c r="AW715">
        <v>612.85550459611659</v>
      </c>
      <c r="AX715">
        <v>450.30363778188268</v>
      </c>
      <c r="AY715">
        <v>0.97764066274307215</v>
      </c>
      <c r="AZ715" t="s">
        <v>103</v>
      </c>
      <c r="BA715" t="str">
        <f>VLOOKUP($AZ715,Sheet1!$A$2:$B$58,2)</f>
        <v>2,3-Butanediol</v>
      </c>
      <c r="BB715" t="s">
        <v>153</v>
      </c>
      <c r="BC715">
        <v>90.119200000000006</v>
      </c>
      <c r="BD715">
        <v>5.5</v>
      </c>
      <c r="BE715">
        <v>177</v>
      </c>
      <c r="BF715" t="s">
        <v>210</v>
      </c>
      <c r="BG715">
        <v>1.627844011043158</v>
      </c>
      <c r="BH715">
        <v>0.13636363636363599</v>
      </c>
      <c r="BI715">
        <v>0.261247583274131</v>
      </c>
      <c r="BJ715">
        <v>80</v>
      </c>
      <c r="BK715">
        <v>2932.350114570429</v>
      </c>
      <c r="BL715">
        <v>2154.582791438555</v>
      </c>
      <c r="BM715">
        <v>3.0499057813693669</v>
      </c>
      <c r="BN715">
        <v>518.48398283279244</v>
      </c>
      <c r="BO715">
        <v>2413.8661317376359</v>
      </c>
    </row>
    <row r="716" spans="1:67" x14ac:dyDescent="0.25">
      <c r="A716" s="1">
        <v>714</v>
      </c>
      <c r="B716" t="s">
        <v>74</v>
      </c>
      <c r="C716" t="s">
        <v>85</v>
      </c>
      <c r="D716">
        <v>1</v>
      </c>
      <c r="E716">
        <v>1</v>
      </c>
      <c r="F716">
        <v>2</v>
      </c>
      <c r="G716">
        <v>45.016539999999999</v>
      </c>
      <c r="H716">
        <v>2</v>
      </c>
      <c r="I716" t="s">
        <v>89</v>
      </c>
      <c r="J716">
        <v>4</v>
      </c>
      <c r="K716">
        <v>300</v>
      </c>
      <c r="L716">
        <v>66.666666666666657</v>
      </c>
      <c r="N716" t="s">
        <v>91</v>
      </c>
      <c r="O716">
        <v>33.333333333333343</v>
      </c>
      <c r="P716">
        <v>0.33333333333333331</v>
      </c>
      <c r="Q716">
        <v>3.2500000000000001E-2</v>
      </c>
      <c r="R716">
        <v>77.5</v>
      </c>
      <c r="S716">
        <v>170</v>
      </c>
      <c r="T716">
        <v>20</v>
      </c>
      <c r="U716">
        <v>1812.1301775147931</v>
      </c>
      <c r="V716">
        <v>20</v>
      </c>
      <c r="W716">
        <v>0.95</v>
      </c>
      <c r="X716">
        <v>1</v>
      </c>
      <c r="Y716">
        <v>79430.052395758335</v>
      </c>
      <c r="Z716">
        <v>238290157.18727499</v>
      </c>
      <c r="AA716">
        <v>953160628.74910009</v>
      </c>
      <c r="AB716">
        <v>953160.62874910014</v>
      </c>
      <c r="AC716">
        <v>0</v>
      </c>
      <c r="AD716">
        <v>2469.703425641339</v>
      </c>
      <c r="AE716">
        <v>4445466.1661544107</v>
      </c>
      <c r="AF716">
        <v>2963644.1107696071</v>
      </c>
      <c r="AG716">
        <v>133.4130036582244</v>
      </c>
      <c r="AH716">
        <v>652.14988657485185</v>
      </c>
      <c r="AI716">
        <v>130.42997731497039</v>
      </c>
      <c r="AJ716">
        <v>30977.72043434576</v>
      </c>
      <c r="AK716">
        <v>854.70085470085473</v>
      </c>
      <c r="AL716" t="s">
        <v>93</v>
      </c>
      <c r="AM716">
        <v>50541.616209551023</v>
      </c>
      <c r="AN716">
        <v>886.42174249959851</v>
      </c>
      <c r="AO716">
        <v>22173.096143544961</v>
      </c>
      <c r="AP716">
        <v>83260.459241097225</v>
      </c>
      <c r="AQ716">
        <v>61087.363097552261</v>
      </c>
      <c r="AR716">
        <v>1.0452577730833339E-2</v>
      </c>
      <c r="AS716">
        <v>227.09892446474001</v>
      </c>
      <c r="AT716">
        <v>370.52263759126788</v>
      </c>
      <c r="AU716">
        <v>6.4983937333435078</v>
      </c>
      <c r="AV716">
        <v>162.5518668142337</v>
      </c>
      <c r="AW716">
        <v>610.38580240815088</v>
      </c>
      <c r="AX716">
        <v>447.8339355939172</v>
      </c>
      <c r="AY716">
        <v>0.97764066274307182</v>
      </c>
      <c r="AZ716" t="s">
        <v>104</v>
      </c>
      <c r="BA716" t="str">
        <f>VLOOKUP($AZ716,Sheet1!$A$2:$B$58,2)</f>
        <v>2-Methyl-1-Butanol</v>
      </c>
      <c r="BB716" t="s">
        <v>157</v>
      </c>
      <c r="BC716">
        <v>88.14658</v>
      </c>
      <c r="BD716">
        <v>6</v>
      </c>
      <c r="BE716">
        <v>129</v>
      </c>
      <c r="BF716" t="s">
        <v>210</v>
      </c>
      <c r="BG716">
        <v>2.496409957141843</v>
      </c>
      <c r="BH716">
        <v>0.1</v>
      </c>
      <c r="BI716">
        <v>0.18738803051046399</v>
      </c>
      <c r="BJ716">
        <v>80</v>
      </c>
      <c r="BK716">
        <v>4071.6701644803429</v>
      </c>
      <c r="BL716">
        <v>2987.3435243834151</v>
      </c>
      <c r="BM716">
        <v>4.0250889086066763</v>
      </c>
      <c r="BN716">
        <v>684.26511446313498</v>
      </c>
      <c r="BO716">
        <v>3387.4050500172079</v>
      </c>
    </row>
    <row r="717" spans="1:67" x14ac:dyDescent="0.25">
      <c r="A717" s="1">
        <v>715</v>
      </c>
      <c r="B717" t="s">
        <v>74</v>
      </c>
      <c r="C717" t="s">
        <v>85</v>
      </c>
      <c r="D717">
        <v>1</v>
      </c>
      <c r="E717">
        <v>1</v>
      </c>
      <c r="F717">
        <v>2</v>
      </c>
      <c r="G717">
        <v>45.016539999999999</v>
      </c>
      <c r="H717">
        <v>2</v>
      </c>
      <c r="I717" t="s">
        <v>89</v>
      </c>
      <c r="J717">
        <v>4</v>
      </c>
      <c r="K717">
        <v>300</v>
      </c>
      <c r="L717">
        <v>66.666666666666657</v>
      </c>
      <c r="N717" t="s">
        <v>91</v>
      </c>
      <c r="O717">
        <v>33.333333333333343</v>
      </c>
      <c r="P717">
        <v>0.33333333333333331</v>
      </c>
      <c r="Q717">
        <v>3.2500000000000001E-2</v>
      </c>
      <c r="R717">
        <v>77.5</v>
      </c>
      <c r="S717">
        <v>170</v>
      </c>
      <c r="T717">
        <v>20</v>
      </c>
      <c r="U717">
        <v>1812.1301775147931</v>
      </c>
      <c r="V717">
        <v>20</v>
      </c>
      <c r="W717">
        <v>0.95</v>
      </c>
      <c r="X717">
        <v>1</v>
      </c>
      <c r="Y717">
        <v>92474.311125361448</v>
      </c>
      <c r="Z717">
        <v>277422933.37608433</v>
      </c>
      <c r="AA717">
        <v>1109691733.5043371</v>
      </c>
      <c r="AB717">
        <v>1109691.733504337</v>
      </c>
      <c r="AC717">
        <v>0</v>
      </c>
      <c r="AD717">
        <v>2875.286067195445</v>
      </c>
      <c r="AE717">
        <v>5175514.9209518014</v>
      </c>
      <c r="AF717">
        <v>3450343.2806345341</v>
      </c>
      <c r="AG717">
        <v>155.32251630641571</v>
      </c>
      <c r="AH717">
        <v>759.24803890362921</v>
      </c>
      <c r="AI717">
        <v>151.84960778072579</v>
      </c>
      <c r="AJ717">
        <v>36064.981338890961</v>
      </c>
      <c r="AK717">
        <v>854.70085470085473</v>
      </c>
      <c r="AL717" t="s">
        <v>93</v>
      </c>
      <c r="AM717">
        <v>58841.723015031261</v>
      </c>
      <c r="AN717">
        <v>1031.992772657044</v>
      </c>
      <c r="AO717">
        <v>25814.433322723391</v>
      </c>
      <c r="AP717">
        <v>96793.397981280126</v>
      </c>
      <c r="AQ717">
        <v>70978.964658556739</v>
      </c>
      <c r="AR717">
        <v>1.0452577730833339E-2</v>
      </c>
      <c r="AS717">
        <v>227.09892446474001</v>
      </c>
      <c r="AT717">
        <v>370.52263759126799</v>
      </c>
      <c r="AU717">
        <v>6.4983937333435096</v>
      </c>
      <c r="AV717">
        <v>162.55186681423379</v>
      </c>
      <c r="AW717">
        <v>609.5019534401406</v>
      </c>
      <c r="AX717">
        <v>446.95008662590692</v>
      </c>
      <c r="AY717">
        <v>0.97764066274307193</v>
      </c>
      <c r="AZ717" t="s">
        <v>106</v>
      </c>
      <c r="BA717" t="str">
        <f>VLOOKUP($AZ717,Sheet1!$A$2:$B$58,2)</f>
        <v>3-Methyl-1-Pentanol</v>
      </c>
      <c r="BB717" t="s">
        <v>159</v>
      </c>
      <c r="BC717">
        <v>102.17296</v>
      </c>
      <c r="BD717">
        <v>6</v>
      </c>
      <c r="BE717">
        <v>153</v>
      </c>
      <c r="BF717" t="s">
        <v>210</v>
      </c>
      <c r="BG717">
        <v>2.745409779638524</v>
      </c>
      <c r="BH717">
        <v>7.4102564102563995E-2</v>
      </c>
      <c r="BI717">
        <v>0.16095541454325099</v>
      </c>
      <c r="BJ717">
        <v>80</v>
      </c>
      <c r="BK717">
        <v>4733.4688550999226</v>
      </c>
      <c r="BL717">
        <v>3471.0706059053159</v>
      </c>
      <c r="BM717">
        <v>4.8470706093977656</v>
      </c>
      <c r="BN717">
        <v>824.00200359762027</v>
      </c>
      <c r="BO717">
        <v>3909.4668515023018</v>
      </c>
    </row>
    <row r="718" spans="1:67" x14ac:dyDescent="0.25">
      <c r="A718" s="1">
        <v>716</v>
      </c>
      <c r="B718" t="s">
        <v>74</v>
      </c>
      <c r="C718" t="s">
        <v>85</v>
      </c>
      <c r="D718">
        <v>1</v>
      </c>
      <c r="E718">
        <v>1</v>
      </c>
      <c r="F718">
        <v>2</v>
      </c>
      <c r="G718">
        <v>45.016539999999999</v>
      </c>
      <c r="H718">
        <v>2</v>
      </c>
      <c r="I718" t="s">
        <v>89</v>
      </c>
      <c r="J718">
        <v>4</v>
      </c>
      <c r="K718">
        <v>300</v>
      </c>
      <c r="L718">
        <v>66.666666666666657</v>
      </c>
      <c r="N718" t="s">
        <v>91</v>
      </c>
      <c r="O718">
        <v>33.333333333333343</v>
      </c>
      <c r="P718">
        <v>0.33333333333333331</v>
      </c>
      <c r="Q718">
        <v>3.2500000000000001E-2</v>
      </c>
      <c r="R718">
        <v>77.5</v>
      </c>
      <c r="S718">
        <v>170</v>
      </c>
      <c r="T718">
        <v>20</v>
      </c>
      <c r="U718">
        <v>1812.1301775147931</v>
      </c>
      <c r="V718">
        <v>20</v>
      </c>
      <c r="W718">
        <v>0.95</v>
      </c>
      <c r="X718">
        <v>1</v>
      </c>
      <c r="Y718">
        <v>212731.03093681709</v>
      </c>
      <c r="Z718">
        <v>638193092.81045127</v>
      </c>
      <c r="AA718">
        <v>2552772371.2418051</v>
      </c>
      <c r="AB718">
        <v>2552772.3712418051</v>
      </c>
      <c r="AC718">
        <v>0</v>
      </c>
      <c r="AD718">
        <v>6614.4052534066686</v>
      </c>
      <c r="AE718">
        <v>11905929.456132</v>
      </c>
      <c r="AF718">
        <v>7937286.3040880011</v>
      </c>
      <c r="AG718">
        <v>357.30916639942973</v>
      </c>
      <c r="AH718">
        <v>1746.599851214565</v>
      </c>
      <c r="AI718">
        <v>349.31997024291292</v>
      </c>
      <c r="AJ718">
        <v>82965.102065358675</v>
      </c>
      <c r="AK718">
        <v>854.70085470085473</v>
      </c>
      <c r="AL718" t="s">
        <v>93</v>
      </c>
      <c r="AM718">
        <v>135361.48846912879</v>
      </c>
      <c r="AN718">
        <v>2374.031055490268</v>
      </c>
      <c r="AO718">
        <v>59384.394941295199</v>
      </c>
      <c r="AP718">
        <v>221555.32244467849</v>
      </c>
      <c r="AQ718">
        <v>162170.92750338331</v>
      </c>
      <c r="AR718">
        <v>1.0452577730833339E-2</v>
      </c>
      <c r="AS718">
        <v>227.09892446474001</v>
      </c>
      <c r="AT718">
        <v>370.52263759126799</v>
      </c>
      <c r="AU718">
        <v>6.4983937333435096</v>
      </c>
      <c r="AV718">
        <v>162.5518668142337</v>
      </c>
      <c r="AW718">
        <v>606.45951350711039</v>
      </c>
      <c r="AX718">
        <v>443.90764669287671</v>
      </c>
      <c r="AY718">
        <v>0.97764066274307171</v>
      </c>
      <c r="AZ718" t="s">
        <v>107</v>
      </c>
      <c r="BA718" t="str">
        <f>VLOOKUP($AZ718,Sheet1!$A$2:$B$58,2)</f>
        <v>4-Hydroxystyrene</v>
      </c>
      <c r="BB718" t="s">
        <v>160</v>
      </c>
      <c r="BC718">
        <v>120.14731999999999</v>
      </c>
      <c r="BD718">
        <v>4.75</v>
      </c>
      <c r="BE718">
        <v>229</v>
      </c>
      <c r="BF718" t="s">
        <v>210</v>
      </c>
      <c r="BG718">
        <v>3.8924160472442089</v>
      </c>
      <c r="BH718">
        <v>2.7393364928910001E-2</v>
      </c>
      <c r="BI718">
        <v>6.9967418557778993E-2</v>
      </c>
      <c r="BJ718">
        <v>80</v>
      </c>
      <c r="BK718">
        <v>10834.677161311471</v>
      </c>
      <c r="BL718">
        <v>7930.6135599082154</v>
      </c>
      <c r="BM718">
        <v>13.57358246490144</v>
      </c>
      <c r="BN718">
        <v>2307.5090190332448</v>
      </c>
      <c r="BO718">
        <v>8527.1681422782203</v>
      </c>
    </row>
    <row r="719" spans="1:67" x14ac:dyDescent="0.25">
      <c r="A719" s="1">
        <v>717</v>
      </c>
      <c r="B719" t="s">
        <v>74</v>
      </c>
      <c r="C719" t="s">
        <v>85</v>
      </c>
      <c r="D719">
        <v>1</v>
      </c>
      <c r="E719">
        <v>1</v>
      </c>
      <c r="F719">
        <v>2</v>
      </c>
      <c r="G719">
        <v>45.016539999999999</v>
      </c>
      <c r="H719">
        <v>2</v>
      </c>
      <c r="I719" t="s">
        <v>89</v>
      </c>
      <c r="J719">
        <v>4</v>
      </c>
      <c r="K719">
        <v>300</v>
      </c>
      <c r="L719">
        <v>66.666666666666657</v>
      </c>
      <c r="N719" t="s">
        <v>91</v>
      </c>
      <c r="O719">
        <v>33.333333333333343</v>
      </c>
      <c r="P719">
        <v>0.33333333333333331</v>
      </c>
      <c r="Q719">
        <v>3.2500000000000001E-2</v>
      </c>
      <c r="R719">
        <v>77.5</v>
      </c>
      <c r="S719">
        <v>170</v>
      </c>
      <c r="T719">
        <v>20</v>
      </c>
      <c r="U719">
        <v>1812.1301775147931</v>
      </c>
      <c r="V719">
        <v>20</v>
      </c>
      <c r="W719">
        <v>0.95</v>
      </c>
      <c r="X719">
        <v>1</v>
      </c>
      <c r="Y719">
        <v>64294.873244052782</v>
      </c>
      <c r="Z719">
        <v>192884619.7321583</v>
      </c>
      <c r="AA719">
        <v>771538478.92863333</v>
      </c>
      <c r="AB719">
        <v>771538.47892863338</v>
      </c>
      <c r="AC719">
        <v>0</v>
      </c>
      <c r="AD719">
        <v>1999.108195357207</v>
      </c>
      <c r="AE719">
        <v>3598394.7516429732</v>
      </c>
      <c r="AF719">
        <v>2398929.834428648</v>
      </c>
      <c r="AG719">
        <v>107.9915208487506</v>
      </c>
      <c r="AH719">
        <v>527.88451006602395</v>
      </c>
      <c r="AI719">
        <v>105.5769020132048</v>
      </c>
      <c r="AJ719">
        <v>25075.00056518058</v>
      </c>
      <c r="AK719">
        <v>854.70085470085473</v>
      </c>
      <c r="AL719" t="s">
        <v>93</v>
      </c>
      <c r="AM719">
        <v>40911.049530116863</v>
      </c>
      <c r="AN719">
        <v>717.51650484656545</v>
      </c>
      <c r="AO719">
        <v>17948.073342244821</v>
      </c>
      <c r="AP719">
        <v>67558.26745484487</v>
      </c>
      <c r="AQ719">
        <v>49610.194112600053</v>
      </c>
      <c r="AR719">
        <v>1.0452577730833331E-2</v>
      </c>
      <c r="AS719">
        <v>227.09892446474001</v>
      </c>
      <c r="AT719">
        <v>370.52263759126799</v>
      </c>
      <c r="AU719">
        <v>6.4983937333435078</v>
      </c>
      <c r="AV719">
        <v>162.55186681423379</v>
      </c>
      <c r="AW719">
        <v>611.86079887875076</v>
      </c>
      <c r="AX719">
        <v>449.30893206451702</v>
      </c>
      <c r="AY719">
        <v>0.97764066274307182</v>
      </c>
      <c r="AZ719" t="s">
        <v>109</v>
      </c>
      <c r="BA719" t="str">
        <f>VLOOKUP($AZ719,Sheet1!$A$2:$B$58,2)</f>
        <v>Acetone</v>
      </c>
      <c r="BB719" t="s">
        <v>162</v>
      </c>
      <c r="BC719">
        <v>58.078139999999998</v>
      </c>
      <c r="BD719">
        <v>5.333333333333333</v>
      </c>
      <c r="BE719">
        <v>56</v>
      </c>
      <c r="BF719" t="s">
        <v>210</v>
      </c>
      <c r="BG719">
        <v>1.7681351365591249</v>
      </c>
      <c r="BH719">
        <v>0.1875</v>
      </c>
      <c r="BI719">
        <v>0.231499656672251</v>
      </c>
      <c r="BJ719">
        <v>80</v>
      </c>
      <c r="BK719">
        <v>3303.788910932391</v>
      </c>
      <c r="BL719">
        <v>2426.077745228758</v>
      </c>
      <c r="BM719">
        <v>3.5107099641011139</v>
      </c>
      <c r="BN719">
        <v>596.82069389718947</v>
      </c>
      <c r="BO719">
        <v>2706.9682170352012</v>
      </c>
    </row>
    <row r="720" spans="1:67" x14ac:dyDescent="0.25">
      <c r="A720" s="1">
        <v>718</v>
      </c>
      <c r="B720" t="s">
        <v>74</v>
      </c>
      <c r="C720" t="s">
        <v>85</v>
      </c>
      <c r="D720">
        <v>1</v>
      </c>
      <c r="E720">
        <v>1</v>
      </c>
      <c r="F720">
        <v>2</v>
      </c>
      <c r="G720">
        <v>45.016539999999999</v>
      </c>
      <c r="H720">
        <v>2</v>
      </c>
      <c r="I720" t="s">
        <v>89</v>
      </c>
      <c r="J720">
        <v>4</v>
      </c>
      <c r="K720">
        <v>300</v>
      </c>
      <c r="L720">
        <v>66.666666666666657</v>
      </c>
      <c r="N720" t="s">
        <v>91</v>
      </c>
      <c r="O720">
        <v>33.333333333333343</v>
      </c>
      <c r="P720">
        <v>0.33333333333333331</v>
      </c>
      <c r="Q720">
        <v>3.2500000000000001E-2</v>
      </c>
      <c r="R720">
        <v>77.5</v>
      </c>
      <c r="S720">
        <v>170</v>
      </c>
      <c r="T720">
        <v>20</v>
      </c>
      <c r="U720">
        <v>1812.1301775147931</v>
      </c>
      <c r="V720">
        <v>20</v>
      </c>
      <c r="W720">
        <v>0.95</v>
      </c>
      <c r="X720">
        <v>1</v>
      </c>
      <c r="Y720">
        <v>146613.75593584051</v>
      </c>
      <c r="Z720">
        <v>439841267.80752152</v>
      </c>
      <c r="AA720">
        <v>1759365071.2300861</v>
      </c>
      <c r="AB720">
        <v>1759365.071230086</v>
      </c>
      <c r="AC720">
        <v>0</v>
      </c>
      <c r="AD720">
        <v>4558.633468813181</v>
      </c>
      <c r="AE720">
        <v>8205540.2438637251</v>
      </c>
      <c r="AF720">
        <v>5470360.1625758158</v>
      </c>
      <c r="AG720">
        <v>246.25668707300071</v>
      </c>
      <c r="AH720">
        <v>1203.7527537748081</v>
      </c>
      <c r="AI720">
        <v>240.75055075496161</v>
      </c>
      <c r="AJ720">
        <v>57179.364814977787</v>
      </c>
      <c r="AK720">
        <v>854.70085470085473</v>
      </c>
      <c r="AL720" t="s">
        <v>93</v>
      </c>
      <c r="AM720">
        <v>93290.838417547624</v>
      </c>
      <c r="AN720">
        <v>1636.1769518107319</v>
      </c>
      <c r="AO720">
        <v>40927.593628343478</v>
      </c>
      <c r="AP720">
        <v>152961.081039037</v>
      </c>
      <c r="AQ720">
        <v>112033.4874106935</v>
      </c>
      <c r="AR720">
        <v>1.0452577730833339E-2</v>
      </c>
      <c r="AS720">
        <v>227.09892446474001</v>
      </c>
      <c r="AT720">
        <v>370.52263759126788</v>
      </c>
      <c r="AU720">
        <v>6.4983937333435096</v>
      </c>
      <c r="AV720">
        <v>162.5518668142337</v>
      </c>
      <c r="AW720">
        <v>607.51456581116145</v>
      </c>
      <c r="AX720">
        <v>444.96269899692783</v>
      </c>
      <c r="AY720">
        <v>0.97764066274307171</v>
      </c>
      <c r="AZ720" t="s">
        <v>110</v>
      </c>
      <c r="BA720" t="str">
        <f>VLOOKUP($AZ720,Sheet1!$A$2:$B$58,2)</f>
        <v>Acrylate (PW1)</v>
      </c>
      <c r="BB720" t="s">
        <v>163</v>
      </c>
      <c r="BC720">
        <v>71.053619999999995</v>
      </c>
      <c r="BD720">
        <v>3.666666666666667</v>
      </c>
      <c r="BE720">
        <v>80</v>
      </c>
      <c r="BF720" t="s">
        <v>210</v>
      </c>
      <c r="BG720">
        <v>2.30396448908638</v>
      </c>
      <c r="BH720">
        <v>6.7209302325581505E-2</v>
      </c>
      <c r="BI720">
        <v>0.10152008579807199</v>
      </c>
      <c r="BJ720">
        <v>80</v>
      </c>
      <c r="BK720">
        <v>7480.2262162624547</v>
      </c>
      <c r="BL720">
        <v>5478.752006302213</v>
      </c>
      <c r="BM720">
        <v>9.7335630486617024</v>
      </c>
      <c r="BN720">
        <v>1654.7057182724891</v>
      </c>
      <c r="BO720">
        <v>5825.5204979899654</v>
      </c>
    </row>
    <row r="721" spans="1:67" x14ac:dyDescent="0.25">
      <c r="A721" s="1">
        <v>719</v>
      </c>
      <c r="B721" t="s">
        <v>74</v>
      </c>
      <c r="C721" t="s">
        <v>85</v>
      </c>
      <c r="D721">
        <v>1</v>
      </c>
      <c r="E721">
        <v>1</v>
      </c>
      <c r="F721">
        <v>2</v>
      </c>
      <c r="G721">
        <v>45.016539999999999</v>
      </c>
      <c r="H721">
        <v>2</v>
      </c>
      <c r="I721" t="s">
        <v>89</v>
      </c>
      <c r="J721">
        <v>4</v>
      </c>
      <c r="K721">
        <v>300</v>
      </c>
      <c r="L721">
        <v>66.666666666666657</v>
      </c>
      <c r="N721" t="s">
        <v>91</v>
      </c>
      <c r="O721">
        <v>33.333333333333343</v>
      </c>
      <c r="P721">
        <v>0.33333333333333331</v>
      </c>
      <c r="Q721">
        <v>3.2500000000000001E-2</v>
      </c>
      <c r="R721">
        <v>77.5</v>
      </c>
      <c r="S721">
        <v>170</v>
      </c>
      <c r="T721">
        <v>20</v>
      </c>
      <c r="U721">
        <v>1812.1301775147931</v>
      </c>
      <c r="V721">
        <v>20</v>
      </c>
      <c r="W721">
        <v>0.95</v>
      </c>
      <c r="X721">
        <v>1</v>
      </c>
      <c r="Y721">
        <v>57963.577928123173</v>
      </c>
      <c r="Z721">
        <v>173890733.7843695</v>
      </c>
      <c r="AA721">
        <v>695562935.13747811</v>
      </c>
      <c r="AB721">
        <v>695562.93513747817</v>
      </c>
      <c r="AC721">
        <v>0</v>
      </c>
      <c r="AD721">
        <v>1802.2504411587049</v>
      </c>
      <c r="AE721">
        <v>3244050.7940856698</v>
      </c>
      <c r="AF721">
        <v>2162700.5293904459</v>
      </c>
      <c r="AG721">
        <v>97.357294889326184</v>
      </c>
      <c r="AH721">
        <v>475.90225149236761</v>
      </c>
      <c r="AI721">
        <v>95.180450298473517</v>
      </c>
      <c r="AJ721">
        <v>22605.79539196804</v>
      </c>
      <c r="AK721">
        <v>854.70085470085473</v>
      </c>
      <c r="AL721" t="s">
        <v>93</v>
      </c>
      <c r="AM721">
        <v>36882.424490658494</v>
      </c>
      <c r="AN721">
        <v>646.86065536703563</v>
      </c>
      <c r="AO721">
        <v>16180.6765507405</v>
      </c>
      <c r="AP721">
        <v>60989.781392694407</v>
      </c>
      <c r="AQ721">
        <v>44809.104841953907</v>
      </c>
      <c r="AR721">
        <v>1.0452577730833339E-2</v>
      </c>
      <c r="AS721">
        <v>227.09892446474001</v>
      </c>
      <c r="AT721">
        <v>370.52263759126799</v>
      </c>
      <c r="AU721">
        <v>6.4983937333435078</v>
      </c>
      <c r="AV721">
        <v>162.5518668142337</v>
      </c>
      <c r="AW721">
        <v>612.70632231510638</v>
      </c>
      <c r="AX721">
        <v>450.15445550087259</v>
      </c>
      <c r="AY721">
        <v>0.97764066274307171</v>
      </c>
      <c r="AZ721" t="s">
        <v>111</v>
      </c>
      <c r="BA721" t="str">
        <f>VLOOKUP($AZ721,Sheet1!$A$2:$B$58,2)</f>
        <v>Acrylate (PW2)</v>
      </c>
      <c r="BB721" t="s">
        <v>163</v>
      </c>
      <c r="BC721">
        <v>71.053619999999995</v>
      </c>
      <c r="BD721">
        <v>3.666666666666667</v>
      </c>
      <c r="BE721">
        <v>80</v>
      </c>
      <c r="BF721" t="s">
        <v>210</v>
      </c>
      <c r="BG721">
        <v>0.91086968173182625</v>
      </c>
      <c r="BH721">
        <v>0.17</v>
      </c>
      <c r="BI721">
        <v>0.25678609937159302</v>
      </c>
      <c r="BJ721">
        <v>80</v>
      </c>
      <c r="BK721">
        <v>2982.571505109318</v>
      </c>
      <c r="BL721">
        <v>2191.291003497126</v>
      </c>
      <c r="BM721">
        <v>3.84815283319185</v>
      </c>
      <c r="BN721">
        <v>654.18598164261437</v>
      </c>
      <c r="BO721">
        <v>2328.385523466703</v>
      </c>
    </row>
    <row r="722" spans="1:67" x14ac:dyDescent="0.25">
      <c r="A722" s="1">
        <v>720</v>
      </c>
      <c r="B722" t="s">
        <v>74</v>
      </c>
      <c r="C722" t="s">
        <v>85</v>
      </c>
      <c r="D722">
        <v>1</v>
      </c>
      <c r="E722">
        <v>1</v>
      </c>
      <c r="F722">
        <v>2</v>
      </c>
      <c r="G722">
        <v>45.016539999999999</v>
      </c>
      <c r="H722">
        <v>2</v>
      </c>
      <c r="I722" t="s">
        <v>89</v>
      </c>
      <c r="J722">
        <v>4</v>
      </c>
      <c r="K722">
        <v>300</v>
      </c>
      <c r="L722">
        <v>66.666666666666657</v>
      </c>
      <c r="N722" t="s">
        <v>91</v>
      </c>
      <c r="O722">
        <v>33.333333333333343</v>
      </c>
      <c r="P722">
        <v>0.33333333333333331</v>
      </c>
      <c r="Q722">
        <v>3.2500000000000001E-2</v>
      </c>
      <c r="R722">
        <v>77.5</v>
      </c>
      <c r="S722">
        <v>170</v>
      </c>
      <c r="T722">
        <v>20</v>
      </c>
      <c r="U722">
        <v>1812.1301775147931</v>
      </c>
      <c r="V722">
        <v>20</v>
      </c>
      <c r="W722">
        <v>0.95</v>
      </c>
      <c r="X722">
        <v>1</v>
      </c>
      <c r="Y722">
        <v>215037.10407626291</v>
      </c>
      <c r="Z722">
        <v>645111312.22878885</v>
      </c>
      <c r="AA722">
        <v>2580445248.9151549</v>
      </c>
      <c r="AB722">
        <v>2580445.248915155</v>
      </c>
      <c r="AC722">
        <v>0</v>
      </c>
      <c r="AD722">
        <v>6686.1075444223179</v>
      </c>
      <c r="AE722">
        <v>12034993.579960169</v>
      </c>
      <c r="AF722">
        <v>8023329.0533067808</v>
      </c>
      <c r="AG722">
        <v>361.1825132613468</v>
      </c>
      <c r="AH722">
        <v>1765.533558180156</v>
      </c>
      <c r="AI722">
        <v>353.10671163603132</v>
      </c>
      <c r="AJ722">
        <v>83864.470589742559</v>
      </c>
      <c r="AK722">
        <v>854.70085470085473</v>
      </c>
      <c r="AL722" t="s">
        <v>93</v>
      </c>
      <c r="AM722">
        <v>136828.8507589621</v>
      </c>
      <c r="AN722">
        <v>2399.766319523761</v>
      </c>
      <c r="AO722">
        <v>60028.140978125317</v>
      </c>
      <c r="AP722">
        <v>223947.7885229293</v>
      </c>
      <c r="AQ722">
        <v>163919.647544804</v>
      </c>
      <c r="AR722">
        <v>1.0452577730833331E-2</v>
      </c>
      <c r="AS722">
        <v>227.09892446474001</v>
      </c>
      <c r="AT722">
        <v>370.52263759126788</v>
      </c>
      <c r="AU722">
        <v>6.498393733343506</v>
      </c>
      <c r="AV722">
        <v>162.5518668142337</v>
      </c>
      <c r="AW722">
        <v>606.43442392438772</v>
      </c>
      <c r="AX722">
        <v>443.8825571101541</v>
      </c>
      <c r="AY722">
        <v>0.9776406627430716</v>
      </c>
      <c r="AZ722" t="s">
        <v>113</v>
      </c>
      <c r="BA722" t="str">
        <f>VLOOKUP($AZ722,Sheet1!$A$2:$B$58,2)</f>
        <v>Benzoate (PW1)</v>
      </c>
      <c r="BB722" t="s">
        <v>165</v>
      </c>
      <c r="BC722">
        <v>121.1121</v>
      </c>
      <c r="BD722">
        <v>4.1428571428571432</v>
      </c>
      <c r="BE722">
        <v>249.2</v>
      </c>
      <c r="BF722" t="s">
        <v>210</v>
      </c>
      <c r="BG722">
        <v>3.5608955938555731</v>
      </c>
      <c r="BH722">
        <v>2.6883720930233002E-2</v>
      </c>
      <c r="BI722">
        <v>6.9217083003989002E-2</v>
      </c>
      <c r="BJ722">
        <v>80</v>
      </c>
      <c r="BK722">
        <v>10951.67546806037</v>
      </c>
      <c r="BL722">
        <v>8016.1308784959383</v>
      </c>
      <c r="BM722">
        <v>14.094439987946</v>
      </c>
      <c r="BN722">
        <v>2396.0547979508192</v>
      </c>
      <c r="BO722">
        <v>8555.6206701095489</v>
      </c>
    </row>
    <row r="723" spans="1:67" x14ac:dyDescent="0.25">
      <c r="A723" s="1">
        <v>721</v>
      </c>
      <c r="B723" t="s">
        <v>74</v>
      </c>
      <c r="C723" t="s">
        <v>85</v>
      </c>
      <c r="D723">
        <v>1</v>
      </c>
      <c r="E723">
        <v>1</v>
      </c>
      <c r="F723">
        <v>2</v>
      </c>
      <c r="G723">
        <v>45.016539999999999</v>
      </c>
      <c r="H723">
        <v>2</v>
      </c>
      <c r="I723" t="s">
        <v>89</v>
      </c>
      <c r="J723">
        <v>4</v>
      </c>
      <c r="K723">
        <v>300</v>
      </c>
      <c r="L723">
        <v>66.666666666666657</v>
      </c>
      <c r="N723" t="s">
        <v>91</v>
      </c>
      <c r="O723">
        <v>33.333333333333343</v>
      </c>
      <c r="P723">
        <v>0.33333333333333331</v>
      </c>
      <c r="Q723">
        <v>3.2500000000000001E-2</v>
      </c>
      <c r="R723">
        <v>77.5</v>
      </c>
      <c r="S723">
        <v>170</v>
      </c>
      <c r="T723">
        <v>20</v>
      </c>
      <c r="U723">
        <v>1812.1301775147931</v>
      </c>
      <c r="V723">
        <v>20</v>
      </c>
      <c r="W723">
        <v>0.95</v>
      </c>
      <c r="X723">
        <v>1</v>
      </c>
      <c r="Y723">
        <v>231039.86530984851</v>
      </c>
      <c r="Z723">
        <v>693119595.9295454</v>
      </c>
      <c r="AA723">
        <v>2772478383.7181821</v>
      </c>
      <c r="AB723">
        <v>2772478.3837181809</v>
      </c>
      <c r="AC723">
        <v>0</v>
      </c>
      <c r="AD723">
        <v>7183.6783384259379</v>
      </c>
      <c r="AE723">
        <v>12930621.00916669</v>
      </c>
      <c r="AF723">
        <v>8620414.0061111227</v>
      </c>
      <c r="AG723">
        <v>388.06121192266158</v>
      </c>
      <c r="AH723">
        <v>1896.922102044753</v>
      </c>
      <c r="AI723">
        <v>379.38442040895052</v>
      </c>
      <c r="AJ723">
        <v>90105.547470840902</v>
      </c>
      <c r="AK723">
        <v>854.70085470085473</v>
      </c>
      <c r="AL723" t="s">
        <v>93</v>
      </c>
      <c r="AM723">
        <v>147011.4629084683</v>
      </c>
      <c r="AN723">
        <v>2578.3535805116121</v>
      </c>
      <c r="AO723">
        <v>64495.351469521593</v>
      </c>
      <c r="AP723">
        <v>240550.0648145217</v>
      </c>
      <c r="AQ723">
        <v>176054.71334500011</v>
      </c>
      <c r="AR723">
        <v>1.0452577730833339E-2</v>
      </c>
      <c r="AS723">
        <v>227.09892446474001</v>
      </c>
      <c r="AT723">
        <v>370.52263759126799</v>
      </c>
      <c r="AU723">
        <v>6.4983937333435096</v>
      </c>
      <c r="AV723">
        <v>162.5518668142337</v>
      </c>
      <c r="AW723">
        <v>606.2741144431734</v>
      </c>
      <c r="AX723">
        <v>443.72224762893961</v>
      </c>
      <c r="AY723">
        <v>0.97764066274307182</v>
      </c>
      <c r="AZ723" t="s">
        <v>114</v>
      </c>
      <c r="BA723" t="str">
        <f>VLOOKUP($AZ723,Sheet1!$A$2:$B$58,2)</f>
        <v>Benzoate (PW2)</v>
      </c>
      <c r="BB723" t="s">
        <v>165</v>
      </c>
      <c r="BC723">
        <v>121.1121</v>
      </c>
      <c r="BD723">
        <v>4.1428571428571432</v>
      </c>
      <c r="BE723">
        <v>249.2</v>
      </c>
      <c r="BF723" t="s">
        <v>210</v>
      </c>
      <c r="BG723">
        <v>3.8123712713877378</v>
      </c>
      <c r="BH723">
        <v>2.5021645021645E-2</v>
      </c>
      <c r="BI723">
        <v>6.4422826172542996E-2</v>
      </c>
      <c r="BJ723">
        <v>80</v>
      </c>
      <c r="BK723">
        <v>11763.573380407821</v>
      </c>
      <c r="BL723">
        <v>8609.5696585966834</v>
      </c>
      <c r="BM723">
        <v>15.15684974905979</v>
      </c>
      <c r="BN723">
        <v>2576.6644573401641</v>
      </c>
      <c r="BO723">
        <v>9186.9089230676509</v>
      </c>
    </row>
    <row r="724" spans="1:67" x14ac:dyDescent="0.25">
      <c r="A724" s="1">
        <v>722</v>
      </c>
      <c r="B724" t="s">
        <v>74</v>
      </c>
      <c r="C724" t="s">
        <v>85</v>
      </c>
      <c r="D724">
        <v>1</v>
      </c>
      <c r="E724">
        <v>1</v>
      </c>
      <c r="F724">
        <v>2</v>
      </c>
      <c r="G724">
        <v>45.016539999999999</v>
      </c>
      <c r="H724">
        <v>2</v>
      </c>
      <c r="I724" t="s">
        <v>89</v>
      </c>
      <c r="J724">
        <v>4</v>
      </c>
      <c r="K724">
        <v>300</v>
      </c>
      <c r="L724">
        <v>66.666666666666657</v>
      </c>
      <c r="N724" t="s">
        <v>91</v>
      </c>
      <c r="O724">
        <v>33.333333333333343</v>
      </c>
      <c r="P724">
        <v>0.33333333333333331</v>
      </c>
      <c r="Q724">
        <v>3.2500000000000001E-2</v>
      </c>
      <c r="R724">
        <v>77.5</v>
      </c>
      <c r="S724">
        <v>170</v>
      </c>
      <c r="T724">
        <v>20</v>
      </c>
      <c r="U724">
        <v>1812.1301775147931</v>
      </c>
      <c r="V724">
        <v>20</v>
      </c>
      <c r="W724">
        <v>0.95</v>
      </c>
      <c r="X724">
        <v>1</v>
      </c>
      <c r="Y724">
        <v>152142.5759579085</v>
      </c>
      <c r="Z724">
        <v>456427727.87372541</v>
      </c>
      <c r="AA724">
        <v>1825710911.4949019</v>
      </c>
      <c r="AB724">
        <v>1825710.9114949021</v>
      </c>
      <c r="AC724">
        <v>66773.504273504266</v>
      </c>
      <c r="AD724">
        <v>4730.5400121983248</v>
      </c>
      <c r="AE724">
        <v>8514972.021956984</v>
      </c>
      <c r="AF724">
        <v>5676648.0146379881</v>
      </c>
      <c r="AG724">
        <v>255.5430524168716</v>
      </c>
      <c r="AH724">
        <v>1249.1463956210889</v>
      </c>
      <c r="AI724">
        <v>249.82927912421781</v>
      </c>
      <c r="AJ724">
        <v>59335.604623584302</v>
      </c>
      <c r="AK724">
        <v>2170.1388888888891</v>
      </c>
      <c r="AL724" t="s">
        <v>95</v>
      </c>
      <c r="AM724">
        <v>96808.845660634412</v>
      </c>
      <c r="AN724">
        <v>1697.8773552488381</v>
      </c>
      <c r="AO724">
        <v>42470.977451117033</v>
      </c>
      <c r="AP724">
        <v>160012.4665283564</v>
      </c>
      <c r="AQ724">
        <v>117541.4890772394</v>
      </c>
      <c r="AR724">
        <v>1.0452577730833339E-2</v>
      </c>
      <c r="AS724">
        <v>227.09892446474001</v>
      </c>
      <c r="AT724">
        <v>370.52263759126799</v>
      </c>
      <c r="AU724">
        <v>6.4983937333435096</v>
      </c>
      <c r="AV724">
        <v>162.5518668142337</v>
      </c>
      <c r="AW724">
        <v>612.42586605574627</v>
      </c>
      <c r="AX724">
        <v>449.87399924151259</v>
      </c>
      <c r="AY724">
        <v>0.97764066274307171</v>
      </c>
      <c r="AZ724" t="s">
        <v>117</v>
      </c>
      <c r="BA724" t="str">
        <f>VLOOKUP($AZ724,Sheet1!$A$2:$B$58,2)</f>
        <v>Butane</v>
      </c>
      <c r="BB724" t="s">
        <v>168</v>
      </c>
      <c r="BC724">
        <v>58.121200000000002</v>
      </c>
      <c r="BD724">
        <v>6.5</v>
      </c>
      <c r="BE724">
        <v>-1</v>
      </c>
      <c r="BF724" t="s">
        <v>210</v>
      </c>
      <c r="BG724">
        <v>4.2838742151676614</v>
      </c>
      <c r="BH724">
        <v>7.9178082191781005E-2</v>
      </c>
      <c r="BI724">
        <v>9.7830873363823997E-2</v>
      </c>
      <c r="BJ724">
        <v>80</v>
      </c>
      <c r="BK724">
        <v>7825.0587595465759</v>
      </c>
      <c r="BL724">
        <v>5748.1087484580739</v>
      </c>
      <c r="BM724">
        <v>8.207589741043229</v>
      </c>
      <c r="BN724">
        <v>1395.290255977349</v>
      </c>
      <c r="BO724">
        <v>6429.7685035692266</v>
      </c>
    </row>
    <row r="725" spans="1:67" x14ac:dyDescent="0.25">
      <c r="A725" s="1">
        <v>723</v>
      </c>
      <c r="B725" t="s">
        <v>74</v>
      </c>
      <c r="C725" t="s">
        <v>85</v>
      </c>
      <c r="D725">
        <v>1</v>
      </c>
      <c r="E725">
        <v>1</v>
      </c>
      <c r="F725">
        <v>2</v>
      </c>
      <c r="G725">
        <v>45.016539999999999</v>
      </c>
      <c r="H725">
        <v>2</v>
      </c>
      <c r="I725" t="s">
        <v>89</v>
      </c>
      <c r="J725">
        <v>4</v>
      </c>
      <c r="K725">
        <v>300</v>
      </c>
      <c r="L725">
        <v>66.666666666666657</v>
      </c>
      <c r="N725" t="s">
        <v>91</v>
      </c>
      <c r="O725">
        <v>33.333333333333343</v>
      </c>
      <c r="P725">
        <v>0.33333333333333331</v>
      </c>
      <c r="Q725">
        <v>3.2500000000000001E-2</v>
      </c>
      <c r="R725">
        <v>77.5</v>
      </c>
      <c r="S725">
        <v>170</v>
      </c>
      <c r="T725">
        <v>20</v>
      </c>
      <c r="U725">
        <v>1812.1301775147931</v>
      </c>
      <c r="V725">
        <v>20</v>
      </c>
      <c r="W725">
        <v>0.95</v>
      </c>
      <c r="X725">
        <v>1</v>
      </c>
      <c r="Y725">
        <v>75569.007832217554</v>
      </c>
      <c r="Z725">
        <v>226707023.49665269</v>
      </c>
      <c r="AA725">
        <v>906828093.98661065</v>
      </c>
      <c r="AB725">
        <v>906828.09398661065</v>
      </c>
      <c r="AC725">
        <v>0</v>
      </c>
      <c r="AD725">
        <v>2349.652705573581</v>
      </c>
      <c r="AE725">
        <v>4229374.8700324465</v>
      </c>
      <c r="AF725">
        <v>2819583.246688297</v>
      </c>
      <c r="AG725">
        <v>126.92788200787361</v>
      </c>
      <c r="AH725">
        <v>620.44929343375975</v>
      </c>
      <c r="AI725">
        <v>124.089858686752</v>
      </c>
      <c r="AJ725">
        <v>29471.913054564851</v>
      </c>
      <c r="AK725">
        <v>854.70085470085473</v>
      </c>
      <c r="AL725" t="s">
        <v>93</v>
      </c>
      <c r="AM725">
        <v>48084.82024111638</v>
      </c>
      <c r="AN725">
        <v>843.33334274845879</v>
      </c>
      <c r="AO725">
        <v>21095.275976747831</v>
      </c>
      <c r="AP725">
        <v>79254.767493130552</v>
      </c>
      <c r="AQ725">
        <v>58159.491516382717</v>
      </c>
      <c r="AR725">
        <v>1.0452577730833339E-2</v>
      </c>
      <c r="AS725">
        <v>227.09892446474001</v>
      </c>
      <c r="AT725">
        <v>370.52263759126799</v>
      </c>
      <c r="AU725">
        <v>6.4983937333435096</v>
      </c>
      <c r="AV725">
        <v>162.5518668142337</v>
      </c>
      <c r="AW725">
        <v>610.70594308112652</v>
      </c>
      <c r="AX725">
        <v>448.15407626689279</v>
      </c>
      <c r="AY725">
        <v>0.97764066274307171</v>
      </c>
      <c r="AZ725" t="s">
        <v>118</v>
      </c>
      <c r="BA725" t="str">
        <f>VLOOKUP($AZ725,Sheet1!$A$2:$B$58,2)</f>
        <v>Butanol (PW1)</v>
      </c>
      <c r="BB725" t="s">
        <v>169</v>
      </c>
      <c r="BC725">
        <v>74.120199999999997</v>
      </c>
      <c r="BD725">
        <v>6</v>
      </c>
      <c r="BE725">
        <v>117.7</v>
      </c>
      <c r="BF725" t="s">
        <v>210</v>
      </c>
      <c r="BG725">
        <v>2.3750610494844859</v>
      </c>
      <c r="BH725">
        <v>0.125</v>
      </c>
      <c r="BI725">
        <v>0.19696224032517301</v>
      </c>
      <c r="BJ725">
        <v>80</v>
      </c>
      <c r="BK725">
        <v>3875.7805942454188</v>
      </c>
      <c r="BL725">
        <v>2844.1623856875881</v>
      </c>
      <c r="BM725">
        <v>3.8294318848531121</v>
      </c>
      <c r="BN725">
        <v>651.00342042502893</v>
      </c>
      <c r="BO725">
        <v>3224.7771738203901</v>
      </c>
    </row>
    <row r="726" spans="1:67" x14ac:dyDescent="0.25">
      <c r="A726" s="1">
        <v>724</v>
      </c>
      <c r="B726" t="s">
        <v>74</v>
      </c>
      <c r="C726" t="s">
        <v>85</v>
      </c>
      <c r="D726">
        <v>1</v>
      </c>
      <c r="E726">
        <v>1</v>
      </c>
      <c r="F726">
        <v>2</v>
      </c>
      <c r="G726">
        <v>45.016539999999999</v>
      </c>
      <c r="H726">
        <v>2</v>
      </c>
      <c r="I726" t="s">
        <v>89</v>
      </c>
      <c r="J726">
        <v>4</v>
      </c>
      <c r="K726">
        <v>300</v>
      </c>
      <c r="L726">
        <v>66.666666666666657</v>
      </c>
      <c r="N726" t="s">
        <v>91</v>
      </c>
      <c r="O726">
        <v>33.333333333333343</v>
      </c>
      <c r="P726">
        <v>0.33333333333333331</v>
      </c>
      <c r="Q726">
        <v>3.2500000000000001E-2</v>
      </c>
      <c r="R726">
        <v>77.5</v>
      </c>
      <c r="S726">
        <v>170</v>
      </c>
      <c r="T726">
        <v>20</v>
      </c>
      <c r="U726">
        <v>1812.1301775147931</v>
      </c>
      <c r="V726">
        <v>20</v>
      </c>
      <c r="W726">
        <v>0.95</v>
      </c>
      <c r="X726">
        <v>1</v>
      </c>
      <c r="Y726">
        <v>75569.007832217554</v>
      </c>
      <c r="Z726">
        <v>226707023.49665269</v>
      </c>
      <c r="AA726">
        <v>906828093.98661065</v>
      </c>
      <c r="AB726">
        <v>906828.09398661065</v>
      </c>
      <c r="AC726">
        <v>0</v>
      </c>
      <c r="AD726">
        <v>2349.652705573581</v>
      </c>
      <c r="AE726">
        <v>4229374.8700324465</v>
      </c>
      <c r="AF726">
        <v>2819583.246688297</v>
      </c>
      <c r="AG726">
        <v>126.92788200787361</v>
      </c>
      <c r="AH726">
        <v>620.44929343375975</v>
      </c>
      <c r="AI726">
        <v>124.089858686752</v>
      </c>
      <c r="AJ726">
        <v>29471.913054564851</v>
      </c>
      <c r="AK726">
        <v>854.70085470085473</v>
      </c>
      <c r="AL726" t="s">
        <v>93</v>
      </c>
      <c r="AM726">
        <v>48084.82024111638</v>
      </c>
      <c r="AN726">
        <v>843.33334274845879</v>
      </c>
      <c r="AO726">
        <v>21095.275976747831</v>
      </c>
      <c r="AP726">
        <v>79254.767493130552</v>
      </c>
      <c r="AQ726">
        <v>58159.491516382717</v>
      </c>
      <c r="AR726">
        <v>1.0452577730833339E-2</v>
      </c>
      <c r="AS726">
        <v>227.09892446474001</v>
      </c>
      <c r="AT726">
        <v>370.52263759126799</v>
      </c>
      <c r="AU726">
        <v>6.4983937333435096</v>
      </c>
      <c r="AV726">
        <v>162.5518668142337</v>
      </c>
      <c r="AW726">
        <v>610.70594308112652</v>
      </c>
      <c r="AX726">
        <v>448.15407626689279</v>
      </c>
      <c r="AY726">
        <v>0.97764066274307171</v>
      </c>
      <c r="AZ726" t="s">
        <v>119</v>
      </c>
      <c r="BA726" t="str">
        <f>VLOOKUP($AZ726,Sheet1!$A$2:$B$58,2)</f>
        <v>Butanol (PW2)</v>
      </c>
      <c r="BB726" t="s">
        <v>169</v>
      </c>
      <c r="BC726">
        <v>74.120199999999997</v>
      </c>
      <c r="BD726">
        <v>6</v>
      </c>
      <c r="BE726">
        <v>117.7</v>
      </c>
      <c r="BF726" t="s">
        <v>210</v>
      </c>
      <c r="BG726">
        <v>2.3750610494844859</v>
      </c>
      <c r="BH726">
        <v>0.125</v>
      </c>
      <c r="BI726">
        <v>0.19696224032517301</v>
      </c>
      <c r="BJ726">
        <v>80</v>
      </c>
      <c r="BK726">
        <v>3875.7805942454188</v>
      </c>
      <c r="BL726">
        <v>2844.1623856875881</v>
      </c>
      <c r="BM726">
        <v>3.8294318848531121</v>
      </c>
      <c r="BN726">
        <v>651.00342042502893</v>
      </c>
      <c r="BO726">
        <v>3224.7771738203901</v>
      </c>
    </row>
    <row r="727" spans="1:67" x14ac:dyDescent="0.25">
      <c r="A727" s="1">
        <v>725</v>
      </c>
      <c r="B727" t="s">
        <v>74</v>
      </c>
      <c r="C727" t="s">
        <v>85</v>
      </c>
      <c r="D727">
        <v>1</v>
      </c>
      <c r="E727">
        <v>1</v>
      </c>
      <c r="F727">
        <v>2</v>
      </c>
      <c r="G727">
        <v>45.016539999999999</v>
      </c>
      <c r="H727">
        <v>2</v>
      </c>
      <c r="I727" t="s">
        <v>89</v>
      </c>
      <c r="J727">
        <v>4</v>
      </c>
      <c r="K727">
        <v>300</v>
      </c>
      <c r="L727">
        <v>66.666666666666657</v>
      </c>
      <c r="N727" t="s">
        <v>91</v>
      </c>
      <c r="O727">
        <v>33.333333333333343</v>
      </c>
      <c r="P727">
        <v>0.33333333333333331</v>
      </c>
      <c r="Q727">
        <v>3.2500000000000001E-2</v>
      </c>
      <c r="R727">
        <v>77.5</v>
      </c>
      <c r="S727">
        <v>170</v>
      </c>
      <c r="T727">
        <v>20</v>
      </c>
      <c r="U727">
        <v>1812.1301775147931</v>
      </c>
      <c r="V727">
        <v>20</v>
      </c>
      <c r="W727">
        <v>0.95</v>
      </c>
      <c r="X727">
        <v>1</v>
      </c>
      <c r="Y727">
        <v>53592.305748550818</v>
      </c>
      <c r="Z727">
        <v>160776917.24565241</v>
      </c>
      <c r="AA727">
        <v>643107668.98260975</v>
      </c>
      <c r="AB727">
        <v>643107.66898260976</v>
      </c>
      <c r="AC727">
        <v>0</v>
      </c>
      <c r="AD727">
        <v>1666.3353114227839</v>
      </c>
      <c r="AE727">
        <v>2999403.5605610111</v>
      </c>
      <c r="AF727">
        <v>1999602.3737073401</v>
      </c>
      <c r="AG727">
        <v>90.015180240091411</v>
      </c>
      <c r="AH727">
        <v>440.01250233430011</v>
      </c>
      <c r="AI727">
        <v>88.002500466860013</v>
      </c>
      <c r="AJ727">
        <v>20900.99924193482</v>
      </c>
      <c r="AK727">
        <v>854.70085470085473</v>
      </c>
      <c r="AL727" t="s">
        <v>93</v>
      </c>
      <c r="AM727">
        <v>34100.968930908253</v>
      </c>
      <c r="AN727">
        <v>598.07822874781982</v>
      </c>
      <c r="AO727">
        <v>14960.425079366199</v>
      </c>
      <c r="AP727">
        <v>56454.747256291746</v>
      </c>
      <c r="AQ727">
        <v>41494.322176925547</v>
      </c>
      <c r="AR727">
        <v>1.0452577730833331E-2</v>
      </c>
      <c r="AS727">
        <v>227.09892446474001</v>
      </c>
      <c r="AT727">
        <v>370.52263759126788</v>
      </c>
      <c r="AU727">
        <v>6.4983937333435096</v>
      </c>
      <c r="AV727">
        <v>162.5518668142337</v>
      </c>
      <c r="AW727">
        <v>613.40667182598099</v>
      </c>
      <c r="AX727">
        <v>450.85480501174732</v>
      </c>
      <c r="AY727">
        <v>0.9776406627430716</v>
      </c>
      <c r="AZ727" t="s">
        <v>120</v>
      </c>
      <c r="BA727" t="str">
        <f>VLOOKUP($AZ727,Sheet1!$A$2:$B$58,2)</f>
        <v>Butyrate</v>
      </c>
      <c r="BB727" t="s">
        <v>170</v>
      </c>
      <c r="BC727">
        <v>87.095680000000002</v>
      </c>
      <c r="BD727">
        <v>4.75</v>
      </c>
      <c r="BE727">
        <v>163.5</v>
      </c>
      <c r="BF727" t="s">
        <v>210</v>
      </c>
      <c r="BG727">
        <v>1.347483595053165</v>
      </c>
      <c r="BH727">
        <v>0.15</v>
      </c>
      <c r="BI727">
        <v>0.27773093308616598</v>
      </c>
      <c r="BJ727">
        <v>80</v>
      </c>
      <c r="BK727">
        <v>2760.7956062445151</v>
      </c>
      <c r="BL727">
        <v>2029.188826762185</v>
      </c>
      <c r="BM727">
        <v>3.0526414282898369</v>
      </c>
      <c r="BN727">
        <v>518.94904280927221</v>
      </c>
      <c r="BO727">
        <v>2241.8465634352419</v>
      </c>
    </row>
    <row r="728" spans="1:67" x14ac:dyDescent="0.25">
      <c r="A728" s="1">
        <v>726</v>
      </c>
      <c r="B728" t="s">
        <v>74</v>
      </c>
      <c r="C728" t="s">
        <v>85</v>
      </c>
      <c r="D728">
        <v>1</v>
      </c>
      <c r="E728">
        <v>1</v>
      </c>
      <c r="F728">
        <v>2</v>
      </c>
      <c r="G728">
        <v>45.016539999999999</v>
      </c>
      <c r="H728">
        <v>2</v>
      </c>
      <c r="I728" t="s">
        <v>89</v>
      </c>
      <c r="J728">
        <v>4</v>
      </c>
      <c r="K728">
        <v>300</v>
      </c>
      <c r="L728">
        <v>66.666666666666657</v>
      </c>
      <c r="N728" t="s">
        <v>91</v>
      </c>
      <c r="O728">
        <v>33.333333333333343</v>
      </c>
      <c r="P728">
        <v>0.33333333333333331</v>
      </c>
      <c r="Q728">
        <v>3.2500000000000001E-2</v>
      </c>
      <c r="R728">
        <v>77.5</v>
      </c>
      <c r="S728">
        <v>170</v>
      </c>
      <c r="T728">
        <v>20</v>
      </c>
      <c r="U728">
        <v>1812.1301775147931</v>
      </c>
      <c r="V728">
        <v>20</v>
      </c>
      <c r="W728">
        <v>0.95</v>
      </c>
      <c r="X728">
        <v>1</v>
      </c>
      <c r="Y728">
        <v>150715.97225587841</v>
      </c>
      <c r="Z728">
        <v>452147916.76763511</v>
      </c>
      <c r="AA728">
        <v>1808591667.07054</v>
      </c>
      <c r="AB728">
        <v>1808591.6670705399</v>
      </c>
      <c r="AC728">
        <v>0</v>
      </c>
      <c r="AD728">
        <v>4686.1828961740066</v>
      </c>
      <c r="AE728">
        <v>8435129.2131132111</v>
      </c>
      <c r="AF728">
        <v>5623419.4754088065</v>
      </c>
      <c r="AG728">
        <v>253.14688775151961</v>
      </c>
      <c r="AH728">
        <v>1237.4334555637081</v>
      </c>
      <c r="AI728">
        <v>247.4866911127416</v>
      </c>
      <c r="AJ728">
        <v>58779.229179792557</v>
      </c>
      <c r="AK728">
        <v>854.70085470085473</v>
      </c>
      <c r="AL728" t="s">
        <v>93</v>
      </c>
      <c r="AM728">
        <v>95901.092806187356</v>
      </c>
      <c r="AN728">
        <v>1681.956774797635</v>
      </c>
      <c r="AO728">
        <v>42072.737489166073</v>
      </c>
      <c r="AP728">
        <v>157216.9796154784</v>
      </c>
      <c r="AQ728">
        <v>115144.2421263123</v>
      </c>
      <c r="AR728">
        <v>1.0452577730833331E-2</v>
      </c>
      <c r="AS728">
        <v>227.09892446474001</v>
      </c>
      <c r="AT728">
        <v>370.52263759126799</v>
      </c>
      <c r="AU728">
        <v>6.4983937333435078</v>
      </c>
      <c r="AV728">
        <v>162.5518668142337</v>
      </c>
      <c r="AW728">
        <v>607.42217066270314</v>
      </c>
      <c r="AX728">
        <v>444.87030384846952</v>
      </c>
      <c r="AY728">
        <v>0.97764066274307171</v>
      </c>
      <c r="AZ728" t="s">
        <v>121</v>
      </c>
      <c r="BA728" t="str">
        <f>VLOOKUP($AZ728,Sheet1!$A$2:$B$58,2)</f>
        <v>Catechol</v>
      </c>
      <c r="BB728" t="s">
        <v>171</v>
      </c>
      <c r="BC728">
        <v>110.10924</v>
      </c>
      <c r="BD728">
        <v>4.333333333333333</v>
      </c>
      <c r="BE728">
        <v>245</v>
      </c>
      <c r="BF728" t="s">
        <v>210</v>
      </c>
      <c r="BG728">
        <v>2.5682758291127921</v>
      </c>
      <c r="BH728">
        <v>4.2189781021897799E-2</v>
      </c>
      <c r="BI728">
        <v>9.8756892577479202E-2</v>
      </c>
      <c r="BJ728">
        <v>80</v>
      </c>
      <c r="BK728">
        <v>7688.3516027267824</v>
      </c>
      <c r="BL728">
        <v>5630.8766436156438</v>
      </c>
      <c r="BM728">
        <v>9.8060587265242845</v>
      </c>
      <c r="BN728">
        <v>1667.029983509128</v>
      </c>
      <c r="BO728">
        <v>6021.3216192176542</v>
      </c>
    </row>
    <row r="729" spans="1:67" x14ac:dyDescent="0.25">
      <c r="A729" s="1">
        <v>727</v>
      </c>
      <c r="B729" t="s">
        <v>74</v>
      </c>
      <c r="C729" t="s">
        <v>85</v>
      </c>
      <c r="D729">
        <v>1</v>
      </c>
      <c r="E729">
        <v>1</v>
      </c>
      <c r="F729">
        <v>2</v>
      </c>
      <c r="G729">
        <v>45.016539999999999</v>
      </c>
      <c r="H729">
        <v>2</v>
      </c>
      <c r="I729" t="s">
        <v>89</v>
      </c>
      <c r="J729">
        <v>4</v>
      </c>
      <c r="K729">
        <v>300</v>
      </c>
      <c r="L729">
        <v>66.666666666666657</v>
      </c>
      <c r="N729" t="s">
        <v>91</v>
      </c>
      <c r="O729">
        <v>33.333333333333343</v>
      </c>
      <c r="P729">
        <v>0.33333333333333331</v>
      </c>
      <c r="Q729">
        <v>3.2500000000000001E-2</v>
      </c>
      <c r="R729">
        <v>77.5</v>
      </c>
      <c r="S729">
        <v>170</v>
      </c>
      <c r="T729">
        <v>20</v>
      </c>
      <c r="U729">
        <v>1812.1301775147931</v>
      </c>
      <c r="V729">
        <v>20</v>
      </c>
      <c r="W729">
        <v>0.95</v>
      </c>
      <c r="X729">
        <v>1</v>
      </c>
      <c r="Y729">
        <v>44200.614507020568</v>
      </c>
      <c r="Z729">
        <v>132601843.5210617</v>
      </c>
      <c r="AA729">
        <v>530407374.08424687</v>
      </c>
      <c r="AB729">
        <v>530407.37408424693</v>
      </c>
      <c r="AC729">
        <v>0</v>
      </c>
      <c r="AD729">
        <v>1374.3212521067201</v>
      </c>
      <c r="AE729">
        <v>2473778.2537920959</v>
      </c>
      <c r="AF729">
        <v>1649185.502528064</v>
      </c>
      <c r="AG729">
        <v>74.240625141974689</v>
      </c>
      <c r="AH729">
        <v>362.90326983130041</v>
      </c>
      <c r="AI729">
        <v>72.580653966260087</v>
      </c>
      <c r="AJ729">
        <v>17238.23965773802</v>
      </c>
      <c r="AK729">
        <v>854.70085470085473</v>
      </c>
      <c r="AL729" t="s">
        <v>93</v>
      </c>
      <c r="AM729">
        <v>28125.00341192578</v>
      </c>
      <c r="AN729">
        <v>493.26904048420971</v>
      </c>
      <c r="AO729">
        <v>12338.711174264219</v>
      </c>
      <c r="AP729">
        <v>46711.212964848863</v>
      </c>
      <c r="AQ729">
        <v>34372.501790584647</v>
      </c>
      <c r="AR729">
        <v>1.0452577730833339E-2</v>
      </c>
      <c r="AS729">
        <v>227.09892446474001</v>
      </c>
      <c r="AT729">
        <v>370.52263759126788</v>
      </c>
      <c r="AU729">
        <v>6.4983937333435096</v>
      </c>
      <c r="AV729">
        <v>162.5518668142337</v>
      </c>
      <c r="AW729">
        <v>615.3799016246287</v>
      </c>
      <c r="AX729">
        <v>452.82803481039491</v>
      </c>
      <c r="AY729">
        <v>0.97764066274307171</v>
      </c>
      <c r="AZ729" t="s">
        <v>123</v>
      </c>
      <c r="BA729" t="str">
        <f>VLOOKUP($AZ729,Sheet1!$A$2:$B$58,2)</f>
        <v>Citrate</v>
      </c>
      <c r="BB729" t="s">
        <v>173</v>
      </c>
      <c r="BC729">
        <v>189.09639999999999</v>
      </c>
      <c r="BD729">
        <v>2.5</v>
      </c>
      <c r="BF729" t="s">
        <v>210</v>
      </c>
      <c r="BG729">
        <v>0.34548369605868118</v>
      </c>
      <c r="BH729">
        <v>8.3768115942028903E-2</v>
      </c>
      <c r="BI729">
        <v>0.33674285409357801</v>
      </c>
      <c r="BJ729">
        <v>80</v>
      </c>
      <c r="BK729">
        <v>2284.3094298209662</v>
      </c>
      <c r="BL729">
        <v>1680.9118193067791</v>
      </c>
      <c r="BM729">
        <v>3.2835490022543228</v>
      </c>
      <c r="BN729">
        <v>558.20333038323486</v>
      </c>
      <c r="BO729">
        <v>1726.106099437731</v>
      </c>
    </row>
    <row r="730" spans="1:67" x14ac:dyDescent="0.25">
      <c r="A730" s="1">
        <v>728</v>
      </c>
      <c r="B730" t="s">
        <v>74</v>
      </c>
      <c r="C730" t="s">
        <v>85</v>
      </c>
      <c r="D730">
        <v>1</v>
      </c>
      <c r="E730">
        <v>1</v>
      </c>
      <c r="F730">
        <v>2</v>
      </c>
      <c r="G730">
        <v>45.016539999999999</v>
      </c>
      <c r="H730">
        <v>2</v>
      </c>
      <c r="I730" t="s">
        <v>89</v>
      </c>
      <c r="J730">
        <v>4</v>
      </c>
      <c r="K730">
        <v>300</v>
      </c>
      <c r="L730">
        <v>66.666666666666657</v>
      </c>
      <c r="N730" t="s">
        <v>91</v>
      </c>
      <c r="O730">
        <v>33.333333333333343</v>
      </c>
      <c r="P730">
        <v>0.33333333333333331</v>
      </c>
      <c r="Q730">
        <v>3.2500000000000001E-2</v>
      </c>
      <c r="R730">
        <v>77.5</v>
      </c>
      <c r="S730">
        <v>170</v>
      </c>
      <c r="T730">
        <v>20</v>
      </c>
      <c r="U730">
        <v>1812.1301775147931</v>
      </c>
      <c r="V730">
        <v>20</v>
      </c>
      <c r="W730">
        <v>0.95</v>
      </c>
      <c r="X730">
        <v>1</v>
      </c>
      <c r="Y730">
        <v>159631.54018999761</v>
      </c>
      <c r="Z730">
        <v>478894620.56999278</v>
      </c>
      <c r="AA730">
        <v>1915578482.2799709</v>
      </c>
      <c r="AB730">
        <v>1915578.482279971</v>
      </c>
      <c r="AC730">
        <v>0</v>
      </c>
      <c r="AD730">
        <v>4963.3929445663234</v>
      </c>
      <c r="AE730">
        <v>8934107.3002193812</v>
      </c>
      <c r="AF730">
        <v>5956071.5334795862</v>
      </c>
      <c r="AG730">
        <v>268.12173242974512</v>
      </c>
      <c r="AH730">
        <v>1310.633540942182</v>
      </c>
      <c r="AI730">
        <v>262.12670818843651</v>
      </c>
      <c r="AJ730">
        <v>62256.300674099068</v>
      </c>
      <c r="AK730">
        <v>854.70085470085473</v>
      </c>
      <c r="AL730" t="s">
        <v>93</v>
      </c>
      <c r="AM730">
        <v>101574.0994230191</v>
      </c>
      <c r="AN730">
        <v>1781.4525327024551</v>
      </c>
      <c r="AO730">
        <v>44561.540392034207</v>
      </c>
      <c r="AP730">
        <v>166466.55348452149</v>
      </c>
      <c r="AQ730">
        <v>121905.01309248729</v>
      </c>
      <c r="AR730">
        <v>1.0452577730833331E-2</v>
      </c>
      <c r="AS730">
        <v>227.09892446474001</v>
      </c>
      <c r="AT730">
        <v>370.52263759126788</v>
      </c>
      <c r="AU730">
        <v>6.4983937333435078</v>
      </c>
      <c r="AV730">
        <v>162.5518668142337</v>
      </c>
      <c r="AW730">
        <v>607.2377389332255</v>
      </c>
      <c r="AX730">
        <v>444.68587211899182</v>
      </c>
      <c r="AY730">
        <v>0.97764066274307149</v>
      </c>
      <c r="AZ730" t="s">
        <v>124</v>
      </c>
      <c r="BA730" t="str">
        <f>VLOOKUP($AZ730,Sheet1!$A$2:$B$58,2)</f>
        <v>Coumaric Acid</v>
      </c>
      <c r="BB730" t="s">
        <v>174</v>
      </c>
      <c r="BC730">
        <v>163.14818</v>
      </c>
      <c r="BD730">
        <v>4.1111111111111107</v>
      </c>
      <c r="BE730">
        <v>346</v>
      </c>
      <c r="BF730" t="s">
        <v>210</v>
      </c>
      <c r="BG730">
        <v>2.643410078203726</v>
      </c>
      <c r="BH730">
        <v>2.6883720930232499E-2</v>
      </c>
      <c r="BI730">
        <v>9.3241229546921003E-2</v>
      </c>
      <c r="BJ730">
        <v>80</v>
      </c>
      <c r="BK730">
        <v>8140.6817279748857</v>
      </c>
      <c r="BL730">
        <v>5961.4973209788086</v>
      </c>
      <c r="BM730">
        <v>10.4629253312181</v>
      </c>
      <c r="BN730">
        <v>1778.697306307077</v>
      </c>
      <c r="BO730">
        <v>6361.9844216678084</v>
      </c>
    </row>
    <row r="731" spans="1:67" x14ac:dyDescent="0.25">
      <c r="A731" s="1">
        <v>729</v>
      </c>
      <c r="B731" t="s">
        <v>74</v>
      </c>
      <c r="C731" t="s">
        <v>85</v>
      </c>
      <c r="D731">
        <v>1</v>
      </c>
      <c r="E731">
        <v>1</v>
      </c>
      <c r="F731">
        <v>2</v>
      </c>
      <c r="G731">
        <v>45.016539999999999</v>
      </c>
      <c r="H731">
        <v>2</v>
      </c>
      <c r="I731" t="s">
        <v>89</v>
      </c>
      <c r="J731">
        <v>4</v>
      </c>
      <c r="K731">
        <v>300</v>
      </c>
      <c r="L731">
        <v>66.666666666666657</v>
      </c>
      <c r="N731" t="s">
        <v>91</v>
      </c>
      <c r="O731">
        <v>33.333333333333343</v>
      </c>
      <c r="P731">
        <v>0.33333333333333331</v>
      </c>
      <c r="Q731">
        <v>3.2500000000000001E-2</v>
      </c>
      <c r="R731">
        <v>77.5</v>
      </c>
      <c r="S731">
        <v>170</v>
      </c>
      <c r="T731">
        <v>20</v>
      </c>
      <c r="U731">
        <v>1812.1301775147931</v>
      </c>
      <c r="V731">
        <v>20</v>
      </c>
      <c r="W731">
        <v>0.95</v>
      </c>
      <c r="X731">
        <v>1</v>
      </c>
      <c r="Y731">
        <v>52979.248864721318</v>
      </c>
      <c r="Z731">
        <v>158937746.59416401</v>
      </c>
      <c r="AA731">
        <v>635750986.37665582</v>
      </c>
      <c r="AB731">
        <v>635750.98637665587</v>
      </c>
      <c r="AC731">
        <v>0</v>
      </c>
      <c r="AD731">
        <v>1647.273651000316</v>
      </c>
      <c r="AE731">
        <v>2965092.57180057</v>
      </c>
      <c r="AF731">
        <v>1976728.381200379</v>
      </c>
      <c r="AG731">
        <v>88.98547224144211</v>
      </c>
      <c r="AH731">
        <v>434.97908028314339</v>
      </c>
      <c r="AI731">
        <v>86.995816056628684</v>
      </c>
      <c r="AJ731">
        <v>20661.907057241311</v>
      </c>
      <c r="AK731">
        <v>854.70085470085473</v>
      </c>
      <c r="AL731" t="s">
        <v>93</v>
      </c>
      <c r="AM731">
        <v>33710.878721943613</v>
      </c>
      <c r="AN731">
        <v>591.23665009056413</v>
      </c>
      <c r="AO731">
        <v>14789.28872962688</v>
      </c>
      <c r="AP731">
        <v>55818.723283976338</v>
      </c>
      <c r="AQ731">
        <v>41029.434554349456</v>
      </c>
      <c r="AR731">
        <v>1.0452577730833339E-2</v>
      </c>
      <c r="AS731">
        <v>227.09892446474001</v>
      </c>
      <c r="AT731">
        <v>370.52263759126788</v>
      </c>
      <c r="AU731">
        <v>6.4983937333435096</v>
      </c>
      <c r="AV731">
        <v>162.5518668142337</v>
      </c>
      <c r="AW731">
        <v>613.5141343762516</v>
      </c>
      <c r="AX731">
        <v>450.96226756201793</v>
      </c>
      <c r="AY731">
        <v>0.97764066274307182</v>
      </c>
      <c r="AZ731" t="s">
        <v>125</v>
      </c>
      <c r="BA731" t="str">
        <f>VLOOKUP($AZ731,Sheet1!$A$2:$B$58,2)</f>
        <v>Ethyl Acetate</v>
      </c>
      <c r="BB731" t="s">
        <v>175</v>
      </c>
      <c r="BC731">
        <v>88.103520000000003</v>
      </c>
      <c r="BD731">
        <v>5</v>
      </c>
      <c r="BE731">
        <v>77.099999999999994</v>
      </c>
      <c r="BF731" t="s">
        <v>210</v>
      </c>
      <c r="BG731">
        <v>1.332069365673471</v>
      </c>
      <c r="BH731">
        <v>0.15</v>
      </c>
      <c r="BI731">
        <v>0.28094473592462499</v>
      </c>
      <c r="BJ731">
        <v>80</v>
      </c>
      <c r="BK731">
        <v>2729.6922487135162</v>
      </c>
      <c r="BL731">
        <v>2006.454517103886</v>
      </c>
      <c r="BM731">
        <v>3.017721437157963</v>
      </c>
      <c r="BN731">
        <v>513.01264431685365</v>
      </c>
      <c r="BO731">
        <v>2216.6796043966619</v>
      </c>
    </row>
    <row r="732" spans="1:67" x14ac:dyDescent="0.25">
      <c r="A732" s="1">
        <v>730</v>
      </c>
      <c r="B732" t="s">
        <v>74</v>
      </c>
      <c r="C732" t="s">
        <v>85</v>
      </c>
      <c r="D732">
        <v>1</v>
      </c>
      <c r="E732">
        <v>1</v>
      </c>
      <c r="F732">
        <v>2</v>
      </c>
      <c r="G732">
        <v>45.016539999999999</v>
      </c>
      <c r="H732">
        <v>2</v>
      </c>
      <c r="I732" t="s">
        <v>89</v>
      </c>
      <c r="J732">
        <v>4</v>
      </c>
      <c r="K732">
        <v>300</v>
      </c>
      <c r="L732">
        <v>66.666666666666657</v>
      </c>
      <c r="N732" t="s">
        <v>91</v>
      </c>
      <c r="O732">
        <v>33.333333333333343</v>
      </c>
      <c r="P732">
        <v>0.33333333333333331</v>
      </c>
      <c r="Q732">
        <v>3.2500000000000001E-2</v>
      </c>
      <c r="R732">
        <v>77.5</v>
      </c>
      <c r="S732">
        <v>170</v>
      </c>
      <c r="T732">
        <v>20</v>
      </c>
      <c r="U732">
        <v>1812.1301775147931</v>
      </c>
      <c r="V732">
        <v>20</v>
      </c>
      <c r="W732">
        <v>0.95</v>
      </c>
      <c r="X732">
        <v>1</v>
      </c>
      <c r="Y732">
        <v>171905.06823342599</v>
      </c>
      <c r="Z732">
        <v>515715204.70027792</v>
      </c>
      <c r="AA732">
        <v>2062860818.801111</v>
      </c>
      <c r="AB732">
        <v>2062860.818801112</v>
      </c>
      <c r="AC732">
        <v>0</v>
      </c>
      <c r="AD732">
        <v>5345.0114043217227</v>
      </c>
      <c r="AE732">
        <v>9621020.5277791005</v>
      </c>
      <c r="AF732">
        <v>6414013.6851860657</v>
      </c>
      <c r="AG732">
        <v>288.73670361972592</v>
      </c>
      <c r="AH732">
        <v>1411.4037114251939</v>
      </c>
      <c r="AI732">
        <v>282.28074228503868</v>
      </c>
      <c r="AJ732">
        <v>67042.976611036123</v>
      </c>
      <c r="AK732">
        <v>1835.336538461539</v>
      </c>
      <c r="AL732" t="s">
        <v>94</v>
      </c>
      <c r="AM732">
        <v>109383.78763545251</v>
      </c>
      <c r="AN732">
        <v>1918.4223795894561</v>
      </c>
      <c r="AO732">
        <v>47987.726188456589</v>
      </c>
      <c r="AP732">
        <v>180180.5231645396</v>
      </c>
      <c r="AQ732">
        <v>132192.79697608299</v>
      </c>
      <c r="AR732">
        <v>1.0452577730833331E-2</v>
      </c>
      <c r="AS732">
        <v>227.09892446474001</v>
      </c>
      <c r="AT732">
        <v>370.52263759126799</v>
      </c>
      <c r="AU732">
        <v>6.4983937333435096</v>
      </c>
      <c r="AV732">
        <v>162.5518668142337</v>
      </c>
      <c r="AW732">
        <v>610.33690758631042</v>
      </c>
      <c r="AX732">
        <v>447.78504077207663</v>
      </c>
      <c r="AY732">
        <v>0.97764066274307182</v>
      </c>
      <c r="AZ732" t="s">
        <v>126</v>
      </c>
      <c r="BA732" t="str">
        <f>VLOOKUP($AZ732,Sheet1!$A$2:$B$58,2)</f>
        <v>Farnesene</v>
      </c>
      <c r="BB732" t="s">
        <v>176</v>
      </c>
      <c r="BC732">
        <v>204.34866</v>
      </c>
      <c r="BD732">
        <v>5.6</v>
      </c>
      <c r="BE732" t="s">
        <v>198</v>
      </c>
      <c r="BF732" t="s">
        <v>210</v>
      </c>
      <c r="BG732">
        <v>3.9936085057410988</v>
      </c>
      <c r="BH732">
        <v>1.9931034482758798E-2</v>
      </c>
      <c r="BI732">
        <v>8.6584073609587503E-2</v>
      </c>
      <c r="BJ732">
        <v>80</v>
      </c>
      <c r="BK732">
        <v>8811.3333396964263</v>
      </c>
      <c r="BL732">
        <v>6464.5988301376983</v>
      </c>
      <c r="BM732">
        <v>10.12042860851084</v>
      </c>
      <c r="BN732">
        <v>1720.4728634468429</v>
      </c>
      <c r="BO732">
        <v>7090.8604762495834</v>
      </c>
    </row>
    <row r="733" spans="1:67" x14ac:dyDescent="0.25">
      <c r="A733" s="1">
        <v>731</v>
      </c>
      <c r="B733" t="s">
        <v>74</v>
      </c>
      <c r="C733" t="s">
        <v>85</v>
      </c>
      <c r="D733">
        <v>1</v>
      </c>
      <c r="E733">
        <v>1</v>
      </c>
      <c r="F733">
        <v>2</v>
      </c>
      <c r="G733">
        <v>45.016539999999999</v>
      </c>
      <c r="H733">
        <v>2</v>
      </c>
      <c r="I733" t="s">
        <v>89</v>
      </c>
      <c r="J733">
        <v>4</v>
      </c>
      <c r="K733">
        <v>300</v>
      </c>
      <c r="L733">
        <v>66.666666666666657</v>
      </c>
      <c r="N733" t="s">
        <v>91</v>
      </c>
      <c r="O733">
        <v>33.333333333333343</v>
      </c>
      <c r="P733">
        <v>0.33333333333333331</v>
      </c>
      <c r="Q733">
        <v>3.2500000000000001E-2</v>
      </c>
      <c r="R733">
        <v>77.5</v>
      </c>
      <c r="S733">
        <v>170</v>
      </c>
      <c r="T733">
        <v>20</v>
      </c>
      <c r="U733">
        <v>1812.1301775147931</v>
      </c>
      <c r="V733">
        <v>20</v>
      </c>
      <c r="W733">
        <v>0.95</v>
      </c>
      <c r="X733">
        <v>1</v>
      </c>
      <c r="Y733">
        <v>119602.3166554435</v>
      </c>
      <c r="Z733">
        <v>358806949.96633059</v>
      </c>
      <c r="AA733">
        <v>1435227799.8653231</v>
      </c>
      <c r="AB733">
        <v>1435227.7998653229</v>
      </c>
      <c r="AC733">
        <v>0</v>
      </c>
      <c r="AD733">
        <v>3718.771954056559</v>
      </c>
      <c r="AE733">
        <v>6693789.5173018072</v>
      </c>
      <c r="AF733">
        <v>4462526.3448678702</v>
      </c>
      <c r="AG733">
        <v>200.88749570479831</v>
      </c>
      <c r="AH733">
        <v>981.97892218817469</v>
      </c>
      <c r="AI733">
        <v>196.39578443763489</v>
      </c>
      <c r="AJ733">
        <v>46644.903495622988</v>
      </c>
      <c r="AK733">
        <v>1835.336538461539</v>
      </c>
      <c r="AL733" t="s">
        <v>94</v>
      </c>
      <c r="AM733">
        <v>76103.366469583532</v>
      </c>
      <c r="AN733">
        <v>1334.735288961846</v>
      </c>
      <c r="AO733">
        <v>33387.283354397943</v>
      </c>
      <c r="AP733">
        <v>125918.3417926299</v>
      </c>
      <c r="AQ733">
        <v>92531.058438231965</v>
      </c>
      <c r="AR733">
        <v>1.0452577730833339E-2</v>
      </c>
      <c r="AS733">
        <v>227.09892446474009</v>
      </c>
      <c r="AT733">
        <v>370.52263759126788</v>
      </c>
      <c r="AU733">
        <v>6.4983937333435096</v>
      </c>
      <c r="AV733">
        <v>162.5518668142337</v>
      </c>
      <c r="AW733">
        <v>613.05561483631607</v>
      </c>
      <c r="AX733">
        <v>450.50374802208239</v>
      </c>
      <c r="AY733">
        <v>0.9776406627430716</v>
      </c>
      <c r="AZ733" t="s">
        <v>127</v>
      </c>
      <c r="BA733" t="str">
        <f>VLOOKUP($AZ733,Sheet1!$A$2:$B$58,2)</f>
        <v>Gamma Butyrolactone</v>
      </c>
      <c r="BB733" t="s">
        <v>177</v>
      </c>
      <c r="BC733">
        <v>86.08784</v>
      </c>
      <c r="BD733">
        <v>4.5</v>
      </c>
      <c r="BE733">
        <v>204</v>
      </c>
      <c r="BF733" t="s">
        <v>210</v>
      </c>
      <c r="BG733">
        <v>2.135103756677311</v>
      </c>
      <c r="BH733">
        <v>6.8000000000000005E-2</v>
      </c>
      <c r="BI733">
        <v>0.124447765712293</v>
      </c>
      <c r="BJ733">
        <v>80</v>
      </c>
      <c r="BK733">
        <v>6157.7603596116442</v>
      </c>
      <c r="BL733">
        <v>4525.0284872890797</v>
      </c>
      <c r="BM733">
        <v>7.6846854652044341</v>
      </c>
      <c r="BN733">
        <v>1306.3965290847541</v>
      </c>
      <c r="BO733">
        <v>4851.3638305268914</v>
      </c>
    </row>
    <row r="734" spans="1:67" x14ac:dyDescent="0.25">
      <c r="A734" s="1">
        <v>732</v>
      </c>
      <c r="B734" t="s">
        <v>74</v>
      </c>
      <c r="C734" t="s">
        <v>85</v>
      </c>
      <c r="D734">
        <v>1</v>
      </c>
      <c r="E734">
        <v>1</v>
      </c>
      <c r="F734">
        <v>2</v>
      </c>
      <c r="G734">
        <v>45.016539999999999</v>
      </c>
      <c r="H734">
        <v>2</v>
      </c>
      <c r="I734" t="s">
        <v>89</v>
      </c>
      <c r="J734">
        <v>4</v>
      </c>
      <c r="K734">
        <v>300</v>
      </c>
      <c r="L734">
        <v>66.666666666666657</v>
      </c>
      <c r="N734" t="s">
        <v>91</v>
      </c>
      <c r="O734">
        <v>33.333333333333343</v>
      </c>
      <c r="P734">
        <v>0.33333333333333331</v>
      </c>
      <c r="Q734">
        <v>3.2500000000000001E-2</v>
      </c>
      <c r="R734">
        <v>77.5</v>
      </c>
      <c r="S734">
        <v>170</v>
      </c>
      <c r="T734">
        <v>20</v>
      </c>
      <c r="U734">
        <v>1812.1301775147931</v>
      </c>
      <c r="V734">
        <v>20</v>
      </c>
      <c r="W734">
        <v>0.95</v>
      </c>
      <c r="X734">
        <v>1</v>
      </c>
      <c r="Y734">
        <v>50569.173873352403</v>
      </c>
      <c r="Z734">
        <v>151707521.6200572</v>
      </c>
      <c r="AA734">
        <v>606830086.48022878</v>
      </c>
      <c r="AB734">
        <v>606830.08648022881</v>
      </c>
      <c r="AC734">
        <v>0</v>
      </c>
      <c r="AD734">
        <v>1572.337650296455</v>
      </c>
      <c r="AE734">
        <v>2830207.770533619</v>
      </c>
      <c r="AF734">
        <v>1886805.1803557449</v>
      </c>
      <c r="AG734">
        <v>84.937440873691614</v>
      </c>
      <c r="AH734">
        <v>415.19147993728171</v>
      </c>
      <c r="AI734">
        <v>83.038295987456351</v>
      </c>
      <c r="AJ734">
        <v>19721.977810607441</v>
      </c>
      <c r="AK734">
        <v>854.70085470085473</v>
      </c>
      <c r="AL734" t="s">
        <v>93</v>
      </c>
      <c r="AM734">
        <v>32177.33969513933</v>
      </c>
      <c r="AN734">
        <v>564.34074848949683</v>
      </c>
      <c r="AO734">
        <v>14116.51031786758</v>
      </c>
      <c r="AP734">
        <v>53318.359108937133</v>
      </c>
      <c r="AQ734">
        <v>39201.848791069548</v>
      </c>
      <c r="AR734">
        <v>1.0452577730833339E-2</v>
      </c>
      <c r="AS734">
        <v>227.09892446474001</v>
      </c>
      <c r="AT734">
        <v>370.52263759126799</v>
      </c>
      <c r="AU734">
        <v>6.4983937333435096</v>
      </c>
      <c r="AV734">
        <v>162.55186681423379</v>
      </c>
      <c r="AW734">
        <v>613.96185129829291</v>
      </c>
      <c r="AX734">
        <v>451.40998448405912</v>
      </c>
      <c r="AY734">
        <v>0.97764066274307182</v>
      </c>
      <c r="AZ734" t="s">
        <v>128</v>
      </c>
      <c r="BA734" t="str">
        <f>VLOOKUP($AZ734,Sheet1!$A$2:$B$58,2)</f>
        <v>L-Glutamate</v>
      </c>
      <c r="BB734" t="s">
        <v>178</v>
      </c>
      <c r="BC734">
        <v>146.11892</v>
      </c>
      <c r="BD734">
        <v>3.4</v>
      </c>
      <c r="BE734">
        <v>333.8</v>
      </c>
      <c r="BF734" t="s">
        <v>210</v>
      </c>
      <c r="BG734">
        <v>0.64407367287527673</v>
      </c>
      <c r="BH734">
        <v>9.4754098360655806E-2</v>
      </c>
      <c r="BI734">
        <v>0.29433427405915003</v>
      </c>
      <c r="BJ734">
        <v>80</v>
      </c>
      <c r="BK734">
        <v>2607.4174221675489</v>
      </c>
      <c r="BL734">
        <v>1917.0804433454409</v>
      </c>
      <c r="BM734">
        <v>3.50784112649754</v>
      </c>
      <c r="BN734">
        <v>596.33299150458186</v>
      </c>
      <c r="BO734">
        <v>2011.084430662967</v>
      </c>
    </row>
    <row r="735" spans="1:67" x14ac:dyDescent="0.25">
      <c r="A735" s="1">
        <v>733</v>
      </c>
      <c r="B735" t="s">
        <v>74</v>
      </c>
      <c r="C735" t="s">
        <v>85</v>
      </c>
      <c r="D735">
        <v>1</v>
      </c>
      <c r="E735">
        <v>1</v>
      </c>
      <c r="F735">
        <v>2</v>
      </c>
      <c r="G735">
        <v>45.016539999999999</v>
      </c>
      <c r="H735">
        <v>2</v>
      </c>
      <c r="I735" t="s">
        <v>89</v>
      </c>
      <c r="J735">
        <v>4</v>
      </c>
      <c r="K735">
        <v>300</v>
      </c>
      <c r="L735">
        <v>66.666666666666657</v>
      </c>
      <c r="N735" t="s">
        <v>91</v>
      </c>
      <c r="O735">
        <v>33.333333333333343</v>
      </c>
      <c r="P735">
        <v>0.33333333333333331</v>
      </c>
      <c r="Q735">
        <v>3.2500000000000001E-2</v>
      </c>
      <c r="R735">
        <v>77.5</v>
      </c>
      <c r="S735">
        <v>170</v>
      </c>
      <c r="T735">
        <v>20</v>
      </c>
      <c r="U735">
        <v>1812.1301775147931</v>
      </c>
      <c r="V735">
        <v>20</v>
      </c>
      <c r="W735">
        <v>0.95</v>
      </c>
      <c r="X735">
        <v>1</v>
      </c>
      <c r="Y735">
        <v>93623.858080148726</v>
      </c>
      <c r="Z735">
        <v>280871574.24044621</v>
      </c>
      <c r="AA735">
        <v>1123486296.9617851</v>
      </c>
      <c r="AB735">
        <v>1123486.2969617851</v>
      </c>
      <c r="AC735">
        <v>0</v>
      </c>
      <c r="AD735">
        <v>2911.0287107735749</v>
      </c>
      <c r="AE735">
        <v>5239851.6793924347</v>
      </c>
      <c r="AF735">
        <v>3493234.4529282888</v>
      </c>
      <c r="AG735">
        <v>157.2533284796244</v>
      </c>
      <c r="AH735">
        <v>768.68624136686981</v>
      </c>
      <c r="AI735">
        <v>153.73724827337401</v>
      </c>
      <c r="AJ735">
        <v>36513.304651257997</v>
      </c>
      <c r="AK735">
        <v>854.70085470085473</v>
      </c>
      <c r="AL735" t="s">
        <v>93</v>
      </c>
      <c r="AM735">
        <v>59573.18370593241</v>
      </c>
      <c r="AN735">
        <v>1044.8214613461889</v>
      </c>
      <c r="AO735">
        <v>26135.33220647358</v>
      </c>
      <c r="AP735">
        <v>97986.01067323747</v>
      </c>
      <c r="AQ735">
        <v>71850.6784667639</v>
      </c>
      <c r="AR735">
        <v>1.0452577730833339E-2</v>
      </c>
      <c r="AS735">
        <v>227.09892446474001</v>
      </c>
      <c r="AT735">
        <v>370.52263759126788</v>
      </c>
      <c r="AU735">
        <v>6.4983937333435096</v>
      </c>
      <c r="AV735">
        <v>162.5518668142337</v>
      </c>
      <c r="AW735">
        <v>609.43587136301835</v>
      </c>
      <c r="AX735">
        <v>446.88400454878467</v>
      </c>
      <c r="AY735">
        <v>0.97764066274307171</v>
      </c>
      <c r="AZ735" t="s">
        <v>130</v>
      </c>
      <c r="BA735" t="str">
        <f>VLOOKUP($AZ735,Sheet1!$A$2:$B$58,2)</f>
        <v>Glycolate</v>
      </c>
      <c r="BB735" t="s">
        <v>180</v>
      </c>
      <c r="BC735">
        <v>75.041920000000005</v>
      </c>
      <c r="BD735">
        <v>2.5</v>
      </c>
      <c r="BE735">
        <v>112</v>
      </c>
      <c r="BF735" t="s">
        <v>210</v>
      </c>
      <c r="BG735">
        <v>0.88478159064374406</v>
      </c>
      <c r="BH735">
        <v>9.9655172413793097E-2</v>
      </c>
      <c r="BI735">
        <v>0.15897914684355499</v>
      </c>
      <c r="BJ735">
        <v>80</v>
      </c>
      <c r="BK735">
        <v>4791.7909633357431</v>
      </c>
      <c r="BL735">
        <v>3513.6998579800011</v>
      </c>
      <c r="BM735">
        <v>6.802080823024955</v>
      </c>
      <c r="BN735">
        <v>1156.3537399142419</v>
      </c>
      <c r="BO735">
        <v>3635.4372234215011</v>
      </c>
    </row>
    <row r="736" spans="1:67" x14ac:dyDescent="0.25">
      <c r="A736" s="1">
        <v>734</v>
      </c>
      <c r="B736" t="s">
        <v>74</v>
      </c>
      <c r="C736" t="s">
        <v>85</v>
      </c>
      <c r="D736">
        <v>1</v>
      </c>
      <c r="E736">
        <v>1</v>
      </c>
      <c r="F736">
        <v>2</v>
      </c>
      <c r="G736">
        <v>45.016539999999999</v>
      </c>
      <c r="H736">
        <v>2</v>
      </c>
      <c r="I736" t="s">
        <v>89</v>
      </c>
      <c r="J736">
        <v>4</v>
      </c>
      <c r="K736">
        <v>300</v>
      </c>
      <c r="L736">
        <v>66.666666666666657</v>
      </c>
      <c r="N736" t="s">
        <v>91</v>
      </c>
      <c r="O736">
        <v>33.333333333333343</v>
      </c>
      <c r="P736">
        <v>0.33333333333333331</v>
      </c>
      <c r="Q736">
        <v>3.2500000000000001E-2</v>
      </c>
      <c r="R736">
        <v>77.5</v>
      </c>
      <c r="S736">
        <v>170</v>
      </c>
      <c r="T736">
        <v>20</v>
      </c>
      <c r="U736">
        <v>1812.1301775147931</v>
      </c>
      <c r="V736">
        <v>20</v>
      </c>
      <c r="W736">
        <v>0.95</v>
      </c>
      <c r="X736">
        <v>1</v>
      </c>
      <c r="Y736">
        <v>102483.168083696</v>
      </c>
      <c r="Z736">
        <v>307449504.2510879</v>
      </c>
      <c r="AA736">
        <v>1229798017.0043521</v>
      </c>
      <c r="AB736">
        <v>1229798.0170043521</v>
      </c>
      <c r="AC736">
        <v>0</v>
      </c>
      <c r="AD736">
        <v>3186.4895420917169</v>
      </c>
      <c r="AE736">
        <v>5735681.1757650916</v>
      </c>
      <c r="AF736">
        <v>3823787.4505100599</v>
      </c>
      <c r="AG736">
        <v>172.1336807173841</v>
      </c>
      <c r="AH736">
        <v>841.42442848473877</v>
      </c>
      <c r="AI736">
        <v>168.28488569694781</v>
      </c>
      <c r="AJ736">
        <v>39968.435552641429</v>
      </c>
      <c r="AK736">
        <v>854.70085470085473</v>
      </c>
      <c r="AL736" t="s">
        <v>93</v>
      </c>
      <c r="AM736">
        <v>65210.393207567256</v>
      </c>
      <c r="AN736">
        <v>1143.6893932412941</v>
      </c>
      <c r="AO736">
        <v>28608.430568481119</v>
      </c>
      <c r="AP736">
        <v>107177.2190081508</v>
      </c>
      <c r="AQ736">
        <v>78568.788439669705</v>
      </c>
      <c r="AR736">
        <v>1.0452577730833339E-2</v>
      </c>
      <c r="AS736">
        <v>227.09892446474001</v>
      </c>
      <c r="AT736">
        <v>370.52263759126799</v>
      </c>
      <c r="AU736">
        <v>6.4983937333435078</v>
      </c>
      <c r="AV736">
        <v>162.55186681423379</v>
      </c>
      <c r="AW736">
        <v>608.9763291289089</v>
      </c>
      <c r="AX736">
        <v>446.42446231467522</v>
      </c>
      <c r="AY736">
        <v>0.97764066274307193</v>
      </c>
      <c r="AZ736" t="s">
        <v>131</v>
      </c>
      <c r="BA736" t="str">
        <f>VLOOKUP($AZ736,Sheet1!$A$2:$B$58,2)</f>
        <v>Heptane</v>
      </c>
      <c r="BB736" t="s">
        <v>181</v>
      </c>
      <c r="BC736">
        <v>100.20034</v>
      </c>
      <c r="BD736">
        <v>6.2857142857142856</v>
      </c>
      <c r="BE736">
        <v>98</v>
      </c>
      <c r="BF736" t="s">
        <v>210</v>
      </c>
      <c r="BG736">
        <v>3.3673538433103132</v>
      </c>
      <c r="BH736">
        <v>6.8181818181818205E-2</v>
      </c>
      <c r="BI736">
        <v>0.145235957866061</v>
      </c>
      <c r="BJ736">
        <v>80</v>
      </c>
      <c r="BK736">
        <v>5241.2668501360122</v>
      </c>
      <c r="BL736">
        <v>3842.2342930252089</v>
      </c>
      <c r="BM736">
        <v>5.0468904415370757</v>
      </c>
      <c r="BN736">
        <v>857.97137506130287</v>
      </c>
      <c r="BO736">
        <v>4383.2954750747094</v>
      </c>
    </row>
    <row r="737" spans="1:67" x14ac:dyDescent="0.25">
      <c r="A737" s="1">
        <v>735</v>
      </c>
      <c r="B737" t="s">
        <v>74</v>
      </c>
      <c r="C737" t="s">
        <v>85</v>
      </c>
      <c r="D737">
        <v>1</v>
      </c>
      <c r="E737">
        <v>1</v>
      </c>
      <c r="F737">
        <v>2</v>
      </c>
      <c r="G737">
        <v>45.016539999999999</v>
      </c>
      <c r="H737">
        <v>2</v>
      </c>
      <c r="I737" t="s">
        <v>89</v>
      </c>
      <c r="J737">
        <v>4</v>
      </c>
      <c r="K737">
        <v>300</v>
      </c>
      <c r="L737">
        <v>66.666666666666657</v>
      </c>
      <c r="N737" t="s">
        <v>91</v>
      </c>
      <c r="O737">
        <v>33.333333333333343</v>
      </c>
      <c r="P737">
        <v>0.33333333333333331</v>
      </c>
      <c r="Q737">
        <v>3.2500000000000001E-2</v>
      </c>
      <c r="R737">
        <v>77.5</v>
      </c>
      <c r="S737">
        <v>170</v>
      </c>
      <c r="T737">
        <v>20</v>
      </c>
      <c r="U737">
        <v>1812.1301775147931</v>
      </c>
      <c r="V737">
        <v>20</v>
      </c>
      <c r="W737">
        <v>0.95</v>
      </c>
      <c r="X737">
        <v>1</v>
      </c>
      <c r="Y737">
        <v>102914.50912412661</v>
      </c>
      <c r="Z737">
        <v>308743527.37237972</v>
      </c>
      <c r="AA737">
        <v>1234974109.4895189</v>
      </c>
      <c r="AB737">
        <v>1234974.1094895189</v>
      </c>
      <c r="AC737">
        <v>0</v>
      </c>
      <c r="AD737">
        <v>3199.9011465542631</v>
      </c>
      <c r="AE737">
        <v>5759822.0637976732</v>
      </c>
      <c r="AF737">
        <v>3839881.3758651139</v>
      </c>
      <c r="AG737">
        <v>172.85817355188689</v>
      </c>
      <c r="AH737">
        <v>844.96589675911832</v>
      </c>
      <c r="AI737">
        <v>168.9931793518237</v>
      </c>
      <c r="AJ737">
        <v>40136.658558409363</v>
      </c>
      <c r="AK737">
        <v>854.70085470085473</v>
      </c>
      <c r="AL737" t="s">
        <v>93</v>
      </c>
      <c r="AM737">
        <v>65484.856998831667</v>
      </c>
      <c r="AN737">
        <v>1148.503063447188</v>
      </c>
      <c r="AO737">
        <v>28728.84048981002</v>
      </c>
      <c r="AP737">
        <v>107624.71947538909</v>
      </c>
      <c r="AQ737">
        <v>78895.878985579053</v>
      </c>
      <c r="AR737">
        <v>1.0452577730833339E-2</v>
      </c>
      <c r="AS737">
        <v>227.09892446474001</v>
      </c>
      <c r="AT737">
        <v>370.52263759126788</v>
      </c>
      <c r="AU737">
        <v>6.4983937333435096</v>
      </c>
      <c r="AV737">
        <v>162.5518668142337</v>
      </c>
      <c r="AW737">
        <v>608.95597482564449</v>
      </c>
      <c r="AX737">
        <v>446.40410801141093</v>
      </c>
      <c r="AY737">
        <v>0.97764066274307171</v>
      </c>
      <c r="AZ737" t="s">
        <v>132</v>
      </c>
      <c r="BA737" t="str">
        <f>VLOOKUP($AZ737,Sheet1!$A$2:$B$58,2)</f>
        <v>Hexane</v>
      </c>
      <c r="BB737" t="s">
        <v>182</v>
      </c>
      <c r="BC737">
        <v>86.173959999999994</v>
      </c>
      <c r="BD737">
        <v>6.333333333333333</v>
      </c>
      <c r="BE737">
        <v>69</v>
      </c>
      <c r="BF737" t="s">
        <v>210</v>
      </c>
      <c r="BG737">
        <v>3.404740828900052</v>
      </c>
      <c r="BH737">
        <v>7.8947368421052599E-2</v>
      </c>
      <c r="BI737">
        <v>0.144627236805182</v>
      </c>
      <c r="BJ737">
        <v>80</v>
      </c>
      <c r="BK737">
        <v>5263.1508790934877</v>
      </c>
      <c r="BL737">
        <v>3858.2299388455872</v>
      </c>
      <c r="BM737">
        <v>5.0449181386911306</v>
      </c>
      <c r="BN737">
        <v>857.63608357749217</v>
      </c>
      <c r="BO737">
        <v>4405.5147955159964</v>
      </c>
    </row>
    <row r="738" spans="1:67" x14ac:dyDescent="0.25">
      <c r="A738" s="1">
        <v>736</v>
      </c>
      <c r="B738" t="s">
        <v>74</v>
      </c>
      <c r="C738" t="s">
        <v>85</v>
      </c>
      <c r="D738">
        <v>1</v>
      </c>
      <c r="E738">
        <v>1</v>
      </c>
      <c r="F738">
        <v>2</v>
      </c>
      <c r="G738">
        <v>45.016539999999999</v>
      </c>
      <c r="H738">
        <v>2</v>
      </c>
      <c r="I738" t="s">
        <v>89</v>
      </c>
      <c r="J738">
        <v>4</v>
      </c>
      <c r="K738">
        <v>300</v>
      </c>
      <c r="L738">
        <v>66.666666666666657</v>
      </c>
      <c r="N738" t="s">
        <v>91</v>
      </c>
      <c r="O738">
        <v>33.333333333333343</v>
      </c>
      <c r="P738">
        <v>0.33333333333333331</v>
      </c>
      <c r="Q738">
        <v>3.2500000000000001E-2</v>
      </c>
      <c r="R738">
        <v>77.5</v>
      </c>
      <c r="S738">
        <v>170</v>
      </c>
      <c r="T738">
        <v>20</v>
      </c>
      <c r="U738">
        <v>1812.1301775147931</v>
      </c>
      <c r="V738">
        <v>20</v>
      </c>
      <c r="W738">
        <v>0.95</v>
      </c>
      <c r="X738">
        <v>1</v>
      </c>
      <c r="Y738">
        <v>65031.132547384746</v>
      </c>
      <c r="Z738">
        <v>195093397.64215419</v>
      </c>
      <c r="AA738">
        <v>780373590.56861699</v>
      </c>
      <c r="AB738">
        <v>780373.59056861699</v>
      </c>
      <c r="AC738">
        <v>0</v>
      </c>
      <c r="AD738">
        <v>2022.00056504292</v>
      </c>
      <c r="AE738">
        <v>3639601.017077256</v>
      </c>
      <c r="AF738">
        <v>2426400.6780515038</v>
      </c>
      <c r="AG738">
        <v>109.2281631795326</v>
      </c>
      <c r="AH738">
        <v>533.9294692052332</v>
      </c>
      <c r="AI738">
        <v>106.7858938410467</v>
      </c>
      <c r="AJ738">
        <v>25362.141693480051</v>
      </c>
      <c r="AK738">
        <v>854.70085470085473</v>
      </c>
      <c r="AL738" t="s">
        <v>93</v>
      </c>
      <c r="AM738">
        <v>41379.533863405573</v>
      </c>
      <c r="AN738">
        <v>725.73299514093571</v>
      </c>
      <c r="AO738">
        <v>18153.60195297793</v>
      </c>
      <c r="AP738">
        <v>68322.109406727424</v>
      </c>
      <c r="AQ738">
        <v>50168.507453749487</v>
      </c>
      <c r="AR738">
        <v>1.0452577730833339E-2</v>
      </c>
      <c r="AS738">
        <v>227.09892446474001</v>
      </c>
      <c r="AT738">
        <v>370.52263759126788</v>
      </c>
      <c r="AU738">
        <v>6.4983937333435096</v>
      </c>
      <c r="AV738">
        <v>162.5518668142337</v>
      </c>
      <c r="AW738">
        <v>611.77315981239951</v>
      </c>
      <c r="AX738">
        <v>449.22129299816589</v>
      </c>
      <c r="AY738">
        <v>0.97764066274307149</v>
      </c>
      <c r="AZ738" t="s">
        <v>133</v>
      </c>
      <c r="BA738" t="str">
        <f>VLOOKUP($AZ738,Sheet1!$A$2:$B$58,2)</f>
        <v>Isobutanol</v>
      </c>
      <c r="BB738" t="s">
        <v>183</v>
      </c>
      <c r="BC738">
        <v>86.130899999999997</v>
      </c>
      <c r="BD738">
        <v>5.6</v>
      </c>
      <c r="BE738">
        <v>108</v>
      </c>
      <c r="BF738" t="s">
        <v>210</v>
      </c>
      <c r="BG738">
        <v>2.0438657903261199</v>
      </c>
      <c r="BH738">
        <v>0.125</v>
      </c>
      <c r="BI738">
        <v>0.22887870007398001</v>
      </c>
      <c r="BJ738">
        <v>80</v>
      </c>
      <c r="BK738">
        <v>3341.1429264423541</v>
      </c>
      <c r="BL738">
        <v>2453.3808347662161</v>
      </c>
      <c r="BM738">
        <v>3.2954289017262131</v>
      </c>
      <c r="BN738">
        <v>560.22291329345626</v>
      </c>
      <c r="BO738">
        <v>2780.9200131488969</v>
      </c>
    </row>
    <row r="739" spans="1:67" x14ac:dyDescent="0.25">
      <c r="A739" s="1">
        <v>737</v>
      </c>
      <c r="B739" t="s">
        <v>74</v>
      </c>
      <c r="C739" t="s">
        <v>85</v>
      </c>
      <c r="D739">
        <v>1</v>
      </c>
      <c r="E739">
        <v>1</v>
      </c>
      <c r="F739">
        <v>2</v>
      </c>
      <c r="G739">
        <v>45.016539999999999</v>
      </c>
      <c r="H739">
        <v>2</v>
      </c>
      <c r="I739" t="s">
        <v>89</v>
      </c>
      <c r="J739">
        <v>4</v>
      </c>
      <c r="K739">
        <v>300</v>
      </c>
      <c r="L739">
        <v>66.666666666666657</v>
      </c>
      <c r="N739" t="s">
        <v>91</v>
      </c>
      <c r="O739">
        <v>33.333333333333343</v>
      </c>
      <c r="P739">
        <v>0.33333333333333331</v>
      </c>
      <c r="Q739">
        <v>3.2500000000000001E-2</v>
      </c>
      <c r="R739">
        <v>77.5</v>
      </c>
      <c r="S739">
        <v>170</v>
      </c>
      <c r="T739">
        <v>20</v>
      </c>
      <c r="U739">
        <v>1812.1301775147931</v>
      </c>
      <c r="V739">
        <v>20</v>
      </c>
      <c r="W739">
        <v>0.95</v>
      </c>
      <c r="X739">
        <v>1</v>
      </c>
      <c r="Y739">
        <v>53592.305748550818</v>
      </c>
      <c r="Z739">
        <v>160776917.24565241</v>
      </c>
      <c r="AA739">
        <v>643107668.98260975</v>
      </c>
      <c r="AB739">
        <v>643107.66898260976</v>
      </c>
      <c r="AC739">
        <v>0</v>
      </c>
      <c r="AD739">
        <v>1666.3353114227839</v>
      </c>
      <c r="AE739">
        <v>2999403.5605610111</v>
      </c>
      <c r="AF739">
        <v>1999602.3737073401</v>
      </c>
      <c r="AG739">
        <v>90.015180240091411</v>
      </c>
      <c r="AH739">
        <v>440.01250233430011</v>
      </c>
      <c r="AI739">
        <v>88.002500466860013</v>
      </c>
      <c r="AJ739">
        <v>20900.99924193482</v>
      </c>
      <c r="AK739">
        <v>854.70085470085473</v>
      </c>
      <c r="AL739" t="s">
        <v>93</v>
      </c>
      <c r="AM739">
        <v>34100.968930908253</v>
      </c>
      <c r="AN739">
        <v>598.07822874781982</v>
      </c>
      <c r="AO739">
        <v>14960.425079366199</v>
      </c>
      <c r="AP739">
        <v>56454.747256291746</v>
      </c>
      <c r="AQ739">
        <v>41494.322176925547</v>
      </c>
      <c r="AR739">
        <v>1.0452577730833331E-2</v>
      </c>
      <c r="AS739">
        <v>227.09892446474001</v>
      </c>
      <c r="AT739">
        <v>370.52263759126788</v>
      </c>
      <c r="AU739">
        <v>6.4983937333435096</v>
      </c>
      <c r="AV739">
        <v>162.5518668142337</v>
      </c>
      <c r="AW739">
        <v>613.40667182598099</v>
      </c>
      <c r="AX739">
        <v>450.85480501174732</v>
      </c>
      <c r="AY739">
        <v>0.9776406627430716</v>
      </c>
      <c r="AZ739" t="s">
        <v>134</v>
      </c>
      <c r="BA739" t="str">
        <f>VLOOKUP($AZ739,Sheet1!$A$2:$B$58,2)</f>
        <v>Isobutyrate</v>
      </c>
      <c r="BB739" t="s">
        <v>170</v>
      </c>
      <c r="BC739">
        <v>87.095680000000002</v>
      </c>
      <c r="BD739">
        <v>4.75</v>
      </c>
      <c r="BE739">
        <v>155</v>
      </c>
      <c r="BF739" t="s">
        <v>210</v>
      </c>
      <c r="BG739">
        <v>1.347483595053165</v>
      </c>
      <c r="BH739">
        <v>0.15</v>
      </c>
      <c r="BI739">
        <v>0.27773093308616598</v>
      </c>
      <c r="BJ739">
        <v>80</v>
      </c>
      <c r="BK739">
        <v>2760.7956062445151</v>
      </c>
      <c r="BL739">
        <v>2029.188826762185</v>
      </c>
      <c r="BM739">
        <v>3.0526414282898369</v>
      </c>
      <c r="BN739">
        <v>518.94904280927221</v>
      </c>
      <c r="BO739">
        <v>2241.8465634352419</v>
      </c>
    </row>
    <row r="740" spans="1:67" x14ac:dyDescent="0.25">
      <c r="A740" s="1">
        <v>738</v>
      </c>
      <c r="B740" t="s">
        <v>74</v>
      </c>
      <c r="C740" t="s">
        <v>85</v>
      </c>
      <c r="D740">
        <v>1</v>
      </c>
      <c r="E740">
        <v>1</v>
      </c>
      <c r="F740">
        <v>2</v>
      </c>
      <c r="G740">
        <v>45.016539999999999</v>
      </c>
      <c r="H740">
        <v>2</v>
      </c>
      <c r="I740" t="s">
        <v>89</v>
      </c>
      <c r="J740">
        <v>4</v>
      </c>
      <c r="K740">
        <v>300</v>
      </c>
      <c r="L740">
        <v>66.666666666666657</v>
      </c>
      <c r="N740" t="s">
        <v>91</v>
      </c>
      <c r="O740">
        <v>33.333333333333343</v>
      </c>
      <c r="P740">
        <v>0.33333333333333331</v>
      </c>
      <c r="Q740">
        <v>3.2500000000000001E-2</v>
      </c>
      <c r="R740">
        <v>77.5</v>
      </c>
      <c r="S740">
        <v>170</v>
      </c>
      <c r="T740">
        <v>20</v>
      </c>
      <c r="U740">
        <v>1812.1301775147931</v>
      </c>
      <c r="V740">
        <v>20</v>
      </c>
      <c r="W740">
        <v>0.95</v>
      </c>
      <c r="X740">
        <v>1</v>
      </c>
      <c r="Y740">
        <v>174276.1726228538</v>
      </c>
      <c r="Z740">
        <v>522828517.86856139</v>
      </c>
      <c r="AA740">
        <v>2091314071.474246</v>
      </c>
      <c r="AB740">
        <v>2091314.071474246</v>
      </c>
      <c r="AC740">
        <v>66773.504273504266</v>
      </c>
      <c r="AD740">
        <v>5418.7356995537866</v>
      </c>
      <c r="AE740">
        <v>9753724.259196816</v>
      </c>
      <c r="AF740">
        <v>6502482.8394645425</v>
      </c>
      <c r="AG740">
        <v>292.71927884206917</v>
      </c>
      <c r="AH740">
        <v>1430.8713488241731</v>
      </c>
      <c r="AI740">
        <v>286.17426976483449</v>
      </c>
      <c r="AJ740">
        <v>67967.707322912989</v>
      </c>
      <c r="AK740">
        <v>2170.1388888888891</v>
      </c>
      <c r="AL740" t="s">
        <v>95</v>
      </c>
      <c r="AM740">
        <v>110892.5295338734</v>
      </c>
      <c r="AN740">
        <v>1944.8833779286349</v>
      </c>
      <c r="AO740">
        <v>48649.625860021872</v>
      </c>
      <c r="AP740">
        <v>182975.2591236039</v>
      </c>
      <c r="AQ740">
        <v>134325.63326358201</v>
      </c>
      <c r="AR740">
        <v>1.0452577730833339E-2</v>
      </c>
      <c r="AS740">
        <v>227.09892446474001</v>
      </c>
      <c r="AT740">
        <v>370.52263759126799</v>
      </c>
      <c r="AU740">
        <v>6.4983937333435096</v>
      </c>
      <c r="AV740">
        <v>162.55186681423379</v>
      </c>
      <c r="AW740">
        <v>611.37099053831423</v>
      </c>
      <c r="AX740">
        <v>448.81912372408061</v>
      </c>
      <c r="AY740">
        <v>0.97764066274307182</v>
      </c>
      <c r="AZ740" t="s">
        <v>135</v>
      </c>
      <c r="BA740" t="str">
        <f>VLOOKUP($AZ740,Sheet1!$A$2:$B$58,2)</f>
        <v>Isoprene</v>
      </c>
      <c r="BB740" t="s">
        <v>184</v>
      </c>
      <c r="BC740">
        <v>68.116219999999998</v>
      </c>
      <c r="BD740">
        <v>5.6</v>
      </c>
      <c r="BE740">
        <v>34.07</v>
      </c>
      <c r="BF740" t="s">
        <v>210</v>
      </c>
      <c r="BG740">
        <v>4.0308692680637854</v>
      </c>
      <c r="BH740">
        <v>5.8979591836734797E-2</v>
      </c>
      <c r="BI740">
        <v>8.5406059002653703E-2</v>
      </c>
      <c r="BJ740">
        <v>80</v>
      </c>
      <c r="BK740">
        <v>8948.0037727668405</v>
      </c>
      <c r="BL740">
        <v>6568.9005113521134</v>
      </c>
      <c r="BM740">
        <v>10.27784422017794</v>
      </c>
      <c r="BN740">
        <v>1747.23351743025</v>
      </c>
      <c r="BO740">
        <v>7200.7702553365907</v>
      </c>
    </row>
    <row r="741" spans="1:67" x14ac:dyDescent="0.25">
      <c r="A741" s="1">
        <v>739</v>
      </c>
      <c r="B741" t="s">
        <v>74</v>
      </c>
      <c r="C741" t="s">
        <v>85</v>
      </c>
      <c r="D741">
        <v>1</v>
      </c>
      <c r="E741">
        <v>1</v>
      </c>
      <c r="F741">
        <v>2</v>
      </c>
      <c r="G741">
        <v>45.016539999999999</v>
      </c>
      <c r="H741">
        <v>2</v>
      </c>
      <c r="I741" t="s">
        <v>89</v>
      </c>
      <c r="J741">
        <v>4</v>
      </c>
      <c r="K741">
        <v>300</v>
      </c>
      <c r="L741">
        <v>66.666666666666657</v>
      </c>
      <c r="N741" t="s">
        <v>91</v>
      </c>
      <c r="O741">
        <v>33.333333333333343</v>
      </c>
      <c r="P741">
        <v>0.33333333333333331</v>
      </c>
      <c r="Q741">
        <v>3.2500000000000001E-2</v>
      </c>
      <c r="R741">
        <v>77.5</v>
      </c>
      <c r="S741">
        <v>170</v>
      </c>
      <c r="T741">
        <v>20</v>
      </c>
      <c r="U741">
        <v>1812.1301775147931</v>
      </c>
      <c r="V741">
        <v>20</v>
      </c>
      <c r="W741">
        <v>0.95</v>
      </c>
      <c r="X741">
        <v>1</v>
      </c>
      <c r="Y741">
        <v>69905.565676206723</v>
      </c>
      <c r="Z741">
        <v>209716697.02862021</v>
      </c>
      <c r="AA741">
        <v>838866788.11448073</v>
      </c>
      <c r="AB741">
        <v>838866.78811448079</v>
      </c>
      <c r="AC741">
        <v>0</v>
      </c>
      <c r="AD741">
        <v>2173.560381928477</v>
      </c>
      <c r="AE741">
        <v>3912408.687471258</v>
      </c>
      <c r="AF741">
        <v>2608272.458314172</v>
      </c>
      <c r="AG741">
        <v>117.4154014505982</v>
      </c>
      <c r="AH741">
        <v>573.95035445203337</v>
      </c>
      <c r="AI741">
        <v>114.7900708904067</v>
      </c>
      <c r="AJ741">
        <v>27263.170613720631</v>
      </c>
      <c r="AK741">
        <v>854.70085470085473</v>
      </c>
      <c r="AL741" t="s">
        <v>93</v>
      </c>
      <c r="AM741">
        <v>44481.152470032583</v>
      </c>
      <c r="AN741">
        <v>780.13058619652054</v>
      </c>
      <c r="AO741">
        <v>19514.312051369139</v>
      </c>
      <c r="AP741">
        <v>73379.154524650585</v>
      </c>
      <c r="AQ741">
        <v>53864.842473281453</v>
      </c>
      <c r="AR741">
        <v>1.0452577730833331E-2</v>
      </c>
      <c r="AS741">
        <v>227.09892446474001</v>
      </c>
      <c r="AT741">
        <v>370.52263759126788</v>
      </c>
      <c r="AU741">
        <v>6.4983937333435078</v>
      </c>
      <c r="AV741">
        <v>162.5518668142337</v>
      </c>
      <c r="AW741">
        <v>611.23951086941884</v>
      </c>
      <c r="AX741">
        <v>448.68764405518522</v>
      </c>
      <c r="AY741">
        <v>0.97764066274307171</v>
      </c>
      <c r="AZ741" t="s">
        <v>136</v>
      </c>
      <c r="BA741" t="str">
        <f>VLOOKUP($AZ741,Sheet1!$A$2:$B$58,2)</f>
        <v>Isopropanol</v>
      </c>
      <c r="BB741" t="s">
        <v>156</v>
      </c>
      <c r="BC741">
        <v>60.093820000000001</v>
      </c>
      <c r="BD741">
        <v>6</v>
      </c>
      <c r="BE741">
        <v>82.5</v>
      </c>
      <c r="BF741" t="s">
        <v>210</v>
      </c>
      <c r="BG741">
        <v>2.1970645234401762</v>
      </c>
      <c r="BH741">
        <v>0.16666666666666699</v>
      </c>
      <c r="BI741">
        <v>0.212919256683022</v>
      </c>
      <c r="BJ741">
        <v>80</v>
      </c>
      <c r="BK741">
        <v>3588.4466275600062</v>
      </c>
      <c r="BL741">
        <v>2634.141992633135</v>
      </c>
      <c r="BM741">
        <v>3.542439021080158</v>
      </c>
      <c r="BN741">
        <v>602.21463358362689</v>
      </c>
      <c r="BO741">
        <v>2986.2319939763788</v>
      </c>
    </row>
    <row r="742" spans="1:67" x14ac:dyDescent="0.25">
      <c r="A742" s="1">
        <v>740</v>
      </c>
      <c r="B742" t="s">
        <v>74</v>
      </c>
      <c r="C742" t="s">
        <v>85</v>
      </c>
      <c r="D742">
        <v>1</v>
      </c>
      <c r="E742">
        <v>1</v>
      </c>
      <c r="F742">
        <v>2</v>
      </c>
      <c r="G742">
        <v>45.016539999999999</v>
      </c>
      <c r="H742">
        <v>2</v>
      </c>
      <c r="I742" t="s">
        <v>89</v>
      </c>
      <c r="J742">
        <v>4</v>
      </c>
      <c r="K742">
        <v>300</v>
      </c>
      <c r="L742">
        <v>66.666666666666657</v>
      </c>
      <c r="N742" t="s">
        <v>91</v>
      </c>
      <c r="O742">
        <v>33.333333333333343</v>
      </c>
      <c r="P742">
        <v>0.33333333333333331</v>
      </c>
      <c r="Q742">
        <v>3.2500000000000001E-2</v>
      </c>
      <c r="R742">
        <v>77.5</v>
      </c>
      <c r="S742">
        <v>170</v>
      </c>
      <c r="T742">
        <v>20</v>
      </c>
      <c r="U742">
        <v>1812.1301775147931</v>
      </c>
      <c r="V742">
        <v>20</v>
      </c>
      <c r="W742">
        <v>0.95</v>
      </c>
      <c r="X742">
        <v>1</v>
      </c>
      <c r="Y742">
        <v>53907.984900843381</v>
      </c>
      <c r="Z742">
        <v>161723954.70253009</v>
      </c>
      <c r="AA742">
        <v>646895818.81012058</v>
      </c>
      <c r="AB742">
        <v>646895.81881012057</v>
      </c>
      <c r="AC742">
        <v>0</v>
      </c>
      <c r="AD742">
        <v>1676.150662921433</v>
      </c>
      <c r="AE742">
        <v>3017071.1932585789</v>
      </c>
      <c r="AF742">
        <v>2011380.795505719</v>
      </c>
      <c r="AG742">
        <v>90.545404036115016</v>
      </c>
      <c r="AH742">
        <v>442.60434405103342</v>
      </c>
      <c r="AI742">
        <v>88.520868810206693</v>
      </c>
      <c r="AJ742">
        <v>21024.11411132892</v>
      </c>
      <c r="AK742">
        <v>854.70085470085473</v>
      </c>
      <c r="AL742" t="s">
        <v>93</v>
      </c>
      <c r="AM742">
        <v>34301.836663955088</v>
      </c>
      <c r="AN742">
        <v>601.60113797179656</v>
      </c>
      <c r="AO742">
        <v>15048.547697735141</v>
      </c>
      <c r="AP742">
        <v>56782.252767956663</v>
      </c>
      <c r="AQ742">
        <v>41733.70507022152</v>
      </c>
      <c r="AR742">
        <v>1.0452577730833339E-2</v>
      </c>
      <c r="AS742">
        <v>227.09892446474001</v>
      </c>
      <c r="AT742">
        <v>370.52263759126788</v>
      </c>
      <c r="AU742">
        <v>6.4983937333435096</v>
      </c>
      <c r="AV742">
        <v>162.5518668142337</v>
      </c>
      <c r="AW742">
        <v>613.35228985174444</v>
      </c>
      <c r="AX742">
        <v>450.80042303751071</v>
      </c>
      <c r="AY742">
        <v>0.97764066274307182</v>
      </c>
      <c r="AZ742" t="s">
        <v>137</v>
      </c>
      <c r="BA742" t="str">
        <f>VLOOKUP($AZ742,Sheet1!$A$2:$B$58,2)</f>
        <v>Itaconate</v>
      </c>
      <c r="BB742" t="s">
        <v>185</v>
      </c>
      <c r="BC742">
        <v>128.08086</v>
      </c>
      <c r="BD742">
        <v>3.2</v>
      </c>
      <c r="BE742">
        <v>381</v>
      </c>
      <c r="BF742" t="s">
        <v>210</v>
      </c>
      <c r="BG742">
        <v>0.67533246286570514</v>
      </c>
      <c r="BH742">
        <v>0.10140350877193</v>
      </c>
      <c r="BI742">
        <v>0.27610457169121999</v>
      </c>
      <c r="BJ742">
        <v>80</v>
      </c>
      <c r="BK742">
        <v>2776.8115450551259</v>
      </c>
      <c r="BL742">
        <v>2040.8953221791489</v>
      </c>
      <c r="BM742">
        <v>3.7507109776446299</v>
      </c>
      <c r="BN742">
        <v>637.62086619958711</v>
      </c>
      <c r="BO742">
        <v>2139.1906788555389</v>
      </c>
    </row>
    <row r="743" spans="1:67" x14ac:dyDescent="0.25">
      <c r="A743" s="1">
        <v>741</v>
      </c>
      <c r="B743" t="s">
        <v>74</v>
      </c>
      <c r="C743" t="s">
        <v>85</v>
      </c>
      <c r="D743">
        <v>1</v>
      </c>
      <c r="E743">
        <v>1</v>
      </c>
      <c r="F743">
        <v>2</v>
      </c>
      <c r="G743">
        <v>45.016539999999999</v>
      </c>
      <c r="H743">
        <v>2</v>
      </c>
      <c r="I743" t="s">
        <v>89</v>
      </c>
      <c r="J743">
        <v>4</v>
      </c>
      <c r="K743">
        <v>300</v>
      </c>
      <c r="L743">
        <v>66.666666666666657</v>
      </c>
      <c r="N743" t="s">
        <v>91</v>
      </c>
      <c r="O743">
        <v>33.333333333333343</v>
      </c>
      <c r="P743">
        <v>0.33333333333333331</v>
      </c>
      <c r="Q743">
        <v>3.2500000000000001E-2</v>
      </c>
      <c r="R743">
        <v>77.5</v>
      </c>
      <c r="S743">
        <v>170</v>
      </c>
      <c r="T743">
        <v>20</v>
      </c>
      <c r="U743">
        <v>1812.1301775147931</v>
      </c>
      <c r="V743">
        <v>20</v>
      </c>
      <c r="W743">
        <v>0.95</v>
      </c>
      <c r="X743">
        <v>1</v>
      </c>
      <c r="Y743">
        <v>170719.51603871421</v>
      </c>
      <c r="Z743">
        <v>512158548.11614257</v>
      </c>
      <c r="AA743">
        <v>2048634192.464571</v>
      </c>
      <c r="AB743">
        <v>2048634.192464571</v>
      </c>
      <c r="AC743">
        <v>0</v>
      </c>
      <c r="AD743">
        <v>5308.1492567057576</v>
      </c>
      <c r="AE743">
        <v>9554668.6620703656</v>
      </c>
      <c r="AF743">
        <v>6369779.1080469089</v>
      </c>
      <c r="AG743">
        <v>286.74541600855798</v>
      </c>
      <c r="AH743">
        <v>1401.6698927257221</v>
      </c>
      <c r="AI743">
        <v>280.33397854514442</v>
      </c>
      <c r="AJ743">
        <v>66580.611255098542</v>
      </c>
      <c r="AK743">
        <v>854.70085470085473</v>
      </c>
      <c r="AL743" t="s">
        <v>93</v>
      </c>
      <c r="AM743">
        <v>108629.41668624349</v>
      </c>
      <c r="AN743">
        <v>1905.1918804198899</v>
      </c>
      <c r="AO743">
        <v>47656.776352674548</v>
      </c>
      <c r="AP743">
        <v>177969.9206764627</v>
      </c>
      <c r="AQ743">
        <v>130313.1443237882</v>
      </c>
      <c r="AR743">
        <v>1.0452577730833331E-2</v>
      </c>
      <c r="AS743">
        <v>227.09892446474001</v>
      </c>
      <c r="AT743">
        <v>370.52263759126799</v>
      </c>
      <c r="AU743">
        <v>6.4983937333435096</v>
      </c>
      <c r="AV743">
        <v>162.5518668142337</v>
      </c>
      <c r="AW743">
        <v>607.03524360637016</v>
      </c>
      <c r="AX743">
        <v>444.48337679213648</v>
      </c>
      <c r="AY743">
        <v>0.97764066274307171</v>
      </c>
      <c r="AZ743" t="s">
        <v>138</v>
      </c>
      <c r="BA743" t="str">
        <f>VLOOKUP($AZ743,Sheet1!$A$2:$B$58,2)</f>
        <v>Limonene</v>
      </c>
      <c r="BB743" t="s">
        <v>186</v>
      </c>
      <c r="BC743">
        <v>136.23244</v>
      </c>
      <c r="BD743">
        <v>5.6</v>
      </c>
      <c r="BE743">
        <v>176</v>
      </c>
      <c r="BF743" t="s">
        <v>210</v>
      </c>
      <c r="BG743">
        <v>3.9749781245798101</v>
      </c>
      <c r="BH743">
        <v>3.0104166666666699E-2</v>
      </c>
      <c r="BI743">
        <v>8.7185351898542193E-2</v>
      </c>
      <c r="BJ743">
        <v>80</v>
      </c>
      <c r="BK743">
        <v>8703.2286729882471</v>
      </c>
      <c r="BL743">
        <v>6372.6785393574901</v>
      </c>
      <c r="BM743">
        <v>10.041720802677411</v>
      </c>
      <c r="BN743">
        <v>1707.092536455159</v>
      </c>
      <c r="BO743">
        <v>6996.1361365330877</v>
      </c>
    </row>
    <row r="744" spans="1:67" x14ac:dyDescent="0.25">
      <c r="A744" s="1">
        <v>742</v>
      </c>
      <c r="B744" t="s">
        <v>74</v>
      </c>
      <c r="C744" t="s">
        <v>85</v>
      </c>
      <c r="D744">
        <v>1</v>
      </c>
      <c r="E744">
        <v>1</v>
      </c>
      <c r="F744">
        <v>2</v>
      </c>
      <c r="G744">
        <v>45.016539999999999</v>
      </c>
      <c r="H744">
        <v>2</v>
      </c>
      <c r="I744" t="s">
        <v>89</v>
      </c>
      <c r="J744">
        <v>4</v>
      </c>
      <c r="K744">
        <v>300</v>
      </c>
      <c r="L744">
        <v>66.666666666666657</v>
      </c>
      <c r="N744" t="s">
        <v>91</v>
      </c>
      <c r="O744">
        <v>33.333333333333343</v>
      </c>
      <c r="P744">
        <v>0.33333333333333331</v>
      </c>
      <c r="Q744">
        <v>3.2500000000000001E-2</v>
      </c>
      <c r="R744">
        <v>77.5</v>
      </c>
      <c r="S744">
        <v>170</v>
      </c>
      <c r="T744">
        <v>20</v>
      </c>
      <c r="U744">
        <v>1812.1301775147931</v>
      </c>
      <c r="V744">
        <v>20</v>
      </c>
      <c r="W744">
        <v>0.95</v>
      </c>
      <c r="X744">
        <v>1</v>
      </c>
      <c r="Y744">
        <v>64190.289304390957</v>
      </c>
      <c r="Z744">
        <v>192570867.9131729</v>
      </c>
      <c r="AA744">
        <v>770283471.6526916</v>
      </c>
      <c r="AB744">
        <v>770283.4716526916</v>
      </c>
      <c r="AC744">
        <v>0</v>
      </c>
      <c r="AD744">
        <v>1995.856386926275</v>
      </c>
      <c r="AE744">
        <v>3592541.496467296</v>
      </c>
      <c r="AF744">
        <v>2395027.6643115301</v>
      </c>
      <c r="AG744">
        <v>107.81585865158659</v>
      </c>
      <c r="AH744">
        <v>527.02583753175225</v>
      </c>
      <c r="AI744">
        <v>105.40516750635049</v>
      </c>
      <c r="AJ744">
        <v>25034.21282871248</v>
      </c>
      <c r="AK744">
        <v>854.70085470085473</v>
      </c>
      <c r="AL744" t="s">
        <v>93</v>
      </c>
      <c r="AM744">
        <v>40844.502408710803</v>
      </c>
      <c r="AN744">
        <v>716.34937130911544</v>
      </c>
      <c r="AO744">
        <v>17918.878476079579</v>
      </c>
      <c r="AP744">
        <v>67449.765463433258</v>
      </c>
      <c r="AQ744">
        <v>49530.886987353682</v>
      </c>
      <c r="AR744">
        <v>1.0452577730833339E-2</v>
      </c>
      <c r="AS744">
        <v>227.09892446474009</v>
      </c>
      <c r="AT744">
        <v>370.52263759126799</v>
      </c>
      <c r="AU744">
        <v>6.4983937333435096</v>
      </c>
      <c r="AV744">
        <v>162.5518668142337</v>
      </c>
      <c r="AW744">
        <v>611.87341087778339</v>
      </c>
      <c r="AX744">
        <v>449.3215440635496</v>
      </c>
      <c r="AY744">
        <v>0.97764066274307193</v>
      </c>
      <c r="AZ744" t="s">
        <v>139</v>
      </c>
      <c r="BA744" t="str">
        <f>VLOOKUP($AZ744,Sheet1!$A$2:$B$58,2)</f>
        <v>L-Lysine</v>
      </c>
      <c r="BB744" t="s">
        <v>187</v>
      </c>
      <c r="BC744">
        <v>147.19319999999999</v>
      </c>
      <c r="BD744">
        <v>4.833333333333333</v>
      </c>
      <c r="BF744" t="s">
        <v>210</v>
      </c>
      <c r="BG744">
        <v>1.307714239507096</v>
      </c>
      <c r="BH744">
        <v>7.4102564102564106E-2</v>
      </c>
      <c r="BI744">
        <v>0.23187683437915199</v>
      </c>
      <c r="BJ744">
        <v>80</v>
      </c>
      <c r="BK744">
        <v>3298.4828589931622</v>
      </c>
      <c r="BL744">
        <v>2422.199404193414</v>
      </c>
      <c r="BM744">
        <v>3.9625441358104259</v>
      </c>
      <c r="BN744">
        <v>673.63250308777242</v>
      </c>
      <c r="BO744">
        <v>2624.8503559053902</v>
      </c>
    </row>
    <row r="745" spans="1:67" x14ac:dyDescent="0.25">
      <c r="A745" s="1">
        <v>743</v>
      </c>
      <c r="B745" t="s">
        <v>74</v>
      </c>
      <c r="C745" t="s">
        <v>85</v>
      </c>
      <c r="D745">
        <v>1</v>
      </c>
      <c r="E745">
        <v>1</v>
      </c>
      <c r="F745">
        <v>2</v>
      </c>
      <c r="G745">
        <v>45.016539999999999</v>
      </c>
      <c r="H745">
        <v>2</v>
      </c>
      <c r="I745" t="s">
        <v>89</v>
      </c>
      <c r="J745">
        <v>4</v>
      </c>
      <c r="K745">
        <v>300</v>
      </c>
      <c r="L745">
        <v>66.666666666666657</v>
      </c>
      <c r="N745" t="s">
        <v>91</v>
      </c>
      <c r="O745">
        <v>33.333333333333343</v>
      </c>
      <c r="P745">
        <v>0.33333333333333331</v>
      </c>
      <c r="Q745">
        <v>3.2500000000000001E-2</v>
      </c>
      <c r="R745">
        <v>77.5</v>
      </c>
      <c r="S745">
        <v>170</v>
      </c>
      <c r="T745">
        <v>20</v>
      </c>
      <c r="U745">
        <v>1812.1301775147931</v>
      </c>
      <c r="V745">
        <v>20</v>
      </c>
      <c r="W745">
        <v>0.95</v>
      </c>
      <c r="X745">
        <v>1</v>
      </c>
      <c r="Y745">
        <v>42190.910081078502</v>
      </c>
      <c r="Z745">
        <v>126572730.2432355</v>
      </c>
      <c r="AA745">
        <v>506290920.97294211</v>
      </c>
      <c r="AB745">
        <v>506290.92097294203</v>
      </c>
      <c r="AC745">
        <v>0</v>
      </c>
      <c r="AD745">
        <v>1311.8338968101909</v>
      </c>
      <c r="AE745">
        <v>2361301.0142583442</v>
      </c>
      <c r="AF745">
        <v>1574200.676172229</v>
      </c>
      <c r="AG745">
        <v>70.865067706934184</v>
      </c>
      <c r="AH745">
        <v>346.40285879169892</v>
      </c>
      <c r="AI745">
        <v>69.280571758339775</v>
      </c>
      <c r="AJ745">
        <v>16454.454931620621</v>
      </c>
      <c r="AK745">
        <v>854.70085470085473</v>
      </c>
      <c r="AL745" t="s">
        <v>93</v>
      </c>
      <c r="AM745">
        <v>26846.221556356661</v>
      </c>
      <c r="AN745">
        <v>470.84118546685778</v>
      </c>
      <c r="AO745">
        <v>11777.69719891776</v>
      </c>
      <c r="AP745">
        <v>44626.218528144993</v>
      </c>
      <c r="AQ745">
        <v>32848.521329227231</v>
      </c>
      <c r="AR745">
        <v>1.0452577730833339E-2</v>
      </c>
      <c r="AS745">
        <v>227.09892446474001</v>
      </c>
      <c r="AT745">
        <v>370.52263759126788</v>
      </c>
      <c r="AU745">
        <v>6.4983937333435096</v>
      </c>
      <c r="AV745">
        <v>162.5518668142337</v>
      </c>
      <c r="AW745">
        <v>615.91625324486006</v>
      </c>
      <c r="AX745">
        <v>453.36438643062638</v>
      </c>
      <c r="AY745">
        <v>0.9776406627430716</v>
      </c>
      <c r="AZ745" t="s">
        <v>140</v>
      </c>
      <c r="BA745" t="str">
        <f>VLOOKUP($AZ745,Sheet1!$A$2:$B$58,2)</f>
        <v>L-Malate</v>
      </c>
      <c r="BB745" t="s">
        <v>188</v>
      </c>
      <c r="BC745">
        <v>132.06916000000001</v>
      </c>
      <c r="BD745">
        <v>2.5</v>
      </c>
      <c r="BF745" t="s">
        <v>210</v>
      </c>
      <c r="BG745">
        <v>0.32977531460734139</v>
      </c>
      <c r="BH745">
        <v>0.12565217391304301</v>
      </c>
      <c r="BI745">
        <v>0.35278312444981602</v>
      </c>
      <c r="BJ745">
        <v>80</v>
      </c>
      <c r="BK745">
        <v>2182.3473493999109</v>
      </c>
      <c r="BL745">
        <v>1606.3848970159511</v>
      </c>
      <c r="BM745">
        <v>3.1342532733096471</v>
      </c>
      <c r="BN745">
        <v>532.82305646264001</v>
      </c>
      <c r="BO745">
        <v>1649.524292937271</v>
      </c>
    </row>
    <row r="746" spans="1:67" x14ac:dyDescent="0.25">
      <c r="A746" s="1">
        <v>744</v>
      </c>
      <c r="B746" t="s">
        <v>74</v>
      </c>
      <c r="C746" t="s">
        <v>85</v>
      </c>
      <c r="D746">
        <v>1</v>
      </c>
      <c r="E746">
        <v>1</v>
      </c>
      <c r="F746">
        <v>2</v>
      </c>
      <c r="G746">
        <v>45.016539999999999</v>
      </c>
      <c r="H746">
        <v>2</v>
      </c>
      <c r="I746" t="s">
        <v>89</v>
      </c>
      <c r="J746">
        <v>4</v>
      </c>
      <c r="K746">
        <v>300</v>
      </c>
      <c r="L746">
        <v>66.666666666666657</v>
      </c>
      <c r="N746" t="s">
        <v>91</v>
      </c>
      <c r="O746">
        <v>33.333333333333343</v>
      </c>
      <c r="P746">
        <v>0.33333333333333331</v>
      </c>
      <c r="Q746">
        <v>3.2500000000000001E-2</v>
      </c>
      <c r="R746">
        <v>77.5</v>
      </c>
      <c r="S746">
        <v>170</v>
      </c>
      <c r="T746">
        <v>20</v>
      </c>
      <c r="U746">
        <v>1812.1301775147931</v>
      </c>
      <c r="V746">
        <v>20</v>
      </c>
      <c r="W746">
        <v>0.95</v>
      </c>
      <c r="X746">
        <v>1</v>
      </c>
      <c r="Y746">
        <v>47482.757371340158</v>
      </c>
      <c r="Z746">
        <v>142448272.1140205</v>
      </c>
      <c r="AA746">
        <v>569793088.45608187</v>
      </c>
      <c r="AB746">
        <v>569793.08845608192</v>
      </c>
      <c r="AC746">
        <v>0</v>
      </c>
      <c r="AD746">
        <v>1476.3722923737821</v>
      </c>
      <c r="AE746">
        <v>2657470.1262728069</v>
      </c>
      <c r="AF746">
        <v>1771646.750848538</v>
      </c>
      <c r="AG746">
        <v>79.753406825443236</v>
      </c>
      <c r="AH746">
        <v>389.85086752422069</v>
      </c>
      <c r="AI746">
        <v>77.970173504844141</v>
      </c>
      <c r="AJ746">
        <v>18518.275374822661</v>
      </c>
      <c r="AK746">
        <v>854.70085470085473</v>
      </c>
      <c r="AL746" t="s">
        <v>93</v>
      </c>
      <c r="AM746">
        <v>30213.442233127102</v>
      </c>
      <c r="AN746">
        <v>529.8970258521025</v>
      </c>
      <c r="AO746">
        <v>13254.9294958235</v>
      </c>
      <c r="AP746">
        <v>50116.315488502718</v>
      </c>
      <c r="AQ746">
        <v>36861.385992679207</v>
      </c>
      <c r="AR746">
        <v>1.0452577730833339E-2</v>
      </c>
      <c r="AS746">
        <v>227.09892446474009</v>
      </c>
      <c r="AT746">
        <v>370.52263759126788</v>
      </c>
      <c r="AU746">
        <v>6.4983937333435096</v>
      </c>
      <c r="AV746">
        <v>162.5518668142337</v>
      </c>
      <c r="AW746">
        <v>614.60158223203621</v>
      </c>
      <c r="AX746">
        <v>452.04971541780259</v>
      </c>
      <c r="AY746">
        <v>0.97764066274307171</v>
      </c>
      <c r="AZ746" t="s">
        <v>141</v>
      </c>
      <c r="BA746" t="str">
        <f>VLOOKUP($AZ746,Sheet1!$A$2:$B$58,2)</f>
        <v>Malonate</v>
      </c>
      <c r="BB746" t="s">
        <v>189</v>
      </c>
      <c r="BC746">
        <v>102.04378</v>
      </c>
      <c r="BD746">
        <v>2</v>
      </c>
      <c r="BE746">
        <v>199</v>
      </c>
      <c r="BF746" t="s">
        <v>210</v>
      </c>
      <c r="BG746">
        <v>0.31488316595201321</v>
      </c>
      <c r="BH746">
        <v>0.14449999999999999</v>
      </c>
      <c r="BI746">
        <v>0.313466232918647</v>
      </c>
      <c r="BJ746">
        <v>80</v>
      </c>
      <c r="BK746">
        <v>2450.828501165634</v>
      </c>
      <c r="BL746">
        <v>1802.6252429520921</v>
      </c>
      <c r="BM746">
        <v>3.5836255092901941</v>
      </c>
      <c r="BN746">
        <v>609.21633657933296</v>
      </c>
      <c r="BO746">
        <v>1841.6121645863011</v>
      </c>
    </row>
    <row r="747" spans="1:67" x14ac:dyDescent="0.25">
      <c r="A747" s="1">
        <v>745</v>
      </c>
      <c r="B747" t="s">
        <v>74</v>
      </c>
      <c r="C747" t="s">
        <v>85</v>
      </c>
      <c r="D747">
        <v>1</v>
      </c>
      <c r="E747">
        <v>1</v>
      </c>
      <c r="F747">
        <v>2</v>
      </c>
      <c r="G747">
        <v>45.016539999999999</v>
      </c>
      <c r="H747">
        <v>2</v>
      </c>
      <c r="I747" t="s">
        <v>89</v>
      </c>
      <c r="J747">
        <v>4</v>
      </c>
      <c r="K747">
        <v>300</v>
      </c>
      <c r="L747">
        <v>66.666666666666657</v>
      </c>
      <c r="N747" t="s">
        <v>91</v>
      </c>
      <c r="O747">
        <v>33.333333333333343</v>
      </c>
      <c r="P747">
        <v>0.33333333333333331</v>
      </c>
      <c r="Q747">
        <v>3.2500000000000001E-2</v>
      </c>
      <c r="R747">
        <v>77.5</v>
      </c>
      <c r="S747">
        <v>170</v>
      </c>
      <c r="T747">
        <v>20</v>
      </c>
      <c r="U747">
        <v>1812.1301775147931</v>
      </c>
      <c r="V747">
        <v>20</v>
      </c>
      <c r="W747">
        <v>0.95</v>
      </c>
      <c r="X747">
        <v>1</v>
      </c>
      <c r="Y747">
        <v>101903.5272708905</v>
      </c>
      <c r="Z747">
        <v>305710581.81267172</v>
      </c>
      <c r="AA747">
        <v>1222842327.2506869</v>
      </c>
      <c r="AB747">
        <v>1222842.3272506869</v>
      </c>
      <c r="AC747">
        <v>0</v>
      </c>
      <c r="AD747">
        <v>3168.4668811737261</v>
      </c>
      <c r="AE747">
        <v>5703240.3861127067</v>
      </c>
      <c r="AF747">
        <v>3802160.2574084699</v>
      </c>
      <c r="AG747">
        <v>171.16009931403869</v>
      </c>
      <c r="AH747">
        <v>836.66536464273372</v>
      </c>
      <c r="AI747">
        <v>167.33307292854681</v>
      </c>
      <c r="AJ747">
        <v>39742.375635647317</v>
      </c>
      <c r="AK747">
        <v>854.70085470085473</v>
      </c>
      <c r="AL747" t="s">
        <v>93</v>
      </c>
      <c r="AM747">
        <v>64841.565759811863</v>
      </c>
      <c r="AN747">
        <v>1137.220730514611</v>
      </c>
      <c r="AO747">
        <v>28446.622397852949</v>
      </c>
      <c r="AP747">
        <v>106575.8629806746</v>
      </c>
      <c r="AQ747">
        <v>78129.240582821702</v>
      </c>
      <c r="AR747">
        <v>1.0452577730833331E-2</v>
      </c>
      <c r="AS747">
        <v>227.09892446474001</v>
      </c>
      <c r="AT747">
        <v>370.52263759126788</v>
      </c>
      <c r="AU747">
        <v>6.4983937333435078</v>
      </c>
      <c r="AV747">
        <v>162.5518668142337</v>
      </c>
      <c r="AW747">
        <v>609.00395282619593</v>
      </c>
      <c r="AX747">
        <v>446.45208601196231</v>
      </c>
      <c r="AY747">
        <v>0.97764066274307171</v>
      </c>
      <c r="AZ747" t="s">
        <v>142</v>
      </c>
      <c r="BA747" t="str">
        <f>VLOOKUP($AZ747,Sheet1!$A$2:$B$58,2)</f>
        <v>Nonane</v>
      </c>
      <c r="BB747" t="s">
        <v>190</v>
      </c>
      <c r="BC747">
        <v>128.25309999999999</v>
      </c>
      <c r="BD747">
        <v>6.2222222222222223</v>
      </c>
      <c r="BE747">
        <v>151</v>
      </c>
      <c r="BF747" t="s">
        <v>210</v>
      </c>
      <c r="BG747">
        <v>3.3171128027314731</v>
      </c>
      <c r="BH747">
        <v>5.3571428571428499E-2</v>
      </c>
      <c r="BI747">
        <v>0.14606207930582499</v>
      </c>
      <c r="BJ747">
        <v>80</v>
      </c>
      <c r="BK747">
        <v>5211.8588524186916</v>
      </c>
      <c r="BL747">
        <v>3820.7391690383602</v>
      </c>
      <c r="BM747">
        <v>5.0495408436958664</v>
      </c>
      <c r="BN747">
        <v>858.42194342829714</v>
      </c>
      <c r="BO747">
        <v>4353.4369089903948</v>
      </c>
    </row>
    <row r="748" spans="1:67" x14ac:dyDescent="0.25">
      <c r="A748" s="1">
        <v>746</v>
      </c>
      <c r="B748" t="s">
        <v>74</v>
      </c>
      <c r="C748" t="s">
        <v>85</v>
      </c>
      <c r="D748">
        <v>1</v>
      </c>
      <c r="E748">
        <v>1</v>
      </c>
      <c r="F748">
        <v>2</v>
      </c>
      <c r="G748">
        <v>45.016539999999999</v>
      </c>
      <c r="H748">
        <v>2</v>
      </c>
      <c r="I748" t="s">
        <v>89</v>
      </c>
      <c r="J748">
        <v>4</v>
      </c>
      <c r="K748">
        <v>300</v>
      </c>
      <c r="L748">
        <v>66.666666666666657</v>
      </c>
      <c r="N748" t="s">
        <v>91</v>
      </c>
      <c r="O748">
        <v>33.333333333333343</v>
      </c>
      <c r="P748">
        <v>0.33333333333333331</v>
      </c>
      <c r="Q748">
        <v>3.2500000000000001E-2</v>
      </c>
      <c r="R748">
        <v>77.5</v>
      </c>
      <c r="S748">
        <v>170</v>
      </c>
      <c r="T748">
        <v>20</v>
      </c>
      <c r="U748">
        <v>1812.1301775147931</v>
      </c>
      <c r="V748">
        <v>20</v>
      </c>
      <c r="W748">
        <v>0.95</v>
      </c>
      <c r="X748">
        <v>1</v>
      </c>
      <c r="Y748">
        <v>102157.75940905009</v>
      </c>
      <c r="Z748">
        <v>306473278.22715038</v>
      </c>
      <c r="AA748">
        <v>1225893112.908602</v>
      </c>
      <c r="AB748">
        <v>1225893.112908602</v>
      </c>
      <c r="AC748">
        <v>0</v>
      </c>
      <c r="AD748">
        <v>3176.3716724156152</v>
      </c>
      <c r="AE748">
        <v>5717469.0103481077</v>
      </c>
      <c r="AF748">
        <v>3811646.006898738</v>
      </c>
      <c r="AG748">
        <v>171.5871149353973</v>
      </c>
      <c r="AH748">
        <v>838.75270381806729</v>
      </c>
      <c r="AI748">
        <v>167.75054076361349</v>
      </c>
      <c r="AJ748">
        <v>39841.526169529548</v>
      </c>
      <c r="AK748">
        <v>854.70085470085473</v>
      </c>
      <c r="AL748" t="s">
        <v>93</v>
      </c>
      <c r="AM748">
        <v>65003.334545900223</v>
      </c>
      <c r="AN748">
        <v>1140.057904708882</v>
      </c>
      <c r="AO748">
        <v>28517.591929814291</v>
      </c>
      <c r="AP748">
        <v>106839.61947483951</v>
      </c>
      <c r="AQ748">
        <v>78322.027545025223</v>
      </c>
      <c r="AR748">
        <v>1.0452577730833339E-2</v>
      </c>
      <c r="AS748">
        <v>227.09892446474001</v>
      </c>
      <c r="AT748">
        <v>370.52263759126799</v>
      </c>
      <c r="AU748">
        <v>6.4983937333435096</v>
      </c>
      <c r="AV748">
        <v>162.55186681423379</v>
      </c>
      <c r="AW748">
        <v>608.99179839938961</v>
      </c>
      <c r="AX748">
        <v>446.43993158515588</v>
      </c>
      <c r="AY748">
        <v>0.97764066274307182</v>
      </c>
      <c r="AZ748" t="s">
        <v>143</v>
      </c>
      <c r="BA748" t="str">
        <f>VLOOKUP($AZ748,Sheet1!$A$2:$B$58,2)</f>
        <v>Octane</v>
      </c>
      <c r="BB748" t="s">
        <v>191</v>
      </c>
      <c r="BC748">
        <v>114.22672</v>
      </c>
      <c r="BD748">
        <v>6.25</v>
      </c>
      <c r="BE748">
        <v>126</v>
      </c>
      <c r="BF748" t="s">
        <v>210</v>
      </c>
      <c r="BG748">
        <v>3.339148668542713</v>
      </c>
      <c r="BH748">
        <v>5.9999999999999797E-2</v>
      </c>
      <c r="BI748">
        <v>0.14569858587232801</v>
      </c>
      <c r="BJ748">
        <v>80</v>
      </c>
      <c r="BK748">
        <v>5224.7572853335178</v>
      </c>
      <c r="BL748">
        <v>3830.1669926326531</v>
      </c>
      <c r="BM748">
        <v>5.0483783696379598</v>
      </c>
      <c r="BN748">
        <v>858.22432283845319</v>
      </c>
      <c r="BO748">
        <v>4366.5329624950646</v>
      </c>
    </row>
    <row r="749" spans="1:67" x14ac:dyDescent="0.25">
      <c r="A749" s="1">
        <v>747</v>
      </c>
      <c r="B749" t="s">
        <v>74</v>
      </c>
      <c r="C749" t="s">
        <v>85</v>
      </c>
      <c r="D749">
        <v>1</v>
      </c>
      <c r="E749">
        <v>1</v>
      </c>
      <c r="F749">
        <v>2</v>
      </c>
      <c r="G749">
        <v>45.016539999999999</v>
      </c>
      <c r="H749">
        <v>2</v>
      </c>
      <c r="I749" t="s">
        <v>89</v>
      </c>
      <c r="J749">
        <v>4</v>
      </c>
      <c r="K749">
        <v>300</v>
      </c>
      <c r="L749">
        <v>66.666666666666657</v>
      </c>
      <c r="N749" t="s">
        <v>91</v>
      </c>
      <c r="O749">
        <v>33.333333333333343</v>
      </c>
      <c r="P749">
        <v>0.33333333333333331</v>
      </c>
      <c r="Q749">
        <v>3.2500000000000001E-2</v>
      </c>
      <c r="R749">
        <v>77.5</v>
      </c>
      <c r="S749">
        <v>170</v>
      </c>
      <c r="T749">
        <v>20</v>
      </c>
      <c r="U749">
        <v>1812.1301775147931</v>
      </c>
      <c r="V749">
        <v>20</v>
      </c>
      <c r="W749">
        <v>0.95</v>
      </c>
      <c r="X749">
        <v>1</v>
      </c>
      <c r="Y749">
        <v>103513.5662083291</v>
      </c>
      <c r="Z749">
        <v>310540698.62498719</v>
      </c>
      <c r="AA749">
        <v>1242162794.499949</v>
      </c>
      <c r="AB749">
        <v>1242162.7944999491</v>
      </c>
      <c r="AC749">
        <v>66773.504273504266</v>
      </c>
      <c r="AD749">
        <v>3218.5275138848301</v>
      </c>
      <c r="AE749">
        <v>5793349.5249926941</v>
      </c>
      <c r="AF749">
        <v>3862233.0166617949</v>
      </c>
      <c r="AG749">
        <v>173.8643670838764</v>
      </c>
      <c r="AH749">
        <v>849.88437531642808</v>
      </c>
      <c r="AI749">
        <v>169.9768750632856</v>
      </c>
      <c r="AJ749">
        <v>40370.290821248338</v>
      </c>
      <c r="AK749">
        <v>2170.1388888888891</v>
      </c>
      <c r="AL749" t="s">
        <v>95</v>
      </c>
      <c r="AM749">
        <v>65866.039087023179</v>
      </c>
      <c r="AN749">
        <v>1155.188407450107</v>
      </c>
      <c r="AO749">
        <v>28896.068760758561</v>
      </c>
      <c r="AP749">
        <v>109561.6572046105</v>
      </c>
      <c r="AQ749">
        <v>80665.588443851957</v>
      </c>
      <c r="AR749">
        <v>1.0452577730833339E-2</v>
      </c>
      <c r="AS749">
        <v>227.09892446474001</v>
      </c>
      <c r="AT749">
        <v>370.52263759126799</v>
      </c>
      <c r="AU749">
        <v>6.4983937333435078</v>
      </c>
      <c r="AV749">
        <v>162.55186681423379</v>
      </c>
      <c r="AW749">
        <v>616.32784920750782</v>
      </c>
      <c r="AX749">
        <v>453.77598239327398</v>
      </c>
      <c r="AY749">
        <v>0.97764066274307193</v>
      </c>
      <c r="AZ749" t="s">
        <v>144</v>
      </c>
      <c r="BA749" t="str">
        <f>VLOOKUP($AZ749,Sheet1!$A$2:$B$58,2)</f>
        <v>Pentane</v>
      </c>
      <c r="BB749" t="s">
        <v>192</v>
      </c>
      <c r="BC749">
        <v>72.147580000000005</v>
      </c>
      <c r="BD749">
        <v>6.4</v>
      </c>
      <c r="BE749">
        <v>36.1</v>
      </c>
      <c r="BF749" t="s">
        <v>210</v>
      </c>
      <c r="BG749">
        <v>3.4566647973500979</v>
      </c>
      <c r="BH749">
        <v>9.375E-2</v>
      </c>
      <c r="BI749">
        <v>0.143790245346474</v>
      </c>
      <c r="BJ749">
        <v>80</v>
      </c>
      <c r="BK749">
        <v>5357.8725709315058</v>
      </c>
      <c r="BL749">
        <v>3944.77369883354</v>
      </c>
      <c r="BM749">
        <v>5.0421789558141841</v>
      </c>
      <c r="BN749">
        <v>857.1704224884113</v>
      </c>
      <c r="BO749">
        <v>4500.7021484430943</v>
      </c>
    </row>
    <row r="750" spans="1:67" x14ac:dyDescent="0.25">
      <c r="A750" s="1">
        <v>748</v>
      </c>
      <c r="B750" t="s">
        <v>74</v>
      </c>
      <c r="C750" t="s">
        <v>85</v>
      </c>
      <c r="D750">
        <v>1</v>
      </c>
      <c r="E750">
        <v>1</v>
      </c>
      <c r="F750">
        <v>2</v>
      </c>
      <c r="G750">
        <v>45.016539999999999</v>
      </c>
      <c r="H750">
        <v>2</v>
      </c>
      <c r="I750" t="s">
        <v>89</v>
      </c>
      <c r="J750">
        <v>4</v>
      </c>
      <c r="K750">
        <v>300</v>
      </c>
      <c r="L750">
        <v>66.666666666666657</v>
      </c>
      <c r="N750" t="s">
        <v>91</v>
      </c>
      <c r="O750">
        <v>33.333333333333343</v>
      </c>
      <c r="P750">
        <v>0.33333333333333331</v>
      </c>
      <c r="Q750">
        <v>3.2500000000000001E-2</v>
      </c>
      <c r="R750">
        <v>77.5</v>
      </c>
      <c r="S750">
        <v>170</v>
      </c>
      <c r="T750">
        <v>20</v>
      </c>
      <c r="U750">
        <v>1812.1301775147931</v>
      </c>
      <c r="V750">
        <v>20</v>
      </c>
      <c r="W750">
        <v>0.95</v>
      </c>
      <c r="X750">
        <v>1</v>
      </c>
      <c r="Y750">
        <v>97569.787544962543</v>
      </c>
      <c r="Z750">
        <v>292709362.63488758</v>
      </c>
      <c r="AA750">
        <v>1170837450.539551</v>
      </c>
      <c r="AB750">
        <v>1170837.450539551</v>
      </c>
      <c r="AC750">
        <v>0</v>
      </c>
      <c r="AD750">
        <v>3033.718740839704</v>
      </c>
      <c r="AE750">
        <v>5460693.7335114675</v>
      </c>
      <c r="AF750">
        <v>3640462.4890076439</v>
      </c>
      <c r="AG750">
        <v>163.8810252549122</v>
      </c>
      <c r="AH750">
        <v>801.08377070613187</v>
      </c>
      <c r="AI750">
        <v>160.2167541412264</v>
      </c>
      <c r="AJ750">
        <v>38052.217142535403</v>
      </c>
      <c r="AK750">
        <v>854.70085470085473</v>
      </c>
      <c r="AL750" t="s">
        <v>93</v>
      </c>
      <c r="AM750">
        <v>62083.99222972522</v>
      </c>
      <c r="AN750">
        <v>1088.8571577417199</v>
      </c>
      <c r="AO750">
        <v>27236.848204008489</v>
      </c>
      <c r="AP750">
        <v>102079.7673847032</v>
      </c>
      <c r="AQ750">
        <v>74842.919180694706</v>
      </c>
      <c r="AR750">
        <v>1.0452577730833339E-2</v>
      </c>
      <c r="AS750">
        <v>227.09892446474001</v>
      </c>
      <c r="AT750">
        <v>370.52263759126788</v>
      </c>
      <c r="AU750">
        <v>6.4983937333435096</v>
      </c>
      <c r="AV750">
        <v>162.5518668142337</v>
      </c>
      <c r="AW750">
        <v>609.22088444521921</v>
      </c>
      <c r="AX750">
        <v>446.66901763098548</v>
      </c>
      <c r="AY750">
        <v>0.97764066274307149</v>
      </c>
      <c r="AZ750" t="s">
        <v>145</v>
      </c>
      <c r="BA750" t="str">
        <f>VLOOKUP($AZ750,Sheet1!$A$2:$B$58,2)</f>
        <v>Pentanol (PW1)</v>
      </c>
      <c r="BB750" t="s">
        <v>157</v>
      </c>
      <c r="BC750">
        <v>88.14658</v>
      </c>
      <c r="BD750">
        <v>6</v>
      </c>
      <c r="BE750">
        <v>138</v>
      </c>
      <c r="BF750" t="s">
        <v>210</v>
      </c>
      <c r="BG750">
        <v>2.7814671494798411</v>
      </c>
      <c r="BH750">
        <v>8.1408450704225394E-2</v>
      </c>
      <c r="BI750">
        <v>0.15254969244373001</v>
      </c>
      <c r="BJ750">
        <v>80</v>
      </c>
      <c r="BK750">
        <v>4991.9871574793442</v>
      </c>
      <c r="BL750">
        <v>3660.0288279485162</v>
      </c>
      <c r="BM750">
        <v>5.2293705575814773</v>
      </c>
      <c r="BN750">
        <v>888.99299478885109</v>
      </c>
      <c r="BO750">
        <v>4102.9941626904929</v>
      </c>
    </row>
    <row r="751" spans="1:67" x14ac:dyDescent="0.25">
      <c r="A751" s="1">
        <v>749</v>
      </c>
      <c r="B751" t="s">
        <v>74</v>
      </c>
      <c r="C751" t="s">
        <v>85</v>
      </c>
      <c r="D751">
        <v>1</v>
      </c>
      <c r="E751">
        <v>1</v>
      </c>
      <c r="F751">
        <v>2</v>
      </c>
      <c r="G751">
        <v>45.016539999999999</v>
      </c>
      <c r="H751">
        <v>2</v>
      </c>
      <c r="I751" t="s">
        <v>89</v>
      </c>
      <c r="J751">
        <v>4</v>
      </c>
      <c r="K751">
        <v>300</v>
      </c>
      <c r="L751">
        <v>66.666666666666657</v>
      </c>
      <c r="N751" t="s">
        <v>91</v>
      </c>
      <c r="O751">
        <v>33.333333333333343</v>
      </c>
      <c r="P751">
        <v>0.33333333333333331</v>
      </c>
      <c r="Q751">
        <v>3.2500000000000001E-2</v>
      </c>
      <c r="R751">
        <v>77.5</v>
      </c>
      <c r="S751">
        <v>170</v>
      </c>
      <c r="T751">
        <v>20</v>
      </c>
      <c r="U751">
        <v>1812.1301775147931</v>
      </c>
      <c r="V751">
        <v>20</v>
      </c>
      <c r="W751">
        <v>0.95</v>
      </c>
      <c r="X751">
        <v>1</v>
      </c>
      <c r="Y751">
        <v>97569.787544963212</v>
      </c>
      <c r="Z751">
        <v>292709362.6348896</v>
      </c>
      <c r="AA751">
        <v>1170837450.5395579</v>
      </c>
      <c r="AB751">
        <v>1170837.450539558</v>
      </c>
      <c r="AC751">
        <v>0</v>
      </c>
      <c r="AD751">
        <v>3033.718740839724</v>
      </c>
      <c r="AE751">
        <v>5460693.7335115038</v>
      </c>
      <c r="AF751">
        <v>3640462.4890076681</v>
      </c>
      <c r="AG751">
        <v>163.88102525491331</v>
      </c>
      <c r="AH751">
        <v>801.08377070613733</v>
      </c>
      <c r="AI751">
        <v>160.21675414122751</v>
      </c>
      <c r="AJ751">
        <v>38052.21714253565</v>
      </c>
      <c r="AK751">
        <v>854.70085470085473</v>
      </c>
      <c r="AL751" t="s">
        <v>93</v>
      </c>
      <c r="AM751">
        <v>62083.992229725642</v>
      </c>
      <c r="AN751">
        <v>1088.857157741727</v>
      </c>
      <c r="AO751">
        <v>27236.848204008671</v>
      </c>
      <c r="AP751">
        <v>102079.7673847039</v>
      </c>
      <c r="AQ751">
        <v>74842.919180695215</v>
      </c>
      <c r="AR751">
        <v>1.0452577730833339E-2</v>
      </c>
      <c r="AS751">
        <v>227.09892446474001</v>
      </c>
      <c r="AT751">
        <v>370.52263759126799</v>
      </c>
      <c r="AU751">
        <v>6.4983937333435096</v>
      </c>
      <c r="AV751">
        <v>162.5518668142337</v>
      </c>
      <c r="AW751">
        <v>609.22088444521921</v>
      </c>
      <c r="AX751">
        <v>446.66901763098548</v>
      </c>
      <c r="AY751">
        <v>0.97764066274307182</v>
      </c>
      <c r="AZ751" t="s">
        <v>146</v>
      </c>
      <c r="BA751" t="str">
        <f>VLOOKUP($AZ751,Sheet1!$A$2:$B$58,2)</f>
        <v>Pentanol (PW2)</v>
      </c>
      <c r="BB751" t="s">
        <v>157</v>
      </c>
      <c r="BC751">
        <v>88.14658</v>
      </c>
      <c r="BD751">
        <v>6</v>
      </c>
      <c r="BE751">
        <v>138</v>
      </c>
      <c r="BF751" t="s">
        <v>210</v>
      </c>
      <c r="BG751">
        <v>2.781467149479838</v>
      </c>
      <c r="BH751">
        <v>8.1408450704225296E-2</v>
      </c>
      <c r="BI751">
        <v>0.15254969244372901</v>
      </c>
      <c r="BJ751">
        <v>80</v>
      </c>
      <c r="BK751">
        <v>4991.9871574793769</v>
      </c>
      <c r="BL751">
        <v>3660.0288279485412</v>
      </c>
      <c r="BM751">
        <v>5.2293705575815341</v>
      </c>
      <c r="BN751">
        <v>888.99299478886076</v>
      </c>
      <c r="BO751">
        <v>4102.9941626905174</v>
      </c>
    </row>
    <row r="752" spans="1:67" x14ac:dyDescent="0.25">
      <c r="A752" s="1">
        <v>750</v>
      </c>
      <c r="B752" t="s">
        <v>74</v>
      </c>
      <c r="C752" t="s">
        <v>85</v>
      </c>
      <c r="D752">
        <v>1</v>
      </c>
      <c r="E752">
        <v>1</v>
      </c>
      <c r="F752">
        <v>2</v>
      </c>
      <c r="G752">
        <v>45.016539999999999</v>
      </c>
      <c r="H752">
        <v>2</v>
      </c>
      <c r="I752" t="s">
        <v>89</v>
      </c>
      <c r="J752">
        <v>4</v>
      </c>
      <c r="K752">
        <v>300</v>
      </c>
      <c r="L752">
        <v>66.666666666666657</v>
      </c>
      <c r="N752" t="s">
        <v>91</v>
      </c>
      <c r="O752">
        <v>33.333333333333343</v>
      </c>
      <c r="P752">
        <v>0.33333333333333331</v>
      </c>
      <c r="Q752">
        <v>3.2500000000000001E-2</v>
      </c>
      <c r="R752">
        <v>77.5</v>
      </c>
      <c r="S752">
        <v>170</v>
      </c>
      <c r="T752">
        <v>20</v>
      </c>
      <c r="U752">
        <v>1812.1301775147931</v>
      </c>
      <c r="V752">
        <v>20</v>
      </c>
      <c r="W752">
        <v>0.95</v>
      </c>
      <c r="X752">
        <v>1</v>
      </c>
      <c r="Y752">
        <v>244556.49271772589</v>
      </c>
      <c r="Z752">
        <v>733669478.15317762</v>
      </c>
      <c r="AA752">
        <v>2934677912.61271</v>
      </c>
      <c r="AB752">
        <v>2934677.9126127111</v>
      </c>
      <c r="AC752">
        <v>0</v>
      </c>
      <c r="AD752">
        <v>7603.9482489382344</v>
      </c>
      <c r="AE752">
        <v>13687106.84808882</v>
      </c>
      <c r="AF752">
        <v>9124737.8987258784</v>
      </c>
      <c r="AG752">
        <v>410.76412860750941</v>
      </c>
      <c r="AH752">
        <v>2007.89857461463</v>
      </c>
      <c r="AI752">
        <v>401.57971492292597</v>
      </c>
      <c r="AJ752">
        <v>95377.032159913098</v>
      </c>
      <c r="AK752">
        <v>854.70085470085473</v>
      </c>
      <c r="AL752" t="s">
        <v>93</v>
      </c>
      <c r="AM752">
        <v>155612.1395326338</v>
      </c>
      <c r="AN752">
        <v>2729.196140200625</v>
      </c>
      <c r="AO752">
        <v>68268.551536897416</v>
      </c>
      <c r="AP752">
        <v>254573.06868744839</v>
      </c>
      <c r="AQ752">
        <v>186304.51715055099</v>
      </c>
      <c r="AR752">
        <v>1.0452577730833339E-2</v>
      </c>
      <c r="AS752">
        <v>227.09892446474009</v>
      </c>
      <c r="AT752">
        <v>370.52263759126799</v>
      </c>
      <c r="AU752">
        <v>6.4983937333435122</v>
      </c>
      <c r="AV752">
        <v>162.55186681423379</v>
      </c>
      <c r="AW752">
        <v>606.15505418197324</v>
      </c>
      <c r="AX752">
        <v>443.60318736773951</v>
      </c>
      <c r="AY752">
        <v>0.97764066274307204</v>
      </c>
      <c r="AZ752" t="s">
        <v>147</v>
      </c>
      <c r="BA752" t="str">
        <f>VLOOKUP($AZ752,Sheet1!$A$2:$B$58,2)</f>
        <v>Phenol</v>
      </c>
      <c r="BB752" t="s">
        <v>193</v>
      </c>
      <c r="BC752">
        <v>94.11023999999999</v>
      </c>
      <c r="BD752">
        <v>4.666666666666667</v>
      </c>
      <c r="BE752">
        <v>181.7</v>
      </c>
      <c r="BF752" t="s">
        <v>210</v>
      </c>
      <c r="BG752">
        <v>4.3107304309554983</v>
      </c>
      <c r="BH752">
        <v>3.0421052631579001E-2</v>
      </c>
      <c r="BI752">
        <v>6.0862179189672697E-2</v>
      </c>
      <c r="BJ752">
        <v>80</v>
      </c>
      <c r="BK752">
        <v>12449.337631604791</v>
      </c>
      <c r="BL752">
        <v>9110.8138353311624</v>
      </c>
      <c r="BM752">
        <v>15.7682553151908</v>
      </c>
      <c r="BN752">
        <v>2680.6034035824359</v>
      </c>
      <c r="BO752">
        <v>9768.7342280223584</v>
      </c>
    </row>
    <row r="753" spans="1:67" x14ac:dyDescent="0.25">
      <c r="A753" s="1">
        <v>751</v>
      </c>
      <c r="B753" t="s">
        <v>74</v>
      </c>
      <c r="C753" t="s">
        <v>85</v>
      </c>
      <c r="D753">
        <v>1</v>
      </c>
      <c r="E753">
        <v>1</v>
      </c>
      <c r="F753">
        <v>2</v>
      </c>
      <c r="G753">
        <v>45.016539999999999</v>
      </c>
      <c r="H753">
        <v>2</v>
      </c>
      <c r="I753" t="s">
        <v>89</v>
      </c>
      <c r="J753">
        <v>4</v>
      </c>
      <c r="K753">
        <v>300</v>
      </c>
      <c r="L753">
        <v>66.666666666666657</v>
      </c>
      <c r="N753" t="s">
        <v>91</v>
      </c>
      <c r="O753">
        <v>33.333333333333343</v>
      </c>
      <c r="P753">
        <v>0.33333333333333331</v>
      </c>
      <c r="Q753">
        <v>3.2500000000000001E-2</v>
      </c>
      <c r="R753">
        <v>77.5</v>
      </c>
      <c r="S753">
        <v>170</v>
      </c>
      <c r="T753">
        <v>20</v>
      </c>
      <c r="U753">
        <v>1812.1301775147931</v>
      </c>
      <c r="V753">
        <v>20</v>
      </c>
      <c r="W753">
        <v>0.95</v>
      </c>
      <c r="X753">
        <v>1</v>
      </c>
      <c r="Y753">
        <v>105855.02587237991</v>
      </c>
      <c r="Z753">
        <v>317565077.61713982</v>
      </c>
      <c r="AA753">
        <v>1270260310.468559</v>
      </c>
      <c r="AB753">
        <v>1270260.3104685589</v>
      </c>
      <c r="AC753">
        <v>66773.504273504266</v>
      </c>
      <c r="AD753">
        <v>3291.330071341235</v>
      </c>
      <c r="AE753">
        <v>5924394.1284142239</v>
      </c>
      <c r="AF753">
        <v>3949596.0856094821</v>
      </c>
      <c r="AG753">
        <v>177.79715017168269</v>
      </c>
      <c r="AH753">
        <v>869.10861863836635</v>
      </c>
      <c r="AI753">
        <v>173.82172372767329</v>
      </c>
      <c r="AJ753">
        <v>41283.460090228167</v>
      </c>
      <c r="AK753">
        <v>2170.1388888888891</v>
      </c>
      <c r="AL753" t="s">
        <v>95</v>
      </c>
      <c r="AM753">
        <v>67355.917944473389</v>
      </c>
      <c r="AN753">
        <v>1181.31857723848</v>
      </c>
      <c r="AO753">
        <v>29549.693033704461</v>
      </c>
      <c r="AP753">
        <v>111990.83550082891</v>
      </c>
      <c r="AQ753">
        <v>82441.142467124475</v>
      </c>
      <c r="AR753">
        <v>1.0452577730833331E-2</v>
      </c>
      <c r="AS753">
        <v>227.09892446474001</v>
      </c>
      <c r="AT753">
        <v>370.52263759126788</v>
      </c>
      <c r="AU753">
        <v>6.4983937333435096</v>
      </c>
      <c r="AV753">
        <v>162.5518668142337</v>
      </c>
      <c r="AW753">
        <v>616.05781677601874</v>
      </c>
      <c r="AX753">
        <v>453.50594996178512</v>
      </c>
      <c r="AY753">
        <v>0.97764066274307171</v>
      </c>
      <c r="AZ753" t="s">
        <v>148</v>
      </c>
      <c r="BA753" t="str">
        <f>VLOOKUP($AZ753,Sheet1!$A$2:$B$58,2)</f>
        <v>Propane (PW1)</v>
      </c>
      <c r="BB753" t="s">
        <v>194</v>
      </c>
      <c r="BC753">
        <v>44.094819999999999</v>
      </c>
      <c r="BD753">
        <v>6.666666666666667</v>
      </c>
      <c r="BE753">
        <v>-42</v>
      </c>
      <c r="BF753" t="s">
        <v>210</v>
      </c>
      <c r="BG753">
        <v>3.6596135328367358</v>
      </c>
      <c r="BH753">
        <v>0.15</v>
      </c>
      <c r="BI753">
        <v>0.14060967780338299</v>
      </c>
      <c r="BJ753">
        <v>80</v>
      </c>
      <c r="BK753">
        <v>5476.6662081882378</v>
      </c>
      <c r="BL753">
        <v>4031.6032744553549</v>
      </c>
      <c r="BM753">
        <v>5.0314726535469276</v>
      </c>
      <c r="BN753">
        <v>855.3503511029777</v>
      </c>
      <c r="BO753">
        <v>4621.3158570852602</v>
      </c>
    </row>
    <row r="754" spans="1:67" x14ac:dyDescent="0.25">
      <c r="A754" s="1">
        <v>752</v>
      </c>
      <c r="B754" t="s">
        <v>74</v>
      </c>
      <c r="C754" t="s">
        <v>85</v>
      </c>
      <c r="D754">
        <v>1</v>
      </c>
      <c r="E754">
        <v>1</v>
      </c>
      <c r="F754">
        <v>2</v>
      </c>
      <c r="G754">
        <v>45.016539999999999</v>
      </c>
      <c r="H754">
        <v>2</v>
      </c>
      <c r="I754" t="s">
        <v>89</v>
      </c>
      <c r="J754">
        <v>4</v>
      </c>
      <c r="K754">
        <v>300</v>
      </c>
      <c r="L754">
        <v>66.666666666666657</v>
      </c>
      <c r="N754" t="s">
        <v>91</v>
      </c>
      <c r="O754">
        <v>33.333333333333343</v>
      </c>
      <c r="P754">
        <v>0.33333333333333331</v>
      </c>
      <c r="Q754">
        <v>3.2500000000000001E-2</v>
      </c>
      <c r="R754">
        <v>77.5</v>
      </c>
      <c r="S754">
        <v>170</v>
      </c>
      <c r="T754">
        <v>20</v>
      </c>
      <c r="U754">
        <v>1812.1301775147931</v>
      </c>
      <c r="V754">
        <v>20</v>
      </c>
      <c r="W754">
        <v>0.95</v>
      </c>
      <c r="X754">
        <v>1</v>
      </c>
      <c r="Y754">
        <v>105855.02587237991</v>
      </c>
      <c r="Z754">
        <v>317565077.61713982</v>
      </c>
      <c r="AA754">
        <v>1270260310.468559</v>
      </c>
      <c r="AB754">
        <v>1270260.3104685589</v>
      </c>
      <c r="AC754">
        <v>66773.504273504266</v>
      </c>
      <c r="AD754">
        <v>3291.330071341235</v>
      </c>
      <c r="AE754">
        <v>5924394.1284142239</v>
      </c>
      <c r="AF754">
        <v>3949596.0856094821</v>
      </c>
      <c r="AG754">
        <v>177.79715017168269</v>
      </c>
      <c r="AH754">
        <v>869.10861863836635</v>
      </c>
      <c r="AI754">
        <v>173.82172372767329</v>
      </c>
      <c r="AJ754">
        <v>41283.460090228167</v>
      </c>
      <c r="AK754">
        <v>2170.1388888888891</v>
      </c>
      <c r="AL754" t="s">
        <v>95</v>
      </c>
      <c r="AM754">
        <v>67355.917944473389</v>
      </c>
      <c r="AN754">
        <v>1181.31857723848</v>
      </c>
      <c r="AO754">
        <v>29549.693033704461</v>
      </c>
      <c r="AP754">
        <v>111990.83550082891</v>
      </c>
      <c r="AQ754">
        <v>82441.142467124475</v>
      </c>
      <c r="AR754">
        <v>1.0452577730833331E-2</v>
      </c>
      <c r="AS754">
        <v>227.09892446474001</v>
      </c>
      <c r="AT754">
        <v>370.52263759126788</v>
      </c>
      <c r="AU754">
        <v>6.4983937333435096</v>
      </c>
      <c r="AV754">
        <v>162.5518668142337</v>
      </c>
      <c r="AW754">
        <v>616.05781677601874</v>
      </c>
      <c r="AX754">
        <v>453.50594996178512</v>
      </c>
      <c r="AY754">
        <v>0.97764066274307171</v>
      </c>
      <c r="AZ754" t="s">
        <v>149</v>
      </c>
      <c r="BA754" t="str">
        <f>VLOOKUP($AZ754,Sheet1!$A$2:$B$58,2)</f>
        <v>Propane (PW2)</v>
      </c>
      <c r="BB754" t="s">
        <v>194</v>
      </c>
      <c r="BC754">
        <v>44.094819999999999</v>
      </c>
      <c r="BD754">
        <v>6.666666666666667</v>
      </c>
      <c r="BE754">
        <v>-42</v>
      </c>
      <c r="BF754" t="s">
        <v>210</v>
      </c>
      <c r="BG754">
        <v>3.6596135328367358</v>
      </c>
      <c r="BH754">
        <v>0.15</v>
      </c>
      <c r="BI754">
        <v>0.14060967780338299</v>
      </c>
      <c r="BJ754">
        <v>80</v>
      </c>
      <c r="BK754">
        <v>5476.6662081882378</v>
      </c>
      <c r="BL754">
        <v>4031.6032744553549</v>
      </c>
      <c r="BM754">
        <v>5.0314726535469276</v>
      </c>
      <c r="BN754">
        <v>855.3503511029777</v>
      </c>
      <c r="BO754">
        <v>4621.3158570852602</v>
      </c>
    </row>
    <row r="755" spans="1:67" x14ac:dyDescent="0.25">
      <c r="A755" s="1">
        <v>753</v>
      </c>
      <c r="B755" t="s">
        <v>74</v>
      </c>
      <c r="C755" t="s">
        <v>85</v>
      </c>
      <c r="D755">
        <v>1</v>
      </c>
      <c r="E755">
        <v>1</v>
      </c>
      <c r="F755">
        <v>2</v>
      </c>
      <c r="G755">
        <v>45.016539999999999</v>
      </c>
      <c r="H755">
        <v>2</v>
      </c>
      <c r="I755" t="s">
        <v>89</v>
      </c>
      <c r="J755">
        <v>4</v>
      </c>
      <c r="K755">
        <v>300</v>
      </c>
      <c r="L755">
        <v>66.666666666666657</v>
      </c>
      <c r="N755" t="s">
        <v>91</v>
      </c>
      <c r="O755">
        <v>33.333333333333343</v>
      </c>
      <c r="P755">
        <v>0.33333333333333331</v>
      </c>
      <c r="Q755">
        <v>3.2500000000000001E-2</v>
      </c>
      <c r="R755">
        <v>77.5</v>
      </c>
      <c r="S755">
        <v>170</v>
      </c>
      <c r="T755">
        <v>20</v>
      </c>
      <c r="U755">
        <v>1812.1301775147931</v>
      </c>
      <c r="V755">
        <v>20</v>
      </c>
      <c r="W755">
        <v>0.95</v>
      </c>
      <c r="X755">
        <v>1</v>
      </c>
      <c r="Y755">
        <v>99346.427558469601</v>
      </c>
      <c r="Z755">
        <v>298039282.67540878</v>
      </c>
      <c r="AA755">
        <v>1192157130.7016349</v>
      </c>
      <c r="AB755">
        <v>1192157.130701635</v>
      </c>
      <c r="AC755">
        <v>0</v>
      </c>
      <c r="AD755">
        <v>3088.959468941302</v>
      </c>
      <c r="AE755">
        <v>5560127.0440943446</v>
      </c>
      <c r="AF755">
        <v>3706751.362729562</v>
      </c>
      <c r="AG755">
        <v>166.8651209903698</v>
      </c>
      <c r="AH755">
        <v>815.67063736864009</v>
      </c>
      <c r="AI755">
        <v>163.134127473728</v>
      </c>
      <c r="AJ755">
        <v>38745.10674780314</v>
      </c>
      <c r="AK755">
        <v>854.70085470085473</v>
      </c>
      <c r="AL755" t="s">
        <v>93</v>
      </c>
      <c r="AM755">
        <v>63214.474396069607</v>
      </c>
      <c r="AN755">
        <v>1108.684065682316</v>
      </c>
      <c r="AO755">
        <v>27732.801670533761</v>
      </c>
      <c r="AP755">
        <v>103922.9660642559</v>
      </c>
      <c r="AQ755">
        <v>76190.164393722167</v>
      </c>
      <c r="AR755">
        <v>1.0452577730833339E-2</v>
      </c>
      <c r="AS755">
        <v>227.09892446474001</v>
      </c>
      <c r="AT755">
        <v>370.52263759126799</v>
      </c>
      <c r="AU755">
        <v>6.4983937333435096</v>
      </c>
      <c r="AV755">
        <v>162.5518668142337</v>
      </c>
      <c r="AW755">
        <v>609.12966310813874</v>
      </c>
      <c r="AX755">
        <v>446.57779629390512</v>
      </c>
      <c r="AY755">
        <v>0.97764066274307182</v>
      </c>
      <c r="AZ755" t="s">
        <v>150</v>
      </c>
      <c r="BA755" t="str">
        <f>VLOOKUP($AZ755,Sheet1!$A$2:$B$58,2)</f>
        <v>Shikimate</v>
      </c>
      <c r="BB755" t="s">
        <v>195</v>
      </c>
      <c r="BC755">
        <v>173.14045999999999</v>
      </c>
      <c r="BD755">
        <v>3.8571428571428572</v>
      </c>
      <c r="BE755">
        <v>400.5</v>
      </c>
      <c r="BF755" t="s">
        <v>210</v>
      </c>
      <c r="BG755">
        <v>1.5611812121672359</v>
      </c>
      <c r="BH755">
        <v>4.0704225352112697E-2</v>
      </c>
      <c r="BI755">
        <v>0.14982160352997201</v>
      </c>
      <c r="BJ755">
        <v>80</v>
      </c>
      <c r="BK755">
        <v>5082.1247466681389</v>
      </c>
      <c r="BL755">
        <v>3725.9129005097602</v>
      </c>
      <c r="BM755">
        <v>6.5955251615191663</v>
      </c>
      <c r="BN755">
        <v>1121.2392774582579</v>
      </c>
      <c r="BO755">
        <v>3960.8854692098798</v>
      </c>
    </row>
    <row r="756" spans="1:67" x14ac:dyDescent="0.25">
      <c r="A756" s="1">
        <v>754</v>
      </c>
      <c r="B756" t="s">
        <v>74</v>
      </c>
      <c r="C756" t="s">
        <v>85</v>
      </c>
      <c r="D756">
        <v>1</v>
      </c>
      <c r="E756">
        <v>1</v>
      </c>
      <c r="F756">
        <v>2</v>
      </c>
      <c r="G756">
        <v>45.016539999999999</v>
      </c>
      <c r="H756">
        <v>2</v>
      </c>
      <c r="I756" t="s">
        <v>89</v>
      </c>
      <c r="J756">
        <v>4</v>
      </c>
      <c r="K756">
        <v>300</v>
      </c>
      <c r="L756">
        <v>66.666666666666657</v>
      </c>
      <c r="N756" t="s">
        <v>91</v>
      </c>
      <c r="O756">
        <v>33.333333333333343</v>
      </c>
      <c r="P756">
        <v>0.33333333333333331</v>
      </c>
      <c r="Q756">
        <v>3.2500000000000001E-2</v>
      </c>
      <c r="R756">
        <v>77.5</v>
      </c>
      <c r="S756">
        <v>170</v>
      </c>
      <c r="T756">
        <v>20</v>
      </c>
      <c r="U756">
        <v>1812.1301775147931</v>
      </c>
      <c r="V756">
        <v>20</v>
      </c>
      <c r="W756">
        <v>0.95</v>
      </c>
      <c r="X756">
        <v>1</v>
      </c>
      <c r="Y756">
        <v>241920.9858053489</v>
      </c>
      <c r="Z756">
        <v>725762957.41604674</v>
      </c>
      <c r="AA756">
        <v>2903051829.664187</v>
      </c>
      <c r="AB756">
        <v>2903051.829664187</v>
      </c>
      <c r="AC756">
        <v>0</v>
      </c>
      <c r="AD756">
        <v>7522.0029366354274</v>
      </c>
      <c r="AE756">
        <v>13539605.285943771</v>
      </c>
      <c r="AF756">
        <v>9026403.5239625107</v>
      </c>
      <c r="AG756">
        <v>406.33745529259932</v>
      </c>
      <c r="AH756">
        <v>1986.2600954479501</v>
      </c>
      <c r="AI756">
        <v>397.25201908959002</v>
      </c>
      <c r="AJ756">
        <v>94349.18446408608</v>
      </c>
      <c r="AK756">
        <v>854.70085470085473</v>
      </c>
      <c r="AL756" t="s">
        <v>93</v>
      </c>
      <c r="AM756">
        <v>153935.1573972161</v>
      </c>
      <c r="AN756">
        <v>2699.7844684318711</v>
      </c>
      <c r="AO756">
        <v>67532.84324523031</v>
      </c>
      <c r="AP756">
        <v>251838.82718443489</v>
      </c>
      <c r="AQ756">
        <v>184305.9839392046</v>
      </c>
      <c r="AR756">
        <v>1.0452577730833339E-2</v>
      </c>
      <c r="AS756">
        <v>227.09892446474001</v>
      </c>
      <c r="AT756">
        <v>370.52263759126788</v>
      </c>
      <c r="AU756">
        <v>6.4983937333435096</v>
      </c>
      <c r="AV756">
        <v>162.5518668142337</v>
      </c>
      <c r="AW756">
        <v>606.17722470952481</v>
      </c>
      <c r="AX756">
        <v>443.62535789529107</v>
      </c>
      <c r="AY756">
        <v>0.9776406627430716</v>
      </c>
      <c r="AZ756" t="s">
        <v>151</v>
      </c>
      <c r="BA756" t="str">
        <f>VLOOKUP($AZ756,Sheet1!$A$2:$B$58,2)</f>
        <v>Styrene</v>
      </c>
      <c r="BB756" t="s">
        <v>196</v>
      </c>
      <c r="BC756">
        <v>104.14832</v>
      </c>
      <c r="BD756">
        <v>5</v>
      </c>
      <c r="BE756">
        <v>145</v>
      </c>
      <c r="BF756" t="s">
        <v>210</v>
      </c>
      <c r="BG756">
        <v>4.6468125099183188</v>
      </c>
      <c r="BH756">
        <v>2.7788461538461501E-2</v>
      </c>
      <c r="BI756">
        <v>6.1525216724108697E-2</v>
      </c>
      <c r="BJ756">
        <v>80</v>
      </c>
      <c r="BK756">
        <v>12315.625547239921</v>
      </c>
      <c r="BL756">
        <v>9013.0799515220606</v>
      </c>
      <c r="BM756">
        <v>15.215788444561181</v>
      </c>
      <c r="BN756">
        <v>2586.6840355753998</v>
      </c>
      <c r="BO756">
        <v>9728.9415116645214</v>
      </c>
    </row>
    <row r="757" spans="1:67" x14ac:dyDescent="0.25">
      <c r="A757" s="1">
        <v>755</v>
      </c>
      <c r="B757" t="s">
        <v>74</v>
      </c>
      <c r="C757" t="s">
        <v>85</v>
      </c>
      <c r="D757">
        <v>1</v>
      </c>
      <c r="E757">
        <v>1</v>
      </c>
      <c r="F757">
        <v>2</v>
      </c>
      <c r="G757">
        <v>45.016539999999999</v>
      </c>
      <c r="H757">
        <v>2</v>
      </c>
      <c r="I757" t="s">
        <v>89</v>
      </c>
      <c r="J757">
        <v>4</v>
      </c>
      <c r="K757">
        <v>300</v>
      </c>
      <c r="L757">
        <v>66.666666666666657</v>
      </c>
      <c r="N757" t="s">
        <v>91</v>
      </c>
      <c r="O757">
        <v>33.333333333333343</v>
      </c>
      <c r="P757">
        <v>0.33333333333333331</v>
      </c>
      <c r="Q757">
        <v>3.2500000000000001E-2</v>
      </c>
      <c r="R757">
        <v>77.5</v>
      </c>
      <c r="S757">
        <v>170</v>
      </c>
      <c r="T757">
        <v>20</v>
      </c>
      <c r="U757">
        <v>1812.1301775147931</v>
      </c>
      <c r="V757">
        <v>20</v>
      </c>
      <c r="W757">
        <v>0.95</v>
      </c>
      <c r="X757">
        <v>1</v>
      </c>
      <c r="Y757">
        <v>42788.370828206658</v>
      </c>
      <c r="Z757">
        <v>128365112.48462</v>
      </c>
      <c r="AA757">
        <v>513460449.9384799</v>
      </c>
      <c r="AB757">
        <v>513460.44993847993</v>
      </c>
      <c r="AC757">
        <v>0</v>
      </c>
      <c r="AD757">
        <v>1330.4106295374561</v>
      </c>
      <c r="AE757">
        <v>2394739.13316742</v>
      </c>
      <c r="AF757">
        <v>1596492.755444946</v>
      </c>
      <c r="AG757">
        <v>71.868579985197627</v>
      </c>
      <c r="AH757">
        <v>351.30823083566042</v>
      </c>
      <c r="AI757">
        <v>70.261646167132085</v>
      </c>
      <c r="AJ757">
        <v>16687.4646230006</v>
      </c>
      <c r="AK757">
        <v>854.70085470085473</v>
      </c>
      <c r="AL757" t="s">
        <v>93</v>
      </c>
      <c r="AM757">
        <v>27226.387889763679</v>
      </c>
      <c r="AN757">
        <v>477.50871470259011</v>
      </c>
      <c r="AO757">
        <v>11944.479848412449</v>
      </c>
      <c r="AP757">
        <v>45246.062082167722</v>
      </c>
      <c r="AQ757">
        <v>33301.582233755267</v>
      </c>
      <c r="AR757">
        <v>1.0452577730833339E-2</v>
      </c>
      <c r="AS757">
        <v>227.09892446474001</v>
      </c>
      <c r="AT757">
        <v>370.52263759126799</v>
      </c>
      <c r="AU757">
        <v>6.4983937333435122</v>
      </c>
      <c r="AV757">
        <v>162.5518668142337</v>
      </c>
      <c r="AW757">
        <v>615.75153968940811</v>
      </c>
      <c r="AX757">
        <v>453.19967287517437</v>
      </c>
      <c r="AY757">
        <v>0.97764066274307193</v>
      </c>
      <c r="AZ757" t="s">
        <v>152</v>
      </c>
      <c r="BA757" t="str">
        <f>VLOOKUP($AZ757,Sheet1!$A$2:$B$58,2)</f>
        <v>Succinate</v>
      </c>
      <c r="BB757" t="s">
        <v>197</v>
      </c>
      <c r="BC757">
        <v>116.07016</v>
      </c>
      <c r="BD757">
        <v>3</v>
      </c>
      <c r="BE757">
        <v>235</v>
      </c>
      <c r="BF757" t="s">
        <v>210</v>
      </c>
      <c r="BG757">
        <v>0.48281500796512772</v>
      </c>
      <c r="BH757">
        <v>0.14097560975609699</v>
      </c>
      <c r="BI757">
        <v>0.34785715823450403</v>
      </c>
      <c r="BJ757">
        <v>80</v>
      </c>
      <c r="BK757">
        <v>2212.6594390588411</v>
      </c>
      <c r="BL757">
        <v>1628.540846964743</v>
      </c>
      <c r="BM757">
        <v>3.0302673003914768</v>
      </c>
      <c r="BN757">
        <v>515.14544106655103</v>
      </c>
      <c r="BO757">
        <v>1697.5139979922899</v>
      </c>
    </row>
    <row r="758" spans="1:67" x14ac:dyDescent="0.25">
      <c r="A758" s="1">
        <v>756</v>
      </c>
      <c r="B758" t="s">
        <v>75</v>
      </c>
      <c r="C758" t="s">
        <v>85</v>
      </c>
      <c r="D758">
        <v>1</v>
      </c>
      <c r="E758">
        <v>1</v>
      </c>
      <c r="F758">
        <v>2</v>
      </c>
      <c r="G758">
        <v>45.016539999999999</v>
      </c>
      <c r="H758">
        <v>2</v>
      </c>
      <c r="I758" t="s">
        <v>89</v>
      </c>
      <c r="J758">
        <v>4</v>
      </c>
      <c r="K758">
        <v>300</v>
      </c>
      <c r="L758">
        <v>50</v>
      </c>
      <c r="N758" t="s">
        <v>91</v>
      </c>
      <c r="O758">
        <v>50</v>
      </c>
      <c r="P758">
        <v>0.25</v>
      </c>
      <c r="Q758">
        <v>3.2500000000000001E-2</v>
      </c>
      <c r="R758">
        <v>77.5</v>
      </c>
      <c r="S758">
        <v>170</v>
      </c>
      <c r="T758">
        <v>20</v>
      </c>
      <c r="U758">
        <v>1812.1301775147931</v>
      </c>
      <c r="V758">
        <v>20</v>
      </c>
      <c r="W758">
        <v>0.95</v>
      </c>
      <c r="X758">
        <v>1</v>
      </c>
      <c r="Y758">
        <v>58197.4808459388</v>
      </c>
      <c r="Z758">
        <v>174592442.53781641</v>
      </c>
      <c r="AA758">
        <v>698369770.1512655</v>
      </c>
      <c r="AB758">
        <v>698369.77015126555</v>
      </c>
      <c r="AC758">
        <v>0</v>
      </c>
      <c r="AD758">
        <v>1809.523139841044</v>
      </c>
      <c r="AE758">
        <v>3257141.6517138788</v>
      </c>
      <c r="AF758">
        <v>1628570.8258569399</v>
      </c>
      <c r="AG758">
        <v>73.312623725021965</v>
      </c>
      <c r="AH758">
        <v>358.36701022981953</v>
      </c>
      <c r="AI758">
        <v>71.673402045963897</v>
      </c>
      <c r="AJ758">
        <v>22697.017529916131</v>
      </c>
      <c r="AK758">
        <v>854.70085470085473</v>
      </c>
      <c r="AL758" t="s">
        <v>93</v>
      </c>
      <c r="AM758">
        <v>27773.443292811011</v>
      </c>
      <c r="AN758">
        <v>649.47095997759811</v>
      </c>
      <c r="AO758">
        <v>12184.47834781386</v>
      </c>
      <c r="AP758">
        <v>51974.632637405593</v>
      </c>
      <c r="AQ758">
        <v>39790.154289591723</v>
      </c>
      <c r="AR758">
        <v>1.393677030777778E-2</v>
      </c>
      <c r="AS758">
        <v>296.2966729223233</v>
      </c>
      <c r="AT758">
        <v>362.56652806520202</v>
      </c>
      <c r="AU758">
        <v>8.4784745109081658</v>
      </c>
      <c r="AV758">
        <v>159.0614445705402</v>
      </c>
      <c r="AW758">
        <v>678.49930972319157</v>
      </c>
      <c r="AX758">
        <v>519.43786515265128</v>
      </c>
      <c r="AY758">
        <v>0.97764066274307149</v>
      </c>
      <c r="AZ758" t="s">
        <v>96</v>
      </c>
      <c r="BA758" t="str">
        <f>VLOOKUP($AZ758,Sheet1!$A$2:$B$58,2)</f>
        <v>1,3-Butanediol (PW1)</v>
      </c>
      <c r="BB758" t="s">
        <v>153</v>
      </c>
      <c r="BC758">
        <v>90.119200000000006</v>
      </c>
      <c r="BD758">
        <v>5.5</v>
      </c>
      <c r="BE758">
        <v>207</v>
      </c>
      <c r="BF758" t="s">
        <v>211</v>
      </c>
      <c r="BG758">
        <v>0.73252980496941833</v>
      </c>
      <c r="BH758">
        <v>0.18181818181818199</v>
      </c>
      <c r="BI758">
        <v>0.34100539211049102</v>
      </c>
      <c r="BJ758">
        <v>80</v>
      </c>
      <c r="BK758">
        <v>2487.128229571174</v>
      </c>
      <c r="BL758">
        <v>1904.0676378232511</v>
      </c>
      <c r="BM758">
        <v>2.8511402973287772</v>
      </c>
      <c r="BN758">
        <v>484.69385054589202</v>
      </c>
      <c r="BO758">
        <v>2002.4343790252819</v>
      </c>
    </row>
    <row r="759" spans="1:67" x14ac:dyDescent="0.25">
      <c r="A759" s="1">
        <v>757</v>
      </c>
      <c r="B759" t="s">
        <v>75</v>
      </c>
      <c r="C759" t="s">
        <v>85</v>
      </c>
      <c r="D759">
        <v>1</v>
      </c>
      <c r="E759">
        <v>1</v>
      </c>
      <c r="F759">
        <v>2</v>
      </c>
      <c r="G759">
        <v>45.016539999999999</v>
      </c>
      <c r="H759">
        <v>2</v>
      </c>
      <c r="I759" t="s">
        <v>89</v>
      </c>
      <c r="J759">
        <v>4</v>
      </c>
      <c r="K759">
        <v>300</v>
      </c>
      <c r="L759">
        <v>50</v>
      </c>
      <c r="N759" t="s">
        <v>91</v>
      </c>
      <c r="O759">
        <v>50</v>
      </c>
      <c r="P759">
        <v>0.25</v>
      </c>
      <c r="Q759">
        <v>3.2500000000000001E-2</v>
      </c>
      <c r="R759">
        <v>77.5</v>
      </c>
      <c r="S759">
        <v>170</v>
      </c>
      <c r="T759">
        <v>20</v>
      </c>
      <c r="U759">
        <v>1812.1301775147931</v>
      </c>
      <c r="V759">
        <v>20</v>
      </c>
      <c r="W759">
        <v>0.95</v>
      </c>
      <c r="X759">
        <v>1</v>
      </c>
      <c r="Y759">
        <v>58196.996371592482</v>
      </c>
      <c r="Z759">
        <v>174590989.11477739</v>
      </c>
      <c r="AA759">
        <v>698363956.45910978</v>
      </c>
      <c r="AB759">
        <v>698363.95645910979</v>
      </c>
      <c r="AC759">
        <v>0</v>
      </c>
      <c r="AD759">
        <v>1809.508076172865</v>
      </c>
      <c r="AE759">
        <v>3257114.537111158</v>
      </c>
      <c r="AF759">
        <v>1628557.268555579</v>
      </c>
      <c r="AG759">
        <v>73.312013422222961</v>
      </c>
      <c r="AH759">
        <v>358.3640269456551</v>
      </c>
      <c r="AI759">
        <v>71.672805389131028</v>
      </c>
      <c r="AJ759">
        <v>22696.82858492107</v>
      </c>
      <c r="AK759">
        <v>854.70085470085473</v>
      </c>
      <c r="AL759" t="s">
        <v>93</v>
      </c>
      <c r="AM759">
        <v>27773.21208828827</v>
      </c>
      <c r="AN759">
        <v>649.46555335149992</v>
      </c>
      <c r="AO759">
        <v>12184.37691615227</v>
      </c>
      <c r="AP759">
        <v>51974.207081261688</v>
      </c>
      <c r="AQ759">
        <v>39789.830165109423</v>
      </c>
      <c r="AR759">
        <v>1.393677030777778E-2</v>
      </c>
      <c r="AS759">
        <v>296.29667292232318</v>
      </c>
      <c r="AT759">
        <v>362.56652806520208</v>
      </c>
      <c r="AU759">
        <v>8.4784745109081623</v>
      </c>
      <c r="AV759">
        <v>159.06144457054029</v>
      </c>
      <c r="AW759">
        <v>678.49940260749656</v>
      </c>
      <c r="AX759">
        <v>519.43795803695627</v>
      </c>
      <c r="AY759">
        <v>0.97764066274307171</v>
      </c>
      <c r="AZ759" t="s">
        <v>97</v>
      </c>
      <c r="BA759" t="str">
        <f>VLOOKUP($AZ759,Sheet1!$A$2:$B$58,2)</f>
        <v>1,3-Butanediol (PW2)</v>
      </c>
      <c r="BB759" t="s">
        <v>153</v>
      </c>
      <c r="BC759">
        <v>90.119200000000006</v>
      </c>
      <c r="BD759">
        <v>5.5</v>
      </c>
      <c r="BE759">
        <v>207</v>
      </c>
      <c r="BF759" t="s">
        <v>211</v>
      </c>
      <c r="BG759">
        <v>0.73252980496941833</v>
      </c>
      <c r="BH759">
        <v>0.18181818181818199</v>
      </c>
      <c r="BI759">
        <v>0.34100823088868798</v>
      </c>
      <c r="BJ759">
        <v>80</v>
      </c>
      <c r="BK759">
        <v>2487.1078655465521</v>
      </c>
      <c r="BL759">
        <v>1904.052127580871</v>
      </c>
      <c r="BM759">
        <v>2.851110464487133</v>
      </c>
      <c r="BN759">
        <v>484.68877896281259</v>
      </c>
      <c r="BO759">
        <v>2002.419086583739</v>
      </c>
    </row>
    <row r="760" spans="1:67" x14ac:dyDescent="0.25">
      <c r="A760" s="1">
        <v>758</v>
      </c>
      <c r="B760" t="s">
        <v>75</v>
      </c>
      <c r="C760" t="s">
        <v>85</v>
      </c>
      <c r="D760">
        <v>1</v>
      </c>
      <c r="E760">
        <v>1</v>
      </c>
      <c r="F760">
        <v>2</v>
      </c>
      <c r="G760">
        <v>45.016539999999999</v>
      </c>
      <c r="H760">
        <v>2</v>
      </c>
      <c r="I760" t="s">
        <v>89</v>
      </c>
      <c r="J760">
        <v>4</v>
      </c>
      <c r="K760">
        <v>300</v>
      </c>
      <c r="L760">
        <v>50</v>
      </c>
      <c r="N760" t="s">
        <v>91</v>
      </c>
      <c r="O760">
        <v>50</v>
      </c>
      <c r="P760">
        <v>0.25</v>
      </c>
      <c r="Q760">
        <v>3.2500000000000001E-2</v>
      </c>
      <c r="R760">
        <v>77.5</v>
      </c>
      <c r="S760">
        <v>170</v>
      </c>
      <c r="T760">
        <v>20</v>
      </c>
      <c r="U760">
        <v>1812.1301775147931</v>
      </c>
      <c r="V760">
        <v>20</v>
      </c>
      <c r="W760">
        <v>0.95</v>
      </c>
      <c r="X760">
        <v>1</v>
      </c>
      <c r="Y760">
        <v>89457.487505284123</v>
      </c>
      <c r="Z760">
        <v>268372462.5158523</v>
      </c>
      <c r="AA760">
        <v>1073489850.063409</v>
      </c>
      <c r="AB760">
        <v>1073489.850063409</v>
      </c>
      <c r="AC760">
        <v>0</v>
      </c>
      <c r="AD760">
        <v>2781.484547438944</v>
      </c>
      <c r="AE760">
        <v>5006672.185390099</v>
      </c>
      <c r="AF760">
        <v>2503336.092695049</v>
      </c>
      <c r="AG760">
        <v>112.69152935025041</v>
      </c>
      <c r="AH760">
        <v>550.85910719754554</v>
      </c>
      <c r="AI760">
        <v>110.1718214395091</v>
      </c>
      <c r="AJ760">
        <v>34888.42012706081</v>
      </c>
      <c r="AK760">
        <v>854.70085470085473</v>
      </c>
      <c r="AL760" t="s">
        <v>93</v>
      </c>
      <c r="AM760">
        <v>42691.580807809783</v>
      </c>
      <c r="AN760">
        <v>998.32569112474346</v>
      </c>
      <c r="AO760">
        <v>18729.20964471655</v>
      </c>
      <c r="AP760">
        <v>79433.027480696197</v>
      </c>
      <c r="AQ760">
        <v>60703.817835979637</v>
      </c>
      <c r="AR760">
        <v>1.393677030777778E-2</v>
      </c>
      <c r="AS760">
        <v>296.29667292232341</v>
      </c>
      <c r="AT760">
        <v>362.56652806520202</v>
      </c>
      <c r="AU760">
        <v>8.4784745109081658</v>
      </c>
      <c r="AV760">
        <v>159.0614445705402</v>
      </c>
      <c r="AW760">
        <v>674.60038823662671</v>
      </c>
      <c r="AX760">
        <v>515.53894366608642</v>
      </c>
      <c r="AY760">
        <v>0.97764066274307182</v>
      </c>
      <c r="AZ760" t="s">
        <v>98</v>
      </c>
      <c r="BA760" t="str">
        <f>VLOOKUP($AZ760,Sheet1!$A$2:$B$58,2)</f>
        <v>1,3-Diaminopropane</v>
      </c>
      <c r="BB760" t="s">
        <v>154</v>
      </c>
      <c r="BC760">
        <v>76.139580000000009</v>
      </c>
      <c r="BD760">
        <v>6</v>
      </c>
      <c r="BE760">
        <v>139.30000000000001</v>
      </c>
      <c r="BF760" t="s">
        <v>211</v>
      </c>
      <c r="BG760">
        <v>0.57801737283026766</v>
      </c>
      <c r="BH760">
        <v>0.14000000000000001</v>
      </c>
      <c r="BI760">
        <v>0.221844535646498</v>
      </c>
      <c r="BJ760">
        <v>80</v>
      </c>
      <c r="BK760">
        <v>3801.0874725329058</v>
      </c>
      <c r="BL760">
        <v>2904.8436000671932</v>
      </c>
      <c r="BM760">
        <v>4.9305736991451878</v>
      </c>
      <c r="BN760">
        <v>838.19752885468188</v>
      </c>
      <c r="BO760">
        <v>2962.889943678224</v>
      </c>
    </row>
    <row r="761" spans="1:67" x14ac:dyDescent="0.25">
      <c r="A761" s="1">
        <v>759</v>
      </c>
      <c r="B761" t="s">
        <v>75</v>
      </c>
      <c r="C761" t="s">
        <v>85</v>
      </c>
      <c r="D761">
        <v>1</v>
      </c>
      <c r="E761">
        <v>1</v>
      </c>
      <c r="F761">
        <v>2</v>
      </c>
      <c r="G761">
        <v>45.016539999999999</v>
      </c>
      <c r="H761">
        <v>2</v>
      </c>
      <c r="I761" t="s">
        <v>89</v>
      </c>
      <c r="J761">
        <v>4</v>
      </c>
      <c r="K761">
        <v>300</v>
      </c>
      <c r="L761">
        <v>50</v>
      </c>
      <c r="N761" t="s">
        <v>91</v>
      </c>
      <c r="O761">
        <v>50</v>
      </c>
      <c r="P761">
        <v>0.25</v>
      </c>
      <c r="Q761">
        <v>3.2500000000000001E-2</v>
      </c>
      <c r="R761">
        <v>77.5</v>
      </c>
      <c r="S761">
        <v>170</v>
      </c>
      <c r="T761">
        <v>20</v>
      </c>
      <c r="U761">
        <v>1812.1301775147931</v>
      </c>
      <c r="V761">
        <v>20</v>
      </c>
      <c r="W761">
        <v>0.95</v>
      </c>
      <c r="X761">
        <v>1</v>
      </c>
      <c r="Y761">
        <v>50126.977746970573</v>
      </c>
      <c r="Z761">
        <v>150380933.24091169</v>
      </c>
      <c r="AA761">
        <v>601523732.96364677</v>
      </c>
      <c r="AB761">
        <v>601523.73296364676</v>
      </c>
      <c r="AC761">
        <v>0</v>
      </c>
      <c r="AD761">
        <v>1558.588530722805</v>
      </c>
      <c r="AE761">
        <v>2805459.3553010491</v>
      </c>
      <c r="AF761">
        <v>1402729.6776505241</v>
      </c>
      <c r="AG761">
        <v>63.146036643141933</v>
      </c>
      <c r="AH761">
        <v>308.67066556699791</v>
      </c>
      <c r="AI761">
        <v>61.734133113399572</v>
      </c>
      <c r="AJ761">
        <v>19549.52132131852</v>
      </c>
      <c r="AK761">
        <v>854.70085470085473</v>
      </c>
      <c r="AL761" t="s">
        <v>93</v>
      </c>
      <c r="AM761">
        <v>23921.97658144233</v>
      </c>
      <c r="AN761">
        <v>559.40593793541382</v>
      </c>
      <c r="AO761">
        <v>10494.80262927793</v>
      </c>
      <c r="AP761">
        <v>44885.604695397124</v>
      </c>
      <c r="AQ761">
        <v>34390.802066119191</v>
      </c>
      <c r="AR761">
        <v>1.393677030777778E-2</v>
      </c>
      <c r="AS761">
        <v>296.29667292232318</v>
      </c>
      <c r="AT761">
        <v>362.56652806520208</v>
      </c>
      <c r="AU761">
        <v>8.4784745109081658</v>
      </c>
      <c r="AV761">
        <v>159.0614445705402</v>
      </c>
      <c r="AW761">
        <v>680.29570211777423</v>
      </c>
      <c r="AX761">
        <v>521.23425754723394</v>
      </c>
      <c r="AY761">
        <v>0.97764066274307171</v>
      </c>
      <c r="AZ761" t="s">
        <v>99</v>
      </c>
      <c r="BA761" t="str">
        <f>VLOOKUP($AZ761,Sheet1!$A$2:$B$58,2)</f>
        <v>1,3-Propanediol</v>
      </c>
      <c r="BB761" t="s">
        <v>155</v>
      </c>
      <c r="BC761">
        <v>76.092820000000003</v>
      </c>
      <c r="BD761">
        <v>5.333333333333333</v>
      </c>
      <c r="BE761">
        <v>213</v>
      </c>
      <c r="BF761" t="s">
        <v>211</v>
      </c>
      <c r="BG761">
        <v>0.57837257181426571</v>
      </c>
      <c r="BH761">
        <v>0.25</v>
      </c>
      <c r="BI761">
        <v>0.39590766624488</v>
      </c>
      <c r="BJ761">
        <v>80</v>
      </c>
      <c r="BK761">
        <v>2147.8988667050471</v>
      </c>
      <c r="BL761">
        <v>1645.693876336926</v>
      </c>
      <c r="BM761">
        <v>2.508334083855714</v>
      </c>
      <c r="BN761">
        <v>426.4167942554713</v>
      </c>
      <c r="BO761">
        <v>1721.4820724495751</v>
      </c>
    </row>
    <row r="762" spans="1:67" x14ac:dyDescent="0.25">
      <c r="A762" s="1">
        <v>760</v>
      </c>
      <c r="B762" t="s">
        <v>75</v>
      </c>
      <c r="C762" t="s">
        <v>85</v>
      </c>
      <c r="D762">
        <v>1</v>
      </c>
      <c r="E762">
        <v>1</v>
      </c>
      <c r="F762">
        <v>2</v>
      </c>
      <c r="G762">
        <v>45.016539999999999</v>
      </c>
      <c r="H762">
        <v>2</v>
      </c>
      <c r="I762" t="s">
        <v>89</v>
      </c>
      <c r="J762">
        <v>4</v>
      </c>
      <c r="K762">
        <v>300</v>
      </c>
      <c r="L762">
        <v>50</v>
      </c>
      <c r="N762" t="s">
        <v>91</v>
      </c>
      <c r="O762">
        <v>50</v>
      </c>
      <c r="P762">
        <v>0.25</v>
      </c>
      <c r="Q762">
        <v>3.2500000000000001E-2</v>
      </c>
      <c r="R762">
        <v>77.5</v>
      </c>
      <c r="S762">
        <v>170</v>
      </c>
      <c r="T762">
        <v>20</v>
      </c>
      <c r="U762">
        <v>1812.1301775147931</v>
      </c>
      <c r="V762">
        <v>20</v>
      </c>
      <c r="W762">
        <v>0.95</v>
      </c>
      <c r="X762">
        <v>1</v>
      </c>
      <c r="Y762">
        <v>114824.2435903049</v>
      </c>
      <c r="Z762">
        <v>344472730.77091479</v>
      </c>
      <c r="AA762">
        <v>1377890923.0836589</v>
      </c>
      <c r="AB762">
        <v>1377890.923083659</v>
      </c>
      <c r="AC762">
        <v>0</v>
      </c>
      <c r="AD762">
        <v>3570.2082421992118</v>
      </c>
      <c r="AE762">
        <v>6426374.8359585823</v>
      </c>
      <c r="AF762">
        <v>3213187.4179792912</v>
      </c>
      <c r="AG762">
        <v>144.6465799289615</v>
      </c>
      <c r="AH762">
        <v>707.06189132634279</v>
      </c>
      <c r="AI762">
        <v>141.41237826526859</v>
      </c>
      <c r="AJ762">
        <v>44781.455000218928</v>
      </c>
      <c r="AK762">
        <v>854.70085470085473</v>
      </c>
      <c r="AL762" t="s">
        <v>93</v>
      </c>
      <c r="AM762">
        <v>54797.296577791567</v>
      </c>
      <c r="AN762">
        <v>1281.4130548143989</v>
      </c>
      <c r="AO762">
        <v>24040.10430509565</v>
      </c>
      <c r="AP762">
        <v>101714.86548752581</v>
      </c>
      <c r="AQ762">
        <v>77674.761182430113</v>
      </c>
      <c r="AR762">
        <v>1.393677030777778E-2</v>
      </c>
      <c r="AS762">
        <v>296.2966729223233</v>
      </c>
      <c r="AT762">
        <v>362.56652806520202</v>
      </c>
      <c r="AU762">
        <v>8.4784745109081658</v>
      </c>
      <c r="AV762">
        <v>159.0614445705402</v>
      </c>
      <c r="AW762">
        <v>672.99680706105221</v>
      </c>
      <c r="AX762">
        <v>513.93536249051203</v>
      </c>
      <c r="AY762">
        <v>0.97764066274307149</v>
      </c>
      <c r="AZ762" t="s">
        <v>100</v>
      </c>
      <c r="BA762" t="str">
        <f>VLOOKUP($AZ762,Sheet1!$A$2:$B$58,2)</f>
        <v>1,4-Butanediol</v>
      </c>
      <c r="BB762" t="s">
        <v>153</v>
      </c>
      <c r="BC762">
        <v>90.119200000000006</v>
      </c>
      <c r="BD762">
        <v>5.5</v>
      </c>
      <c r="BE762">
        <v>230</v>
      </c>
      <c r="BF762" t="s">
        <v>211</v>
      </c>
      <c r="BG762">
        <v>0.73252980496941933</v>
      </c>
      <c r="BH762">
        <v>9.2151898734177007E-2</v>
      </c>
      <c r="BI762">
        <v>0.17283505778206401</v>
      </c>
      <c r="BJ762">
        <v>80</v>
      </c>
      <c r="BK762">
        <v>4867.3343222246176</v>
      </c>
      <c r="BL762">
        <v>3716.9496244401821</v>
      </c>
      <c r="BM762">
        <v>6.3380891082940094</v>
      </c>
      <c r="BN762">
        <v>1077.475148409982</v>
      </c>
      <c r="BO762">
        <v>3789.8591738146361</v>
      </c>
    </row>
    <row r="763" spans="1:67" x14ac:dyDescent="0.25">
      <c r="A763" s="1">
        <v>761</v>
      </c>
      <c r="B763" t="s">
        <v>75</v>
      </c>
      <c r="C763" t="s">
        <v>85</v>
      </c>
      <c r="D763">
        <v>1</v>
      </c>
      <c r="E763">
        <v>1</v>
      </c>
      <c r="F763">
        <v>2</v>
      </c>
      <c r="G763">
        <v>45.016539999999999</v>
      </c>
      <c r="H763">
        <v>2</v>
      </c>
      <c r="I763" t="s">
        <v>89</v>
      </c>
      <c r="J763">
        <v>4</v>
      </c>
      <c r="K763">
        <v>300</v>
      </c>
      <c r="L763">
        <v>50</v>
      </c>
      <c r="N763" t="s">
        <v>91</v>
      </c>
      <c r="O763">
        <v>50</v>
      </c>
      <c r="P763">
        <v>0.25</v>
      </c>
      <c r="Q763">
        <v>3.2500000000000001E-2</v>
      </c>
      <c r="R763">
        <v>77.5</v>
      </c>
      <c r="S763">
        <v>170</v>
      </c>
      <c r="T763">
        <v>20</v>
      </c>
      <c r="U763">
        <v>1812.1301775147931</v>
      </c>
      <c r="V763">
        <v>20</v>
      </c>
      <c r="W763">
        <v>0.95</v>
      </c>
      <c r="X763">
        <v>1</v>
      </c>
      <c r="Y763">
        <v>115523.3801031394</v>
      </c>
      <c r="Z763">
        <v>346570140.3094182</v>
      </c>
      <c r="AA763">
        <v>1386280561.237673</v>
      </c>
      <c r="AB763">
        <v>1386280.561237673</v>
      </c>
      <c r="AC763">
        <v>0</v>
      </c>
      <c r="AD763">
        <v>3591.9463600608901</v>
      </c>
      <c r="AE763">
        <v>6465503.4481096026</v>
      </c>
      <c r="AF763">
        <v>3232751.7240548008</v>
      </c>
      <c r="AG763">
        <v>145.5272972959819</v>
      </c>
      <c r="AH763">
        <v>711.36701687825882</v>
      </c>
      <c r="AI763">
        <v>142.27340337565181</v>
      </c>
      <c r="AJ763">
        <v>45054.118240224358</v>
      </c>
      <c r="AK763">
        <v>854.70085470085473</v>
      </c>
      <c r="AL763" t="s">
        <v>93</v>
      </c>
      <c r="AM763">
        <v>55130.943808065058</v>
      </c>
      <c r="AN763">
        <v>1289.215263012173</v>
      </c>
      <c r="AO763">
        <v>24186.478573860801</v>
      </c>
      <c r="AP763">
        <v>102328.9781660025</v>
      </c>
      <c r="AQ763">
        <v>78142.499592141656</v>
      </c>
      <c r="AR763">
        <v>1.393677030777777E-2</v>
      </c>
      <c r="AS763">
        <v>296.29667292232318</v>
      </c>
      <c r="AT763">
        <v>362.56652806520202</v>
      </c>
      <c r="AU763">
        <v>8.4784745109081623</v>
      </c>
      <c r="AV763">
        <v>159.0614445705402</v>
      </c>
      <c r="AW763">
        <v>672.96258274250499</v>
      </c>
      <c r="AX763">
        <v>513.90113817196482</v>
      </c>
      <c r="AY763">
        <v>0.9776406627430716</v>
      </c>
      <c r="AZ763" t="s">
        <v>101</v>
      </c>
      <c r="BA763" t="str">
        <f>VLOOKUP($AZ763,Sheet1!$A$2:$B$58,2)</f>
        <v>1-Propanol (PW1)</v>
      </c>
      <c r="BB763" t="s">
        <v>156</v>
      </c>
      <c r="BC763">
        <v>60.093820000000001</v>
      </c>
      <c r="BD763">
        <v>6</v>
      </c>
      <c r="BE763">
        <v>97</v>
      </c>
      <c r="BF763" t="s">
        <v>211</v>
      </c>
      <c r="BG763">
        <v>1.098532261720085</v>
      </c>
      <c r="BH763">
        <v>0.13735849056603799</v>
      </c>
      <c r="BI763">
        <v>0.17178907644490601</v>
      </c>
      <c r="BJ763">
        <v>80</v>
      </c>
      <c r="BK763">
        <v>4896.7212923920169</v>
      </c>
      <c r="BL763">
        <v>3739.3321857747501</v>
      </c>
      <c r="BM763">
        <v>6.0151379070625026</v>
      </c>
      <c r="BN763">
        <v>1022.573444200625</v>
      </c>
      <c r="BO763">
        <v>3874.1478481913909</v>
      </c>
    </row>
    <row r="764" spans="1:67" x14ac:dyDescent="0.25">
      <c r="A764" s="1">
        <v>762</v>
      </c>
      <c r="B764" t="s">
        <v>75</v>
      </c>
      <c r="C764" t="s">
        <v>85</v>
      </c>
      <c r="D764">
        <v>1</v>
      </c>
      <c r="E764">
        <v>1</v>
      </c>
      <c r="F764">
        <v>2</v>
      </c>
      <c r="G764">
        <v>45.016539999999999</v>
      </c>
      <c r="H764">
        <v>2</v>
      </c>
      <c r="I764" t="s">
        <v>89</v>
      </c>
      <c r="J764">
        <v>4</v>
      </c>
      <c r="K764">
        <v>300</v>
      </c>
      <c r="L764">
        <v>50</v>
      </c>
      <c r="N764" t="s">
        <v>91</v>
      </c>
      <c r="O764">
        <v>50</v>
      </c>
      <c r="P764">
        <v>0.25</v>
      </c>
      <c r="Q764">
        <v>3.2500000000000001E-2</v>
      </c>
      <c r="R764">
        <v>77.5</v>
      </c>
      <c r="S764">
        <v>170</v>
      </c>
      <c r="T764">
        <v>20</v>
      </c>
      <c r="U764">
        <v>1812.1301775147931</v>
      </c>
      <c r="V764">
        <v>20</v>
      </c>
      <c r="W764">
        <v>0.95</v>
      </c>
      <c r="X764">
        <v>1</v>
      </c>
      <c r="Y764">
        <v>71929.651762331967</v>
      </c>
      <c r="Z764">
        <v>215788955.28699589</v>
      </c>
      <c r="AA764">
        <v>863155821.14798355</v>
      </c>
      <c r="AB764">
        <v>863155.82114798354</v>
      </c>
      <c r="AC764">
        <v>0</v>
      </c>
      <c r="AD764">
        <v>2236.4949034341348</v>
      </c>
      <c r="AE764">
        <v>4025690.8261814439</v>
      </c>
      <c r="AF764">
        <v>2012845.4130907219</v>
      </c>
      <c r="AG764">
        <v>90.611336052215009</v>
      </c>
      <c r="AH764">
        <v>442.92663315061333</v>
      </c>
      <c r="AI764">
        <v>88.585326630122665</v>
      </c>
      <c r="AJ764">
        <v>28052.564187309461</v>
      </c>
      <c r="AK764">
        <v>854.70085470085473</v>
      </c>
      <c r="AL764" t="s">
        <v>93</v>
      </c>
      <c r="AM764">
        <v>34326.814069172528</v>
      </c>
      <c r="AN764">
        <v>802.71893734720095</v>
      </c>
      <c r="AO764">
        <v>15059.505527120849</v>
      </c>
      <c r="AP764">
        <v>64036.79804853005</v>
      </c>
      <c r="AQ764">
        <v>48977.292521409203</v>
      </c>
      <c r="AR764">
        <v>1.393677030777777E-2</v>
      </c>
      <c r="AS764">
        <v>296.29667292232318</v>
      </c>
      <c r="AT764">
        <v>362.56652806520208</v>
      </c>
      <c r="AU764">
        <v>8.4784745109081641</v>
      </c>
      <c r="AV764">
        <v>159.0614445705402</v>
      </c>
      <c r="AW764">
        <v>676.36919319345736</v>
      </c>
      <c r="AX764">
        <v>517.30774862291719</v>
      </c>
      <c r="AY764">
        <v>0.97764066274307171</v>
      </c>
      <c r="AZ764" t="s">
        <v>102</v>
      </c>
      <c r="BA764" t="str">
        <f>VLOOKUP($AZ764,Sheet1!$A$2:$B$58,2)</f>
        <v>1-Propanol (PW2)</v>
      </c>
      <c r="BB764" t="s">
        <v>156</v>
      </c>
      <c r="BC764">
        <v>60.093820000000001</v>
      </c>
      <c r="BD764">
        <v>6</v>
      </c>
      <c r="BE764">
        <v>97</v>
      </c>
      <c r="BF764" t="s">
        <v>211</v>
      </c>
      <c r="BG764">
        <v>1.098532261720089</v>
      </c>
      <c r="BH764">
        <v>0.220606060606061</v>
      </c>
      <c r="BI764">
        <v>0.27590366822969797</v>
      </c>
      <c r="BJ764">
        <v>80</v>
      </c>
      <c r="BK764">
        <v>3064.3358129908952</v>
      </c>
      <c r="BL764">
        <v>2343.6973126442949</v>
      </c>
      <c r="BM764">
        <v>3.3307340697860441</v>
      </c>
      <c r="BN764">
        <v>566.2247918636275</v>
      </c>
      <c r="BO764">
        <v>2498.1110211272671</v>
      </c>
    </row>
    <row r="765" spans="1:67" x14ac:dyDescent="0.25">
      <c r="A765" s="1">
        <v>763</v>
      </c>
      <c r="B765" t="s">
        <v>75</v>
      </c>
      <c r="C765" t="s">
        <v>85</v>
      </c>
      <c r="D765">
        <v>1</v>
      </c>
      <c r="E765">
        <v>1</v>
      </c>
      <c r="F765">
        <v>2</v>
      </c>
      <c r="G765">
        <v>45.016539999999999</v>
      </c>
      <c r="H765">
        <v>2</v>
      </c>
      <c r="I765" t="s">
        <v>89</v>
      </c>
      <c r="J765">
        <v>4</v>
      </c>
      <c r="K765">
        <v>300</v>
      </c>
      <c r="L765">
        <v>50</v>
      </c>
      <c r="N765" t="s">
        <v>91</v>
      </c>
      <c r="O765">
        <v>50</v>
      </c>
      <c r="P765">
        <v>0.25</v>
      </c>
      <c r="Q765">
        <v>3.2500000000000001E-2</v>
      </c>
      <c r="R765">
        <v>77.5</v>
      </c>
      <c r="S765">
        <v>170</v>
      </c>
      <c r="T765">
        <v>20</v>
      </c>
      <c r="U765">
        <v>1812.1301775147931</v>
      </c>
      <c r="V765">
        <v>20</v>
      </c>
      <c r="W765">
        <v>0.95</v>
      </c>
      <c r="X765">
        <v>1</v>
      </c>
      <c r="Y765">
        <v>58196.996371592482</v>
      </c>
      <c r="Z765">
        <v>174590989.11477739</v>
      </c>
      <c r="AA765">
        <v>698363956.45910978</v>
      </c>
      <c r="AB765">
        <v>698363.95645910979</v>
      </c>
      <c r="AC765">
        <v>0</v>
      </c>
      <c r="AD765">
        <v>1809.508076172865</v>
      </c>
      <c r="AE765">
        <v>3257114.537111158</v>
      </c>
      <c r="AF765">
        <v>1628557.268555579</v>
      </c>
      <c r="AG765">
        <v>73.312013422222961</v>
      </c>
      <c r="AH765">
        <v>358.3640269456551</v>
      </c>
      <c r="AI765">
        <v>71.672805389131028</v>
      </c>
      <c r="AJ765">
        <v>22696.82858492107</v>
      </c>
      <c r="AK765">
        <v>854.70085470085473</v>
      </c>
      <c r="AL765" t="s">
        <v>93</v>
      </c>
      <c r="AM765">
        <v>27773.21208828827</v>
      </c>
      <c r="AN765">
        <v>649.46555335149992</v>
      </c>
      <c r="AO765">
        <v>12184.37691615227</v>
      </c>
      <c r="AP765">
        <v>51974.207081261688</v>
      </c>
      <c r="AQ765">
        <v>39789.830165109423</v>
      </c>
      <c r="AR765">
        <v>1.393677030777778E-2</v>
      </c>
      <c r="AS765">
        <v>296.29667292232318</v>
      </c>
      <c r="AT765">
        <v>362.56652806520208</v>
      </c>
      <c r="AU765">
        <v>8.4784745109081623</v>
      </c>
      <c r="AV765">
        <v>159.06144457054029</v>
      </c>
      <c r="AW765">
        <v>678.49940260749656</v>
      </c>
      <c r="AX765">
        <v>519.43795803695627</v>
      </c>
      <c r="AY765">
        <v>0.97764066274307171</v>
      </c>
      <c r="AZ765" t="s">
        <v>103</v>
      </c>
      <c r="BA765" t="str">
        <f>VLOOKUP($AZ765,Sheet1!$A$2:$B$58,2)</f>
        <v>2,3-Butanediol</v>
      </c>
      <c r="BB765" t="s">
        <v>153</v>
      </c>
      <c r="BC765">
        <v>90.119200000000006</v>
      </c>
      <c r="BD765">
        <v>5.5</v>
      </c>
      <c r="BE765">
        <v>177</v>
      </c>
      <c r="BF765" t="s">
        <v>211</v>
      </c>
      <c r="BG765">
        <v>0.73252980496941833</v>
      </c>
      <c r="BH765">
        <v>0.18181818181818199</v>
      </c>
      <c r="BI765">
        <v>0.34100823088868798</v>
      </c>
      <c r="BJ765">
        <v>80</v>
      </c>
      <c r="BK765">
        <v>2487.1078655465521</v>
      </c>
      <c r="BL765">
        <v>1904.052127580871</v>
      </c>
      <c r="BM765">
        <v>2.851110464487133</v>
      </c>
      <c r="BN765">
        <v>484.68877896281259</v>
      </c>
      <c r="BO765">
        <v>2002.419086583739</v>
      </c>
    </row>
    <row r="766" spans="1:67" x14ac:dyDescent="0.25">
      <c r="A766" s="1">
        <v>764</v>
      </c>
      <c r="B766" t="s">
        <v>75</v>
      </c>
      <c r="C766" t="s">
        <v>85</v>
      </c>
      <c r="D766">
        <v>1</v>
      </c>
      <c r="E766">
        <v>1</v>
      </c>
      <c r="F766">
        <v>2</v>
      </c>
      <c r="G766">
        <v>45.016539999999999</v>
      </c>
      <c r="H766">
        <v>2</v>
      </c>
      <c r="I766" t="s">
        <v>89</v>
      </c>
      <c r="J766">
        <v>4</v>
      </c>
      <c r="K766">
        <v>300</v>
      </c>
      <c r="L766">
        <v>50</v>
      </c>
      <c r="N766" t="s">
        <v>91</v>
      </c>
      <c r="O766">
        <v>50</v>
      </c>
      <c r="P766">
        <v>0.25</v>
      </c>
      <c r="Q766">
        <v>3.2500000000000001E-2</v>
      </c>
      <c r="R766">
        <v>77.5</v>
      </c>
      <c r="S766">
        <v>170</v>
      </c>
      <c r="T766">
        <v>20</v>
      </c>
      <c r="U766">
        <v>1812.1301775147931</v>
      </c>
      <c r="V766">
        <v>20</v>
      </c>
      <c r="W766">
        <v>0.95</v>
      </c>
      <c r="X766">
        <v>1</v>
      </c>
      <c r="Y766">
        <v>81729.915966266344</v>
      </c>
      <c r="Z766">
        <v>245189747.898799</v>
      </c>
      <c r="AA766">
        <v>980758991.59519613</v>
      </c>
      <c r="AB766">
        <v>980758.99159519607</v>
      </c>
      <c r="AC766">
        <v>0</v>
      </c>
      <c r="AD766">
        <v>2541.212643717779</v>
      </c>
      <c r="AE766">
        <v>4574182.7586920029</v>
      </c>
      <c r="AF766">
        <v>2287091.379346001</v>
      </c>
      <c r="AG766">
        <v>102.9569405619845</v>
      </c>
      <c r="AH766">
        <v>503.27445802508748</v>
      </c>
      <c r="AI766">
        <v>100.6548916050175</v>
      </c>
      <c r="AJ766">
        <v>31874.667226843871</v>
      </c>
      <c r="AK766">
        <v>854.70085470085473</v>
      </c>
      <c r="AL766" t="s">
        <v>93</v>
      </c>
      <c r="AM766">
        <v>39003.770496944293</v>
      </c>
      <c r="AN766">
        <v>912.08770912295586</v>
      </c>
      <c r="AO766">
        <v>17111.331572852981</v>
      </c>
      <c r="AP766">
        <v>72645.226287611978</v>
      </c>
      <c r="AQ766">
        <v>55533.894714759001</v>
      </c>
      <c r="AR766">
        <v>1.393677030777778E-2</v>
      </c>
      <c r="AS766">
        <v>296.2966729223233</v>
      </c>
      <c r="AT766">
        <v>362.56652806520208</v>
      </c>
      <c r="AU766">
        <v>8.4784745109081641</v>
      </c>
      <c r="AV766">
        <v>159.0614445705402</v>
      </c>
      <c r="AW766">
        <v>675.2867002351453</v>
      </c>
      <c r="AX766">
        <v>516.22525566460513</v>
      </c>
      <c r="AY766">
        <v>0.9776406627430716</v>
      </c>
      <c r="AZ766" t="s">
        <v>104</v>
      </c>
      <c r="BA766" t="str">
        <f>VLOOKUP($AZ766,Sheet1!$A$2:$B$58,2)</f>
        <v>2-Methyl-1-Butanol</v>
      </c>
      <c r="BB766" t="s">
        <v>157</v>
      </c>
      <c r="BC766">
        <v>88.14658</v>
      </c>
      <c r="BD766">
        <v>6</v>
      </c>
      <c r="BE766">
        <v>129</v>
      </c>
      <c r="BF766" t="s">
        <v>211</v>
      </c>
      <c r="BG766">
        <v>1.2482049785709211</v>
      </c>
      <c r="BH766">
        <v>0.13236363636363599</v>
      </c>
      <c r="BI766">
        <v>0.24281995816444199</v>
      </c>
      <c r="BJ766">
        <v>80</v>
      </c>
      <c r="BK766">
        <v>3476.272632920422</v>
      </c>
      <c r="BL766">
        <v>2657.4486482027978</v>
      </c>
      <c r="BM766">
        <v>3.7845396016799531</v>
      </c>
      <c r="BN766">
        <v>643.37173228559197</v>
      </c>
      <c r="BO766">
        <v>2832.900900634831</v>
      </c>
    </row>
    <row r="767" spans="1:67" x14ac:dyDescent="0.25">
      <c r="A767" s="1">
        <v>765</v>
      </c>
      <c r="B767" t="s">
        <v>75</v>
      </c>
      <c r="C767" t="s">
        <v>85</v>
      </c>
      <c r="D767">
        <v>1</v>
      </c>
      <c r="E767">
        <v>1</v>
      </c>
      <c r="F767">
        <v>2</v>
      </c>
      <c r="G767">
        <v>45.016539999999999</v>
      </c>
      <c r="H767">
        <v>2</v>
      </c>
      <c r="I767" t="s">
        <v>89</v>
      </c>
      <c r="J767">
        <v>4</v>
      </c>
      <c r="K767">
        <v>300</v>
      </c>
      <c r="L767">
        <v>50</v>
      </c>
      <c r="N767" t="s">
        <v>91</v>
      </c>
      <c r="O767">
        <v>50</v>
      </c>
      <c r="P767">
        <v>0.25</v>
      </c>
      <c r="Q767">
        <v>3.2500000000000001E-2</v>
      </c>
      <c r="R767">
        <v>77.5</v>
      </c>
      <c r="S767">
        <v>170</v>
      </c>
      <c r="T767">
        <v>20</v>
      </c>
      <c r="U767">
        <v>1812.1301775147931</v>
      </c>
      <c r="V767">
        <v>20</v>
      </c>
      <c r="W767">
        <v>0.95</v>
      </c>
      <c r="X767">
        <v>1</v>
      </c>
      <c r="Y767">
        <v>99995.960670625005</v>
      </c>
      <c r="Z767">
        <v>299987882.01187497</v>
      </c>
      <c r="AA767">
        <v>1199951528.0474999</v>
      </c>
      <c r="AB767">
        <v>1199951.5280474999</v>
      </c>
      <c r="AC767">
        <v>0</v>
      </c>
      <c r="AD767">
        <v>3109.15527775388</v>
      </c>
      <c r="AE767">
        <v>5596479.4999569841</v>
      </c>
      <c r="AF767">
        <v>2798239.749978492</v>
      </c>
      <c r="AG767">
        <v>125.9670716344968</v>
      </c>
      <c r="AH767">
        <v>615.75265698276701</v>
      </c>
      <c r="AI767">
        <v>123.1505313965534</v>
      </c>
      <c r="AJ767">
        <v>38998.424661543759</v>
      </c>
      <c r="AK767">
        <v>854.70085470085473</v>
      </c>
      <c r="AL767" t="s">
        <v>93</v>
      </c>
      <c r="AM767">
        <v>47720.830916164443</v>
      </c>
      <c r="AN767">
        <v>1115.9327109459409</v>
      </c>
      <c r="AO767">
        <v>20935.59033741408</v>
      </c>
      <c r="AP767">
        <v>88689.889143355002</v>
      </c>
      <c r="AQ767">
        <v>67754.298805940925</v>
      </c>
      <c r="AR767">
        <v>1.393677030777778E-2</v>
      </c>
      <c r="AS767">
        <v>296.29667292232318</v>
      </c>
      <c r="AT767">
        <v>362.56652806520202</v>
      </c>
      <c r="AU767">
        <v>8.4784745109081605</v>
      </c>
      <c r="AV767">
        <v>159.0614445705402</v>
      </c>
      <c r="AW767">
        <v>673.83539984216191</v>
      </c>
      <c r="AX767">
        <v>514.77395527162173</v>
      </c>
      <c r="AY767">
        <v>0.97764066274307171</v>
      </c>
      <c r="AZ767" t="s">
        <v>106</v>
      </c>
      <c r="BA767" t="str">
        <f>VLOOKUP($AZ767,Sheet1!$A$2:$B$58,2)</f>
        <v>3-Methyl-1-Pentanol</v>
      </c>
      <c r="BB767" t="s">
        <v>159</v>
      </c>
      <c r="BC767">
        <v>102.17296</v>
      </c>
      <c r="BD767">
        <v>6</v>
      </c>
      <c r="BE767">
        <v>153</v>
      </c>
      <c r="BF767" t="s">
        <v>211</v>
      </c>
      <c r="BG767">
        <v>1.292220564031815</v>
      </c>
      <c r="BH767">
        <v>9.3333333333333005E-2</v>
      </c>
      <c r="BI767">
        <v>0.19846456439457</v>
      </c>
      <c r="BJ767">
        <v>80</v>
      </c>
      <c r="BK767">
        <v>4244.0536040888692</v>
      </c>
      <c r="BL767">
        <v>3242.228384963681</v>
      </c>
      <c r="BM767">
        <v>4.8653060057958566</v>
      </c>
      <c r="BN767">
        <v>827.10202098529578</v>
      </c>
      <c r="BO767">
        <v>3416.9515831035728</v>
      </c>
    </row>
    <row r="768" spans="1:67" x14ac:dyDescent="0.25">
      <c r="A768" s="1">
        <v>766</v>
      </c>
      <c r="B768" t="s">
        <v>75</v>
      </c>
      <c r="C768" t="s">
        <v>85</v>
      </c>
      <c r="D768">
        <v>1</v>
      </c>
      <c r="E768">
        <v>1</v>
      </c>
      <c r="F768">
        <v>2</v>
      </c>
      <c r="G768">
        <v>45.016539999999999</v>
      </c>
      <c r="H768">
        <v>2</v>
      </c>
      <c r="I768" t="s">
        <v>89</v>
      </c>
      <c r="J768">
        <v>4</v>
      </c>
      <c r="K768">
        <v>300</v>
      </c>
      <c r="L768">
        <v>50</v>
      </c>
      <c r="N768" t="s">
        <v>91</v>
      </c>
      <c r="O768">
        <v>50</v>
      </c>
      <c r="P768">
        <v>0.25</v>
      </c>
      <c r="Q768">
        <v>3.2500000000000001E-2</v>
      </c>
      <c r="R768">
        <v>77.5</v>
      </c>
      <c r="S768">
        <v>170</v>
      </c>
      <c r="T768">
        <v>20</v>
      </c>
      <c r="U768">
        <v>1812.1301775147931</v>
      </c>
      <c r="V768">
        <v>20</v>
      </c>
      <c r="W768">
        <v>0.95</v>
      </c>
      <c r="X768">
        <v>1</v>
      </c>
      <c r="Y768">
        <v>230034.08778187021</v>
      </c>
      <c r="Z768">
        <v>690102263.34561062</v>
      </c>
      <c r="AA768">
        <v>2760409053.382442</v>
      </c>
      <c r="AB768">
        <v>2760409.0533824419</v>
      </c>
      <c r="AC768">
        <v>0</v>
      </c>
      <c r="AD768">
        <v>7152.4058901351491</v>
      </c>
      <c r="AE768">
        <v>12874330.602243271</v>
      </c>
      <c r="AF768">
        <v>6437165.3011216344</v>
      </c>
      <c r="AG768">
        <v>289.7789092645541</v>
      </c>
      <c r="AH768">
        <v>1416.498224511816</v>
      </c>
      <c r="AI768">
        <v>283.29964490236313</v>
      </c>
      <c r="AJ768">
        <v>89713.294234929373</v>
      </c>
      <c r="AK768">
        <v>854.70085470085473</v>
      </c>
      <c r="AL768" t="s">
        <v>93</v>
      </c>
      <c r="AM768">
        <v>109778.6123996657</v>
      </c>
      <c r="AN768">
        <v>2567.129326692977</v>
      </c>
      <c r="AO768">
        <v>48160.939633401729</v>
      </c>
      <c r="AP768">
        <v>202913.7368159889</v>
      </c>
      <c r="AQ768">
        <v>154752.79718258721</v>
      </c>
      <c r="AR768">
        <v>1.393677030777777E-2</v>
      </c>
      <c r="AS768">
        <v>296.29667292232318</v>
      </c>
      <c r="AT768">
        <v>362.56652806520208</v>
      </c>
      <c r="AU768">
        <v>8.4784745109081623</v>
      </c>
      <c r="AV768">
        <v>159.0614445705402</v>
      </c>
      <c r="AW768">
        <v>670.16450149932189</v>
      </c>
      <c r="AX768">
        <v>511.10305692878171</v>
      </c>
      <c r="AY768">
        <v>0.97764066274307171</v>
      </c>
      <c r="AZ768" t="s">
        <v>107</v>
      </c>
      <c r="BA768" t="str">
        <f>VLOOKUP($AZ768,Sheet1!$A$2:$B$58,2)</f>
        <v>4-Hydroxystyrene</v>
      </c>
      <c r="BB768" t="s">
        <v>160</v>
      </c>
      <c r="BC768">
        <v>120.14731999999999</v>
      </c>
      <c r="BD768">
        <v>4.75</v>
      </c>
      <c r="BE768">
        <v>229</v>
      </c>
      <c r="BF768" t="s">
        <v>211</v>
      </c>
      <c r="BG768">
        <v>0.54945045798774583</v>
      </c>
      <c r="BH768">
        <v>3.4502369668246997E-2</v>
      </c>
      <c r="BI768">
        <v>8.6272669268612004E-2</v>
      </c>
      <c r="BJ768">
        <v>80</v>
      </c>
      <c r="BK768">
        <v>9709.9769136148552</v>
      </c>
      <c r="BL768">
        <v>7405.3443179300821</v>
      </c>
      <c r="BM768">
        <v>13.61553178713041</v>
      </c>
      <c r="BN768">
        <v>2314.6404038121691</v>
      </c>
      <c r="BO768">
        <v>7395.3365098026861</v>
      </c>
    </row>
    <row r="769" spans="1:67" x14ac:dyDescent="0.25">
      <c r="A769" s="1">
        <v>767</v>
      </c>
      <c r="B769" t="s">
        <v>75</v>
      </c>
      <c r="C769" t="s">
        <v>85</v>
      </c>
      <c r="D769">
        <v>1</v>
      </c>
      <c r="E769">
        <v>1</v>
      </c>
      <c r="F769">
        <v>2</v>
      </c>
      <c r="G769">
        <v>45.016539999999999</v>
      </c>
      <c r="H769">
        <v>2</v>
      </c>
      <c r="I769" t="s">
        <v>89</v>
      </c>
      <c r="J769">
        <v>4</v>
      </c>
      <c r="K769">
        <v>300</v>
      </c>
      <c r="L769">
        <v>50</v>
      </c>
      <c r="N769" t="s">
        <v>91</v>
      </c>
      <c r="O769">
        <v>50</v>
      </c>
      <c r="P769">
        <v>0.25</v>
      </c>
      <c r="Q769">
        <v>3.2500000000000001E-2</v>
      </c>
      <c r="R769">
        <v>77.5</v>
      </c>
      <c r="S769">
        <v>170</v>
      </c>
      <c r="T769">
        <v>20</v>
      </c>
      <c r="U769">
        <v>1812.1301775147931</v>
      </c>
      <c r="V769">
        <v>20</v>
      </c>
      <c r="W769">
        <v>0.95</v>
      </c>
      <c r="X769">
        <v>1</v>
      </c>
      <c r="Y769">
        <v>65675.365892300106</v>
      </c>
      <c r="Z769">
        <v>197026097.6769003</v>
      </c>
      <c r="AA769">
        <v>788104390.70760119</v>
      </c>
      <c r="AB769">
        <v>788104.39070760121</v>
      </c>
      <c r="AC769">
        <v>0</v>
      </c>
      <c r="AD769">
        <v>2042.0315892064491</v>
      </c>
      <c r="AE769">
        <v>3675656.8605716089</v>
      </c>
      <c r="AF769">
        <v>1837828.430285804</v>
      </c>
      <c r="AG769">
        <v>82.732677045098129</v>
      </c>
      <c r="AH769">
        <v>404.41414608439118</v>
      </c>
      <c r="AI769">
        <v>80.88282921687825</v>
      </c>
      <c r="AJ769">
        <v>25613.392697997038</v>
      </c>
      <c r="AK769">
        <v>854.70085470085473</v>
      </c>
      <c r="AL769" t="s">
        <v>93</v>
      </c>
      <c r="AM769">
        <v>31342.096321540321</v>
      </c>
      <c r="AN769">
        <v>732.92249617929485</v>
      </c>
      <c r="AO769">
        <v>13750.0809668693</v>
      </c>
      <c r="AP769">
        <v>58543.112370417497</v>
      </c>
      <c r="AQ769">
        <v>44793.031403548201</v>
      </c>
      <c r="AR769">
        <v>1.393677030777778E-2</v>
      </c>
      <c r="AS769">
        <v>296.2966729223233</v>
      </c>
      <c r="AT769">
        <v>362.56652806520208</v>
      </c>
      <c r="AU769">
        <v>8.4784745109081676</v>
      </c>
      <c r="AV769">
        <v>159.0614445705402</v>
      </c>
      <c r="AW769">
        <v>677.22888655936936</v>
      </c>
      <c r="AX769">
        <v>518.16744198882907</v>
      </c>
      <c r="AY769">
        <v>0.97764066274307171</v>
      </c>
      <c r="AZ769" t="s">
        <v>109</v>
      </c>
      <c r="BA769" t="str">
        <f>VLOOKUP($AZ769,Sheet1!$A$2:$B$58,2)</f>
        <v>Acetone</v>
      </c>
      <c r="BB769" t="s">
        <v>162</v>
      </c>
      <c r="BC769">
        <v>58.078139999999998</v>
      </c>
      <c r="BD769">
        <v>5.333333333333333</v>
      </c>
      <c r="BE769">
        <v>56</v>
      </c>
      <c r="BF769" t="s">
        <v>211</v>
      </c>
      <c r="BG769">
        <v>0.75777220138248214</v>
      </c>
      <c r="BH769">
        <v>0.25</v>
      </c>
      <c r="BI769">
        <v>0.30217806183610302</v>
      </c>
      <c r="BJ769">
        <v>80</v>
      </c>
      <c r="BK769">
        <v>2801.447937866385</v>
      </c>
      <c r="BL769">
        <v>2143.4689816673199</v>
      </c>
      <c r="BM769">
        <v>3.2863692594614302</v>
      </c>
      <c r="BN769">
        <v>558.68277410844303</v>
      </c>
      <c r="BO769">
        <v>2242.765163757942</v>
      </c>
    </row>
    <row r="770" spans="1:67" x14ac:dyDescent="0.25">
      <c r="A770" s="1">
        <v>768</v>
      </c>
      <c r="B770" t="s">
        <v>75</v>
      </c>
      <c r="C770" t="s">
        <v>85</v>
      </c>
      <c r="D770">
        <v>1</v>
      </c>
      <c r="E770">
        <v>1</v>
      </c>
      <c r="F770">
        <v>2</v>
      </c>
      <c r="G770">
        <v>45.016539999999999</v>
      </c>
      <c r="H770">
        <v>2</v>
      </c>
      <c r="I770" t="s">
        <v>89</v>
      </c>
      <c r="J770">
        <v>4</v>
      </c>
      <c r="K770">
        <v>300</v>
      </c>
      <c r="L770">
        <v>50</v>
      </c>
      <c r="N770" t="s">
        <v>91</v>
      </c>
      <c r="O770">
        <v>50</v>
      </c>
      <c r="P770">
        <v>0.25</v>
      </c>
      <c r="Q770">
        <v>3.2500000000000001E-2</v>
      </c>
      <c r="R770">
        <v>77.5</v>
      </c>
      <c r="S770">
        <v>170</v>
      </c>
      <c r="T770">
        <v>20</v>
      </c>
      <c r="U770">
        <v>1812.1301775147931</v>
      </c>
      <c r="V770">
        <v>20</v>
      </c>
      <c r="W770">
        <v>0.95</v>
      </c>
      <c r="X770">
        <v>1</v>
      </c>
      <c r="Y770">
        <v>158538.98443707521</v>
      </c>
      <c r="Z770">
        <v>475616953.31122547</v>
      </c>
      <c r="AA770">
        <v>1902467813.2449019</v>
      </c>
      <c r="AB770">
        <v>1902467.8132449021</v>
      </c>
      <c r="AC770">
        <v>0</v>
      </c>
      <c r="AD770">
        <v>4929.4223175264133</v>
      </c>
      <c r="AE770">
        <v>8872960.1715475433</v>
      </c>
      <c r="AF770">
        <v>4436480.0857737716</v>
      </c>
      <c r="AG770">
        <v>199.71498324043839</v>
      </c>
      <c r="AH770">
        <v>976.24744287451824</v>
      </c>
      <c r="AI770">
        <v>195.24948857490369</v>
      </c>
      <c r="AJ770">
        <v>61830.203930459313</v>
      </c>
      <c r="AK770">
        <v>854.70085470085473</v>
      </c>
      <c r="AL770" t="s">
        <v>93</v>
      </c>
      <c r="AM770">
        <v>75659.17682277516</v>
      </c>
      <c r="AN770">
        <v>1769.259853167785</v>
      </c>
      <c r="AO770">
        <v>33192.413057733633</v>
      </c>
      <c r="AP770">
        <v>140113.34146110309</v>
      </c>
      <c r="AQ770">
        <v>106920.9284033695</v>
      </c>
      <c r="AR770">
        <v>1.393677030777778E-2</v>
      </c>
      <c r="AS770">
        <v>296.2966729223233</v>
      </c>
      <c r="AT770">
        <v>362.56652806520202</v>
      </c>
      <c r="AU770">
        <v>8.4784745109081658</v>
      </c>
      <c r="AV770">
        <v>159.06144457054029</v>
      </c>
      <c r="AW770">
        <v>671.43748957461776</v>
      </c>
      <c r="AX770">
        <v>512.37604500407747</v>
      </c>
      <c r="AY770">
        <v>0.9776406627430716</v>
      </c>
      <c r="AZ770" t="s">
        <v>110</v>
      </c>
      <c r="BA770" t="str">
        <f>VLOOKUP($AZ770,Sheet1!$A$2:$B$58,2)</f>
        <v>Acrylate (PW1)</v>
      </c>
      <c r="BB770" t="s">
        <v>163</v>
      </c>
      <c r="BC770">
        <v>71.053619999999995</v>
      </c>
      <c r="BD770">
        <v>3.666666666666667</v>
      </c>
      <c r="BE770">
        <v>80</v>
      </c>
      <c r="BF770" t="s">
        <v>211</v>
      </c>
      <c r="BG770">
        <v>1.2997578346373699E-15</v>
      </c>
      <c r="BH770">
        <v>8.4651162790697704E-2</v>
      </c>
      <c r="BI770">
        <v>0.12517838969499001</v>
      </c>
      <c r="BJ770">
        <v>80</v>
      </c>
      <c r="BK770">
        <v>6704.8063488698408</v>
      </c>
      <c r="BL770">
        <v>5116.4586620395721</v>
      </c>
      <c r="BM770">
        <v>9.7624744287451808</v>
      </c>
      <c r="BN770">
        <v>1659.620652886681</v>
      </c>
      <c r="BO770">
        <v>5045.1856959831603</v>
      </c>
    </row>
    <row r="771" spans="1:67" x14ac:dyDescent="0.25">
      <c r="A771" s="1">
        <v>769</v>
      </c>
      <c r="B771" t="s">
        <v>75</v>
      </c>
      <c r="C771" t="s">
        <v>85</v>
      </c>
      <c r="D771">
        <v>1</v>
      </c>
      <c r="E771">
        <v>1</v>
      </c>
      <c r="F771">
        <v>2</v>
      </c>
      <c r="G771">
        <v>45.016539999999999</v>
      </c>
      <c r="H771">
        <v>2</v>
      </c>
      <c r="I771" t="s">
        <v>89</v>
      </c>
      <c r="J771">
        <v>4</v>
      </c>
      <c r="K771">
        <v>300</v>
      </c>
      <c r="L771">
        <v>50</v>
      </c>
      <c r="N771" t="s">
        <v>91</v>
      </c>
      <c r="O771">
        <v>50</v>
      </c>
      <c r="P771">
        <v>0.25</v>
      </c>
      <c r="Q771">
        <v>3.2500000000000001E-2</v>
      </c>
      <c r="R771">
        <v>77.5</v>
      </c>
      <c r="S771">
        <v>170</v>
      </c>
      <c r="T771">
        <v>20</v>
      </c>
      <c r="U771">
        <v>1812.1301775147931</v>
      </c>
      <c r="V771">
        <v>20</v>
      </c>
      <c r="W771">
        <v>0.95</v>
      </c>
      <c r="X771">
        <v>1</v>
      </c>
      <c r="Y771">
        <v>62678.203149541587</v>
      </c>
      <c r="Z771">
        <v>188034609.44862479</v>
      </c>
      <c r="AA771">
        <v>752138437.79449916</v>
      </c>
      <c r="AB771">
        <v>752138.43779449922</v>
      </c>
      <c r="AC771">
        <v>0</v>
      </c>
      <c r="AD771">
        <v>1948.84138134766</v>
      </c>
      <c r="AE771">
        <v>3507914.4864257881</v>
      </c>
      <c r="AF771">
        <v>1753957.2432128941</v>
      </c>
      <c r="AG771">
        <v>78.957086397382966</v>
      </c>
      <c r="AH771">
        <v>385.95829136899721</v>
      </c>
      <c r="AI771">
        <v>77.191658273799447</v>
      </c>
      <c r="AJ771">
        <v>24444.49922832123</v>
      </c>
      <c r="AK771">
        <v>854.70085470085473</v>
      </c>
      <c r="AL771" t="s">
        <v>93</v>
      </c>
      <c r="AM771">
        <v>29911.76758109728</v>
      </c>
      <c r="AN771">
        <v>699.47482567098791</v>
      </c>
      <c r="AO771">
        <v>13122.581906545911</v>
      </c>
      <c r="AP771">
        <v>55910.442489790337</v>
      </c>
      <c r="AQ771">
        <v>42787.860583244437</v>
      </c>
      <c r="AR771">
        <v>1.393677030777778E-2</v>
      </c>
      <c r="AS771">
        <v>296.2966729223233</v>
      </c>
      <c r="AT771">
        <v>362.56652806520202</v>
      </c>
      <c r="AU771">
        <v>8.4784745109081658</v>
      </c>
      <c r="AV771">
        <v>159.0614445705402</v>
      </c>
      <c r="AW771">
        <v>677.70167580878228</v>
      </c>
      <c r="AX771">
        <v>518.64023123824211</v>
      </c>
      <c r="AY771">
        <v>0.9776406627430716</v>
      </c>
      <c r="AZ771" t="s">
        <v>111</v>
      </c>
      <c r="BA771" t="str">
        <f>VLOOKUP($AZ771,Sheet1!$A$2:$B$58,2)</f>
        <v>Acrylate (PW2)</v>
      </c>
      <c r="BB771" t="s">
        <v>163</v>
      </c>
      <c r="BC771">
        <v>71.053619999999995</v>
      </c>
      <c r="BD771">
        <v>3.666666666666667</v>
      </c>
      <c r="BE771">
        <v>80</v>
      </c>
      <c r="BF771" t="s">
        <v>211</v>
      </c>
      <c r="BG771">
        <v>0</v>
      </c>
      <c r="BH771">
        <v>0.214117647058823</v>
      </c>
      <c r="BI771">
        <v>0.31662769158144399</v>
      </c>
      <c r="BJ771">
        <v>80</v>
      </c>
      <c r="BK771">
        <v>2675.4674884242618</v>
      </c>
      <c r="BL771">
        <v>2047.516077351828</v>
      </c>
      <c r="BM771">
        <v>3.8595829136899722</v>
      </c>
      <c r="BN771">
        <v>656.12909532729532</v>
      </c>
      <c r="BO771">
        <v>2019.338393096966</v>
      </c>
    </row>
    <row r="772" spans="1:67" x14ac:dyDescent="0.25">
      <c r="A772" s="1">
        <v>770</v>
      </c>
      <c r="B772" t="s">
        <v>75</v>
      </c>
      <c r="C772" t="s">
        <v>85</v>
      </c>
      <c r="D772">
        <v>1</v>
      </c>
      <c r="E772">
        <v>1</v>
      </c>
      <c r="F772">
        <v>2</v>
      </c>
      <c r="G772">
        <v>45.016539999999999</v>
      </c>
      <c r="H772">
        <v>2</v>
      </c>
      <c r="I772" t="s">
        <v>89</v>
      </c>
      <c r="J772">
        <v>4</v>
      </c>
      <c r="K772">
        <v>300</v>
      </c>
      <c r="L772">
        <v>50</v>
      </c>
      <c r="N772" t="s">
        <v>91</v>
      </c>
      <c r="O772">
        <v>50</v>
      </c>
      <c r="P772">
        <v>0.25</v>
      </c>
      <c r="Q772">
        <v>3.2500000000000001E-2</v>
      </c>
      <c r="R772">
        <v>77.5</v>
      </c>
      <c r="S772">
        <v>170</v>
      </c>
      <c r="T772">
        <v>20</v>
      </c>
      <c r="U772">
        <v>1812.1301775147931</v>
      </c>
      <c r="V772">
        <v>20</v>
      </c>
      <c r="W772">
        <v>0.95</v>
      </c>
      <c r="X772">
        <v>1</v>
      </c>
      <c r="Y772">
        <v>232527.73165063499</v>
      </c>
      <c r="Z772">
        <v>697583194.95190501</v>
      </c>
      <c r="AA772">
        <v>2790332779.80762</v>
      </c>
      <c r="AB772">
        <v>2790332.7798076202</v>
      </c>
      <c r="AC772">
        <v>0</v>
      </c>
      <c r="AD772">
        <v>7229.9402819587003</v>
      </c>
      <c r="AE772">
        <v>13013892.50752566</v>
      </c>
      <c r="AF772">
        <v>6506946.25376283</v>
      </c>
      <c r="AG772">
        <v>292.92020631036462</v>
      </c>
      <c r="AH772">
        <v>1431.853523140511</v>
      </c>
      <c r="AI772">
        <v>286.37070462810209</v>
      </c>
      <c r="AJ772">
        <v>90685.815343747658</v>
      </c>
      <c r="AK772">
        <v>854.70085470085473</v>
      </c>
      <c r="AL772" t="s">
        <v>93</v>
      </c>
      <c r="AM772">
        <v>110968.64804338961</v>
      </c>
      <c r="AN772">
        <v>2594.9578384042702</v>
      </c>
      <c r="AO772">
        <v>48683.019786777368</v>
      </c>
      <c r="AP772">
        <v>205104.12208024229</v>
      </c>
      <c r="AQ772">
        <v>156421.102293465</v>
      </c>
      <c r="AR772">
        <v>1.393677030777778E-2</v>
      </c>
      <c r="AS772">
        <v>296.2966729223233</v>
      </c>
      <c r="AT772">
        <v>362.56652806520202</v>
      </c>
      <c r="AU772">
        <v>8.4784745109081658</v>
      </c>
      <c r="AV772">
        <v>159.06144457054029</v>
      </c>
      <c r="AW772">
        <v>670.13422931329194</v>
      </c>
      <c r="AX772">
        <v>511.07278474275171</v>
      </c>
      <c r="AY772">
        <v>0.9776406627430716</v>
      </c>
      <c r="AZ772" t="s">
        <v>113</v>
      </c>
      <c r="BA772" t="str">
        <f>VLOOKUP($AZ772,Sheet1!$A$2:$B$58,2)</f>
        <v>Benzoate (PW1)</v>
      </c>
      <c r="BB772" t="s">
        <v>165</v>
      </c>
      <c r="BC772">
        <v>121.1121</v>
      </c>
      <c r="BD772">
        <v>4.1428571428571432</v>
      </c>
      <c r="BE772">
        <v>249.2</v>
      </c>
      <c r="BF772" t="s">
        <v>211</v>
      </c>
      <c r="BG772">
        <v>0.181691177016995</v>
      </c>
      <c r="BH772">
        <v>3.3860465116279E-2</v>
      </c>
      <c r="BI772">
        <v>8.5347475050973995E-2</v>
      </c>
      <c r="BJ772">
        <v>80</v>
      </c>
      <c r="BK772">
        <v>9814.7928353043335</v>
      </c>
      <c r="BL772">
        <v>7485.1772773229704</v>
      </c>
      <c r="BM772">
        <v>14.13684405438811</v>
      </c>
      <c r="BN772">
        <v>2403.2634892459791</v>
      </c>
      <c r="BO772">
        <v>7411.5293460583543</v>
      </c>
    </row>
    <row r="773" spans="1:67" x14ac:dyDescent="0.25">
      <c r="A773" s="1">
        <v>771</v>
      </c>
      <c r="B773" t="s">
        <v>75</v>
      </c>
      <c r="C773" t="s">
        <v>85</v>
      </c>
      <c r="D773">
        <v>1</v>
      </c>
      <c r="E773">
        <v>1</v>
      </c>
      <c r="F773">
        <v>2</v>
      </c>
      <c r="G773">
        <v>45.016539999999999</v>
      </c>
      <c r="H773">
        <v>2</v>
      </c>
      <c r="I773" t="s">
        <v>89</v>
      </c>
      <c r="J773">
        <v>4</v>
      </c>
      <c r="K773">
        <v>300</v>
      </c>
      <c r="L773">
        <v>50</v>
      </c>
      <c r="N773" t="s">
        <v>91</v>
      </c>
      <c r="O773">
        <v>50</v>
      </c>
      <c r="P773">
        <v>0.25</v>
      </c>
      <c r="Q773">
        <v>3.2500000000000001E-2</v>
      </c>
      <c r="R773">
        <v>77.5</v>
      </c>
      <c r="S773">
        <v>170</v>
      </c>
      <c r="T773">
        <v>20</v>
      </c>
      <c r="U773">
        <v>1812.1301775147931</v>
      </c>
      <c r="V773">
        <v>20</v>
      </c>
      <c r="W773">
        <v>0.95</v>
      </c>
      <c r="X773">
        <v>1</v>
      </c>
      <c r="Y773">
        <v>249832.12098277509</v>
      </c>
      <c r="Z773">
        <v>749496362.94832516</v>
      </c>
      <c r="AA773">
        <v>2997985451.7933011</v>
      </c>
      <c r="AB773">
        <v>2997985.4517933</v>
      </c>
      <c r="AC773">
        <v>0</v>
      </c>
      <c r="AD773">
        <v>7767.9823494532939</v>
      </c>
      <c r="AE773">
        <v>13982368.22901593</v>
      </c>
      <c r="AF773">
        <v>6991184.1145079648</v>
      </c>
      <c r="AG773">
        <v>314.71891933811241</v>
      </c>
      <c r="AH773">
        <v>1538.410064397478</v>
      </c>
      <c r="AI773">
        <v>307.68201287949552</v>
      </c>
      <c r="AJ773">
        <v>97434.527183282262</v>
      </c>
      <c r="AK773">
        <v>854.70085470085473</v>
      </c>
      <c r="AL773" t="s">
        <v>93</v>
      </c>
      <c r="AM773">
        <v>119226.7799908045</v>
      </c>
      <c r="AN773">
        <v>2788.0709798669109</v>
      </c>
      <c r="AO773">
        <v>52305.942189514237</v>
      </c>
      <c r="AP773">
        <v>220304.07900865449</v>
      </c>
      <c r="AQ773">
        <v>167998.13681914029</v>
      </c>
      <c r="AR773">
        <v>1.393677030777777E-2</v>
      </c>
      <c r="AS773">
        <v>296.29667292232318</v>
      </c>
      <c r="AT773">
        <v>362.56652806520208</v>
      </c>
      <c r="AU773">
        <v>8.4784745109081658</v>
      </c>
      <c r="AV773">
        <v>159.0614445705402</v>
      </c>
      <c r="AW773">
        <v>669.94080567243577</v>
      </c>
      <c r="AX773">
        <v>510.8793611018956</v>
      </c>
      <c r="AY773">
        <v>0.97764066274307182</v>
      </c>
      <c r="AZ773" t="s">
        <v>114</v>
      </c>
      <c r="BA773" t="str">
        <f>VLOOKUP($AZ773,Sheet1!$A$2:$B$58,2)</f>
        <v>Benzoate (PW2)</v>
      </c>
      <c r="BB773" t="s">
        <v>165</v>
      </c>
      <c r="BC773">
        <v>121.1121</v>
      </c>
      <c r="BD773">
        <v>4.1428571428571432</v>
      </c>
      <c r="BE773">
        <v>249.2</v>
      </c>
      <c r="BF773" t="s">
        <v>211</v>
      </c>
      <c r="BG773">
        <v>0.18169117701699911</v>
      </c>
      <c r="BH773">
        <v>3.1515151515152003E-2</v>
      </c>
      <c r="BI773">
        <v>7.943596162753E-2</v>
      </c>
      <c r="BJ773">
        <v>80</v>
      </c>
      <c r="BK773">
        <v>10542.152319086659</v>
      </c>
      <c r="BL773">
        <v>8039.1700219066925</v>
      </c>
      <c r="BM773">
        <v>15.20240946695778</v>
      </c>
      <c r="BN773">
        <v>2584.4096093828221</v>
      </c>
      <c r="BO773">
        <v>7957.7427097038426</v>
      </c>
    </row>
    <row r="774" spans="1:67" x14ac:dyDescent="0.25">
      <c r="A774" s="1">
        <v>772</v>
      </c>
      <c r="B774" t="s">
        <v>75</v>
      </c>
      <c r="C774" t="s">
        <v>85</v>
      </c>
      <c r="D774">
        <v>1</v>
      </c>
      <c r="E774">
        <v>1</v>
      </c>
      <c r="F774">
        <v>2</v>
      </c>
      <c r="G774">
        <v>45.016539999999999</v>
      </c>
      <c r="H774">
        <v>2</v>
      </c>
      <c r="I774" t="s">
        <v>89</v>
      </c>
      <c r="J774">
        <v>4</v>
      </c>
      <c r="K774">
        <v>300</v>
      </c>
      <c r="L774">
        <v>50</v>
      </c>
      <c r="N774" t="s">
        <v>91</v>
      </c>
      <c r="O774">
        <v>50</v>
      </c>
      <c r="P774">
        <v>0.25</v>
      </c>
      <c r="Q774">
        <v>3.2500000000000001E-2</v>
      </c>
      <c r="R774">
        <v>77.5</v>
      </c>
      <c r="S774">
        <v>170</v>
      </c>
      <c r="T774">
        <v>20</v>
      </c>
      <c r="U774">
        <v>1812.1301775147931</v>
      </c>
      <c r="V774">
        <v>20</v>
      </c>
      <c r="W774">
        <v>0.95</v>
      </c>
      <c r="X774">
        <v>1</v>
      </c>
      <c r="Y774">
        <v>164517.50606923061</v>
      </c>
      <c r="Z774">
        <v>493552518.20769179</v>
      </c>
      <c r="AA774">
        <v>1974210072.8307669</v>
      </c>
      <c r="AB774">
        <v>1974210.0728307669</v>
      </c>
      <c r="AC774">
        <v>66773.504273504266</v>
      </c>
      <c r="AD774">
        <v>5115.3113470544067</v>
      </c>
      <c r="AE774">
        <v>9207560.4246979319</v>
      </c>
      <c r="AF774">
        <v>4603780.2123489659</v>
      </c>
      <c r="AG774">
        <v>207.24625608041569</v>
      </c>
      <c r="AH774">
        <v>1013.06183572739</v>
      </c>
      <c r="AI774">
        <v>202.612367145478</v>
      </c>
      <c r="AJ774">
        <v>64161.82736699994</v>
      </c>
      <c r="AK774">
        <v>2170.1388888888891</v>
      </c>
      <c r="AL774" t="s">
        <v>95</v>
      </c>
      <c r="AM774">
        <v>78512.292268872712</v>
      </c>
      <c r="AN774">
        <v>1835.978826691083</v>
      </c>
      <c r="AO774">
        <v>34444.102414731256</v>
      </c>
      <c r="AP774">
        <v>146680.23735145261</v>
      </c>
      <c r="AQ774">
        <v>112236.1349367214</v>
      </c>
      <c r="AR774">
        <v>1.393677030777778E-2</v>
      </c>
      <c r="AS774">
        <v>296.2966729223233</v>
      </c>
      <c r="AT774">
        <v>362.56652806520208</v>
      </c>
      <c r="AU774">
        <v>8.4784745109081641</v>
      </c>
      <c r="AV774">
        <v>159.06144457054029</v>
      </c>
      <c r="AW774">
        <v>677.36328739672297</v>
      </c>
      <c r="AX774">
        <v>518.30184282618268</v>
      </c>
      <c r="AY774">
        <v>0.97764066274307171</v>
      </c>
      <c r="AZ774" t="s">
        <v>117</v>
      </c>
      <c r="BA774" t="str">
        <f>VLOOKUP($AZ774,Sheet1!$A$2:$B$58,2)</f>
        <v>Butane</v>
      </c>
      <c r="BB774" t="s">
        <v>168</v>
      </c>
      <c r="BC774">
        <v>58.121200000000002</v>
      </c>
      <c r="BD774">
        <v>6.5</v>
      </c>
      <c r="BE774">
        <v>-1</v>
      </c>
      <c r="BF774" t="s">
        <v>211</v>
      </c>
      <c r="BG774">
        <v>1.8930269849899879</v>
      </c>
      <c r="BH774">
        <v>9.9726027397259998E-2</v>
      </c>
      <c r="BI774">
        <v>0.120629440901936</v>
      </c>
      <c r="BJ774">
        <v>80</v>
      </c>
      <c r="BK774">
        <v>7019.0502659646727</v>
      </c>
      <c r="BL774">
        <v>5370.8058222653208</v>
      </c>
      <c r="BM774">
        <v>8.2375913722839087</v>
      </c>
      <c r="BN774">
        <v>1400.390533288265</v>
      </c>
      <c r="BO774">
        <v>5618.6597326764077</v>
      </c>
    </row>
    <row r="775" spans="1:67" x14ac:dyDescent="0.25">
      <c r="A775" s="1">
        <v>773</v>
      </c>
      <c r="B775" t="s">
        <v>75</v>
      </c>
      <c r="C775" t="s">
        <v>85</v>
      </c>
      <c r="D775">
        <v>1</v>
      </c>
      <c r="E775">
        <v>1</v>
      </c>
      <c r="F775">
        <v>2</v>
      </c>
      <c r="G775">
        <v>45.016539999999999</v>
      </c>
      <c r="H775">
        <v>2</v>
      </c>
      <c r="I775" t="s">
        <v>89</v>
      </c>
      <c r="J775">
        <v>4</v>
      </c>
      <c r="K775">
        <v>300</v>
      </c>
      <c r="L775">
        <v>50</v>
      </c>
      <c r="N775" t="s">
        <v>91</v>
      </c>
      <c r="O775">
        <v>50</v>
      </c>
      <c r="P775">
        <v>0.25</v>
      </c>
      <c r="Q775">
        <v>3.2500000000000001E-2</v>
      </c>
      <c r="R775">
        <v>77.5</v>
      </c>
      <c r="S775">
        <v>170</v>
      </c>
      <c r="T775">
        <v>20</v>
      </c>
      <c r="U775">
        <v>1812.1301775147931</v>
      </c>
      <c r="V775">
        <v>20</v>
      </c>
      <c r="W775">
        <v>0.95</v>
      </c>
      <c r="X775">
        <v>1</v>
      </c>
      <c r="Y775">
        <v>77191.570479657967</v>
      </c>
      <c r="Z775">
        <v>231574711.4389739</v>
      </c>
      <c r="AA775">
        <v>926298845.7558955</v>
      </c>
      <c r="AB775">
        <v>926298.84575589548</v>
      </c>
      <c r="AC775">
        <v>0</v>
      </c>
      <c r="AD775">
        <v>2400.10273560422</v>
      </c>
      <c r="AE775">
        <v>4320184.9240875971</v>
      </c>
      <c r="AF775">
        <v>2160092.462043799</v>
      </c>
      <c r="AG775">
        <v>97.239888721293141</v>
      </c>
      <c r="AH775">
        <v>475.32834627273769</v>
      </c>
      <c r="AI775">
        <v>95.065669254547558</v>
      </c>
      <c r="AJ775">
        <v>30104.712487066601</v>
      </c>
      <c r="AK775">
        <v>854.70085470085473</v>
      </c>
      <c r="AL775" t="s">
        <v>93</v>
      </c>
      <c r="AM775">
        <v>36837.946836137176</v>
      </c>
      <c r="AN775">
        <v>861.44078150592964</v>
      </c>
      <c r="AO775">
        <v>16161.163773273091</v>
      </c>
      <c r="AP775">
        <v>68658.800959410568</v>
      </c>
      <c r="AQ775">
        <v>52497.637186137479</v>
      </c>
      <c r="AR775">
        <v>1.393677030777778E-2</v>
      </c>
      <c r="AS775">
        <v>296.29667292232318</v>
      </c>
      <c r="AT775">
        <v>362.56652806520202</v>
      </c>
      <c r="AU775">
        <v>8.4784745109081658</v>
      </c>
      <c r="AV775">
        <v>159.0614445705402</v>
      </c>
      <c r="AW775">
        <v>675.75381428569221</v>
      </c>
      <c r="AX775">
        <v>516.69236971515204</v>
      </c>
      <c r="AY775">
        <v>0.9776406627430716</v>
      </c>
      <c r="AZ775" t="s">
        <v>118</v>
      </c>
      <c r="BA775" t="str">
        <f>VLOOKUP($AZ775,Sheet1!$A$2:$B$58,2)</f>
        <v>Butanol (PW1)</v>
      </c>
      <c r="BB775" t="s">
        <v>169</v>
      </c>
      <c r="BC775">
        <v>74.120199999999997</v>
      </c>
      <c r="BD775">
        <v>6</v>
      </c>
      <c r="BE775">
        <v>117.7</v>
      </c>
      <c r="BF775" t="s">
        <v>211</v>
      </c>
      <c r="BG775">
        <v>1.187530524742239</v>
      </c>
      <c r="BH775">
        <v>0.16666666666666699</v>
      </c>
      <c r="BI775">
        <v>0.25709613954469301</v>
      </c>
      <c r="BJ775">
        <v>80</v>
      </c>
      <c r="BK775">
        <v>3285.511285206504</v>
      </c>
      <c r="BL775">
        <v>2512.155426712131</v>
      </c>
      <c r="BM775">
        <v>3.5657529379851391</v>
      </c>
      <c r="BN775">
        <v>606.17799945747356</v>
      </c>
      <c r="BO775">
        <v>2679.3332857490309</v>
      </c>
    </row>
    <row r="776" spans="1:67" x14ac:dyDescent="0.25">
      <c r="A776" s="1">
        <v>774</v>
      </c>
      <c r="B776" t="s">
        <v>75</v>
      </c>
      <c r="C776" t="s">
        <v>85</v>
      </c>
      <c r="D776">
        <v>1</v>
      </c>
      <c r="E776">
        <v>1</v>
      </c>
      <c r="F776">
        <v>2</v>
      </c>
      <c r="G776">
        <v>45.016539999999999</v>
      </c>
      <c r="H776">
        <v>2</v>
      </c>
      <c r="I776" t="s">
        <v>89</v>
      </c>
      <c r="J776">
        <v>4</v>
      </c>
      <c r="K776">
        <v>300</v>
      </c>
      <c r="L776">
        <v>50</v>
      </c>
      <c r="N776" t="s">
        <v>91</v>
      </c>
      <c r="O776">
        <v>50</v>
      </c>
      <c r="P776">
        <v>0.25</v>
      </c>
      <c r="Q776">
        <v>3.2500000000000001E-2</v>
      </c>
      <c r="R776">
        <v>77.5</v>
      </c>
      <c r="S776">
        <v>170</v>
      </c>
      <c r="T776">
        <v>20</v>
      </c>
      <c r="U776">
        <v>1812.1301775147931</v>
      </c>
      <c r="V776">
        <v>20</v>
      </c>
      <c r="W776">
        <v>0.95</v>
      </c>
      <c r="X776">
        <v>1</v>
      </c>
      <c r="Y776">
        <v>77191.570479657967</v>
      </c>
      <c r="Z776">
        <v>231574711.4389739</v>
      </c>
      <c r="AA776">
        <v>926298845.7558955</v>
      </c>
      <c r="AB776">
        <v>926298.84575589548</v>
      </c>
      <c r="AC776">
        <v>0</v>
      </c>
      <c r="AD776">
        <v>2400.10273560422</v>
      </c>
      <c r="AE776">
        <v>4320184.9240875971</v>
      </c>
      <c r="AF776">
        <v>2160092.462043799</v>
      </c>
      <c r="AG776">
        <v>97.239888721293141</v>
      </c>
      <c r="AH776">
        <v>475.32834627273769</v>
      </c>
      <c r="AI776">
        <v>95.065669254547558</v>
      </c>
      <c r="AJ776">
        <v>30104.712487066601</v>
      </c>
      <c r="AK776">
        <v>854.70085470085473</v>
      </c>
      <c r="AL776" t="s">
        <v>93</v>
      </c>
      <c r="AM776">
        <v>36837.946836137176</v>
      </c>
      <c r="AN776">
        <v>861.44078150592964</v>
      </c>
      <c r="AO776">
        <v>16161.163773273091</v>
      </c>
      <c r="AP776">
        <v>68658.800959410568</v>
      </c>
      <c r="AQ776">
        <v>52497.637186137479</v>
      </c>
      <c r="AR776">
        <v>1.393677030777778E-2</v>
      </c>
      <c r="AS776">
        <v>296.29667292232318</v>
      </c>
      <c r="AT776">
        <v>362.56652806520202</v>
      </c>
      <c r="AU776">
        <v>8.4784745109081658</v>
      </c>
      <c r="AV776">
        <v>159.0614445705402</v>
      </c>
      <c r="AW776">
        <v>675.75381428569221</v>
      </c>
      <c r="AX776">
        <v>516.69236971515204</v>
      </c>
      <c r="AY776">
        <v>0.9776406627430716</v>
      </c>
      <c r="AZ776" t="s">
        <v>119</v>
      </c>
      <c r="BA776" t="str">
        <f>VLOOKUP($AZ776,Sheet1!$A$2:$B$58,2)</f>
        <v>Butanol (PW2)</v>
      </c>
      <c r="BB776" t="s">
        <v>169</v>
      </c>
      <c r="BC776">
        <v>74.120199999999997</v>
      </c>
      <c r="BD776">
        <v>6</v>
      </c>
      <c r="BE776">
        <v>117.7</v>
      </c>
      <c r="BF776" t="s">
        <v>211</v>
      </c>
      <c r="BG776">
        <v>1.187530524742239</v>
      </c>
      <c r="BH776">
        <v>0.16666666666666699</v>
      </c>
      <c r="BI776">
        <v>0.25709613954469301</v>
      </c>
      <c r="BJ776">
        <v>80</v>
      </c>
      <c r="BK776">
        <v>3285.511285206504</v>
      </c>
      <c r="BL776">
        <v>2512.155426712131</v>
      </c>
      <c r="BM776">
        <v>3.5657529379851391</v>
      </c>
      <c r="BN776">
        <v>606.17799945747356</v>
      </c>
      <c r="BO776">
        <v>2679.3332857490309</v>
      </c>
    </row>
    <row r="777" spans="1:67" x14ac:dyDescent="0.25">
      <c r="A777" s="1">
        <v>775</v>
      </c>
      <c r="B777" t="s">
        <v>75</v>
      </c>
      <c r="C777" t="s">
        <v>85</v>
      </c>
      <c r="D777">
        <v>1</v>
      </c>
      <c r="E777">
        <v>1</v>
      </c>
      <c r="F777">
        <v>2</v>
      </c>
      <c r="G777">
        <v>45.016539999999999</v>
      </c>
      <c r="H777">
        <v>2</v>
      </c>
      <c r="I777" t="s">
        <v>89</v>
      </c>
      <c r="J777">
        <v>4</v>
      </c>
      <c r="K777">
        <v>300</v>
      </c>
      <c r="L777">
        <v>50</v>
      </c>
      <c r="N777" t="s">
        <v>91</v>
      </c>
      <c r="O777">
        <v>50</v>
      </c>
      <c r="P777">
        <v>0.25</v>
      </c>
      <c r="Q777">
        <v>3.2500000000000001E-2</v>
      </c>
      <c r="R777">
        <v>77.5</v>
      </c>
      <c r="S777">
        <v>170</v>
      </c>
      <c r="T777">
        <v>20</v>
      </c>
      <c r="U777">
        <v>1812.1301775147931</v>
      </c>
      <c r="V777">
        <v>20</v>
      </c>
      <c r="W777">
        <v>0.95</v>
      </c>
      <c r="X777">
        <v>1</v>
      </c>
      <c r="Y777">
        <v>54743.000669554247</v>
      </c>
      <c r="Z777">
        <v>164229002.00866279</v>
      </c>
      <c r="AA777">
        <v>656916008.03465104</v>
      </c>
      <c r="AB777">
        <v>656916.00803465105</v>
      </c>
      <c r="AC777">
        <v>0</v>
      </c>
      <c r="AD777">
        <v>1702.113648494887</v>
      </c>
      <c r="AE777">
        <v>3063804.5672907969</v>
      </c>
      <c r="AF777">
        <v>1531902.283645398</v>
      </c>
      <c r="AG777">
        <v>68.960940427814421</v>
      </c>
      <c r="AH777">
        <v>337.09509751616991</v>
      </c>
      <c r="AI777">
        <v>67.419019503233983</v>
      </c>
      <c r="AJ777">
        <v>21349.770261126159</v>
      </c>
      <c r="AK777">
        <v>854.70085470085473</v>
      </c>
      <c r="AL777" t="s">
        <v>93</v>
      </c>
      <c r="AM777">
        <v>26124.870057503169</v>
      </c>
      <c r="AN777">
        <v>610.91972848496175</v>
      </c>
      <c r="AO777">
        <v>11461.23331554978</v>
      </c>
      <c r="AP777">
        <v>48940.260901815149</v>
      </c>
      <c r="AQ777">
        <v>37479.027586265373</v>
      </c>
      <c r="AR777">
        <v>1.393677030777778E-2</v>
      </c>
      <c r="AS777">
        <v>296.29667292232318</v>
      </c>
      <c r="AT777">
        <v>362.56652806520208</v>
      </c>
      <c r="AU777">
        <v>8.4784745109081641</v>
      </c>
      <c r="AV777">
        <v>159.0614445705402</v>
      </c>
      <c r="AW777">
        <v>679.20339656120484</v>
      </c>
      <c r="AX777">
        <v>520.14195199066467</v>
      </c>
      <c r="AY777">
        <v>0.97764066274307182</v>
      </c>
      <c r="AZ777" t="s">
        <v>120</v>
      </c>
      <c r="BA777" t="str">
        <f>VLOOKUP($AZ777,Sheet1!$A$2:$B$58,2)</f>
        <v>Butyrate</v>
      </c>
      <c r="BB777" t="s">
        <v>170</v>
      </c>
      <c r="BC777">
        <v>87.095680000000002</v>
      </c>
      <c r="BD777">
        <v>4.75</v>
      </c>
      <c r="BE777">
        <v>163.5</v>
      </c>
      <c r="BF777" t="s">
        <v>211</v>
      </c>
      <c r="BG777">
        <v>0.50530634814493669</v>
      </c>
      <c r="BH777">
        <v>0.2</v>
      </c>
      <c r="BI777">
        <v>0.36252405847291203</v>
      </c>
      <c r="BJ777">
        <v>80</v>
      </c>
      <c r="BK777">
        <v>2341.9252484313229</v>
      </c>
      <c r="BL777">
        <v>1793.4739082617671</v>
      </c>
      <c r="BM777">
        <v>2.865644627016763</v>
      </c>
      <c r="BN777">
        <v>487.15958659284979</v>
      </c>
      <c r="BO777">
        <v>1854.765661838474</v>
      </c>
    </row>
    <row r="778" spans="1:67" x14ac:dyDescent="0.25">
      <c r="A778" s="1">
        <v>776</v>
      </c>
      <c r="B778" t="s">
        <v>75</v>
      </c>
      <c r="C778" t="s">
        <v>85</v>
      </c>
      <c r="D778">
        <v>1</v>
      </c>
      <c r="E778">
        <v>1</v>
      </c>
      <c r="F778">
        <v>2</v>
      </c>
      <c r="G778">
        <v>45.016539999999999</v>
      </c>
      <c r="H778">
        <v>2</v>
      </c>
      <c r="I778" t="s">
        <v>89</v>
      </c>
      <c r="J778">
        <v>4</v>
      </c>
      <c r="K778">
        <v>300</v>
      </c>
      <c r="L778">
        <v>50</v>
      </c>
      <c r="N778" t="s">
        <v>91</v>
      </c>
      <c r="O778">
        <v>50</v>
      </c>
      <c r="P778">
        <v>0.25</v>
      </c>
      <c r="Q778">
        <v>3.2500000000000001E-2</v>
      </c>
      <c r="R778">
        <v>77.5</v>
      </c>
      <c r="S778">
        <v>170</v>
      </c>
      <c r="T778">
        <v>20</v>
      </c>
      <c r="U778">
        <v>1812.1301775147931</v>
      </c>
      <c r="V778">
        <v>20</v>
      </c>
      <c r="W778">
        <v>0.95</v>
      </c>
      <c r="X778">
        <v>1</v>
      </c>
      <c r="Y778">
        <v>162974.8656759724</v>
      </c>
      <c r="Z778">
        <v>488924597.02791733</v>
      </c>
      <c r="AA778">
        <v>1955698388.1116691</v>
      </c>
      <c r="AB778">
        <v>1955698.3881116691</v>
      </c>
      <c r="AC778">
        <v>0</v>
      </c>
      <c r="AD778">
        <v>5067.3463243854067</v>
      </c>
      <c r="AE778">
        <v>9121223.383893732</v>
      </c>
      <c r="AF778">
        <v>4560611.691946866</v>
      </c>
      <c r="AG778">
        <v>205.3029586549938</v>
      </c>
      <c r="AH778">
        <v>1003.562602812908</v>
      </c>
      <c r="AI778">
        <v>200.7125205625816</v>
      </c>
      <c r="AJ778">
        <v>63560.197613629258</v>
      </c>
      <c r="AK778">
        <v>854.70085470085473</v>
      </c>
      <c r="AL778" t="s">
        <v>93</v>
      </c>
      <c r="AM778">
        <v>77776.101718000355</v>
      </c>
      <c r="AN778">
        <v>1818.7633025387261</v>
      </c>
      <c r="AO778">
        <v>34121.12849563887</v>
      </c>
      <c r="AP778">
        <v>144009.76348886921</v>
      </c>
      <c r="AQ778">
        <v>109888.6349932303</v>
      </c>
      <c r="AR778">
        <v>1.393677030777778E-2</v>
      </c>
      <c r="AS778">
        <v>296.2966729223233</v>
      </c>
      <c r="AT778">
        <v>362.56652806520208</v>
      </c>
      <c r="AU778">
        <v>8.4784745109081641</v>
      </c>
      <c r="AV778">
        <v>159.06144457054029</v>
      </c>
      <c r="AW778">
        <v>671.3260089193451</v>
      </c>
      <c r="AX778">
        <v>512.2645643488047</v>
      </c>
      <c r="AY778">
        <v>0.97764066274307171</v>
      </c>
      <c r="AZ778" t="s">
        <v>121</v>
      </c>
      <c r="BA778" t="str">
        <f>VLOOKUP($AZ778,Sheet1!$A$2:$B$58,2)</f>
        <v>Catechol</v>
      </c>
      <c r="BB778" t="s">
        <v>171</v>
      </c>
      <c r="BC778">
        <v>110.10924</v>
      </c>
      <c r="BD778">
        <v>4.333333333333333</v>
      </c>
      <c r="BE778">
        <v>245</v>
      </c>
      <c r="BF778" t="s">
        <v>211</v>
      </c>
      <c r="BG778">
        <v>0.1998469883181466</v>
      </c>
      <c r="BH778">
        <v>5.3138686131386802E-2</v>
      </c>
      <c r="BI778">
        <v>0.121771260208733</v>
      </c>
      <c r="BJ778">
        <v>80</v>
      </c>
      <c r="BK778">
        <v>6891.2607926595147</v>
      </c>
      <c r="BL778">
        <v>5258.471533746052</v>
      </c>
      <c r="BM778">
        <v>9.8357790398109319</v>
      </c>
      <c r="BN778">
        <v>1672.0824367678581</v>
      </c>
      <c r="BO778">
        <v>5219.1783558916559</v>
      </c>
    </row>
    <row r="779" spans="1:67" x14ac:dyDescent="0.25">
      <c r="A779" s="1">
        <v>777</v>
      </c>
      <c r="B779" t="s">
        <v>75</v>
      </c>
      <c r="C779" t="s">
        <v>85</v>
      </c>
      <c r="D779">
        <v>1</v>
      </c>
      <c r="E779">
        <v>1</v>
      </c>
      <c r="F779">
        <v>2</v>
      </c>
      <c r="G779">
        <v>45.016539999999999</v>
      </c>
      <c r="H779">
        <v>2</v>
      </c>
      <c r="I779" t="s">
        <v>89</v>
      </c>
      <c r="J779">
        <v>4</v>
      </c>
      <c r="K779">
        <v>300</v>
      </c>
      <c r="L779">
        <v>50</v>
      </c>
      <c r="N779" t="s">
        <v>91</v>
      </c>
      <c r="O779">
        <v>50</v>
      </c>
      <c r="P779">
        <v>0.25</v>
      </c>
      <c r="Q779">
        <v>3.2500000000000001E-2</v>
      </c>
      <c r="R779">
        <v>77.5</v>
      </c>
      <c r="S779">
        <v>170</v>
      </c>
      <c r="T779">
        <v>20</v>
      </c>
      <c r="U779">
        <v>1812.1301775147931</v>
      </c>
      <c r="V779">
        <v>20</v>
      </c>
      <c r="W779">
        <v>0.95</v>
      </c>
      <c r="X779">
        <v>1</v>
      </c>
      <c r="Y779">
        <v>49873.869574190452</v>
      </c>
      <c r="Z779">
        <v>149621608.72257131</v>
      </c>
      <c r="AA779">
        <v>598486434.89028537</v>
      </c>
      <c r="AB779">
        <v>598486.43489028537</v>
      </c>
      <c r="AC779">
        <v>0</v>
      </c>
      <c r="AD779">
        <v>1550.718686721465</v>
      </c>
      <c r="AE779">
        <v>2791293.6360986368</v>
      </c>
      <c r="AF779">
        <v>1395646.8180493179</v>
      </c>
      <c r="AG779">
        <v>62.827190810589862</v>
      </c>
      <c r="AH779">
        <v>307.11208231175249</v>
      </c>
      <c r="AI779">
        <v>61.422416462350498</v>
      </c>
      <c r="AJ779">
        <v>19450.809133934279</v>
      </c>
      <c r="AK779">
        <v>854.70085470085473</v>
      </c>
      <c r="AL779" t="s">
        <v>93</v>
      </c>
      <c r="AM779">
        <v>23801.186379160819</v>
      </c>
      <c r="AN779">
        <v>556.58130694513341</v>
      </c>
      <c r="AO779">
        <v>10441.81079859959</v>
      </c>
      <c r="AP779">
        <v>44663.277674741083</v>
      </c>
      <c r="AQ779">
        <v>34221.466876141487</v>
      </c>
      <c r="AR779">
        <v>1.393677030777778E-2</v>
      </c>
      <c r="AS779">
        <v>296.2966729223233</v>
      </c>
      <c r="AT779">
        <v>362.56652806520208</v>
      </c>
      <c r="AU779">
        <v>8.4784745109081623</v>
      </c>
      <c r="AV779">
        <v>159.06144457054029</v>
      </c>
      <c r="AW779">
        <v>680.36144335734025</v>
      </c>
      <c r="AX779">
        <v>521.29999878679996</v>
      </c>
      <c r="AY779">
        <v>0.97764066274307182</v>
      </c>
      <c r="AZ779" t="s">
        <v>123</v>
      </c>
      <c r="BA779" t="str">
        <f>VLOOKUP($AZ779,Sheet1!$A$2:$B$58,2)</f>
        <v>Citrate</v>
      </c>
      <c r="BB779" t="s">
        <v>173</v>
      </c>
      <c r="BC779">
        <v>189.09639999999999</v>
      </c>
      <c r="BD779">
        <v>2.5</v>
      </c>
      <c r="BF779" t="s">
        <v>211</v>
      </c>
      <c r="BG779">
        <v>0</v>
      </c>
      <c r="BH779">
        <v>0.101111111111111</v>
      </c>
      <c r="BI779">
        <v>0.39791688403464498</v>
      </c>
      <c r="BJ779">
        <v>80</v>
      </c>
      <c r="BK779">
        <v>2137.2599110989968</v>
      </c>
      <c r="BL779">
        <v>1637.5907246669269</v>
      </c>
      <c r="BM779">
        <v>3.0711208231175249</v>
      </c>
      <c r="BN779">
        <v>522.09053992997929</v>
      </c>
      <c r="BO779">
        <v>1615.1693711690179</v>
      </c>
    </row>
    <row r="780" spans="1:67" x14ac:dyDescent="0.25">
      <c r="A780" s="1">
        <v>778</v>
      </c>
      <c r="B780" t="s">
        <v>75</v>
      </c>
      <c r="C780" t="s">
        <v>85</v>
      </c>
      <c r="D780">
        <v>1</v>
      </c>
      <c r="E780">
        <v>1</v>
      </c>
      <c r="F780">
        <v>2</v>
      </c>
      <c r="G780">
        <v>45.016539999999999</v>
      </c>
      <c r="H780">
        <v>2</v>
      </c>
      <c r="I780" t="s">
        <v>89</v>
      </c>
      <c r="J780">
        <v>4</v>
      </c>
      <c r="K780">
        <v>300</v>
      </c>
      <c r="L780">
        <v>50</v>
      </c>
      <c r="N780" t="s">
        <v>91</v>
      </c>
      <c r="O780">
        <v>50</v>
      </c>
      <c r="P780">
        <v>0.25</v>
      </c>
      <c r="Q780">
        <v>3.2500000000000001E-2</v>
      </c>
      <c r="R780">
        <v>77.5</v>
      </c>
      <c r="S780">
        <v>170</v>
      </c>
      <c r="T780">
        <v>20</v>
      </c>
      <c r="U780">
        <v>1812.1301775147931</v>
      </c>
      <c r="V780">
        <v>20</v>
      </c>
      <c r="W780">
        <v>0.95</v>
      </c>
      <c r="X780">
        <v>1</v>
      </c>
      <c r="Y780">
        <v>172615.60557062179</v>
      </c>
      <c r="Z780">
        <v>517846816.71186543</v>
      </c>
      <c r="AA780">
        <v>2071387266.847461</v>
      </c>
      <c r="AB780">
        <v>2071387.266847461</v>
      </c>
      <c r="AC780">
        <v>0</v>
      </c>
      <c r="AD780">
        <v>5367.1040058345015</v>
      </c>
      <c r="AE780">
        <v>9660787.210502103</v>
      </c>
      <c r="AF780">
        <v>4830393.6052510506</v>
      </c>
      <c r="AG780">
        <v>217.4476069465282</v>
      </c>
      <c r="AH780">
        <v>1062.9281128354939</v>
      </c>
      <c r="AI780">
        <v>212.5856225670988</v>
      </c>
      <c r="AJ780">
        <v>67320.086172542506</v>
      </c>
      <c r="AK780">
        <v>854.70085470085473</v>
      </c>
      <c r="AL780" t="s">
        <v>93</v>
      </c>
      <c r="AM780">
        <v>82376.928744750767</v>
      </c>
      <c r="AN780">
        <v>1926.351818454862</v>
      </c>
      <c r="AO780">
        <v>36139.555836406791</v>
      </c>
      <c r="AP780">
        <v>152478.06759044901</v>
      </c>
      <c r="AQ780">
        <v>116338.51175404221</v>
      </c>
      <c r="AR780">
        <v>1.393677030777778E-2</v>
      </c>
      <c r="AS780">
        <v>296.2966729223233</v>
      </c>
      <c r="AT780">
        <v>362.56652806520208</v>
      </c>
      <c r="AU780">
        <v>8.4784745109081658</v>
      </c>
      <c r="AV780">
        <v>159.06144457054029</v>
      </c>
      <c r="AW780">
        <v>671.10348024334496</v>
      </c>
      <c r="AX780">
        <v>512.04203567280467</v>
      </c>
      <c r="AY780">
        <v>0.97764066274307171</v>
      </c>
      <c r="AZ780" t="s">
        <v>124</v>
      </c>
      <c r="BA780" t="str">
        <f>VLOOKUP($AZ780,Sheet1!$A$2:$B$58,2)</f>
        <v>Coumaric Acid</v>
      </c>
      <c r="BB780" t="s">
        <v>174</v>
      </c>
      <c r="BC780">
        <v>163.14818</v>
      </c>
      <c r="BD780">
        <v>4.1111111111111107</v>
      </c>
      <c r="BE780">
        <v>346</v>
      </c>
      <c r="BF780" t="s">
        <v>211</v>
      </c>
      <c r="BG780">
        <v>0.13487738569930721</v>
      </c>
      <c r="BH780">
        <v>3.3860465116279097E-2</v>
      </c>
      <c r="BI780">
        <v>0.114970223637125</v>
      </c>
      <c r="BJ780">
        <v>80</v>
      </c>
      <c r="BK780">
        <v>7296.4922896201006</v>
      </c>
      <c r="BL780">
        <v>5567.115765654009</v>
      </c>
      <c r="BM780">
        <v>10.49440374265563</v>
      </c>
      <c r="BN780">
        <v>1784.0486362514571</v>
      </c>
      <c r="BO780">
        <v>5512.4436533686439</v>
      </c>
    </row>
    <row r="781" spans="1:67" x14ac:dyDescent="0.25">
      <c r="A781" s="1">
        <v>779</v>
      </c>
      <c r="B781" t="s">
        <v>75</v>
      </c>
      <c r="C781" t="s">
        <v>85</v>
      </c>
      <c r="D781">
        <v>1</v>
      </c>
      <c r="E781">
        <v>1</v>
      </c>
      <c r="F781">
        <v>2</v>
      </c>
      <c r="G781">
        <v>45.016539999999999</v>
      </c>
      <c r="H781">
        <v>2</v>
      </c>
      <c r="I781" t="s">
        <v>89</v>
      </c>
      <c r="J781">
        <v>4</v>
      </c>
      <c r="K781">
        <v>300</v>
      </c>
      <c r="L781">
        <v>50</v>
      </c>
      <c r="N781" t="s">
        <v>91</v>
      </c>
      <c r="O781">
        <v>50</v>
      </c>
      <c r="P781">
        <v>0.25</v>
      </c>
      <c r="Q781">
        <v>3.2500000000000001E-2</v>
      </c>
      <c r="R781">
        <v>77.5</v>
      </c>
      <c r="S781">
        <v>170</v>
      </c>
      <c r="T781">
        <v>20</v>
      </c>
      <c r="U781">
        <v>1812.1301775147931</v>
      </c>
      <c r="V781">
        <v>20</v>
      </c>
      <c r="W781">
        <v>0.95</v>
      </c>
      <c r="X781">
        <v>1</v>
      </c>
      <c r="Y781">
        <v>54116.78067522488</v>
      </c>
      <c r="Z781">
        <v>162350342.02567461</v>
      </c>
      <c r="AA781">
        <v>649401368.10269856</v>
      </c>
      <c r="AB781">
        <v>649401.36810269859</v>
      </c>
      <c r="AC781">
        <v>0</v>
      </c>
      <c r="AD781">
        <v>1682.6427099955069</v>
      </c>
      <c r="AE781">
        <v>3028756.877991912</v>
      </c>
      <c r="AF781">
        <v>1514378.438995956</v>
      </c>
      <c r="AG781">
        <v>68.172077574199022</v>
      </c>
      <c r="AH781">
        <v>333.23897550106022</v>
      </c>
      <c r="AI781">
        <v>66.647795100212036</v>
      </c>
      <c r="AJ781">
        <v>21105.544463337701</v>
      </c>
      <c r="AK781">
        <v>854.70085470085473</v>
      </c>
      <c r="AL781" t="s">
        <v>93</v>
      </c>
      <c r="AM781">
        <v>25826.020601332159</v>
      </c>
      <c r="AN781">
        <v>603.93125243819077</v>
      </c>
      <c r="AO781">
        <v>11330.125167036051</v>
      </c>
      <c r="AP781">
        <v>48390.197171808897</v>
      </c>
      <c r="AQ781">
        <v>37060.072004772846</v>
      </c>
      <c r="AR781">
        <v>1.393677030777778E-2</v>
      </c>
      <c r="AS781">
        <v>296.2966729223233</v>
      </c>
      <c r="AT781">
        <v>362.56652806520208</v>
      </c>
      <c r="AU781">
        <v>8.4784745109081658</v>
      </c>
      <c r="AV781">
        <v>159.06144457054029</v>
      </c>
      <c r="AW781">
        <v>679.34065614693736</v>
      </c>
      <c r="AX781">
        <v>520.27921157639719</v>
      </c>
      <c r="AY781">
        <v>0.97764066274307182</v>
      </c>
      <c r="AZ781" t="s">
        <v>125</v>
      </c>
      <c r="BA781" t="str">
        <f>VLOOKUP($AZ781,Sheet1!$A$2:$B$58,2)</f>
        <v>Ethyl Acetate</v>
      </c>
      <c r="BB781" t="s">
        <v>175</v>
      </c>
      <c r="BC781">
        <v>88.103520000000003</v>
      </c>
      <c r="BD781">
        <v>5</v>
      </c>
      <c r="BE781">
        <v>77.099999999999994</v>
      </c>
      <c r="BF781" t="s">
        <v>211</v>
      </c>
      <c r="BG781">
        <v>0.49952601212755171</v>
      </c>
      <c r="BH781">
        <v>0.2</v>
      </c>
      <c r="BI781">
        <v>0.36671905697446</v>
      </c>
      <c r="BJ781">
        <v>80</v>
      </c>
      <c r="BK781">
        <v>2315.6031955078138</v>
      </c>
      <c r="BL781">
        <v>1773.425738591463</v>
      </c>
      <c r="BM781">
        <v>2.8328637428830499</v>
      </c>
      <c r="BN781">
        <v>481.58683629011853</v>
      </c>
      <c r="BO781">
        <v>1834.016359217695</v>
      </c>
    </row>
    <row r="782" spans="1:67" x14ac:dyDescent="0.25">
      <c r="A782" s="1">
        <v>780</v>
      </c>
      <c r="B782" t="s">
        <v>75</v>
      </c>
      <c r="C782" t="s">
        <v>85</v>
      </c>
      <c r="D782">
        <v>1</v>
      </c>
      <c r="E782">
        <v>1</v>
      </c>
      <c r="F782">
        <v>2</v>
      </c>
      <c r="G782">
        <v>45.016539999999999</v>
      </c>
      <c r="H782">
        <v>2</v>
      </c>
      <c r="I782" t="s">
        <v>89</v>
      </c>
      <c r="J782">
        <v>4</v>
      </c>
      <c r="K782">
        <v>300</v>
      </c>
      <c r="L782">
        <v>50</v>
      </c>
      <c r="N782" t="s">
        <v>91</v>
      </c>
      <c r="O782">
        <v>50</v>
      </c>
      <c r="P782">
        <v>0.25</v>
      </c>
      <c r="Q782">
        <v>3.2500000000000001E-2</v>
      </c>
      <c r="R782">
        <v>77.5</v>
      </c>
      <c r="S782">
        <v>170</v>
      </c>
      <c r="T782">
        <v>20</v>
      </c>
      <c r="U782">
        <v>1812.1301775147931</v>
      </c>
      <c r="V782">
        <v>20</v>
      </c>
      <c r="W782">
        <v>0.95</v>
      </c>
      <c r="X782">
        <v>1</v>
      </c>
      <c r="Y782">
        <v>185887.4343908072</v>
      </c>
      <c r="Z782">
        <v>557662303.17242169</v>
      </c>
      <c r="AA782">
        <v>2230649212.6896868</v>
      </c>
      <c r="AB782">
        <v>2230649.212689687</v>
      </c>
      <c r="AC782">
        <v>0</v>
      </c>
      <c r="AD782">
        <v>5779.7624406851346</v>
      </c>
      <c r="AE782">
        <v>10403572.39323324</v>
      </c>
      <c r="AF782">
        <v>5201786.1966166208</v>
      </c>
      <c r="AG782">
        <v>234.16641639144001</v>
      </c>
      <c r="AH782">
        <v>1144.6530525654871</v>
      </c>
      <c r="AI782">
        <v>228.93061051309749</v>
      </c>
      <c r="AJ782">
        <v>72496.099412414813</v>
      </c>
      <c r="AK782">
        <v>1835.336538461539</v>
      </c>
      <c r="AL782" t="s">
        <v>94</v>
      </c>
      <c r="AM782">
        <v>88710.61157382527</v>
      </c>
      <c r="AN782">
        <v>2074.462480277532</v>
      </c>
      <c r="AO782">
        <v>38918.203787226572</v>
      </c>
      <c r="AP782">
        <v>165116.51000497909</v>
      </c>
      <c r="AQ782">
        <v>126198.3062177525</v>
      </c>
      <c r="AR782">
        <v>1.393677030777778E-2</v>
      </c>
      <c r="AS782">
        <v>296.29667292232318</v>
      </c>
      <c r="AT782">
        <v>362.56652806520208</v>
      </c>
      <c r="AU782">
        <v>8.4784745109081658</v>
      </c>
      <c r="AV782">
        <v>159.06144457054029</v>
      </c>
      <c r="AW782">
        <v>674.84282541472533</v>
      </c>
      <c r="AX782">
        <v>515.78138084418504</v>
      </c>
      <c r="AY782">
        <v>0.97764066274307171</v>
      </c>
      <c r="AZ782" t="s">
        <v>126</v>
      </c>
      <c r="BA782" t="str">
        <f>VLOOKUP($AZ782,Sheet1!$A$2:$B$58,2)</f>
        <v>Farnesene</v>
      </c>
      <c r="BB782" t="s">
        <v>176</v>
      </c>
      <c r="BC782">
        <v>204.34866</v>
      </c>
      <c r="BD782">
        <v>5.6</v>
      </c>
      <c r="BE782" t="s">
        <v>198</v>
      </c>
      <c r="BF782" t="s">
        <v>211</v>
      </c>
      <c r="BG782">
        <v>1.292203237349326</v>
      </c>
      <c r="BH782">
        <v>2.5103448275862299E-2</v>
      </c>
      <c r="BI782">
        <v>0.10676167994222199</v>
      </c>
      <c r="BJ782">
        <v>80</v>
      </c>
      <c r="BK782">
        <v>7901.2763027420197</v>
      </c>
      <c r="BL782">
        <v>6038.9338796855654</v>
      </c>
      <c r="BM782">
        <v>10.15432728830555</v>
      </c>
      <c r="BN782">
        <v>1726.235639011943</v>
      </c>
      <c r="BO782">
        <v>6175.0406637300766</v>
      </c>
    </row>
    <row r="783" spans="1:67" x14ac:dyDescent="0.25">
      <c r="A783" s="1">
        <v>781</v>
      </c>
      <c r="B783" t="s">
        <v>75</v>
      </c>
      <c r="C783" t="s">
        <v>85</v>
      </c>
      <c r="D783">
        <v>1</v>
      </c>
      <c r="E783">
        <v>1</v>
      </c>
      <c r="F783">
        <v>2</v>
      </c>
      <c r="G783">
        <v>45.016539999999999</v>
      </c>
      <c r="H783">
        <v>2</v>
      </c>
      <c r="I783" t="s">
        <v>89</v>
      </c>
      <c r="J783">
        <v>4</v>
      </c>
      <c r="K783">
        <v>300</v>
      </c>
      <c r="L783">
        <v>50</v>
      </c>
      <c r="N783" t="s">
        <v>91</v>
      </c>
      <c r="O783">
        <v>50</v>
      </c>
      <c r="P783">
        <v>0.25</v>
      </c>
      <c r="Q783">
        <v>3.2500000000000001E-2</v>
      </c>
      <c r="R783">
        <v>77.5</v>
      </c>
      <c r="S783">
        <v>170</v>
      </c>
      <c r="T783">
        <v>20</v>
      </c>
      <c r="U783">
        <v>1812.1301775147931</v>
      </c>
      <c r="V783">
        <v>20</v>
      </c>
      <c r="W783">
        <v>0.95</v>
      </c>
      <c r="X783">
        <v>1</v>
      </c>
      <c r="Y783">
        <v>129330.49629513059</v>
      </c>
      <c r="Z783">
        <v>387991488.88539171</v>
      </c>
      <c r="AA783">
        <v>1551965955.5415671</v>
      </c>
      <c r="AB783">
        <v>1551965.9555415669</v>
      </c>
      <c r="AC783">
        <v>0</v>
      </c>
      <c r="AD783">
        <v>4021.2483827725041</v>
      </c>
      <c r="AE783">
        <v>7238247.0889905076</v>
      </c>
      <c r="AF783">
        <v>3619123.5444952538</v>
      </c>
      <c r="AG783">
        <v>162.92041980571241</v>
      </c>
      <c r="AH783">
        <v>796.38813596618036</v>
      </c>
      <c r="AI783">
        <v>159.2776271932361</v>
      </c>
      <c r="AJ783">
        <v>50438.89355510092</v>
      </c>
      <c r="AK783">
        <v>1835.336538461539</v>
      </c>
      <c r="AL783" t="s">
        <v>94</v>
      </c>
      <c r="AM783">
        <v>61720.080537378977</v>
      </c>
      <c r="AN783">
        <v>1443.2996130113279</v>
      </c>
      <c r="AO783">
        <v>27077.19662285013</v>
      </c>
      <c r="AP783">
        <v>115437.6102439528</v>
      </c>
      <c r="AQ783">
        <v>88360.413621102634</v>
      </c>
      <c r="AR783">
        <v>1.393677030777778E-2</v>
      </c>
      <c r="AS783">
        <v>296.2966729223233</v>
      </c>
      <c r="AT783">
        <v>362.56652806520202</v>
      </c>
      <c r="AU783">
        <v>8.4784745109081658</v>
      </c>
      <c r="AV783">
        <v>159.0614445705402</v>
      </c>
      <c r="AW783">
        <v>678.12311957283339</v>
      </c>
      <c r="AX783">
        <v>519.06167500229321</v>
      </c>
      <c r="AY783">
        <v>0.97764066274307138</v>
      </c>
      <c r="AZ783" t="s">
        <v>127</v>
      </c>
      <c r="BA783" t="str">
        <f>VLOOKUP($AZ783,Sheet1!$A$2:$B$58,2)</f>
        <v>Gamma Butyrolactone</v>
      </c>
      <c r="BB783" t="s">
        <v>177</v>
      </c>
      <c r="BC783">
        <v>86.08784</v>
      </c>
      <c r="BD783">
        <v>4.5</v>
      </c>
      <c r="BE783">
        <v>204</v>
      </c>
      <c r="BF783" t="s">
        <v>211</v>
      </c>
      <c r="BG783">
        <v>0.25561101312334122</v>
      </c>
      <c r="BH783">
        <v>8.5647058823529396E-2</v>
      </c>
      <c r="BI783">
        <v>0.15344915038773699</v>
      </c>
      <c r="BJ783">
        <v>80</v>
      </c>
      <c r="BK783">
        <v>5524.0051660382651</v>
      </c>
      <c r="BL783">
        <v>4228.2872998214934</v>
      </c>
      <c r="BM783">
        <v>7.7082703465384608</v>
      </c>
      <c r="BN783">
        <v>1310.4059589115379</v>
      </c>
      <c r="BO783">
        <v>4213.5992071267256</v>
      </c>
    </row>
    <row r="784" spans="1:67" x14ac:dyDescent="0.25">
      <c r="A784" s="1">
        <v>782</v>
      </c>
      <c r="B784" t="s">
        <v>75</v>
      </c>
      <c r="C784" t="s">
        <v>85</v>
      </c>
      <c r="D784">
        <v>1</v>
      </c>
      <c r="E784">
        <v>1</v>
      </c>
      <c r="F784">
        <v>2</v>
      </c>
      <c r="G784">
        <v>45.016539999999999</v>
      </c>
      <c r="H784">
        <v>2</v>
      </c>
      <c r="I784" t="s">
        <v>89</v>
      </c>
      <c r="J784">
        <v>4</v>
      </c>
      <c r="K784">
        <v>300</v>
      </c>
      <c r="L784">
        <v>50</v>
      </c>
      <c r="N784" t="s">
        <v>91</v>
      </c>
      <c r="O784">
        <v>50</v>
      </c>
      <c r="P784">
        <v>0.25</v>
      </c>
      <c r="Q784">
        <v>3.2500000000000001E-2</v>
      </c>
      <c r="R784">
        <v>77.5</v>
      </c>
      <c r="S784">
        <v>170</v>
      </c>
      <c r="T784">
        <v>20</v>
      </c>
      <c r="U784">
        <v>1812.1301775147931</v>
      </c>
      <c r="V784">
        <v>20</v>
      </c>
      <c r="W784">
        <v>0.95</v>
      </c>
      <c r="X784">
        <v>1</v>
      </c>
      <c r="Y784">
        <v>55578.787186000642</v>
      </c>
      <c r="Z784">
        <v>166736361.55800191</v>
      </c>
      <c r="AA784">
        <v>666945446.23200774</v>
      </c>
      <c r="AB784">
        <v>666945.4462320077</v>
      </c>
      <c r="AC784">
        <v>0</v>
      </c>
      <c r="AD784">
        <v>1728.1005987802521</v>
      </c>
      <c r="AE784">
        <v>3110581.0778044532</v>
      </c>
      <c r="AF784">
        <v>1555290.5389022271</v>
      </c>
      <c r="AG784">
        <v>70.01379875611363</v>
      </c>
      <c r="AH784">
        <v>342.241683085435</v>
      </c>
      <c r="AI784">
        <v>68.448336617087008</v>
      </c>
      <c r="AJ784">
        <v>21675.72700254025</v>
      </c>
      <c r="AK784">
        <v>854.70085470085473</v>
      </c>
      <c r="AL784" t="s">
        <v>93</v>
      </c>
      <c r="AM784">
        <v>26523.730439121209</v>
      </c>
      <c r="AN784">
        <v>620.24692037166449</v>
      </c>
      <c r="AO784">
        <v>11636.217224904791</v>
      </c>
      <c r="AP784">
        <v>49674.405216733983</v>
      </c>
      <c r="AQ784">
        <v>38038.187991829182</v>
      </c>
      <c r="AR784">
        <v>1.393677030777778E-2</v>
      </c>
      <c r="AS784">
        <v>296.2966729223233</v>
      </c>
      <c r="AT784">
        <v>362.56652806520208</v>
      </c>
      <c r="AU784">
        <v>8.4784745109081658</v>
      </c>
      <c r="AV784">
        <v>159.06144457054029</v>
      </c>
      <c r="AW784">
        <v>679.02502155469483</v>
      </c>
      <c r="AX784">
        <v>519.96357698415466</v>
      </c>
      <c r="AY784">
        <v>0.97764066274307215</v>
      </c>
      <c r="AZ784" t="s">
        <v>128</v>
      </c>
      <c r="BA784" t="str">
        <f>VLOOKUP($AZ784,Sheet1!$A$2:$B$58,2)</f>
        <v>L-Glutamate</v>
      </c>
      <c r="BB784" t="s">
        <v>178</v>
      </c>
      <c r="BC784">
        <v>146.11892</v>
      </c>
      <c r="BD784">
        <v>3.4</v>
      </c>
      <c r="BE784">
        <v>333.8</v>
      </c>
      <c r="BF784" t="s">
        <v>211</v>
      </c>
      <c r="BG784">
        <v>0</v>
      </c>
      <c r="BH784">
        <v>0.11741935483870999</v>
      </c>
      <c r="BI784">
        <v>0.35707246920118002</v>
      </c>
      <c r="BJ784">
        <v>80</v>
      </c>
      <c r="BK784">
        <v>2377.0560604748061</v>
      </c>
      <c r="BL784">
        <v>1820.23126197388</v>
      </c>
      <c r="BM784">
        <v>3.4224168308543512</v>
      </c>
      <c r="BN784">
        <v>581.81086124523961</v>
      </c>
      <c r="BO784">
        <v>1795.245199229566</v>
      </c>
    </row>
    <row r="785" spans="1:67" x14ac:dyDescent="0.25">
      <c r="A785" s="1">
        <v>783</v>
      </c>
      <c r="B785" t="s">
        <v>75</v>
      </c>
      <c r="C785" t="s">
        <v>85</v>
      </c>
      <c r="D785">
        <v>1</v>
      </c>
      <c r="E785">
        <v>1</v>
      </c>
      <c r="F785">
        <v>2</v>
      </c>
      <c r="G785">
        <v>45.016539999999999</v>
      </c>
      <c r="H785">
        <v>2</v>
      </c>
      <c r="I785" t="s">
        <v>89</v>
      </c>
      <c r="J785">
        <v>4</v>
      </c>
      <c r="K785">
        <v>300</v>
      </c>
      <c r="L785">
        <v>50</v>
      </c>
      <c r="N785" t="s">
        <v>91</v>
      </c>
      <c r="O785">
        <v>50</v>
      </c>
      <c r="P785">
        <v>0.25</v>
      </c>
      <c r="Q785">
        <v>3.2500000000000001E-2</v>
      </c>
      <c r="R785">
        <v>77.5</v>
      </c>
      <c r="S785">
        <v>170</v>
      </c>
      <c r="T785">
        <v>20</v>
      </c>
      <c r="U785">
        <v>1812.1301775147931</v>
      </c>
      <c r="V785">
        <v>20</v>
      </c>
      <c r="W785">
        <v>0.95</v>
      </c>
      <c r="X785">
        <v>1</v>
      </c>
      <c r="Y785">
        <v>104730.0094683624</v>
      </c>
      <c r="Z785">
        <v>314190028.40508741</v>
      </c>
      <c r="AA785">
        <v>1256760113.6203489</v>
      </c>
      <c r="AB785">
        <v>1256760.113620349</v>
      </c>
      <c r="AC785">
        <v>0</v>
      </c>
      <c r="AD785">
        <v>3256.3501514859508</v>
      </c>
      <c r="AE785">
        <v>5861430.2726747114</v>
      </c>
      <c r="AF785">
        <v>2930715.1363373562</v>
      </c>
      <c r="AG785">
        <v>131.93065516353599</v>
      </c>
      <c r="AH785">
        <v>644.90386575103491</v>
      </c>
      <c r="AI785">
        <v>128.980773150207</v>
      </c>
      <c r="AJ785">
        <v>40844.703692661358</v>
      </c>
      <c r="AK785">
        <v>854.70085470085473</v>
      </c>
      <c r="AL785" t="s">
        <v>93</v>
      </c>
      <c r="AM785">
        <v>49980.049595705197</v>
      </c>
      <c r="AN785">
        <v>1168.7636440474359</v>
      </c>
      <c r="AO785">
        <v>21926.731435535188</v>
      </c>
      <c r="AP785">
        <v>92848.21778711486</v>
      </c>
      <c r="AQ785">
        <v>70921.486351579675</v>
      </c>
      <c r="AR785">
        <v>1.393677030777778E-2</v>
      </c>
      <c r="AS785">
        <v>296.29667292232318</v>
      </c>
      <c r="AT785">
        <v>362.56652806520202</v>
      </c>
      <c r="AU785">
        <v>8.4784745109081605</v>
      </c>
      <c r="AV785">
        <v>159.0614445705402</v>
      </c>
      <c r="AW785">
        <v>673.54186785378215</v>
      </c>
      <c r="AX785">
        <v>514.48042328324198</v>
      </c>
      <c r="AY785">
        <v>0.97764066274307171</v>
      </c>
      <c r="AZ785" t="s">
        <v>130</v>
      </c>
      <c r="BA785" t="str">
        <f>VLOOKUP($AZ785,Sheet1!$A$2:$B$58,2)</f>
        <v>Glycolate</v>
      </c>
      <c r="BB785" t="s">
        <v>180</v>
      </c>
      <c r="BC785">
        <v>75.041920000000005</v>
      </c>
      <c r="BD785">
        <v>2.5</v>
      </c>
      <c r="BE785">
        <v>112</v>
      </c>
      <c r="BF785" t="s">
        <v>211</v>
      </c>
      <c r="BG785">
        <v>0</v>
      </c>
      <c r="BH785">
        <v>0.121333333333333</v>
      </c>
      <c r="BI785">
        <v>0.18949348784034301</v>
      </c>
      <c r="BJ785">
        <v>80</v>
      </c>
      <c r="BK785">
        <v>4443.040995301064</v>
      </c>
      <c r="BL785">
        <v>3393.786965628572</v>
      </c>
      <c r="BM785">
        <v>6.4490386575103509</v>
      </c>
      <c r="BN785">
        <v>1096.3365717767599</v>
      </c>
      <c r="BO785">
        <v>3346.7044235243038</v>
      </c>
    </row>
    <row r="786" spans="1:67" x14ac:dyDescent="0.25">
      <c r="A786" s="1">
        <v>784</v>
      </c>
      <c r="B786" t="s">
        <v>75</v>
      </c>
      <c r="C786" t="s">
        <v>85</v>
      </c>
      <c r="D786">
        <v>1</v>
      </c>
      <c r="E786">
        <v>1</v>
      </c>
      <c r="F786">
        <v>2</v>
      </c>
      <c r="G786">
        <v>45.016539999999999</v>
      </c>
      <c r="H786">
        <v>2</v>
      </c>
      <c r="I786" t="s">
        <v>89</v>
      </c>
      <c r="J786">
        <v>4</v>
      </c>
      <c r="K786">
        <v>300</v>
      </c>
      <c r="L786">
        <v>50</v>
      </c>
      <c r="N786" t="s">
        <v>91</v>
      </c>
      <c r="O786">
        <v>50</v>
      </c>
      <c r="P786">
        <v>0.25</v>
      </c>
      <c r="Q786">
        <v>3.2500000000000001E-2</v>
      </c>
      <c r="R786">
        <v>77.5</v>
      </c>
      <c r="S786">
        <v>170</v>
      </c>
      <c r="T786">
        <v>20</v>
      </c>
      <c r="U786">
        <v>1812.1301775147931</v>
      </c>
      <c r="V786">
        <v>20</v>
      </c>
      <c r="W786">
        <v>0.95</v>
      </c>
      <c r="X786">
        <v>1</v>
      </c>
      <c r="Y786">
        <v>104683.6119600158</v>
      </c>
      <c r="Z786">
        <v>314050835.88004738</v>
      </c>
      <c r="AA786">
        <v>1256203343.52019</v>
      </c>
      <c r="AB786">
        <v>1256203.3435201901</v>
      </c>
      <c r="AC786">
        <v>0</v>
      </c>
      <c r="AD786">
        <v>3254.9075226339128</v>
      </c>
      <c r="AE786">
        <v>5858833.5407410441</v>
      </c>
      <c r="AF786">
        <v>2929416.770370522</v>
      </c>
      <c r="AG786">
        <v>131.8722072200554</v>
      </c>
      <c r="AH786">
        <v>644.61816032003333</v>
      </c>
      <c r="AI786">
        <v>128.92363206400671</v>
      </c>
      <c r="AJ786">
        <v>40826.608664406172</v>
      </c>
      <c r="AK786">
        <v>854.70085470085473</v>
      </c>
      <c r="AL786" t="s">
        <v>93</v>
      </c>
      <c r="AM786">
        <v>49957.907424802594</v>
      </c>
      <c r="AN786">
        <v>1168.245858159655</v>
      </c>
      <c r="AO786">
        <v>21917.01745088114</v>
      </c>
      <c r="AP786">
        <v>92807.462802069262</v>
      </c>
      <c r="AQ786">
        <v>70890.445351188129</v>
      </c>
      <c r="AR786">
        <v>1.393677030777778E-2</v>
      </c>
      <c r="AS786">
        <v>296.2966729223233</v>
      </c>
      <c r="AT786">
        <v>362.56652806520208</v>
      </c>
      <c r="AU786">
        <v>8.4784745109081641</v>
      </c>
      <c r="AV786">
        <v>159.06144457054029</v>
      </c>
      <c r="AW786">
        <v>673.54461588158904</v>
      </c>
      <c r="AX786">
        <v>514.48317131104875</v>
      </c>
      <c r="AY786">
        <v>0.97764066274307171</v>
      </c>
      <c r="AZ786" t="s">
        <v>131</v>
      </c>
      <c r="BA786" t="str">
        <f>VLOOKUP($AZ786,Sheet1!$A$2:$B$58,2)</f>
        <v>Heptane</v>
      </c>
      <c r="BB786" t="s">
        <v>181</v>
      </c>
      <c r="BC786">
        <v>100.20034</v>
      </c>
      <c r="BD786">
        <v>6.2857142857142856</v>
      </c>
      <c r="BE786">
        <v>98</v>
      </c>
      <c r="BF786" t="s">
        <v>211</v>
      </c>
      <c r="BG786">
        <v>1.756880266074943</v>
      </c>
      <c r="BH786">
        <v>9.0909090909090898E-2</v>
      </c>
      <c r="BI786">
        <v>0.189577474488483</v>
      </c>
      <c r="BJ786">
        <v>80</v>
      </c>
      <c r="BK786">
        <v>4441.0907578744764</v>
      </c>
      <c r="BL786">
        <v>3392.3015689180952</v>
      </c>
      <c r="BM786">
        <v>4.6893013371253902</v>
      </c>
      <c r="BN786">
        <v>797.18122731131632</v>
      </c>
      <c r="BO786">
        <v>3643.9095305631599</v>
      </c>
    </row>
    <row r="787" spans="1:67" x14ac:dyDescent="0.25">
      <c r="A787" s="1">
        <v>785</v>
      </c>
      <c r="B787" t="s">
        <v>75</v>
      </c>
      <c r="C787" t="s">
        <v>85</v>
      </c>
      <c r="D787">
        <v>1</v>
      </c>
      <c r="E787">
        <v>1</v>
      </c>
      <c r="F787">
        <v>2</v>
      </c>
      <c r="G787">
        <v>45.016539999999999</v>
      </c>
      <c r="H787">
        <v>2</v>
      </c>
      <c r="I787" t="s">
        <v>89</v>
      </c>
      <c r="J787">
        <v>4</v>
      </c>
      <c r="K787">
        <v>300</v>
      </c>
      <c r="L787">
        <v>50</v>
      </c>
      <c r="N787" t="s">
        <v>91</v>
      </c>
      <c r="O787">
        <v>50</v>
      </c>
      <c r="P787">
        <v>0.25</v>
      </c>
      <c r="Q787">
        <v>3.2500000000000001E-2</v>
      </c>
      <c r="R787">
        <v>77.5</v>
      </c>
      <c r="S787">
        <v>170</v>
      </c>
      <c r="T787">
        <v>20</v>
      </c>
      <c r="U787">
        <v>1812.1301775147931</v>
      </c>
      <c r="V787">
        <v>20</v>
      </c>
      <c r="W787">
        <v>0.95</v>
      </c>
      <c r="X787">
        <v>1</v>
      </c>
      <c r="Y787">
        <v>105124.2144408248</v>
      </c>
      <c r="Z787">
        <v>315372643.3224743</v>
      </c>
      <c r="AA787">
        <v>1261490573.289897</v>
      </c>
      <c r="AB787">
        <v>1261490.5732898971</v>
      </c>
      <c r="AC787">
        <v>0</v>
      </c>
      <c r="AD787">
        <v>3268.6070912906011</v>
      </c>
      <c r="AE787">
        <v>5883492.7643230818</v>
      </c>
      <c r="AF787">
        <v>2941746.3821615409</v>
      </c>
      <c r="AG787">
        <v>132.42724368243029</v>
      </c>
      <c r="AH787">
        <v>647.331291394647</v>
      </c>
      <c r="AI787">
        <v>129.46625827892939</v>
      </c>
      <c r="AJ787">
        <v>40998.443631921662</v>
      </c>
      <c r="AK787">
        <v>854.70085470085473</v>
      </c>
      <c r="AL787" t="s">
        <v>93</v>
      </c>
      <c r="AM787">
        <v>50168.175083085152</v>
      </c>
      <c r="AN787">
        <v>1173.1628839831089</v>
      </c>
      <c r="AO787">
        <v>22009.263907418001</v>
      </c>
      <c r="AP787">
        <v>93194.482453690769</v>
      </c>
      <c r="AQ787">
        <v>71185.218546272765</v>
      </c>
      <c r="AR787">
        <v>1.393677030777778E-2</v>
      </c>
      <c r="AS787">
        <v>296.2966729223233</v>
      </c>
      <c r="AT787">
        <v>362.56652806520208</v>
      </c>
      <c r="AU787">
        <v>8.4784745109081623</v>
      </c>
      <c r="AV787">
        <v>159.06144457054029</v>
      </c>
      <c r="AW787">
        <v>673.51861777129943</v>
      </c>
      <c r="AX787">
        <v>514.45717320075914</v>
      </c>
      <c r="AY787">
        <v>0.97764066274307182</v>
      </c>
      <c r="AZ787" t="s">
        <v>132</v>
      </c>
      <c r="BA787" t="str">
        <f>VLOOKUP($AZ787,Sheet1!$A$2:$B$58,2)</f>
        <v>Hexane</v>
      </c>
      <c r="BB787" t="s">
        <v>182</v>
      </c>
      <c r="BC787">
        <v>86.173959999999994</v>
      </c>
      <c r="BD787">
        <v>6.333333333333333</v>
      </c>
      <c r="BE787">
        <v>69</v>
      </c>
      <c r="BF787" t="s">
        <v>211</v>
      </c>
      <c r="BG787">
        <v>1.7874889351725249</v>
      </c>
      <c r="BH787">
        <v>0.105263157894737</v>
      </c>
      <c r="BI787">
        <v>0.18878290678579501</v>
      </c>
      <c r="BJ787">
        <v>80</v>
      </c>
      <c r="BK787">
        <v>4459.6107060126742</v>
      </c>
      <c r="BL787">
        <v>3406.407271981559</v>
      </c>
      <c r="BM787">
        <v>4.6858239787739464</v>
      </c>
      <c r="BN787">
        <v>796.59007639157085</v>
      </c>
      <c r="BO787">
        <v>3663.020629621104</v>
      </c>
    </row>
    <row r="788" spans="1:67" x14ac:dyDescent="0.25">
      <c r="A788" s="1">
        <v>786</v>
      </c>
      <c r="B788" t="s">
        <v>75</v>
      </c>
      <c r="C788" t="s">
        <v>85</v>
      </c>
      <c r="D788">
        <v>1</v>
      </c>
      <c r="E788">
        <v>1</v>
      </c>
      <c r="F788">
        <v>2</v>
      </c>
      <c r="G788">
        <v>45.016539999999999</v>
      </c>
      <c r="H788">
        <v>2</v>
      </c>
      <c r="I788" t="s">
        <v>89</v>
      </c>
      <c r="J788">
        <v>4</v>
      </c>
      <c r="K788">
        <v>300</v>
      </c>
      <c r="L788">
        <v>50</v>
      </c>
      <c r="N788" t="s">
        <v>91</v>
      </c>
      <c r="O788">
        <v>50</v>
      </c>
      <c r="P788">
        <v>0.25</v>
      </c>
      <c r="Q788">
        <v>3.2500000000000001E-2</v>
      </c>
      <c r="R788">
        <v>77.5</v>
      </c>
      <c r="S788">
        <v>170</v>
      </c>
      <c r="T788">
        <v>20</v>
      </c>
      <c r="U788">
        <v>1812.1301775147931</v>
      </c>
      <c r="V788">
        <v>20</v>
      </c>
      <c r="W788">
        <v>0.95</v>
      </c>
      <c r="X788">
        <v>1</v>
      </c>
      <c r="Y788">
        <v>66427.433618670606</v>
      </c>
      <c r="Z788">
        <v>199282300.85601181</v>
      </c>
      <c r="AA788">
        <v>797129203.42404735</v>
      </c>
      <c r="AB788">
        <v>797129.20342404733</v>
      </c>
      <c r="AC788">
        <v>0</v>
      </c>
      <c r="AD788">
        <v>2065.4154871658411</v>
      </c>
      <c r="AE788">
        <v>3717747.8768985141</v>
      </c>
      <c r="AF788">
        <v>1858873.9384492571</v>
      </c>
      <c r="AG788">
        <v>83.680073005158519</v>
      </c>
      <c r="AH788">
        <v>409.04521015575892</v>
      </c>
      <c r="AI788">
        <v>81.80904203115179</v>
      </c>
      <c r="AJ788">
        <v>25906.699111281541</v>
      </c>
      <c r="AK788">
        <v>854.70085470085473</v>
      </c>
      <c r="AL788" t="s">
        <v>93</v>
      </c>
      <c r="AM788">
        <v>31701.00378707132</v>
      </c>
      <c r="AN788">
        <v>741.31540496356047</v>
      </c>
      <c r="AO788">
        <v>13907.537145295801</v>
      </c>
      <c r="AP788">
        <v>59203.719158017273</v>
      </c>
      <c r="AQ788">
        <v>45296.182012721467</v>
      </c>
      <c r="AR788">
        <v>1.393677030777777E-2</v>
      </c>
      <c r="AS788">
        <v>296.29667292232318</v>
      </c>
      <c r="AT788">
        <v>362.56652806520202</v>
      </c>
      <c r="AU788">
        <v>8.4784745109081641</v>
      </c>
      <c r="AV788">
        <v>159.0614445705402</v>
      </c>
      <c r="AW788">
        <v>677.11694707988499</v>
      </c>
      <c r="AX788">
        <v>518.05550250934482</v>
      </c>
      <c r="AY788">
        <v>0.9776406627430716</v>
      </c>
      <c r="AZ788" t="s">
        <v>133</v>
      </c>
      <c r="BA788" t="str">
        <f>VLOOKUP($AZ788,Sheet1!$A$2:$B$58,2)</f>
        <v>Isobutanol</v>
      </c>
      <c r="BB788" t="s">
        <v>183</v>
      </c>
      <c r="BC788">
        <v>86.130899999999997</v>
      </c>
      <c r="BD788">
        <v>5.6</v>
      </c>
      <c r="BE788">
        <v>108</v>
      </c>
      <c r="BF788" t="s">
        <v>211</v>
      </c>
      <c r="BG788">
        <v>1.0219328951630571</v>
      </c>
      <c r="BH788">
        <v>0.16666666666666699</v>
      </c>
      <c r="BI788">
        <v>0.29875690952682199</v>
      </c>
      <c r="BJ788">
        <v>80</v>
      </c>
      <c r="BK788">
        <v>2833.0597782337409</v>
      </c>
      <c r="BL788">
        <v>2167.546113535303</v>
      </c>
      <c r="BM788">
        <v>3.0685192063945319</v>
      </c>
      <c r="BN788">
        <v>521.6482650870704</v>
      </c>
      <c r="BO788">
        <v>2311.411513146671</v>
      </c>
    </row>
    <row r="789" spans="1:67" x14ac:dyDescent="0.25">
      <c r="A789" s="1">
        <v>787</v>
      </c>
      <c r="B789" t="s">
        <v>75</v>
      </c>
      <c r="C789" t="s">
        <v>85</v>
      </c>
      <c r="D789">
        <v>1</v>
      </c>
      <c r="E789">
        <v>1</v>
      </c>
      <c r="F789">
        <v>2</v>
      </c>
      <c r="G789">
        <v>45.016539999999999</v>
      </c>
      <c r="H789">
        <v>2</v>
      </c>
      <c r="I789" t="s">
        <v>89</v>
      </c>
      <c r="J789">
        <v>4</v>
      </c>
      <c r="K789">
        <v>300</v>
      </c>
      <c r="L789">
        <v>50</v>
      </c>
      <c r="N789" t="s">
        <v>91</v>
      </c>
      <c r="O789">
        <v>50</v>
      </c>
      <c r="P789">
        <v>0.25</v>
      </c>
      <c r="Q789">
        <v>3.2500000000000001E-2</v>
      </c>
      <c r="R789">
        <v>77.5</v>
      </c>
      <c r="S789">
        <v>170</v>
      </c>
      <c r="T789">
        <v>20</v>
      </c>
      <c r="U789">
        <v>1812.1301775147931</v>
      </c>
      <c r="V789">
        <v>20</v>
      </c>
      <c r="W789">
        <v>0.95</v>
      </c>
      <c r="X789">
        <v>1</v>
      </c>
      <c r="Y789">
        <v>54743.000669554407</v>
      </c>
      <c r="Z789">
        <v>164229002.00866321</v>
      </c>
      <c r="AA789">
        <v>656916008.03465295</v>
      </c>
      <c r="AB789">
        <v>656916.00803465291</v>
      </c>
      <c r="AC789">
        <v>0</v>
      </c>
      <c r="AD789">
        <v>1702.113648494892</v>
      </c>
      <c r="AE789">
        <v>3063804.5672908062</v>
      </c>
      <c r="AF789">
        <v>1531902.2836454031</v>
      </c>
      <c r="AG789">
        <v>68.96094042781462</v>
      </c>
      <c r="AH789">
        <v>337.09509751617088</v>
      </c>
      <c r="AI789">
        <v>67.419019503234182</v>
      </c>
      <c r="AJ789">
        <v>21349.770261126221</v>
      </c>
      <c r="AK789">
        <v>854.70085470085473</v>
      </c>
      <c r="AL789" t="s">
        <v>93</v>
      </c>
      <c r="AM789">
        <v>26124.870057503242</v>
      </c>
      <c r="AN789">
        <v>610.91972848496357</v>
      </c>
      <c r="AO789">
        <v>11461.233315549811</v>
      </c>
      <c r="AP789">
        <v>48940.26090181528</v>
      </c>
      <c r="AQ789">
        <v>37479.027586265467</v>
      </c>
      <c r="AR789">
        <v>1.393677030777778E-2</v>
      </c>
      <c r="AS789">
        <v>296.29667292232318</v>
      </c>
      <c r="AT789">
        <v>362.56652806520208</v>
      </c>
      <c r="AU789">
        <v>8.4784745109081641</v>
      </c>
      <c r="AV789">
        <v>159.06144457054029</v>
      </c>
      <c r="AW789">
        <v>679.20339656120473</v>
      </c>
      <c r="AX789">
        <v>520.14195199066444</v>
      </c>
      <c r="AY789">
        <v>0.97764066274307182</v>
      </c>
      <c r="AZ789" t="s">
        <v>134</v>
      </c>
      <c r="BA789" t="str">
        <f>VLOOKUP($AZ789,Sheet1!$A$2:$B$58,2)</f>
        <v>Isobutyrate</v>
      </c>
      <c r="BB789" t="s">
        <v>170</v>
      </c>
      <c r="BC789">
        <v>87.095680000000002</v>
      </c>
      <c r="BD789">
        <v>4.75</v>
      </c>
      <c r="BE789">
        <v>155</v>
      </c>
      <c r="BF789" t="s">
        <v>211</v>
      </c>
      <c r="BG789">
        <v>0.50530634814493669</v>
      </c>
      <c r="BH789">
        <v>0.2</v>
      </c>
      <c r="BI789">
        <v>0.36252405847291103</v>
      </c>
      <c r="BJ789">
        <v>80</v>
      </c>
      <c r="BK789">
        <v>2341.9252484313288</v>
      </c>
      <c r="BL789">
        <v>1793.4739082617709</v>
      </c>
      <c r="BM789">
        <v>2.8656446270167719</v>
      </c>
      <c r="BN789">
        <v>487.15958659285133</v>
      </c>
      <c r="BO789">
        <v>1854.7656618384781</v>
      </c>
    </row>
    <row r="790" spans="1:67" x14ac:dyDescent="0.25">
      <c r="A790" s="1">
        <v>788</v>
      </c>
      <c r="B790" t="s">
        <v>75</v>
      </c>
      <c r="C790" t="s">
        <v>85</v>
      </c>
      <c r="D790">
        <v>1</v>
      </c>
      <c r="E790">
        <v>1</v>
      </c>
      <c r="F790">
        <v>2</v>
      </c>
      <c r="G790">
        <v>45.016539999999999</v>
      </c>
      <c r="H790">
        <v>2</v>
      </c>
      <c r="I790" t="s">
        <v>89</v>
      </c>
      <c r="J790">
        <v>4</v>
      </c>
      <c r="K790">
        <v>300</v>
      </c>
      <c r="L790">
        <v>50</v>
      </c>
      <c r="N790" t="s">
        <v>91</v>
      </c>
      <c r="O790">
        <v>50</v>
      </c>
      <c r="P790">
        <v>0.25</v>
      </c>
      <c r="Q790">
        <v>3.2500000000000001E-2</v>
      </c>
      <c r="R790">
        <v>77.5</v>
      </c>
      <c r="S790">
        <v>170</v>
      </c>
      <c r="T790">
        <v>20</v>
      </c>
      <c r="U790">
        <v>1812.1301775147931</v>
      </c>
      <c r="V790">
        <v>20</v>
      </c>
      <c r="W790">
        <v>0.95</v>
      </c>
      <c r="X790">
        <v>1</v>
      </c>
      <c r="Y790">
        <v>188451.39900309691</v>
      </c>
      <c r="Z790">
        <v>565354197.0092907</v>
      </c>
      <c r="AA790">
        <v>2261416788.0371628</v>
      </c>
      <c r="AB790">
        <v>2261416.7880371632</v>
      </c>
      <c r="AC790">
        <v>66773.504273504266</v>
      </c>
      <c r="AD790">
        <v>5859.4833019360476</v>
      </c>
      <c r="AE790">
        <v>10547069.943484889</v>
      </c>
      <c r="AF790">
        <v>5273534.9717424428</v>
      </c>
      <c r="AG790">
        <v>237.39629799684249</v>
      </c>
      <c r="AH790">
        <v>1160.441370531925</v>
      </c>
      <c r="AI790">
        <v>232.08827410638489</v>
      </c>
      <c r="AJ790">
        <v>73496.045611207795</v>
      </c>
      <c r="AK790">
        <v>2170.1388888888891</v>
      </c>
      <c r="AL790" t="s">
        <v>95</v>
      </c>
      <c r="AM790">
        <v>89934.206216224149</v>
      </c>
      <c r="AN790">
        <v>2103.0757558675969</v>
      </c>
      <c r="AO790">
        <v>39455.006598085427</v>
      </c>
      <c r="AP790">
        <v>167703.46647218839</v>
      </c>
      <c r="AQ790">
        <v>128248.45987410301</v>
      </c>
      <c r="AR790">
        <v>1.393677030777778E-2</v>
      </c>
      <c r="AS790">
        <v>296.29667292232318</v>
      </c>
      <c r="AT790">
        <v>362.56652806520208</v>
      </c>
      <c r="AU790">
        <v>8.4784745109081658</v>
      </c>
      <c r="AV790">
        <v>159.06144457054029</v>
      </c>
      <c r="AW790">
        <v>676.09051262578851</v>
      </c>
      <c r="AX790">
        <v>517.02906805524833</v>
      </c>
      <c r="AY790">
        <v>0.97764066274307193</v>
      </c>
      <c r="AZ790" t="s">
        <v>135</v>
      </c>
      <c r="BA790" t="str">
        <f>VLOOKUP($AZ790,Sheet1!$A$2:$B$58,2)</f>
        <v>Isoprene</v>
      </c>
      <c r="BB790" t="s">
        <v>184</v>
      </c>
      <c r="BC790">
        <v>68.116219999999998</v>
      </c>
      <c r="BD790">
        <v>5.6</v>
      </c>
      <c r="BE790">
        <v>34.07</v>
      </c>
      <c r="BF790" t="s">
        <v>211</v>
      </c>
      <c r="BG790">
        <v>1.2922032373493371</v>
      </c>
      <c r="BH790">
        <v>7.4285714285714302E-2</v>
      </c>
      <c r="BI790">
        <v>0.105309140079061</v>
      </c>
      <c r="BJ790">
        <v>80</v>
      </c>
      <c r="BK790">
        <v>8025.0692404074853</v>
      </c>
      <c r="BL790">
        <v>6137.0393356536761</v>
      </c>
      <c r="BM790">
        <v>10.31221046796991</v>
      </c>
      <c r="BN790">
        <v>1753.075779554885</v>
      </c>
      <c r="BO790">
        <v>6271.9934608526</v>
      </c>
    </row>
    <row r="791" spans="1:67" x14ac:dyDescent="0.25">
      <c r="A791" s="1">
        <v>789</v>
      </c>
      <c r="B791" t="s">
        <v>75</v>
      </c>
      <c r="C791" t="s">
        <v>85</v>
      </c>
      <c r="D791">
        <v>1</v>
      </c>
      <c r="E791">
        <v>1</v>
      </c>
      <c r="F791">
        <v>2</v>
      </c>
      <c r="G791">
        <v>45.016539999999999</v>
      </c>
      <c r="H791">
        <v>2</v>
      </c>
      <c r="I791" t="s">
        <v>89</v>
      </c>
      <c r="J791">
        <v>4</v>
      </c>
      <c r="K791">
        <v>300</v>
      </c>
      <c r="L791">
        <v>50</v>
      </c>
      <c r="N791" t="s">
        <v>91</v>
      </c>
      <c r="O791">
        <v>50</v>
      </c>
      <c r="P791">
        <v>0.25</v>
      </c>
      <c r="Q791">
        <v>3.2500000000000001E-2</v>
      </c>
      <c r="R791">
        <v>77.5</v>
      </c>
      <c r="S791">
        <v>170</v>
      </c>
      <c r="T791">
        <v>20</v>
      </c>
      <c r="U791">
        <v>1812.1301775147931</v>
      </c>
      <c r="V791">
        <v>20</v>
      </c>
      <c r="W791">
        <v>0.95</v>
      </c>
      <c r="X791">
        <v>1</v>
      </c>
      <c r="Y791">
        <v>71406.527022242299</v>
      </c>
      <c r="Z791">
        <v>214219581.06672689</v>
      </c>
      <c r="AA791">
        <v>856878324.26690757</v>
      </c>
      <c r="AB791">
        <v>856878.32426690753</v>
      </c>
      <c r="AC791">
        <v>0</v>
      </c>
      <c r="AD791">
        <v>2220.229485954615</v>
      </c>
      <c r="AE791">
        <v>3996413.0747183068</v>
      </c>
      <c r="AF791">
        <v>1998206.5373591529</v>
      </c>
      <c r="AG791">
        <v>89.952344517289816</v>
      </c>
      <c r="AH791">
        <v>439.70534854588158</v>
      </c>
      <c r="AI791">
        <v>87.941069709176332</v>
      </c>
      <c r="AJ791">
        <v>27848.545538674491</v>
      </c>
      <c r="AK791">
        <v>854.70085470085473</v>
      </c>
      <c r="AL791" t="s">
        <v>93</v>
      </c>
      <c r="AM791">
        <v>34077.164512305833</v>
      </c>
      <c r="AN791">
        <v>796.88098143922139</v>
      </c>
      <c r="AO791">
        <v>14949.98185055998</v>
      </c>
      <c r="AP791">
        <v>63577.291887120387</v>
      </c>
      <c r="AQ791">
        <v>48627.310036560419</v>
      </c>
      <c r="AR791">
        <v>1.393677030777778E-2</v>
      </c>
      <c r="AS791">
        <v>296.29667292232318</v>
      </c>
      <c r="AT791">
        <v>362.56652806520202</v>
      </c>
      <c r="AU791">
        <v>8.4784745109081641</v>
      </c>
      <c r="AV791">
        <v>159.0614445705402</v>
      </c>
      <c r="AW791">
        <v>676.43532885422678</v>
      </c>
      <c r="AX791">
        <v>517.37388428368661</v>
      </c>
      <c r="AY791">
        <v>0.97764066274307171</v>
      </c>
      <c r="AZ791" t="s">
        <v>136</v>
      </c>
      <c r="BA791" t="str">
        <f>VLOOKUP($AZ791,Sheet1!$A$2:$B$58,2)</f>
        <v>Isopropanol</v>
      </c>
      <c r="BB791" t="s">
        <v>156</v>
      </c>
      <c r="BC791">
        <v>60.093820000000001</v>
      </c>
      <c r="BD791">
        <v>6</v>
      </c>
      <c r="BE791">
        <v>82.5</v>
      </c>
      <c r="BF791" t="s">
        <v>211</v>
      </c>
      <c r="BG791">
        <v>1.0985322617200901</v>
      </c>
      <c r="BH791">
        <v>0.22222222222222199</v>
      </c>
      <c r="BI791">
        <v>0.27792494052442102</v>
      </c>
      <c r="BJ791">
        <v>80</v>
      </c>
      <c r="BK791">
        <v>3042.3471872380819</v>
      </c>
      <c r="BL791">
        <v>2326.9496941667298</v>
      </c>
      <c r="BM791">
        <v>3.2985212237387249</v>
      </c>
      <c r="BN791">
        <v>560.74860803558329</v>
      </c>
      <c r="BO791">
        <v>2481.598579202499</v>
      </c>
    </row>
    <row r="792" spans="1:67" x14ac:dyDescent="0.25">
      <c r="A792" s="1">
        <v>790</v>
      </c>
      <c r="B792" t="s">
        <v>75</v>
      </c>
      <c r="C792" t="s">
        <v>85</v>
      </c>
      <c r="D792">
        <v>1</v>
      </c>
      <c r="E792">
        <v>1</v>
      </c>
      <c r="F792">
        <v>2</v>
      </c>
      <c r="G792">
        <v>45.016539999999999</v>
      </c>
      <c r="H792">
        <v>2</v>
      </c>
      <c r="I792" t="s">
        <v>89</v>
      </c>
      <c r="J792">
        <v>4</v>
      </c>
      <c r="K792">
        <v>300</v>
      </c>
      <c r="L792">
        <v>50</v>
      </c>
      <c r="N792" t="s">
        <v>91</v>
      </c>
      <c r="O792">
        <v>50</v>
      </c>
      <c r="P792">
        <v>0.25</v>
      </c>
      <c r="Q792">
        <v>3.2500000000000001E-2</v>
      </c>
      <c r="R792">
        <v>77.5</v>
      </c>
      <c r="S792">
        <v>170</v>
      </c>
      <c r="T792">
        <v>20</v>
      </c>
      <c r="U792">
        <v>1812.1301775147931</v>
      </c>
      <c r="V792">
        <v>20</v>
      </c>
      <c r="W792">
        <v>0.95</v>
      </c>
      <c r="X792">
        <v>1</v>
      </c>
      <c r="Y792">
        <v>59315.417039829263</v>
      </c>
      <c r="Z792">
        <v>177946251.11948779</v>
      </c>
      <c r="AA792">
        <v>711785004.47795105</v>
      </c>
      <c r="AB792">
        <v>711785.00447795109</v>
      </c>
      <c r="AC792">
        <v>0</v>
      </c>
      <c r="AD792">
        <v>1844.2829160771621</v>
      </c>
      <c r="AE792">
        <v>3319709.248938892</v>
      </c>
      <c r="AF792">
        <v>1659854.624469446</v>
      </c>
      <c r="AG792">
        <v>74.720912096613802</v>
      </c>
      <c r="AH792">
        <v>365.25101011450158</v>
      </c>
      <c r="AI792">
        <v>73.050202022900322</v>
      </c>
      <c r="AJ792">
        <v>23133.01264553341</v>
      </c>
      <c r="AK792">
        <v>854.70085470085473</v>
      </c>
      <c r="AL792" t="s">
        <v>93</v>
      </c>
      <c r="AM792">
        <v>28306.953283873871</v>
      </c>
      <c r="AN792">
        <v>661.94687959621172</v>
      </c>
      <c r="AO792">
        <v>12418.53434389305</v>
      </c>
      <c r="AP792">
        <v>52956.613663704353</v>
      </c>
      <c r="AQ792">
        <v>40538.079319811302</v>
      </c>
      <c r="AR792">
        <v>1.393677030777778E-2</v>
      </c>
      <c r="AS792">
        <v>296.2966729223233</v>
      </c>
      <c r="AT792">
        <v>362.56652806520208</v>
      </c>
      <c r="AU792">
        <v>8.4784745109081658</v>
      </c>
      <c r="AV792">
        <v>159.06144457054029</v>
      </c>
      <c r="AW792">
        <v>678.28901830553764</v>
      </c>
      <c r="AX792">
        <v>519.22757373499735</v>
      </c>
      <c r="AY792">
        <v>0.97764066274307171</v>
      </c>
      <c r="AZ792" t="s">
        <v>137</v>
      </c>
      <c r="BA792" t="str">
        <f>VLOOKUP($AZ792,Sheet1!$A$2:$B$58,2)</f>
        <v>Itaconate</v>
      </c>
      <c r="BB792" t="s">
        <v>185</v>
      </c>
      <c r="BC792">
        <v>128.08086</v>
      </c>
      <c r="BD792">
        <v>3.2</v>
      </c>
      <c r="BE792">
        <v>381</v>
      </c>
      <c r="BF792" t="s">
        <v>211</v>
      </c>
      <c r="BG792">
        <v>0</v>
      </c>
      <c r="BH792">
        <v>0.12551724137931</v>
      </c>
      <c r="BI792">
        <v>0.33457835696217297</v>
      </c>
      <c r="BJ792">
        <v>80</v>
      </c>
      <c r="BK792">
        <v>2534.1187056453268</v>
      </c>
      <c r="BL792">
        <v>1939.8578947595399</v>
      </c>
      <c r="BM792">
        <v>3.6525101011450158</v>
      </c>
      <c r="BN792">
        <v>620.92671719465272</v>
      </c>
      <c r="BO792">
        <v>1913.1919884506749</v>
      </c>
    </row>
    <row r="793" spans="1:67" x14ac:dyDescent="0.25">
      <c r="A793" s="1">
        <v>791</v>
      </c>
      <c r="B793" t="s">
        <v>75</v>
      </c>
      <c r="C793" t="s">
        <v>85</v>
      </c>
      <c r="D793">
        <v>1</v>
      </c>
      <c r="E793">
        <v>1</v>
      </c>
      <c r="F793">
        <v>2</v>
      </c>
      <c r="G793">
        <v>45.016539999999999</v>
      </c>
      <c r="H793">
        <v>2</v>
      </c>
      <c r="I793" t="s">
        <v>89</v>
      </c>
      <c r="J793">
        <v>4</v>
      </c>
      <c r="K793">
        <v>300</v>
      </c>
      <c r="L793">
        <v>50</v>
      </c>
      <c r="N793" t="s">
        <v>91</v>
      </c>
      <c r="O793">
        <v>50</v>
      </c>
      <c r="P793">
        <v>0.25</v>
      </c>
      <c r="Q793">
        <v>3.2500000000000001E-2</v>
      </c>
      <c r="R793">
        <v>77.5</v>
      </c>
      <c r="S793">
        <v>170</v>
      </c>
      <c r="T793">
        <v>20</v>
      </c>
      <c r="U793">
        <v>1812.1301775147931</v>
      </c>
      <c r="V793">
        <v>20</v>
      </c>
      <c r="W793">
        <v>0.95</v>
      </c>
      <c r="X793">
        <v>1</v>
      </c>
      <c r="Y793">
        <v>184605.45208466591</v>
      </c>
      <c r="Z793">
        <v>553816356.2539978</v>
      </c>
      <c r="AA793">
        <v>2215265425.0159912</v>
      </c>
      <c r="AB793">
        <v>2215265.4250159911</v>
      </c>
      <c r="AC793">
        <v>0</v>
      </c>
      <c r="AD793">
        <v>5739.9020100597891</v>
      </c>
      <c r="AE793">
        <v>10331823.618107621</v>
      </c>
      <c r="AF793">
        <v>5165911.8090538103</v>
      </c>
      <c r="AG793">
        <v>232.55147558874319</v>
      </c>
      <c r="AH793">
        <v>1136.758893582291</v>
      </c>
      <c r="AI793">
        <v>227.35177871645811</v>
      </c>
      <c r="AJ793">
        <v>71996.126313019719</v>
      </c>
      <c r="AK793">
        <v>854.70085470085473</v>
      </c>
      <c r="AL793" t="s">
        <v>93</v>
      </c>
      <c r="AM793">
        <v>88098.814252627533</v>
      </c>
      <c r="AN793">
        <v>2060.1558424825389</v>
      </c>
      <c r="AO793">
        <v>38649.802381797883</v>
      </c>
      <c r="AP793">
        <v>163009.79726283069</v>
      </c>
      <c r="AQ793">
        <v>124359.99488103281</v>
      </c>
      <c r="AR793">
        <v>1.393677030777778E-2</v>
      </c>
      <c r="AS793">
        <v>296.29667292232318</v>
      </c>
      <c r="AT793">
        <v>362.56652806520202</v>
      </c>
      <c r="AU793">
        <v>8.4784745109081658</v>
      </c>
      <c r="AV793">
        <v>159.0614445705402</v>
      </c>
      <c r="AW793">
        <v>670.85915668194446</v>
      </c>
      <c r="AX793">
        <v>511.79771211140422</v>
      </c>
      <c r="AY793">
        <v>0.9776406627430716</v>
      </c>
      <c r="AZ793" t="s">
        <v>138</v>
      </c>
      <c r="BA793" t="str">
        <f>VLOOKUP($AZ793,Sheet1!$A$2:$B$58,2)</f>
        <v>Limonene</v>
      </c>
      <c r="BB793" t="s">
        <v>186</v>
      </c>
      <c r="BC793">
        <v>136.23244</v>
      </c>
      <c r="BD793">
        <v>5.6</v>
      </c>
      <c r="BE793">
        <v>176</v>
      </c>
      <c r="BF793" t="s">
        <v>211</v>
      </c>
      <c r="BG793">
        <v>1.2922032373493439</v>
      </c>
      <c r="BH793">
        <v>3.7916666666666703E-2</v>
      </c>
      <c r="BI793">
        <v>0.107503080497375</v>
      </c>
      <c r="BJ793">
        <v>80</v>
      </c>
      <c r="BK793">
        <v>7800.4643399303022</v>
      </c>
      <c r="BL793">
        <v>5950.9656577224914</v>
      </c>
      <c r="BM793">
        <v>10.075385698473561</v>
      </c>
      <c r="BN793">
        <v>1712.815568740506</v>
      </c>
      <c r="BO793">
        <v>6087.6487711897971</v>
      </c>
    </row>
    <row r="794" spans="1:67" x14ac:dyDescent="0.25">
      <c r="A794" s="1">
        <v>792</v>
      </c>
      <c r="B794" t="s">
        <v>75</v>
      </c>
      <c r="C794" t="s">
        <v>85</v>
      </c>
      <c r="D794">
        <v>1</v>
      </c>
      <c r="E794">
        <v>1</v>
      </c>
      <c r="F794">
        <v>2</v>
      </c>
      <c r="G794">
        <v>45.016539999999999</v>
      </c>
      <c r="H794">
        <v>2</v>
      </c>
      <c r="I794" t="s">
        <v>89</v>
      </c>
      <c r="J794">
        <v>4</v>
      </c>
      <c r="K794">
        <v>300</v>
      </c>
      <c r="L794">
        <v>50</v>
      </c>
      <c r="N794" t="s">
        <v>91</v>
      </c>
      <c r="O794">
        <v>50</v>
      </c>
      <c r="P794">
        <v>0.25</v>
      </c>
      <c r="Q794">
        <v>3.2500000000000001E-2</v>
      </c>
      <c r="R794">
        <v>77.5</v>
      </c>
      <c r="S794">
        <v>170</v>
      </c>
      <c r="T794">
        <v>20</v>
      </c>
      <c r="U794">
        <v>1812.1301775147931</v>
      </c>
      <c r="V794">
        <v>20</v>
      </c>
      <c r="W794">
        <v>0.95</v>
      </c>
      <c r="X794">
        <v>1</v>
      </c>
      <c r="Y794">
        <v>69411.381026849893</v>
      </c>
      <c r="Z794">
        <v>208234143.08054969</v>
      </c>
      <c r="AA794">
        <v>832936572.32219863</v>
      </c>
      <c r="AB794">
        <v>832936.57232219866</v>
      </c>
      <c r="AC794">
        <v>0</v>
      </c>
      <c r="AD794">
        <v>2158.1947931544082</v>
      </c>
      <c r="AE794">
        <v>3884750.6276779338</v>
      </c>
      <c r="AF794">
        <v>1942375.3138389669</v>
      </c>
      <c r="AG794">
        <v>87.439016010444405</v>
      </c>
      <c r="AH794">
        <v>427.41968781026458</v>
      </c>
      <c r="AI794">
        <v>85.48393756205293</v>
      </c>
      <c r="AJ794">
        <v>27070.438600471462</v>
      </c>
      <c r="AK794">
        <v>854.70085470085473</v>
      </c>
      <c r="AL794" t="s">
        <v>93</v>
      </c>
      <c r="AM794">
        <v>33125.025805295511</v>
      </c>
      <c r="AN794">
        <v>774.61559527322584</v>
      </c>
      <c r="AO794">
        <v>14532.269385549</v>
      </c>
      <c r="AP794">
        <v>61824.780855741039</v>
      </c>
      <c r="AQ794">
        <v>47292.511470192039</v>
      </c>
      <c r="AR794">
        <v>1.393677030777778E-2</v>
      </c>
      <c r="AS794">
        <v>296.2966729223233</v>
      </c>
      <c r="AT794">
        <v>362.56652806520208</v>
      </c>
      <c r="AU794">
        <v>8.4784745109081658</v>
      </c>
      <c r="AV794">
        <v>159.06144457054029</v>
      </c>
      <c r="AW794">
        <v>676.69671489507323</v>
      </c>
      <c r="AX794">
        <v>517.63527032453294</v>
      </c>
      <c r="AY794">
        <v>0.97764066274307171</v>
      </c>
      <c r="AZ794" t="s">
        <v>139</v>
      </c>
      <c r="BA794" t="str">
        <f>VLOOKUP($AZ794,Sheet1!$A$2:$B$58,2)</f>
        <v>L-Lysine</v>
      </c>
      <c r="BB794" t="s">
        <v>187</v>
      </c>
      <c r="BC794">
        <v>147.19319999999999</v>
      </c>
      <c r="BD794">
        <v>4.833333333333333</v>
      </c>
      <c r="BF794" t="s">
        <v>211</v>
      </c>
      <c r="BG794">
        <v>0.29899479052021388</v>
      </c>
      <c r="BH794">
        <v>9.3333333333333393E-2</v>
      </c>
      <c r="BI794">
        <v>0.28591355599214202</v>
      </c>
      <c r="BJ794">
        <v>80</v>
      </c>
      <c r="BK794">
        <v>2958.4847443962722</v>
      </c>
      <c r="BL794">
        <v>2263.0759344738781</v>
      </c>
      <c r="BM794">
        <v>3.9752020875824319</v>
      </c>
      <c r="BN794">
        <v>675.78435488901346</v>
      </c>
      <c r="BO794">
        <v>2282.700389507258</v>
      </c>
    </row>
    <row r="795" spans="1:67" x14ac:dyDescent="0.25">
      <c r="A795" s="1">
        <v>793</v>
      </c>
      <c r="B795" t="s">
        <v>75</v>
      </c>
      <c r="C795" t="s">
        <v>85</v>
      </c>
      <c r="D795">
        <v>1</v>
      </c>
      <c r="E795">
        <v>1</v>
      </c>
      <c r="F795">
        <v>2</v>
      </c>
      <c r="G795">
        <v>45.016539999999999</v>
      </c>
      <c r="H795">
        <v>2</v>
      </c>
      <c r="I795" t="s">
        <v>89</v>
      </c>
      <c r="J795">
        <v>4</v>
      </c>
      <c r="K795">
        <v>300</v>
      </c>
      <c r="L795">
        <v>50</v>
      </c>
      <c r="N795" t="s">
        <v>91</v>
      </c>
      <c r="O795">
        <v>50</v>
      </c>
      <c r="P795">
        <v>0.25</v>
      </c>
      <c r="Q795">
        <v>3.2500000000000001E-2</v>
      </c>
      <c r="R795">
        <v>77.5</v>
      </c>
      <c r="S795">
        <v>170</v>
      </c>
      <c r="T795">
        <v>20</v>
      </c>
      <c r="U795">
        <v>1812.1301775147931</v>
      </c>
      <c r="V795">
        <v>20</v>
      </c>
      <c r="W795">
        <v>0.95</v>
      </c>
      <c r="X795">
        <v>1</v>
      </c>
      <c r="Y795">
        <v>47606.214756717447</v>
      </c>
      <c r="Z795">
        <v>142818644.27015239</v>
      </c>
      <c r="AA795">
        <v>571274577.08060944</v>
      </c>
      <c r="AB795">
        <v>571274.57708060939</v>
      </c>
      <c r="AC795">
        <v>0</v>
      </c>
      <c r="AD795">
        <v>1480.210929242204</v>
      </c>
      <c r="AE795">
        <v>2664379.6726359669</v>
      </c>
      <c r="AF795">
        <v>1332189.836317983</v>
      </c>
      <c r="AG795">
        <v>59.970577054201947</v>
      </c>
      <c r="AH795">
        <v>293.14837348177218</v>
      </c>
      <c r="AI795">
        <v>58.629674696354449</v>
      </c>
      <c r="AJ795">
        <v>18566.423755119809</v>
      </c>
      <c r="AK795">
        <v>854.70085470085473</v>
      </c>
      <c r="AL795" t="s">
        <v>93</v>
      </c>
      <c r="AM795">
        <v>22718.998944837349</v>
      </c>
      <c r="AN795">
        <v>531.27478285174948</v>
      </c>
      <c r="AO795">
        <v>9967.0446983802558</v>
      </c>
      <c r="AP795">
        <v>42671.398337509752</v>
      </c>
      <c r="AQ795">
        <v>32704.353639129498</v>
      </c>
      <c r="AR795">
        <v>1.393677030777777E-2</v>
      </c>
      <c r="AS795">
        <v>296.29667292232318</v>
      </c>
      <c r="AT795">
        <v>362.56652806520208</v>
      </c>
      <c r="AU795">
        <v>8.4784745109081641</v>
      </c>
      <c r="AV795">
        <v>159.0614445705402</v>
      </c>
      <c r="AW795">
        <v>680.98162161470668</v>
      </c>
      <c r="AX795">
        <v>521.92017704416651</v>
      </c>
      <c r="AY795">
        <v>0.97764066274307171</v>
      </c>
      <c r="AZ795" t="s">
        <v>140</v>
      </c>
      <c r="BA795" t="str">
        <f>VLOOKUP($AZ795,Sheet1!$A$2:$B$58,2)</f>
        <v>L-Malate</v>
      </c>
      <c r="BB795" t="s">
        <v>188</v>
      </c>
      <c r="BC795">
        <v>132.06916000000001</v>
      </c>
      <c r="BD795">
        <v>2.5</v>
      </c>
      <c r="BF795" t="s">
        <v>211</v>
      </c>
      <c r="BG795">
        <v>0</v>
      </c>
      <c r="BH795">
        <v>0.151666666666667</v>
      </c>
      <c r="BI795">
        <v>0.41687109292619901</v>
      </c>
      <c r="BJ795">
        <v>80</v>
      </c>
      <c r="BK795">
        <v>2041.9430405770081</v>
      </c>
      <c r="BL795">
        <v>1564.992709678495</v>
      </c>
      <c r="BM795">
        <v>2.9314837348177218</v>
      </c>
      <c r="BN795">
        <v>498.3522349190128</v>
      </c>
      <c r="BO795">
        <v>1543.590805657996</v>
      </c>
    </row>
    <row r="796" spans="1:67" x14ac:dyDescent="0.25">
      <c r="A796" s="1">
        <v>794</v>
      </c>
      <c r="B796" t="s">
        <v>75</v>
      </c>
      <c r="C796" t="s">
        <v>85</v>
      </c>
      <c r="D796">
        <v>1</v>
      </c>
      <c r="E796">
        <v>1</v>
      </c>
      <c r="F796">
        <v>2</v>
      </c>
      <c r="G796">
        <v>45.016539999999999</v>
      </c>
      <c r="H796">
        <v>2</v>
      </c>
      <c r="I796" t="s">
        <v>89</v>
      </c>
      <c r="J796">
        <v>4</v>
      </c>
      <c r="K796">
        <v>300</v>
      </c>
      <c r="L796">
        <v>50</v>
      </c>
      <c r="N796" t="s">
        <v>91</v>
      </c>
      <c r="O796">
        <v>50</v>
      </c>
      <c r="P796">
        <v>0.25</v>
      </c>
      <c r="Q796">
        <v>3.2500000000000001E-2</v>
      </c>
      <c r="R796">
        <v>77.5</v>
      </c>
      <c r="S796">
        <v>170</v>
      </c>
      <c r="T796">
        <v>20</v>
      </c>
      <c r="U796">
        <v>1812.1301775147931</v>
      </c>
      <c r="V796">
        <v>20</v>
      </c>
      <c r="W796">
        <v>0.95</v>
      </c>
      <c r="X796">
        <v>1</v>
      </c>
      <c r="Y796">
        <v>53912.141381737158</v>
      </c>
      <c r="Z796">
        <v>161736424.14521149</v>
      </c>
      <c r="AA796">
        <v>646945696.58084595</v>
      </c>
      <c r="AB796">
        <v>646945.69658084598</v>
      </c>
      <c r="AC796">
        <v>0</v>
      </c>
      <c r="AD796">
        <v>1676.279899586805</v>
      </c>
      <c r="AE796">
        <v>3017303.8192562498</v>
      </c>
      <c r="AF796">
        <v>1508651.9096281249</v>
      </c>
      <c r="AG796">
        <v>67.914289035850871</v>
      </c>
      <c r="AH796">
        <v>331.97885271366891</v>
      </c>
      <c r="AI796">
        <v>66.395770542733771</v>
      </c>
      <c r="AJ796">
        <v>21025.735138877499</v>
      </c>
      <c r="AK796">
        <v>854.70085470085473</v>
      </c>
      <c r="AL796" t="s">
        <v>93</v>
      </c>
      <c r="AM796">
        <v>25728.361085309341</v>
      </c>
      <c r="AN796">
        <v>601.64752337537368</v>
      </c>
      <c r="AO796">
        <v>11287.280992264739</v>
      </c>
      <c r="AP796">
        <v>48210.444602263058</v>
      </c>
      <c r="AQ796">
        <v>36923.163609998322</v>
      </c>
      <c r="AR796">
        <v>1.393677030777778E-2</v>
      </c>
      <c r="AS796">
        <v>296.2966729223233</v>
      </c>
      <c r="AT796">
        <v>362.56652806520208</v>
      </c>
      <c r="AU796">
        <v>8.4784745109081641</v>
      </c>
      <c r="AV796">
        <v>159.0614445705402</v>
      </c>
      <c r="AW796">
        <v>679.38620178581471</v>
      </c>
      <c r="AX796">
        <v>520.32475721527453</v>
      </c>
      <c r="AY796">
        <v>0.97764066274307171</v>
      </c>
      <c r="AZ796" t="s">
        <v>141</v>
      </c>
      <c r="BA796" t="str">
        <f>VLOOKUP($AZ796,Sheet1!$A$2:$B$58,2)</f>
        <v>Malonate</v>
      </c>
      <c r="BB796" t="s">
        <v>189</v>
      </c>
      <c r="BC796">
        <v>102.04378</v>
      </c>
      <c r="BD796">
        <v>2</v>
      </c>
      <c r="BE796">
        <v>199</v>
      </c>
      <c r="BF796" t="s">
        <v>211</v>
      </c>
      <c r="BG796">
        <v>0</v>
      </c>
      <c r="BH796">
        <v>0.17333333333333301</v>
      </c>
      <c r="BI796">
        <v>0.36811104636320202</v>
      </c>
      <c r="BJ796">
        <v>80</v>
      </c>
      <c r="BK796">
        <v>2307.0015437525358</v>
      </c>
      <c r="BL796">
        <v>1766.874297701354</v>
      </c>
      <c r="BM796">
        <v>3.319788527136688</v>
      </c>
      <c r="BN796">
        <v>564.36404961323706</v>
      </c>
      <c r="BO796">
        <v>1742.637494139299</v>
      </c>
    </row>
    <row r="797" spans="1:67" x14ac:dyDescent="0.25">
      <c r="A797" s="1">
        <v>795</v>
      </c>
      <c r="B797" t="s">
        <v>75</v>
      </c>
      <c r="C797" t="s">
        <v>85</v>
      </c>
      <c r="D797">
        <v>1</v>
      </c>
      <c r="E797">
        <v>1</v>
      </c>
      <c r="F797">
        <v>2</v>
      </c>
      <c r="G797">
        <v>45.016539999999999</v>
      </c>
      <c r="H797">
        <v>2</v>
      </c>
      <c r="I797" t="s">
        <v>89</v>
      </c>
      <c r="J797">
        <v>4</v>
      </c>
      <c r="K797">
        <v>300</v>
      </c>
      <c r="L797">
        <v>50</v>
      </c>
      <c r="N797" t="s">
        <v>91</v>
      </c>
      <c r="O797">
        <v>50</v>
      </c>
      <c r="P797">
        <v>0.25</v>
      </c>
      <c r="Q797">
        <v>3.2500000000000001E-2</v>
      </c>
      <c r="R797">
        <v>77.5</v>
      </c>
      <c r="S797">
        <v>170</v>
      </c>
      <c r="T797">
        <v>20</v>
      </c>
      <c r="U797">
        <v>1812.1301775147931</v>
      </c>
      <c r="V797">
        <v>20</v>
      </c>
      <c r="W797">
        <v>0.95</v>
      </c>
      <c r="X797">
        <v>1</v>
      </c>
      <c r="Y797">
        <v>104091.5255222275</v>
      </c>
      <c r="Z797">
        <v>312274576.56668252</v>
      </c>
      <c r="AA797">
        <v>1249098306.2667301</v>
      </c>
      <c r="AB797">
        <v>1249098.30626673</v>
      </c>
      <c r="AC797">
        <v>0</v>
      </c>
      <c r="AD797">
        <v>3236.497892278946</v>
      </c>
      <c r="AE797">
        <v>5825696.2061021039</v>
      </c>
      <c r="AF797">
        <v>2912848.103051052</v>
      </c>
      <c r="AG797">
        <v>131.1263431449218</v>
      </c>
      <c r="AH797">
        <v>640.97222507638389</v>
      </c>
      <c r="AI797">
        <v>128.19444501527681</v>
      </c>
      <c r="AJ797">
        <v>40595.694953668717</v>
      </c>
      <c r="AK797">
        <v>854.70085470085473</v>
      </c>
      <c r="AL797" t="s">
        <v>93</v>
      </c>
      <c r="AM797">
        <v>49675.347443419749</v>
      </c>
      <c r="AN797">
        <v>1161.6383050224649</v>
      </c>
      <c r="AO797">
        <v>21793.05565259705</v>
      </c>
      <c r="AP797">
        <v>92287.381556811786</v>
      </c>
      <c r="AQ797">
        <v>70494.325904214726</v>
      </c>
      <c r="AR797">
        <v>1.393677030777777E-2</v>
      </c>
      <c r="AS797">
        <v>296.29667292232318</v>
      </c>
      <c r="AT797">
        <v>362.56652806520202</v>
      </c>
      <c r="AU797">
        <v>8.4784745109081605</v>
      </c>
      <c r="AV797">
        <v>159.0614445705402</v>
      </c>
      <c r="AW797">
        <v>673.57989903126747</v>
      </c>
      <c r="AX797">
        <v>514.5184544607273</v>
      </c>
      <c r="AY797">
        <v>0.97764066274307171</v>
      </c>
      <c r="AZ797" t="s">
        <v>142</v>
      </c>
      <c r="BA797" t="str">
        <f>VLOOKUP($AZ797,Sheet1!$A$2:$B$58,2)</f>
        <v>Nonane</v>
      </c>
      <c r="BB797" t="s">
        <v>190</v>
      </c>
      <c r="BC797">
        <v>128.25309999999999</v>
      </c>
      <c r="BD797">
        <v>6.2222222222222223</v>
      </c>
      <c r="BE797">
        <v>151</v>
      </c>
      <c r="BF797" t="s">
        <v>211</v>
      </c>
      <c r="BG797">
        <v>1.715748001412831</v>
      </c>
      <c r="BH797">
        <v>7.1428571428571397E-2</v>
      </c>
      <c r="BI797">
        <v>0.190655816370703</v>
      </c>
      <c r="BJ797">
        <v>80</v>
      </c>
      <c r="BK797">
        <v>4416.2034487947876</v>
      </c>
      <c r="BL797">
        <v>3373.3461707006072</v>
      </c>
      <c r="BM797">
        <v>4.6939742493510073</v>
      </c>
      <c r="BN797">
        <v>797.97562238967123</v>
      </c>
      <c r="BO797">
        <v>3618.227826405117</v>
      </c>
    </row>
    <row r="798" spans="1:67" x14ac:dyDescent="0.25">
      <c r="A798" s="1">
        <v>796</v>
      </c>
      <c r="B798" t="s">
        <v>75</v>
      </c>
      <c r="C798" t="s">
        <v>85</v>
      </c>
      <c r="D798">
        <v>1</v>
      </c>
      <c r="E798">
        <v>1</v>
      </c>
      <c r="F798">
        <v>2</v>
      </c>
      <c r="G798">
        <v>45.016539999999999</v>
      </c>
      <c r="H798">
        <v>2</v>
      </c>
      <c r="I798" t="s">
        <v>89</v>
      </c>
      <c r="J798">
        <v>4</v>
      </c>
      <c r="K798">
        <v>300</v>
      </c>
      <c r="L798">
        <v>50</v>
      </c>
      <c r="N798" t="s">
        <v>91</v>
      </c>
      <c r="O798">
        <v>50</v>
      </c>
      <c r="P798">
        <v>0.25</v>
      </c>
      <c r="Q798">
        <v>3.2500000000000001E-2</v>
      </c>
      <c r="R798">
        <v>77.5</v>
      </c>
      <c r="S798">
        <v>170</v>
      </c>
      <c r="T798">
        <v>20</v>
      </c>
      <c r="U798">
        <v>1812.1301775147931</v>
      </c>
      <c r="V798">
        <v>20</v>
      </c>
      <c r="W798">
        <v>0.95</v>
      </c>
      <c r="X798">
        <v>1</v>
      </c>
      <c r="Y798">
        <v>104351.2163475257</v>
      </c>
      <c r="Z798">
        <v>313053649.04257703</v>
      </c>
      <c r="AA798">
        <v>1252214596.1703081</v>
      </c>
      <c r="AB798">
        <v>1252214.5961703081</v>
      </c>
      <c r="AC798">
        <v>0</v>
      </c>
      <c r="AD798">
        <v>3244.5724094358902</v>
      </c>
      <c r="AE798">
        <v>5840230.3369846027</v>
      </c>
      <c r="AF798">
        <v>2920115.1684923009</v>
      </c>
      <c r="AG798">
        <v>131.4534812870404</v>
      </c>
      <c r="AH798">
        <v>642.57134282673087</v>
      </c>
      <c r="AI798">
        <v>128.51426856534621</v>
      </c>
      <c r="AJ798">
        <v>40696.974375535006</v>
      </c>
      <c r="AK798">
        <v>854.70085470085473</v>
      </c>
      <c r="AL798" t="s">
        <v>93</v>
      </c>
      <c r="AM798">
        <v>49799.279069071643</v>
      </c>
      <c r="AN798">
        <v>1164.5363969527721</v>
      </c>
      <c r="AO798">
        <v>21847.425656108851</v>
      </c>
      <c r="AP798">
        <v>92515.490696260269</v>
      </c>
      <c r="AQ798">
        <v>70668.065040151414</v>
      </c>
      <c r="AR798">
        <v>1.393677030777778E-2</v>
      </c>
      <c r="AS798">
        <v>296.29667292232318</v>
      </c>
      <c r="AT798">
        <v>362.56652806520208</v>
      </c>
      <c r="AU798">
        <v>8.4784745109081623</v>
      </c>
      <c r="AV798">
        <v>159.06144457054029</v>
      </c>
      <c r="AW798">
        <v>673.56437444540904</v>
      </c>
      <c r="AX798">
        <v>514.50292987486887</v>
      </c>
      <c r="AY798">
        <v>0.97764066274307171</v>
      </c>
      <c r="AZ798" t="s">
        <v>143</v>
      </c>
      <c r="BA798" t="str">
        <f>VLOOKUP($AZ798,Sheet1!$A$2:$B$58,2)</f>
        <v>Octane</v>
      </c>
      <c r="BB798" t="s">
        <v>191</v>
      </c>
      <c r="BC798">
        <v>114.22672</v>
      </c>
      <c r="BD798">
        <v>6.25</v>
      </c>
      <c r="BE798">
        <v>126</v>
      </c>
      <c r="BF798" t="s">
        <v>211</v>
      </c>
      <c r="BG798">
        <v>1.7337887317433249</v>
      </c>
      <c r="BH798">
        <v>7.9999999999999793E-2</v>
      </c>
      <c r="BI798">
        <v>0.190181345942526</v>
      </c>
      <c r="BJ798">
        <v>80</v>
      </c>
      <c r="BK798">
        <v>4427.119094588832</v>
      </c>
      <c r="BL798">
        <v>3381.660063221676</v>
      </c>
      <c r="BM798">
        <v>4.6919246965239827</v>
      </c>
      <c r="BN798">
        <v>797.6271984090771</v>
      </c>
      <c r="BO798">
        <v>3629.4918961797548</v>
      </c>
    </row>
    <row r="799" spans="1:67" x14ac:dyDescent="0.25">
      <c r="A799" s="1">
        <v>797</v>
      </c>
      <c r="B799" t="s">
        <v>75</v>
      </c>
      <c r="C799" t="s">
        <v>85</v>
      </c>
      <c r="D799">
        <v>1</v>
      </c>
      <c r="E799">
        <v>1</v>
      </c>
      <c r="F799">
        <v>2</v>
      </c>
      <c r="G799">
        <v>45.016539999999999</v>
      </c>
      <c r="H799">
        <v>2</v>
      </c>
      <c r="I799" t="s">
        <v>89</v>
      </c>
      <c r="J799">
        <v>4</v>
      </c>
      <c r="K799">
        <v>300</v>
      </c>
      <c r="L799">
        <v>50</v>
      </c>
      <c r="N799" t="s">
        <v>91</v>
      </c>
      <c r="O799">
        <v>50</v>
      </c>
      <c r="P799">
        <v>0.25</v>
      </c>
      <c r="Q799">
        <v>3.2500000000000001E-2</v>
      </c>
      <c r="R799">
        <v>77.5</v>
      </c>
      <c r="S799">
        <v>170</v>
      </c>
      <c r="T799">
        <v>20</v>
      </c>
      <c r="U799">
        <v>1812.1301775147931</v>
      </c>
      <c r="V799">
        <v>20</v>
      </c>
      <c r="W799">
        <v>0.95</v>
      </c>
      <c r="X799">
        <v>1</v>
      </c>
      <c r="Y799">
        <v>105736.13404203529</v>
      </c>
      <c r="Z799">
        <v>317208402.12610579</v>
      </c>
      <c r="AA799">
        <v>1268833608.5044229</v>
      </c>
      <c r="AB799">
        <v>1268833.6085044229</v>
      </c>
      <c r="AC799">
        <v>66773.504273504266</v>
      </c>
      <c r="AD799">
        <v>3287.6333904021371</v>
      </c>
      <c r="AE799">
        <v>5917740.1027238471</v>
      </c>
      <c r="AF799">
        <v>2958870.051361924</v>
      </c>
      <c r="AG799">
        <v>133.19809202193611</v>
      </c>
      <c r="AH799">
        <v>651.09935480219121</v>
      </c>
      <c r="AI799">
        <v>130.21987096043819</v>
      </c>
      <c r="AJ799">
        <v>41237.092276393763</v>
      </c>
      <c r="AK799">
        <v>2170.1388888888891</v>
      </c>
      <c r="AL799" t="s">
        <v>95</v>
      </c>
      <c r="AM799">
        <v>50460.199997169817</v>
      </c>
      <c r="AN799">
        <v>1179.99177081894</v>
      </c>
      <c r="AO799">
        <v>22137.3780632745</v>
      </c>
      <c r="AP799">
        <v>95047.422933271417</v>
      </c>
      <c r="AQ799">
        <v>72910.044869996913</v>
      </c>
      <c r="AR799">
        <v>1.393677030777778E-2</v>
      </c>
      <c r="AS799">
        <v>296.29667292232318</v>
      </c>
      <c r="AT799">
        <v>362.56652806520202</v>
      </c>
      <c r="AU799">
        <v>8.4784745109081641</v>
      </c>
      <c r="AV799">
        <v>159.0614445705402</v>
      </c>
      <c r="AW799">
        <v>682.93455310113529</v>
      </c>
      <c r="AX799">
        <v>523.87310853059512</v>
      </c>
      <c r="AY799">
        <v>0.97764066274307171</v>
      </c>
      <c r="AZ799" t="s">
        <v>144</v>
      </c>
      <c r="BA799" t="str">
        <f>VLOOKUP($AZ799,Sheet1!$A$2:$B$58,2)</f>
        <v>Pentane</v>
      </c>
      <c r="BB799" t="s">
        <v>192</v>
      </c>
      <c r="BC799">
        <v>72.147580000000005</v>
      </c>
      <c r="BD799">
        <v>6.4</v>
      </c>
      <c r="BE799">
        <v>36.1</v>
      </c>
      <c r="BF799" t="s">
        <v>211</v>
      </c>
      <c r="BG799">
        <v>1.829999010361816</v>
      </c>
      <c r="BH799">
        <v>0.125</v>
      </c>
      <c r="BI799">
        <v>0.187690376194599</v>
      </c>
      <c r="BJ799">
        <v>80</v>
      </c>
      <c r="BK799">
        <v>4548.27897244624</v>
      </c>
      <c r="BL799">
        <v>3488.9449258937962</v>
      </c>
      <c r="BM799">
        <v>4.680994537660097</v>
      </c>
      <c r="BN799">
        <v>795.76907140221647</v>
      </c>
      <c r="BO799">
        <v>3752.509901044024</v>
      </c>
    </row>
    <row r="800" spans="1:67" x14ac:dyDescent="0.25">
      <c r="A800" s="1">
        <v>798</v>
      </c>
      <c r="B800" t="s">
        <v>75</v>
      </c>
      <c r="C800" t="s">
        <v>85</v>
      </c>
      <c r="D800">
        <v>1</v>
      </c>
      <c r="E800">
        <v>1</v>
      </c>
      <c r="F800">
        <v>2</v>
      </c>
      <c r="G800">
        <v>45.016539999999999</v>
      </c>
      <c r="H800">
        <v>2</v>
      </c>
      <c r="I800" t="s">
        <v>89</v>
      </c>
      <c r="J800">
        <v>4</v>
      </c>
      <c r="K800">
        <v>300</v>
      </c>
      <c r="L800">
        <v>50</v>
      </c>
      <c r="N800" t="s">
        <v>91</v>
      </c>
      <c r="O800">
        <v>50</v>
      </c>
      <c r="P800">
        <v>0.25</v>
      </c>
      <c r="Q800">
        <v>3.2500000000000001E-2</v>
      </c>
      <c r="R800">
        <v>77.5</v>
      </c>
      <c r="S800">
        <v>170</v>
      </c>
      <c r="T800">
        <v>20</v>
      </c>
      <c r="U800">
        <v>1812.1301775147931</v>
      </c>
      <c r="V800">
        <v>20</v>
      </c>
      <c r="W800">
        <v>0.95</v>
      </c>
      <c r="X800">
        <v>1</v>
      </c>
      <c r="Y800">
        <v>105505.8915200889</v>
      </c>
      <c r="Z800">
        <v>316517674.56026667</v>
      </c>
      <c r="AA800">
        <v>1266070698.2410669</v>
      </c>
      <c r="AB800">
        <v>1266070.6982410669</v>
      </c>
      <c r="AC800">
        <v>0</v>
      </c>
      <c r="AD800">
        <v>3280.474503708394</v>
      </c>
      <c r="AE800">
        <v>5904854.1066751098</v>
      </c>
      <c r="AF800">
        <v>2952427.0533375549</v>
      </c>
      <c r="AG800">
        <v>132.90805054365219</v>
      </c>
      <c r="AH800">
        <v>649.68157308692878</v>
      </c>
      <c r="AI800">
        <v>129.93631461738579</v>
      </c>
      <c r="AJ800">
        <v>41147.297692834669</v>
      </c>
      <c r="AK800">
        <v>854.70085470085473</v>
      </c>
      <c r="AL800" t="s">
        <v>93</v>
      </c>
      <c r="AM800">
        <v>50350.321914236978</v>
      </c>
      <c r="AN800">
        <v>1177.422315413266</v>
      </c>
      <c r="AO800">
        <v>22089.17348495558</v>
      </c>
      <c r="AP800">
        <v>93529.742777185777</v>
      </c>
      <c r="AQ800">
        <v>71440.569292230197</v>
      </c>
      <c r="AR800">
        <v>1.393677030777778E-2</v>
      </c>
      <c r="AS800">
        <v>296.29667292232318</v>
      </c>
      <c r="AT800">
        <v>362.56652806520202</v>
      </c>
      <c r="AU800">
        <v>8.4784745109081658</v>
      </c>
      <c r="AV800">
        <v>159.0614445705402</v>
      </c>
      <c r="AW800">
        <v>673.49627212546363</v>
      </c>
      <c r="AX800">
        <v>514.43482755492346</v>
      </c>
      <c r="AY800">
        <v>0.9776406627430716</v>
      </c>
      <c r="AZ800" t="s">
        <v>145</v>
      </c>
      <c r="BA800" t="str">
        <f>VLOOKUP($AZ800,Sheet1!$A$2:$B$58,2)</f>
        <v>Pentanol (PW1)</v>
      </c>
      <c r="BB800" t="s">
        <v>157</v>
      </c>
      <c r="BC800">
        <v>88.14658</v>
      </c>
      <c r="BD800">
        <v>6</v>
      </c>
      <c r="BE800">
        <v>138</v>
      </c>
      <c r="BF800" t="s">
        <v>211</v>
      </c>
      <c r="BG800">
        <v>1.2482049785709211</v>
      </c>
      <c r="BH800">
        <v>0.10253521126760599</v>
      </c>
      <c r="BI800">
        <v>0.18809996759217401</v>
      </c>
      <c r="BJ800">
        <v>80</v>
      </c>
      <c r="BK800">
        <v>4475.6538288306219</v>
      </c>
      <c r="BL800">
        <v>3418.6265031042381</v>
      </c>
      <c r="BM800">
        <v>5.2486107522983687</v>
      </c>
      <c r="BN800">
        <v>892.26382789072272</v>
      </c>
      <c r="BO800">
        <v>3583.390000939899</v>
      </c>
    </row>
    <row r="801" spans="1:67" x14ac:dyDescent="0.25">
      <c r="A801" s="1">
        <v>799</v>
      </c>
      <c r="B801" t="s">
        <v>75</v>
      </c>
      <c r="C801" t="s">
        <v>85</v>
      </c>
      <c r="D801">
        <v>1</v>
      </c>
      <c r="E801">
        <v>1</v>
      </c>
      <c r="F801">
        <v>2</v>
      </c>
      <c r="G801">
        <v>45.016539999999999</v>
      </c>
      <c r="H801">
        <v>2</v>
      </c>
      <c r="I801" t="s">
        <v>89</v>
      </c>
      <c r="J801">
        <v>4</v>
      </c>
      <c r="K801">
        <v>300</v>
      </c>
      <c r="L801">
        <v>50</v>
      </c>
      <c r="N801" t="s">
        <v>91</v>
      </c>
      <c r="O801">
        <v>50</v>
      </c>
      <c r="P801">
        <v>0.25</v>
      </c>
      <c r="Q801">
        <v>3.2500000000000001E-2</v>
      </c>
      <c r="R801">
        <v>77.5</v>
      </c>
      <c r="S801">
        <v>170</v>
      </c>
      <c r="T801">
        <v>20</v>
      </c>
      <c r="U801">
        <v>1812.1301775147931</v>
      </c>
      <c r="V801">
        <v>20</v>
      </c>
      <c r="W801">
        <v>0.95</v>
      </c>
      <c r="X801">
        <v>1</v>
      </c>
      <c r="Y801">
        <v>105505.8915200895</v>
      </c>
      <c r="Z801">
        <v>316517674.5602684</v>
      </c>
      <c r="AA801">
        <v>1266070698.2410741</v>
      </c>
      <c r="AB801">
        <v>1266070.6982410741</v>
      </c>
      <c r="AC801">
        <v>0</v>
      </c>
      <c r="AD801">
        <v>3280.4745037084122</v>
      </c>
      <c r="AE801">
        <v>5904854.1066751406</v>
      </c>
      <c r="AF801">
        <v>2952427.0533375712</v>
      </c>
      <c r="AG801">
        <v>132.90805054365291</v>
      </c>
      <c r="AH801">
        <v>649.68157308693242</v>
      </c>
      <c r="AI801">
        <v>129.9363146173865</v>
      </c>
      <c r="AJ801">
        <v>41147.297692834887</v>
      </c>
      <c r="AK801">
        <v>854.70085470085473</v>
      </c>
      <c r="AL801" t="s">
        <v>93</v>
      </c>
      <c r="AM801">
        <v>50350.321914237262</v>
      </c>
      <c r="AN801">
        <v>1177.4223154132719</v>
      </c>
      <c r="AO801">
        <v>22089.1734849557</v>
      </c>
      <c r="AP801">
        <v>93529.742777186286</v>
      </c>
      <c r="AQ801">
        <v>71440.56929223059</v>
      </c>
      <c r="AR801">
        <v>1.393677030777778E-2</v>
      </c>
      <c r="AS801">
        <v>296.2966729223233</v>
      </c>
      <c r="AT801">
        <v>362.56652806520208</v>
      </c>
      <c r="AU801">
        <v>8.4784745109081641</v>
      </c>
      <c r="AV801">
        <v>159.06144457054029</v>
      </c>
      <c r="AW801">
        <v>673.49627212546375</v>
      </c>
      <c r="AX801">
        <v>514.43482755492357</v>
      </c>
      <c r="AY801">
        <v>0.97764066274307193</v>
      </c>
      <c r="AZ801" t="s">
        <v>146</v>
      </c>
      <c r="BA801" t="str">
        <f>VLOOKUP($AZ801,Sheet1!$A$2:$B$58,2)</f>
        <v>Pentanol (PW2)</v>
      </c>
      <c r="BB801" t="s">
        <v>157</v>
      </c>
      <c r="BC801">
        <v>88.14658</v>
      </c>
      <c r="BD801">
        <v>6</v>
      </c>
      <c r="BE801">
        <v>138</v>
      </c>
      <c r="BF801" t="s">
        <v>211</v>
      </c>
      <c r="BG801">
        <v>1.2482049785709159</v>
      </c>
      <c r="BH801">
        <v>0.10253521126760599</v>
      </c>
      <c r="BI801">
        <v>0.18809996759217301</v>
      </c>
      <c r="BJ801">
        <v>80</v>
      </c>
      <c r="BK801">
        <v>4475.6538288306456</v>
      </c>
      <c r="BL801">
        <v>3418.6265031042572</v>
      </c>
      <c r="BM801">
        <v>5.2486107522984087</v>
      </c>
      <c r="BN801">
        <v>892.26382789072943</v>
      </c>
      <c r="BO801">
        <v>3583.3900009399172</v>
      </c>
    </row>
    <row r="802" spans="1:67" x14ac:dyDescent="0.25">
      <c r="A802" s="1">
        <v>800</v>
      </c>
      <c r="B802" t="s">
        <v>75</v>
      </c>
      <c r="C802" t="s">
        <v>85</v>
      </c>
      <c r="D802">
        <v>1</v>
      </c>
      <c r="E802">
        <v>1</v>
      </c>
      <c r="F802">
        <v>2</v>
      </c>
      <c r="G802">
        <v>45.016539999999999</v>
      </c>
      <c r="H802">
        <v>2</v>
      </c>
      <c r="I802" t="s">
        <v>89</v>
      </c>
      <c r="J802">
        <v>4</v>
      </c>
      <c r="K802">
        <v>300</v>
      </c>
      <c r="L802">
        <v>50</v>
      </c>
      <c r="N802" t="s">
        <v>91</v>
      </c>
      <c r="O802">
        <v>50</v>
      </c>
      <c r="P802">
        <v>0.25</v>
      </c>
      <c r="Q802">
        <v>3.2500000000000001E-2</v>
      </c>
      <c r="R802">
        <v>77.5</v>
      </c>
      <c r="S802">
        <v>170</v>
      </c>
      <c r="T802">
        <v>20</v>
      </c>
      <c r="U802">
        <v>1812.1301775147931</v>
      </c>
      <c r="V802">
        <v>20</v>
      </c>
      <c r="W802">
        <v>0.95</v>
      </c>
      <c r="X802">
        <v>1</v>
      </c>
      <c r="Y802">
        <v>264448.16003437049</v>
      </c>
      <c r="Z802">
        <v>793344480.10311151</v>
      </c>
      <c r="AA802">
        <v>3173377920.412446</v>
      </c>
      <c r="AB802">
        <v>3173377.9204124459</v>
      </c>
      <c r="AC802">
        <v>0</v>
      </c>
      <c r="AD802">
        <v>8222.4360559066026</v>
      </c>
      <c r="AE802">
        <v>14800384.90063189</v>
      </c>
      <c r="AF802">
        <v>7400192.450315943</v>
      </c>
      <c r="AG802">
        <v>333.13105944734559</v>
      </c>
      <c r="AH802">
        <v>1628.412348692023</v>
      </c>
      <c r="AI802">
        <v>325.68246973840462</v>
      </c>
      <c r="AJ802">
        <v>103134.78241340449</v>
      </c>
      <c r="AK802">
        <v>854.70085470085473</v>
      </c>
      <c r="AL802" t="s">
        <v>93</v>
      </c>
      <c r="AM802">
        <v>126201.9570236318</v>
      </c>
      <c r="AN802">
        <v>2951.1827293091069</v>
      </c>
      <c r="AO802">
        <v>55366.019855528793</v>
      </c>
      <c r="AP802">
        <v>233142.62302104619</v>
      </c>
      <c r="AQ802">
        <v>177776.60316551739</v>
      </c>
      <c r="AR802">
        <v>1.393677030777777E-2</v>
      </c>
      <c r="AS802">
        <v>296.29667292232318</v>
      </c>
      <c r="AT802">
        <v>362.56652806520202</v>
      </c>
      <c r="AU802">
        <v>8.4784745109081658</v>
      </c>
      <c r="AV802">
        <v>159.0614445705402</v>
      </c>
      <c r="AW802">
        <v>669.79715185340956</v>
      </c>
      <c r="AX802">
        <v>510.73570728286933</v>
      </c>
      <c r="AY802">
        <v>0.97764066274307171</v>
      </c>
      <c r="AZ802" t="s">
        <v>147</v>
      </c>
      <c r="BA802" t="str">
        <f>VLOOKUP($AZ802,Sheet1!$A$2:$B$58,2)</f>
        <v>Phenol</v>
      </c>
      <c r="BB802" t="s">
        <v>193</v>
      </c>
      <c r="BC802">
        <v>94.11023999999999</v>
      </c>
      <c r="BD802">
        <v>4.666666666666667</v>
      </c>
      <c r="BE802">
        <v>181.7</v>
      </c>
      <c r="BF802" t="s">
        <v>211</v>
      </c>
      <c r="BG802">
        <v>0.4676430535083087</v>
      </c>
      <c r="BH802">
        <v>3.8315789473684199E-2</v>
      </c>
      <c r="BI802">
        <v>7.5045539258555602E-2</v>
      </c>
      <c r="BJ802">
        <v>80</v>
      </c>
      <c r="BK802">
        <v>11156.51174058705</v>
      </c>
      <c r="BL802">
        <v>8507.096363236582</v>
      </c>
      <c r="BM802">
        <v>15.816480433411931</v>
      </c>
      <c r="BN802">
        <v>2688.8016736800269</v>
      </c>
      <c r="BO802">
        <v>8467.7100669070223</v>
      </c>
    </row>
    <row r="803" spans="1:67" x14ac:dyDescent="0.25">
      <c r="A803" s="1">
        <v>801</v>
      </c>
      <c r="B803" t="s">
        <v>75</v>
      </c>
      <c r="C803" t="s">
        <v>85</v>
      </c>
      <c r="D803">
        <v>1</v>
      </c>
      <c r="E803">
        <v>1</v>
      </c>
      <c r="F803">
        <v>2</v>
      </c>
      <c r="G803">
        <v>45.016539999999999</v>
      </c>
      <c r="H803">
        <v>2</v>
      </c>
      <c r="I803" t="s">
        <v>89</v>
      </c>
      <c r="J803">
        <v>4</v>
      </c>
      <c r="K803">
        <v>300</v>
      </c>
      <c r="L803">
        <v>50</v>
      </c>
      <c r="N803" t="s">
        <v>91</v>
      </c>
      <c r="O803">
        <v>50</v>
      </c>
      <c r="P803">
        <v>0.25</v>
      </c>
      <c r="Q803">
        <v>3.2500000000000001E-2</v>
      </c>
      <c r="R803">
        <v>77.5</v>
      </c>
      <c r="S803">
        <v>170</v>
      </c>
      <c r="T803">
        <v>20</v>
      </c>
      <c r="U803">
        <v>1812.1301775147931</v>
      </c>
      <c r="V803">
        <v>20</v>
      </c>
      <c r="W803">
        <v>0.95</v>
      </c>
      <c r="X803">
        <v>1</v>
      </c>
      <c r="Y803">
        <v>108127.867821102</v>
      </c>
      <c r="Z803">
        <v>324383603.46330601</v>
      </c>
      <c r="AA803">
        <v>1297534413.853224</v>
      </c>
      <c r="AB803">
        <v>1297534.4138532239</v>
      </c>
      <c r="AC803">
        <v>66773.504273504266</v>
      </c>
      <c r="AD803">
        <v>3361.9991113002211</v>
      </c>
      <c r="AE803">
        <v>6051598.4003403978</v>
      </c>
      <c r="AF803">
        <v>3025799.2001701989</v>
      </c>
      <c r="AG803">
        <v>136.21101072642969</v>
      </c>
      <c r="AH803">
        <v>665.82711399745222</v>
      </c>
      <c r="AI803">
        <v>133.16542279949039</v>
      </c>
      <c r="AJ803">
        <v>42169.868450229776</v>
      </c>
      <c r="AK803">
        <v>2170.1388888888891</v>
      </c>
      <c r="AL803" t="s">
        <v>95</v>
      </c>
      <c r="AM803">
        <v>51601.601334802537</v>
      </c>
      <c r="AN803">
        <v>1206.682988564487</v>
      </c>
      <c r="AO803">
        <v>22638.121875913381</v>
      </c>
      <c r="AP803">
        <v>97148.291662485703</v>
      </c>
      <c r="AQ803">
        <v>74510.169786572325</v>
      </c>
      <c r="AR803">
        <v>1.393677030777778E-2</v>
      </c>
      <c r="AS803">
        <v>296.2966729223233</v>
      </c>
      <c r="AT803">
        <v>362.56652806520202</v>
      </c>
      <c r="AU803">
        <v>8.4784745109081641</v>
      </c>
      <c r="AV803">
        <v>159.06144457054029</v>
      </c>
      <c r="AW803">
        <v>682.58964653054659</v>
      </c>
      <c r="AX803">
        <v>523.5282019600063</v>
      </c>
      <c r="AY803">
        <v>0.97764066274307182</v>
      </c>
      <c r="AZ803" t="s">
        <v>148</v>
      </c>
      <c r="BA803" t="str">
        <f>VLOOKUP($AZ803,Sheet1!$A$2:$B$58,2)</f>
        <v>Propane (PW1)</v>
      </c>
      <c r="BB803" t="s">
        <v>194</v>
      </c>
      <c r="BC803">
        <v>44.094819999999999</v>
      </c>
      <c r="BD803">
        <v>6.666666666666667</v>
      </c>
      <c r="BE803">
        <v>-42</v>
      </c>
      <c r="BF803" t="s">
        <v>211</v>
      </c>
      <c r="BG803">
        <v>1.9961528360927661</v>
      </c>
      <c r="BH803">
        <v>0.2</v>
      </c>
      <c r="BI803">
        <v>0.18353875994805399</v>
      </c>
      <c r="BJ803">
        <v>80</v>
      </c>
      <c r="BK803">
        <v>4648.8112832661091</v>
      </c>
      <c r="BL803">
        <v>3565.5152766381452</v>
      </c>
      <c r="BM803">
        <v>4.6621183038817566</v>
      </c>
      <c r="BN803">
        <v>792.56011165989867</v>
      </c>
      <c r="BO803">
        <v>3856.2511716062099</v>
      </c>
    </row>
    <row r="804" spans="1:67" x14ac:dyDescent="0.25">
      <c r="A804" s="1">
        <v>802</v>
      </c>
      <c r="B804" t="s">
        <v>75</v>
      </c>
      <c r="C804" t="s">
        <v>85</v>
      </c>
      <c r="D804">
        <v>1</v>
      </c>
      <c r="E804">
        <v>1</v>
      </c>
      <c r="F804">
        <v>2</v>
      </c>
      <c r="G804">
        <v>45.016539999999999</v>
      </c>
      <c r="H804">
        <v>2</v>
      </c>
      <c r="I804" t="s">
        <v>89</v>
      </c>
      <c r="J804">
        <v>4</v>
      </c>
      <c r="K804">
        <v>300</v>
      </c>
      <c r="L804">
        <v>50</v>
      </c>
      <c r="N804" t="s">
        <v>91</v>
      </c>
      <c r="O804">
        <v>50</v>
      </c>
      <c r="P804">
        <v>0.25</v>
      </c>
      <c r="Q804">
        <v>3.2500000000000001E-2</v>
      </c>
      <c r="R804">
        <v>77.5</v>
      </c>
      <c r="S804">
        <v>170</v>
      </c>
      <c r="T804">
        <v>20</v>
      </c>
      <c r="U804">
        <v>1812.1301775147931</v>
      </c>
      <c r="V804">
        <v>20</v>
      </c>
      <c r="W804">
        <v>0.95</v>
      </c>
      <c r="X804">
        <v>1</v>
      </c>
      <c r="Y804">
        <v>112880.74113192</v>
      </c>
      <c r="Z804">
        <v>338642223.39575988</v>
      </c>
      <c r="AA804">
        <v>1354568893.58304</v>
      </c>
      <c r="AB804">
        <v>1354568.89358304</v>
      </c>
      <c r="AC804">
        <v>66773.504273504266</v>
      </c>
      <c r="AD804">
        <v>3509.779292016724</v>
      </c>
      <c r="AE804">
        <v>6317602.7256301036</v>
      </c>
      <c r="AF804">
        <v>3158801.3628150518</v>
      </c>
      <c r="AG804">
        <v>142.1983079012183</v>
      </c>
      <c r="AH804">
        <v>695.0942398874522</v>
      </c>
      <c r="AI804">
        <v>139.01884797749051</v>
      </c>
      <c r="AJ804">
        <v>44023.489041448804</v>
      </c>
      <c r="AK804">
        <v>2170.1388888888891</v>
      </c>
      <c r="AL804" t="s">
        <v>95</v>
      </c>
      <c r="AM804">
        <v>53869.803591277538</v>
      </c>
      <c r="AN804">
        <v>1259.7239990508419</v>
      </c>
      <c r="AO804">
        <v>23633.204156173379</v>
      </c>
      <c r="AP804">
        <v>101323.1555206661</v>
      </c>
      <c r="AQ804">
        <v>77689.951364492692</v>
      </c>
      <c r="AR804">
        <v>1.393677030777778E-2</v>
      </c>
      <c r="AS804">
        <v>296.2966729223233</v>
      </c>
      <c r="AT804">
        <v>362.56652806520208</v>
      </c>
      <c r="AU804">
        <v>8.4784745109081658</v>
      </c>
      <c r="AV804">
        <v>159.06144457054029</v>
      </c>
      <c r="AW804">
        <v>681.94762669761553</v>
      </c>
      <c r="AX804">
        <v>522.88618212707524</v>
      </c>
      <c r="AY804">
        <v>0.97764066274307182</v>
      </c>
      <c r="AZ804" t="s">
        <v>149</v>
      </c>
      <c r="BA804" t="str">
        <f>VLOOKUP($AZ804,Sheet1!$A$2:$B$58,2)</f>
        <v>Propane (PW2)</v>
      </c>
      <c r="BB804" t="s">
        <v>194</v>
      </c>
      <c r="BC804">
        <v>44.094819999999999</v>
      </c>
      <c r="BD804">
        <v>6.666666666666667</v>
      </c>
      <c r="BE804">
        <v>-42</v>
      </c>
      <c r="BF804" t="s">
        <v>211</v>
      </c>
      <c r="BG804">
        <v>1.9961528360927661</v>
      </c>
      <c r="BH804">
        <v>0.19157894736842099</v>
      </c>
      <c r="BI804">
        <v>0.17581081216076699</v>
      </c>
      <c r="BJ804">
        <v>80</v>
      </c>
      <c r="BK804">
        <v>4848.5899296826301</v>
      </c>
      <c r="BL804">
        <v>3717.6765161699182</v>
      </c>
      <c r="BM804">
        <v>4.9547895627817571</v>
      </c>
      <c r="BN804">
        <v>842.31422567289871</v>
      </c>
      <c r="BO804">
        <v>4006.2757040097308</v>
      </c>
    </row>
    <row r="805" spans="1:67" x14ac:dyDescent="0.25">
      <c r="A805" s="1">
        <v>803</v>
      </c>
      <c r="B805" t="s">
        <v>75</v>
      </c>
      <c r="C805" t="s">
        <v>85</v>
      </c>
      <c r="D805">
        <v>1</v>
      </c>
      <c r="E805">
        <v>1</v>
      </c>
      <c r="F805">
        <v>2</v>
      </c>
      <c r="G805">
        <v>45.016539999999999</v>
      </c>
      <c r="H805">
        <v>2</v>
      </c>
      <c r="I805" t="s">
        <v>89</v>
      </c>
      <c r="J805">
        <v>4</v>
      </c>
      <c r="K805">
        <v>300</v>
      </c>
      <c r="L805">
        <v>50</v>
      </c>
      <c r="N805" t="s">
        <v>91</v>
      </c>
      <c r="O805">
        <v>50</v>
      </c>
      <c r="P805">
        <v>0.25</v>
      </c>
      <c r="Q805">
        <v>3.2500000000000001E-2</v>
      </c>
      <c r="R805">
        <v>77.5</v>
      </c>
      <c r="S805">
        <v>170</v>
      </c>
      <c r="T805">
        <v>20</v>
      </c>
      <c r="U805">
        <v>1812.1301775147931</v>
      </c>
      <c r="V805">
        <v>20</v>
      </c>
      <c r="W805">
        <v>0.95</v>
      </c>
      <c r="X805">
        <v>1</v>
      </c>
      <c r="Y805">
        <v>107427.0393800137</v>
      </c>
      <c r="Z805">
        <v>322281118.14004099</v>
      </c>
      <c r="AA805">
        <v>1289124472.560164</v>
      </c>
      <c r="AB805">
        <v>1289124.4725601641</v>
      </c>
      <c r="AC805">
        <v>0</v>
      </c>
      <c r="AD805">
        <v>3340.2083866369808</v>
      </c>
      <c r="AE805">
        <v>6012375.0959465653</v>
      </c>
      <c r="AF805">
        <v>3006187.5479732831</v>
      </c>
      <c r="AG805">
        <v>135.32816200084119</v>
      </c>
      <c r="AH805">
        <v>661.51156993152085</v>
      </c>
      <c r="AI805">
        <v>132.3023139863042</v>
      </c>
      <c r="AJ805">
        <v>41896.545358205331</v>
      </c>
      <c r="AK805">
        <v>854.70085470085473</v>
      </c>
      <c r="AL805" t="s">
        <v>93</v>
      </c>
      <c r="AM805">
        <v>51267.146669692869</v>
      </c>
      <c r="AN805">
        <v>1198.8618988231949</v>
      </c>
      <c r="AO805">
        <v>22491.393377671709</v>
      </c>
      <c r="AP805">
        <v>95217.254781422249</v>
      </c>
      <c r="AQ805">
        <v>72725.861403750547</v>
      </c>
      <c r="AR805">
        <v>1.393677030777778E-2</v>
      </c>
      <c r="AS805">
        <v>296.2966729223233</v>
      </c>
      <c r="AT805">
        <v>362.56652806520208</v>
      </c>
      <c r="AU805">
        <v>8.4784745109081623</v>
      </c>
      <c r="AV805">
        <v>159.06144457054029</v>
      </c>
      <c r="AW805">
        <v>673.38620774868343</v>
      </c>
      <c r="AX805">
        <v>514.32476317814326</v>
      </c>
      <c r="AY805">
        <v>0.97764066274307182</v>
      </c>
      <c r="AZ805" t="s">
        <v>150</v>
      </c>
      <c r="BA805" t="str">
        <f>VLOOKUP($AZ805,Sheet1!$A$2:$B$58,2)</f>
        <v>Shikimate</v>
      </c>
      <c r="BB805" t="s">
        <v>195</v>
      </c>
      <c r="BC805">
        <v>173.14045999999999</v>
      </c>
      <c r="BD805">
        <v>3.8571428571428572</v>
      </c>
      <c r="BE805">
        <v>400.5</v>
      </c>
      <c r="BF805" t="s">
        <v>211</v>
      </c>
      <c r="BG805">
        <v>0</v>
      </c>
      <c r="BH805">
        <v>5.1267605633802803E-2</v>
      </c>
      <c r="BI805">
        <v>0.184736123142237</v>
      </c>
      <c r="BJ805">
        <v>80</v>
      </c>
      <c r="BK805">
        <v>4556.4058905672964</v>
      </c>
      <c r="BL805">
        <v>3480.1312436208032</v>
      </c>
      <c r="BM805">
        <v>6.6151156993152096</v>
      </c>
      <c r="BN805">
        <v>1124.569668883586</v>
      </c>
      <c r="BO805">
        <v>3431.8362216837108</v>
      </c>
    </row>
    <row r="806" spans="1:67" x14ac:dyDescent="0.25">
      <c r="A806" s="1">
        <v>804</v>
      </c>
      <c r="B806" t="s">
        <v>75</v>
      </c>
      <c r="C806" t="s">
        <v>85</v>
      </c>
      <c r="D806">
        <v>1</v>
      </c>
      <c r="E806">
        <v>1</v>
      </c>
      <c r="F806">
        <v>2</v>
      </c>
      <c r="G806">
        <v>45.016539999999999</v>
      </c>
      <c r="H806">
        <v>2</v>
      </c>
      <c r="I806" t="s">
        <v>89</v>
      </c>
      <c r="J806">
        <v>4</v>
      </c>
      <c r="K806">
        <v>300</v>
      </c>
      <c r="L806">
        <v>50</v>
      </c>
      <c r="N806" t="s">
        <v>91</v>
      </c>
      <c r="O806">
        <v>50</v>
      </c>
      <c r="P806">
        <v>0.25</v>
      </c>
      <c r="Q806">
        <v>3.2500000000000001E-2</v>
      </c>
      <c r="R806">
        <v>77.5</v>
      </c>
      <c r="S806">
        <v>170</v>
      </c>
      <c r="T806">
        <v>20</v>
      </c>
      <c r="U806">
        <v>1812.1301775147931</v>
      </c>
      <c r="V806">
        <v>20</v>
      </c>
      <c r="W806">
        <v>0.95</v>
      </c>
      <c r="X806">
        <v>1</v>
      </c>
      <c r="Y806">
        <v>261598.2870009834</v>
      </c>
      <c r="Z806">
        <v>784794861.00295031</v>
      </c>
      <c r="AA806">
        <v>3139179444.0118008</v>
      </c>
      <c r="AB806">
        <v>3139179.4440118009</v>
      </c>
      <c r="AC806">
        <v>0</v>
      </c>
      <c r="AD806">
        <v>8133.8254988075014</v>
      </c>
      <c r="AE806">
        <v>14640885.897853499</v>
      </c>
      <c r="AF806">
        <v>7320442.9489267524</v>
      </c>
      <c r="AG806">
        <v>329.54101282807898</v>
      </c>
      <c r="AH806">
        <v>1610.863470911331</v>
      </c>
      <c r="AI806">
        <v>322.1726941822663</v>
      </c>
      <c r="AJ806">
        <v>102023.3319303835</v>
      </c>
      <c r="AK806">
        <v>854.70085470085473</v>
      </c>
      <c r="AL806" t="s">
        <v>93</v>
      </c>
      <c r="AM806">
        <v>124841.91899562821</v>
      </c>
      <c r="AN806">
        <v>2919.3787792428161</v>
      </c>
      <c r="AO806">
        <v>54769.35801098527</v>
      </c>
      <c r="AP806">
        <v>230639.33055995539</v>
      </c>
      <c r="AQ806">
        <v>175869.97254897011</v>
      </c>
      <c r="AR806">
        <v>1.393677030777778E-2</v>
      </c>
      <c r="AS806">
        <v>296.2966729223233</v>
      </c>
      <c r="AT806">
        <v>362.56652806520208</v>
      </c>
      <c r="AU806">
        <v>8.4784745109081658</v>
      </c>
      <c r="AV806">
        <v>159.0614445705402</v>
      </c>
      <c r="AW806">
        <v>669.82390201270312</v>
      </c>
      <c r="AX806">
        <v>510.76245744216283</v>
      </c>
      <c r="AY806">
        <v>0.97764066274307171</v>
      </c>
      <c r="AZ806" t="s">
        <v>151</v>
      </c>
      <c r="BA806" t="str">
        <f>VLOOKUP($AZ806,Sheet1!$A$2:$B$58,2)</f>
        <v>Styrene</v>
      </c>
      <c r="BB806" t="s">
        <v>196</v>
      </c>
      <c r="BC806">
        <v>104.14832</v>
      </c>
      <c r="BD806">
        <v>5</v>
      </c>
      <c r="BE806">
        <v>145</v>
      </c>
      <c r="BF806" t="s">
        <v>211</v>
      </c>
      <c r="BG806">
        <v>0.84514085296815156</v>
      </c>
      <c r="BH806">
        <v>3.5000000000000003E-2</v>
      </c>
      <c r="BI806">
        <v>7.58630914721454E-2</v>
      </c>
      <c r="BJ806">
        <v>80</v>
      </c>
      <c r="BK806">
        <v>11036.72235428611</v>
      </c>
      <c r="BL806">
        <v>8415.8588770024471</v>
      </c>
      <c r="BM806">
        <v>15.263493856145161</v>
      </c>
      <c r="BN806">
        <v>2594.7939555446769</v>
      </c>
      <c r="BO806">
        <v>8441.9283987414292</v>
      </c>
    </row>
    <row r="807" spans="1:67" x14ac:dyDescent="0.25">
      <c r="A807" s="1">
        <v>805</v>
      </c>
      <c r="B807" t="s">
        <v>75</v>
      </c>
      <c r="C807" t="s">
        <v>85</v>
      </c>
      <c r="D807">
        <v>1</v>
      </c>
      <c r="E807">
        <v>1</v>
      </c>
      <c r="F807">
        <v>2</v>
      </c>
      <c r="G807">
        <v>45.016539999999999</v>
      </c>
      <c r="H807">
        <v>2</v>
      </c>
      <c r="I807" t="s">
        <v>89</v>
      </c>
      <c r="J807">
        <v>4</v>
      </c>
      <c r="K807">
        <v>300</v>
      </c>
      <c r="L807">
        <v>50</v>
      </c>
      <c r="N807" t="s">
        <v>91</v>
      </c>
      <c r="O807">
        <v>50</v>
      </c>
      <c r="P807">
        <v>0.25</v>
      </c>
      <c r="Q807">
        <v>3.2500000000000001E-2</v>
      </c>
      <c r="R807">
        <v>77.5</v>
      </c>
      <c r="S807">
        <v>170</v>
      </c>
      <c r="T807">
        <v>20</v>
      </c>
      <c r="U807">
        <v>1812.1301775147931</v>
      </c>
      <c r="V807">
        <v>20</v>
      </c>
      <c r="W807">
        <v>0.95</v>
      </c>
      <c r="X807">
        <v>1</v>
      </c>
      <c r="Y807">
        <v>47397.183690337661</v>
      </c>
      <c r="Z807">
        <v>142191551.071013</v>
      </c>
      <c r="AA807">
        <v>568766204.2840519</v>
      </c>
      <c r="AB807">
        <v>568766.2042840519</v>
      </c>
      <c r="AC807">
        <v>0</v>
      </c>
      <c r="AD807">
        <v>1473.7115662790341</v>
      </c>
      <c r="AE807">
        <v>2652680.8193022599</v>
      </c>
      <c r="AF807">
        <v>1326340.40965113</v>
      </c>
      <c r="AG807">
        <v>59.707256104676482</v>
      </c>
      <c r="AH807">
        <v>291.86120714373118</v>
      </c>
      <c r="AI807">
        <v>58.372241428746243</v>
      </c>
      <c r="AJ807">
        <v>18484.901639231692</v>
      </c>
      <c r="AK807">
        <v>854.70085470085473</v>
      </c>
      <c r="AL807" t="s">
        <v>93</v>
      </c>
      <c r="AM807">
        <v>22619.243553639171</v>
      </c>
      <c r="AN807">
        <v>528.94204257891511</v>
      </c>
      <c r="AO807">
        <v>9923.2810428868615</v>
      </c>
      <c r="AP807">
        <v>42487.788090150621</v>
      </c>
      <c r="AQ807">
        <v>32564.50704726376</v>
      </c>
      <c r="AR807">
        <v>1.393677030777778E-2</v>
      </c>
      <c r="AS807">
        <v>296.29667292232341</v>
      </c>
      <c r="AT807">
        <v>362.56652806520208</v>
      </c>
      <c r="AU807">
        <v>8.4784745109081658</v>
      </c>
      <c r="AV807">
        <v>159.06144457054029</v>
      </c>
      <c r="AW807">
        <v>681.04177650704526</v>
      </c>
      <c r="AX807">
        <v>521.98033193650497</v>
      </c>
      <c r="AY807">
        <v>0.97764066274307193</v>
      </c>
      <c r="AZ807" t="s">
        <v>152</v>
      </c>
      <c r="BA807" t="str">
        <f>VLOOKUP($AZ807,Sheet1!$A$2:$B$58,2)</f>
        <v>Succinate</v>
      </c>
      <c r="BB807" t="s">
        <v>197</v>
      </c>
      <c r="BC807">
        <v>116.07016</v>
      </c>
      <c r="BD807">
        <v>3</v>
      </c>
      <c r="BE807">
        <v>235</v>
      </c>
      <c r="BF807" t="s">
        <v>211</v>
      </c>
      <c r="BG807">
        <v>0</v>
      </c>
      <c r="BH807">
        <v>0.17333333333333301</v>
      </c>
      <c r="BI807">
        <v>0.41870957788063401</v>
      </c>
      <c r="BJ807">
        <v>80</v>
      </c>
      <c r="BK807">
        <v>2033.1567883944999</v>
      </c>
      <c r="BL807">
        <v>1558.300668026847</v>
      </c>
      <c r="BM807">
        <v>2.918612071437312</v>
      </c>
      <c r="BN807">
        <v>496.16405214434309</v>
      </c>
      <c r="BO807">
        <v>1536.9927362501569</v>
      </c>
    </row>
    <row r="808" spans="1:67" x14ac:dyDescent="0.25">
      <c r="A808" s="1">
        <v>806</v>
      </c>
      <c r="B808" t="s">
        <v>76</v>
      </c>
      <c r="C808" t="s">
        <v>85</v>
      </c>
      <c r="D808">
        <v>1</v>
      </c>
      <c r="E808">
        <v>1</v>
      </c>
      <c r="F808">
        <v>2</v>
      </c>
      <c r="G808">
        <v>45.016539999999999</v>
      </c>
      <c r="H808">
        <v>2</v>
      </c>
      <c r="I808" t="s">
        <v>89</v>
      </c>
      <c r="J808">
        <v>4</v>
      </c>
      <c r="K808">
        <v>300</v>
      </c>
      <c r="L808">
        <v>33.333333333333329</v>
      </c>
      <c r="N808" t="s">
        <v>91</v>
      </c>
      <c r="O808">
        <v>66.666666666666671</v>
      </c>
      <c r="P808">
        <v>0.1666666666666666</v>
      </c>
      <c r="Q808">
        <v>3.2500000000000001E-2</v>
      </c>
      <c r="R808">
        <v>77.5</v>
      </c>
      <c r="S808">
        <v>170</v>
      </c>
      <c r="T808">
        <v>20</v>
      </c>
      <c r="U808">
        <v>1812.1301775147931</v>
      </c>
      <c r="V808">
        <v>20</v>
      </c>
      <c r="W808">
        <v>0.95</v>
      </c>
      <c r="X808">
        <v>1</v>
      </c>
      <c r="Y808">
        <v>65489.920835394012</v>
      </c>
      <c r="Z808">
        <v>196469762.50618199</v>
      </c>
      <c r="AA808">
        <v>785879050.02472818</v>
      </c>
      <c r="AB808">
        <v>785879.05002472817</v>
      </c>
      <c r="AC808">
        <v>0</v>
      </c>
      <c r="AD808">
        <v>2036.2655815242781</v>
      </c>
      <c r="AE808">
        <v>3665278.0467437012</v>
      </c>
      <c r="AF808">
        <v>1221759.3489145669</v>
      </c>
      <c r="AG808">
        <v>54.999378600786542</v>
      </c>
      <c r="AH808">
        <v>268.84814472865042</v>
      </c>
      <c r="AI808">
        <v>53.769628945730076</v>
      </c>
      <c r="AJ808">
        <v>25541.069125803671</v>
      </c>
      <c r="AK808">
        <v>854.70085470085473</v>
      </c>
      <c r="AL808" t="s">
        <v>93</v>
      </c>
      <c r="AM808">
        <v>20835.731216470409</v>
      </c>
      <c r="AN808">
        <v>730.85297053348984</v>
      </c>
      <c r="AO808">
        <v>9140.8369207741125</v>
      </c>
      <c r="AP808">
        <v>47962.354167508413</v>
      </c>
      <c r="AQ808">
        <v>38821.5172467343</v>
      </c>
      <c r="AR808">
        <v>2.0905155461666668E-2</v>
      </c>
      <c r="AS808">
        <v>426.14410762900661</v>
      </c>
      <c r="AT808">
        <v>347.63713462058269</v>
      </c>
      <c r="AU808">
        <v>12.19403484646427</v>
      </c>
      <c r="AV808">
        <v>152.5117751883846</v>
      </c>
      <c r="AW808">
        <v>800.23567203967298</v>
      </c>
      <c r="AX808">
        <v>647.72389685128837</v>
      </c>
      <c r="AY808">
        <v>0.97764066274307182</v>
      </c>
      <c r="AZ808" t="s">
        <v>96</v>
      </c>
      <c r="BA808" t="str">
        <f>VLOOKUP($AZ808,Sheet1!$A$2:$B$58,2)</f>
        <v>1,3-Butanediol (PW1)</v>
      </c>
      <c r="BB808" t="s">
        <v>153</v>
      </c>
      <c r="BC808">
        <v>90.119200000000006</v>
      </c>
      <c r="BD808">
        <v>5.5</v>
      </c>
      <c r="BE808">
        <v>207</v>
      </c>
      <c r="BF808" t="s">
        <v>212</v>
      </c>
      <c r="BG808">
        <v>0</v>
      </c>
      <c r="BH808">
        <v>0.25</v>
      </c>
      <c r="BI808">
        <v>0.45455059013416699</v>
      </c>
      <c r="BJ808">
        <v>80</v>
      </c>
      <c r="BK808">
        <v>2200.6232348182421</v>
      </c>
      <c r="BL808">
        <v>1781.2205915850409</v>
      </c>
      <c r="BM808">
        <v>2.6884814472865042</v>
      </c>
      <c r="BN808">
        <v>457.04184603870561</v>
      </c>
      <c r="BO808">
        <v>1743.5813887795359</v>
      </c>
    </row>
    <row r="809" spans="1:67" x14ac:dyDescent="0.25">
      <c r="A809" s="1">
        <v>807</v>
      </c>
      <c r="B809" t="s">
        <v>76</v>
      </c>
      <c r="C809" t="s">
        <v>85</v>
      </c>
      <c r="D809">
        <v>1</v>
      </c>
      <c r="E809">
        <v>1</v>
      </c>
      <c r="F809">
        <v>2</v>
      </c>
      <c r="G809">
        <v>45.016539999999999</v>
      </c>
      <c r="H809">
        <v>2</v>
      </c>
      <c r="I809" t="s">
        <v>89</v>
      </c>
      <c r="J809">
        <v>4</v>
      </c>
      <c r="K809">
        <v>300</v>
      </c>
      <c r="L809">
        <v>33.333333333333329</v>
      </c>
      <c r="N809" t="s">
        <v>91</v>
      </c>
      <c r="O809">
        <v>66.666666666666671</v>
      </c>
      <c r="P809">
        <v>0.1666666666666666</v>
      </c>
      <c r="Q809">
        <v>3.2500000000000001E-2</v>
      </c>
      <c r="R809">
        <v>77.5</v>
      </c>
      <c r="S809">
        <v>170</v>
      </c>
      <c r="T809">
        <v>20</v>
      </c>
      <c r="U809">
        <v>1812.1301775147931</v>
      </c>
      <c r="V809">
        <v>20</v>
      </c>
      <c r="W809">
        <v>0.95</v>
      </c>
      <c r="X809">
        <v>1</v>
      </c>
      <c r="Y809">
        <v>65489.920835394012</v>
      </c>
      <c r="Z809">
        <v>196469762.50618199</v>
      </c>
      <c r="AA809">
        <v>785879050.02472818</v>
      </c>
      <c r="AB809">
        <v>785879.05002472817</v>
      </c>
      <c r="AC809">
        <v>0</v>
      </c>
      <c r="AD809">
        <v>2036.2655815242781</v>
      </c>
      <c r="AE809">
        <v>3665278.0467437012</v>
      </c>
      <c r="AF809">
        <v>1221759.3489145669</v>
      </c>
      <c r="AG809">
        <v>54.999378600786542</v>
      </c>
      <c r="AH809">
        <v>268.84814472865042</v>
      </c>
      <c r="AI809">
        <v>53.769628945730076</v>
      </c>
      <c r="AJ809">
        <v>25541.069125803671</v>
      </c>
      <c r="AK809">
        <v>854.70085470085473</v>
      </c>
      <c r="AL809" t="s">
        <v>93</v>
      </c>
      <c r="AM809">
        <v>20835.731216470409</v>
      </c>
      <c r="AN809">
        <v>730.85297053348984</v>
      </c>
      <c r="AO809">
        <v>9140.8369207741125</v>
      </c>
      <c r="AP809">
        <v>47962.354167508413</v>
      </c>
      <c r="AQ809">
        <v>38821.5172467343</v>
      </c>
      <c r="AR809">
        <v>2.0905155461666668E-2</v>
      </c>
      <c r="AS809">
        <v>426.14410762900661</v>
      </c>
      <c r="AT809">
        <v>347.63713462058269</v>
      </c>
      <c r="AU809">
        <v>12.19403484646427</v>
      </c>
      <c r="AV809">
        <v>152.5117751883846</v>
      </c>
      <c r="AW809">
        <v>800.23567203967298</v>
      </c>
      <c r="AX809">
        <v>647.72389685128837</v>
      </c>
      <c r="AY809">
        <v>0.97764066274307182</v>
      </c>
      <c r="AZ809" t="s">
        <v>97</v>
      </c>
      <c r="BA809" t="str">
        <f>VLOOKUP($AZ809,Sheet1!$A$2:$B$58,2)</f>
        <v>1,3-Butanediol (PW2)</v>
      </c>
      <c r="BB809" t="s">
        <v>153</v>
      </c>
      <c r="BC809">
        <v>90.119200000000006</v>
      </c>
      <c r="BD809">
        <v>5.5</v>
      </c>
      <c r="BE809">
        <v>207</v>
      </c>
      <c r="BF809" t="s">
        <v>212</v>
      </c>
      <c r="BG809">
        <v>0</v>
      </c>
      <c r="BH809">
        <v>0.25</v>
      </c>
      <c r="BI809">
        <v>0.45455059013416699</v>
      </c>
      <c r="BJ809">
        <v>80</v>
      </c>
      <c r="BK809">
        <v>2200.6232348182421</v>
      </c>
      <c r="BL809">
        <v>1781.2205915850409</v>
      </c>
      <c r="BM809">
        <v>2.6884814472865042</v>
      </c>
      <c r="BN809">
        <v>457.04184603870561</v>
      </c>
      <c r="BO809">
        <v>1743.5813887795359</v>
      </c>
    </row>
    <row r="810" spans="1:67" x14ac:dyDescent="0.25">
      <c r="A810" s="1">
        <v>808</v>
      </c>
      <c r="B810" t="s">
        <v>76</v>
      </c>
      <c r="C810" t="s">
        <v>85</v>
      </c>
      <c r="D810">
        <v>1</v>
      </c>
      <c r="E810">
        <v>1</v>
      </c>
      <c r="F810">
        <v>2</v>
      </c>
      <c r="G810">
        <v>45.016539999999999</v>
      </c>
      <c r="H810">
        <v>2</v>
      </c>
      <c r="I810" t="s">
        <v>89</v>
      </c>
      <c r="J810">
        <v>4</v>
      </c>
      <c r="K810">
        <v>300</v>
      </c>
      <c r="L810">
        <v>33.333333333333329</v>
      </c>
      <c r="N810" t="s">
        <v>91</v>
      </c>
      <c r="O810">
        <v>66.666666666666671</v>
      </c>
      <c r="P810">
        <v>0.1666666666666666</v>
      </c>
      <c r="Q810">
        <v>3.2500000000000001E-2</v>
      </c>
      <c r="R810">
        <v>77.5</v>
      </c>
      <c r="S810">
        <v>170</v>
      </c>
      <c r="T810">
        <v>20</v>
      </c>
      <c r="U810">
        <v>1812.1301775147931</v>
      </c>
      <c r="V810">
        <v>20</v>
      </c>
      <c r="W810">
        <v>0.95</v>
      </c>
      <c r="X810">
        <v>1</v>
      </c>
      <c r="Y810">
        <v>108903.3010066157</v>
      </c>
      <c r="Z810">
        <v>326709903.01984698</v>
      </c>
      <c r="AA810">
        <v>1306839612.0793879</v>
      </c>
      <c r="AB810">
        <v>1306839.612079388</v>
      </c>
      <c r="AC810">
        <v>0</v>
      </c>
      <c r="AD810">
        <v>3386.1095070113711</v>
      </c>
      <c r="AE810">
        <v>6094997.1126204673</v>
      </c>
      <c r="AF810">
        <v>2031665.704206822</v>
      </c>
      <c r="AG810">
        <v>91.458560440054569</v>
      </c>
      <c r="AH810">
        <v>447.06803821071122</v>
      </c>
      <c r="AI810">
        <v>89.413607642142239</v>
      </c>
      <c r="AJ810">
        <v>42472.28739258011</v>
      </c>
      <c r="AK810">
        <v>854.70085470085473</v>
      </c>
      <c r="AL810" t="s">
        <v>93</v>
      </c>
      <c r="AM810">
        <v>34647.772961330113</v>
      </c>
      <c r="AN810">
        <v>1215.336650683081</v>
      </c>
      <c r="AO810">
        <v>15200.31329916418</v>
      </c>
      <c r="AP810">
        <v>79190.097859294168</v>
      </c>
      <c r="AQ810">
        <v>63989.784560129992</v>
      </c>
      <c r="AR810">
        <v>2.0905155461666668E-2</v>
      </c>
      <c r="AS810">
        <v>426.14410762900673</v>
      </c>
      <c r="AT810">
        <v>347.63713462058269</v>
      </c>
      <c r="AU810">
        <v>12.19403484646427</v>
      </c>
      <c r="AV810">
        <v>152.51177518838469</v>
      </c>
      <c r="AW810">
        <v>794.55088616673163</v>
      </c>
      <c r="AX810">
        <v>642.03911097834691</v>
      </c>
      <c r="AY810">
        <v>0.97764066274307182</v>
      </c>
      <c r="AZ810" t="s">
        <v>98</v>
      </c>
      <c r="BA810" t="str">
        <f>VLOOKUP($AZ810,Sheet1!$A$2:$B$58,2)</f>
        <v>1,3-Diaminopropane</v>
      </c>
      <c r="BB810" t="s">
        <v>154</v>
      </c>
      <c r="BC810">
        <v>76.139580000000009</v>
      </c>
      <c r="BD810">
        <v>6</v>
      </c>
      <c r="BE810">
        <v>139.30000000000001</v>
      </c>
      <c r="BF810" t="s">
        <v>212</v>
      </c>
      <c r="BG810">
        <v>0</v>
      </c>
      <c r="BH810">
        <v>0.17846153846153801</v>
      </c>
      <c r="BI810">
        <v>0.273347840592636</v>
      </c>
      <c r="BJ810">
        <v>80</v>
      </c>
      <c r="BK810">
        <v>3633.4240122589458</v>
      </c>
      <c r="BL810">
        <v>2935.9986418146018</v>
      </c>
      <c r="BM810">
        <v>4.4706803821071119</v>
      </c>
      <c r="BN810">
        <v>760.01566495820907</v>
      </c>
      <c r="BO810">
        <v>2873.4083473007372</v>
      </c>
    </row>
    <row r="811" spans="1:67" x14ac:dyDescent="0.25">
      <c r="A811" s="1">
        <v>809</v>
      </c>
      <c r="B811" t="s">
        <v>76</v>
      </c>
      <c r="C811" t="s">
        <v>85</v>
      </c>
      <c r="D811">
        <v>1</v>
      </c>
      <c r="E811">
        <v>1</v>
      </c>
      <c r="F811">
        <v>2</v>
      </c>
      <c r="G811">
        <v>45.016539999999999</v>
      </c>
      <c r="H811">
        <v>2</v>
      </c>
      <c r="I811" t="s">
        <v>89</v>
      </c>
      <c r="J811">
        <v>4</v>
      </c>
      <c r="K811">
        <v>300</v>
      </c>
      <c r="L811">
        <v>33.333333333333329</v>
      </c>
      <c r="N811" t="s">
        <v>91</v>
      </c>
      <c r="O811">
        <v>66.666666666666671</v>
      </c>
      <c r="P811">
        <v>0.1666666666666666</v>
      </c>
      <c r="Q811">
        <v>3.2500000000000001E-2</v>
      </c>
      <c r="R811">
        <v>77.5</v>
      </c>
      <c r="S811">
        <v>170</v>
      </c>
      <c r="T811">
        <v>20</v>
      </c>
      <c r="U811">
        <v>1812.1301775147931</v>
      </c>
      <c r="V811">
        <v>20</v>
      </c>
      <c r="W811">
        <v>0.95</v>
      </c>
      <c r="X811">
        <v>1</v>
      </c>
      <c r="Y811">
        <v>57973.818972922563</v>
      </c>
      <c r="Z811">
        <v>173921456.91876769</v>
      </c>
      <c r="AA811">
        <v>695685827.67507076</v>
      </c>
      <c r="AB811">
        <v>695685.82767507073</v>
      </c>
      <c r="AC811">
        <v>0</v>
      </c>
      <c r="AD811">
        <v>1802.5688640057299</v>
      </c>
      <c r="AE811">
        <v>3244623.9552103141</v>
      </c>
      <c r="AF811">
        <v>1081541.318403438</v>
      </c>
      <c r="AG811">
        <v>48.687248021561103</v>
      </c>
      <c r="AH811">
        <v>237.99316711467651</v>
      </c>
      <c r="AI811">
        <v>47.598633422935301</v>
      </c>
      <c r="AJ811">
        <v>22609.7893994398</v>
      </c>
      <c r="AK811">
        <v>854.70085470085473</v>
      </c>
      <c r="AL811" t="s">
        <v>93</v>
      </c>
      <c r="AM811">
        <v>18444.470451387431</v>
      </c>
      <c r="AN811">
        <v>646.97494315235485</v>
      </c>
      <c r="AO811">
        <v>8091.7676818990012</v>
      </c>
      <c r="AP811">
        <v>42555.935648680432</v>
      </c>
      <c r="AQ811">
        <v>34464.167966781431</v>
      </c>
      <c r="AR811">
        <v>2.0905155461666668E-2</v>
      </c>
      <c r="AS811">
        <v>426.14410762900673</v>
      </c>
      <c r="AT811">
        <v>347.63713462058269</v>
      </c>
      <c r="AU811">
        <v>12.19403484646428</v>
      </c>
      <c r="AV811">
        <v>152.51177518838469</v>
      </c>
      <c r="AW811">
        <v>802.08448212143367</v>
      </c>
      <c r="AX811">
        <v>649.57270693304906</v>
      </c>
      <c r="AY811">
        <v>0.97764066274307182</v>
      </c>
      <c r="AZ811" t="s">
        <v>99</v>
      </c>
      <c r="BA811" t="str">
        <f>VLOOKUP($AZ811,Sheet1!$A$2:$B$58,2)</f>
        <v>1,3-Propanediol</v>
      </c>
      <c r="BB811" t="s">
        <v>155</v>
      </c>
      <c r="BC811">
        <v>76.092820000000003</v>
      </c>
      <c r="BD811">
        <v>5.333333333333333</v>
      </c>
      <c r="BE811">
        <v>213</v>
      </c>
      <c r="BF811" t="s">
        <v>212</v>
      </c>
      <c r="BG811">
        <v>0</v>
      </c>
      <c r="BH811">
        <v>0.33333333333333298</v>
      </c>
      <c r="BI811">
        <v>0.513481476482893</v>
      </c>
      <c r="BJ811">
        <v>80</v>
      </c>
      <c r="BK811">
        <v>1952.5643057645809</v>
      </c>
      <c r="BL811">
        <v>1581.295374524308</v>
      </c>
      <c r="BM811">
        <v>2.3799316711467648</v>
      </c>
      <c r="BN811">
        <v>404.58838409495007</v>
      </c>
      <c r="BO811">
        <v>1547.9759216696309</v>
      </c>
    </row>
    <row r="812" spans="1:67" x14ac:dyDescent="0.25">
      <c r="A812" s="1">
        <v>810</v>
      </c>
      <c r="B812" t="s">
        <v>76</v>
      </c>
      <c r="C812" t="s">
        <v>85</v>
      </c>
      <c r="D812">
        <v>1</v>
      </c>
      <c r="E812">
        <v>1</v>
      </c>
      <c r="F812">
        <v>2</v>
      </c>
      <c r="G812">
        <v>45.016539999999999</v>
      </c>
      <c r="H812">
        <v>2</v>
      </c>
      <c r="I812" t="s">
        <v>89</v>
      </c>
      <c r="J812">
        <v>4</v>
      </c>
      <c r="K812">
        <v>300</v>
      </c>
      <c r="L812">
        <v>33.333333333333329</v>
      </c>
      <c r="N812" t="s">
        <v>91</v>
      </c>
      <c r="O812">
        <v>66.666666666666671</v>
      </c>
      <c r="P812">
        <v>0.1666666666666666</v>
      </c>
      <c r="Q812">
        <v>3.2500000000000001E-2</v>
      </c>
      <c r="R812">
        <v>77.5</v>
      </c>
      <c r="S812">
        <v>170</v>
      </c>
      <c r="T812">
        <v>20</v>
      </c>
      <c r="U812">
        <v>1812.1301775147931</v>
      </c>
      <c r="V812">
        <v>20</v>
      </c>
      <c r="W812">
        <v>0.95</v>
      </c>
      <c r="X812">
        <v>1</v>
      </c>
      <c r="Y812">
        <v>138348.36045893759</v>
      </c>
      <c r="Z812">
        <v>415045081.37681288</v>
      </c>
      <c r="AA812">
        <v>1660180325.507252</v>
      </c>
      <c r="AB812">
        <v>1660180.325507252</v>
      </c>
      <c r="AC812">
        <v>0</v>
      </c>
      <c r="AD812">
        <v>4301.6391082671271</v>
      </c>
      <c r="AE812">
        <v>7742950.3948808284</v>
      </c>
      <c r="AF812">
        <v>2580983.4649602761</v>
      </c>
      <c r="AG812">
        <v>116.18694538972279</v>
      </c>
      <c r="AH812">
        <v>567.94541146450854</v>
      </c>
      <c r="AI812">
        <v>113.58908229290169</v>
      </c>
      <c r="AJ812">
        <v>53955.860578985667</v>
      </c>
      <c r="AK812">
        <v>854.70085470085473</v>
      </c>
      <c r="AL812" t="s">
        <v>93</v>
      </c>
      <c r="AM812">
        <v>44015.769388499422</v>
      </c>
      <c r="AN812">
        <v>1543.936974118413</v>
      </c>
      <c r="AO812">
        <v>19310.143989793291</v>
      </c>
      <c r="AP812">
        <v>100370.2677963044</v>
      </c>
      <c r="AQ812">
        <v>81060.123806511052</v>
      </c>
      <c r="AR812">
        <v>2.0905155461666668E-2</v>
      </c>
      <c r="AS812">
        <v>426.14410762900661</v>
      </c>
      <c r="AT812">
        <v>347.63713462058257</v>
      </c>
      <c r="AU812">
        <v>12.19403484646428</v>
      </c>
      <c r="AV812">
        <v>152.51177518838469</v>
      </c>
      <c r="AW812">
        <v>792.72571586411016</v>
      </c>
      <c r="AX812">
        <v>640.21394067572555</v>
      </c>
      <c r="AY812">
        <v>0.97764066274307182</v>
      </c>
      <c r="AZ812" t="s">
        <v>100</v>
      </c>
      <c r="BA812" t="str">
        <f>VLOOKUP($AZ812,Sheet1!$A$2:$B$58,2)</f>
        <v>1,4-Butanediol</v>
      </c>
      <c r="BB812" t="s">
        <v>153</v>
      </c>
      <c r="BC812">
        <v>90.119200000000006</v>
      </c>
      <c r="BD812">
        <v>5.5</v>
      </c>
      <c r="BE812">
        <v>230</v>
      </c>
      <c r="BF812" t="s">
        <v>212</v>
      </c>
      <c r="BG812">
        <v>0</v>
      </c>
      <c r="BH812">
        <v>0.118974358974359</v>
      </c>
      <c r="BI812">
        <v>0.21517047303501399</v>
      </c>
      <c r="BJ812">
        <v>80</v>
      </c>
      <c r="BK812">
        <v>4605.2189729066149</v>
      </c>
      <c r="BL812">
        <v>3719.2251081514892</v>
      </c>
      <c r="BM812">
        <v>5.6794541146450861</v>
      </c>
      <c r="BN812">
        <v>965.50719948966469</v>
      </c>
      <c r="BO812">
        <v>3639.7117734169501</v>
      </c>
    </row>
    <row r="813" spans="1:67" x14ac:dyDescent="0.25">
      <c r="A813" s="1">
        <v>811</v>
      </c>
      <c r="B813" t="s">
        <v>76</v>
      </c>
      <c r="C813" t="s">
        <v>85</v>
      </c>
      <c r="D813">
        <v>1</v>
      </c>
      <c r="E813">
        <v>1</v>
      </c>
      <c r="F813">
        <v>2</v>
      </c>
      <c r="G813">
        <v>45.016539999999999</v>
      </c>
      <c r="H813">
        <v>2</v>
      </c>
      <c r="I813" t="s">
        <v>89</v>
      </c>
      <c r="J813">
        <v>4</v>
      </c>
      <c r="K813">
        <v>300</v>
      </c>
      <c r="L813">
        <v>33.333333333333329</v>
      </c>
      <c r="N813" t="s">
        <v>91</v>
      </c>
      <c r="O813">
        <v>66.666666666666671</v>
      </c>
      <c r="P813">
        <v>0.1666666666666666</v>
      </c>
      <c r="Q813">
        <v>3.2500000000000001E-2</v>
      </c>
      <c r="R813">
        <v>77.5</v>
      </c>
      <c r="S813">
        <v>170</v>
      </c>
      <c r="T813">
        <v>20</v>
      </c>
      <c r="U813">
        <v>1812.1301775147931</v>
      </c>
      <c r="V813">
        <v>20</v>
      </c>
      <c r="W813">
        <v>0.95</v>
      </c>
      <c r="X813">
        <v>1</v>
      </c>
      <c r="Y813">
        <v>133636.93274865329</v>
      </c>
      <c r="Z813">
        <v>400910798.24595982</v>
      </c>
      <c r="AA813">
        <v>1603643192.983839</v>
      </c>
      <c r="AB813">
        <v>1603643.192983839</v>
      </c>
      <c r="AC813">
        <v>0</v>
      </c>
      <c r="AD813">
        <v>4155.1475876802388</v>
      </c>
      <c r="AE813">
        <v>7479265.6578244297</v>
      </c>
      <c r="AF813">
        <v>2493088.5526081431</v>
      </c>
      <c r="AG813">
        <v>112.23022055202659</v>
      </c>
      <c r="AH813">
        <v>548.60413600142169</v>
      </c>
      <c r="AI813">
        <v>109.7208272002843</v>
      </c>
      <c r="AJ813">
        <v>52118.403771974758</v>
      </c>
      <c r="AK813">
        <v>854.70085470085473</v>
      </c>
      <c r="AL813" t="s">
        <v>93</v>
      </c>
      <c r="AM813">
        <v>42516.82054011018</v>
      </c>
      <c r="AN813">
        <v>1491.3584873285149</v>
      </c>
      <c r="AO813">
        <v>18652.540624048339</v>
      </c>
      <c r="AP813">
        <v>96981.283654114319</v>
      </c>
      <c r="AQ813">
        <v>78328.743030065976</v>
      </c>
      <c r="AR813">
        <v>2.0905155461666668E-2</v>
      </c>
      <c r="AS813">
        <v>426.14410762900661</v>
      </c>
      <c r="AT813">
        <v>347.63713462058257</v>
      </c>
      <c r="AU813">
        <v>12.19403484646427</v>
      </c>
      <c r="AV813">
        <v>152.5117751883846</v>
      </c>
      <c r="AW813">
        <v>792.96370549477774</v>
      </c>
      <c r="AX813">
        <v>640.45193030639325</v>
      </c>
      <c r="AY813">
        <v>0.97764066274307171</v>
      </c>
      <c r="AZ813" t="s">
        <v>101</v>
      </c>
      <c r="BA813" t="str">
        <f>VLOOKUP($AZ813,Sheet1!$A$2:$B$58,2)</f>
        <v>1-Propanol (PW1)</v>
      </c>
      <c r="BB813" t="s">
        <v>156</v>
      </c>
      <c r="BC813">
        <v>60.093820000000001</v>
      </c>
      <c r="BD813">
        <v>6</v>
      </c>
      <c r="BE813">
        <v>97</v>
      </c>
      <c r="BF813" t="s">
        <v>212</v>
      </c>
      <c r="BG813">
        <v>0</v>
      </c>
      <c r="BH813">
        <v>0.18559999999999999</v>
      </c>
      <c r="BI813">
        <v>0.22275640087876999</v>
      </c>
      <c r="BJ813">
        <v>80</v>
      </c>
      <c r="BK813">
        <v>4449.7245778715569</v>
      </c>
      <c r="BL813">
        <v>3593.903069562883</v>
      </c>
      <c r="BM813">
        <v>5.4860413600142177</v>
      </c>
      <c r="BN813">
        <v>932.62703120241702</v>
      </c>
      <c r="BO813">
        <v>3517.0975466691398</v>
      </c>
    </row>
    <row r="814" spans="1:67" x14ac:dyDescent="0.25">
      <c r="A814" s="1">
        <v>812</v>
      </c>
      <c r="B814" t="s">
        <v>76</v>
      </c>
      <c r="C814" t="s">
        <v>85</v>
      </c>
      <c r="D814">
        <v>1</v>
      </c>
      <c r="E814">
        <v>1</v>
      </c>
      <c r="F814">
        <v>2</v>
      </c>
      <c r="G814">
        <v>45.016539999999999</v>
      </c>
      <c r="H814">
        <v>2</v>
      </c>
      <c r="I814" t="s">
        <v>89</v>
      </c>
      <c r="J814">
        <v>4</v>
      </c>
      <c r="K814">
        <v>300</v>
      </c>
      <c r="L814">
        <v>33.333333333333329</v>
      </c>
      <c r="N814" t="s">
        <v>91</v>
      </c>
      <c r="O814">
        <v>66.666666666666671</v>
      </c>
      <c r="P814">
        <v>0.1666666666666666</v>
      </c>
      <c r="Q814">
        <v>3.2500000000000001E-2</v>
      </c>
      <c r="R814">
        <v>77.5</v>
      </c>
      <c r="S814">
        <v>170</v>
      </c>
      <c r="T814">
        <v>20</v>
      </c>
      <c r="U814">
        <v>1812.1301775147931</v>
      </c>
      <c r="V814">
        <v>20</v>
      </c>
      <c r="W814">
        <v>0.95</v>
      </c>
      <c r="X814">
        <v>1</v>
      </c>
      <c r="Y814">
        <v>80182.159649192239</v>
      </c>
      <c r="Z814">
        <v>240546478.9475767</v>
      </c>
      <c r="AA814">
        <v>962185915.79030681</v>
      </c>
      <c r="AB814">
        <v>962185.91579030675</v>
      </c>
      <c r="AC814">
        <v>0</v>
      </c>
      <c r="AD814">
        <v>2493.088552608152</v>
      </c>
      <c r="AE814">
        <v>4487559.3946946738</v>
      </c>
      <c r="AF814">
        <v>1495853.131564891</v>
      </c>
      <c r="AG814">
        <v>67.338132331216173</v>
      </c>
      <c r="AH814">
        <v>329.16248160085422</v>
      </c>
      <c r="AI814">
        <v>65.832496320170847</v>
      </c>
      <c r="AJ814">
        <v>31271.042263184969</v>
      </c>
      <c r="AK814">
        <v>854.70085470085473</v>
      </c>
      <c r="AL814" t="s">
        <v>93</v>
      </c>
      <c r="AM814">
        <v>25510.092324066201</v>
      </c>
      <c r="AN814">
        <v>894.81509239711261</v>
      </c>
      <c r="AO814">
        <v>11191.52437442904</v>
      </c>
      <c r="AP814">
        <v>58530.650534349137</v>
      </c>
      <c r="AQ814">
        <v>47339.126159920103</v>
      </c>
      <c r="AR814">
        <v>2.0905155461666668E-2</v>
      </c>
      <c r="AS814">
        <v>426.14410762900661</v>
      </c>
      <c r="AT814">
        <v>347.63713462058257</v>
      </c>
      <c r="AU814">
        <v>12.19403484646428</v>
      </c>
      <c r="AV814">
        <v>152.5117751883846</v>
      </c>
      <c r="AW814">
        <v>797.62265776059394</v>
      </c>
      <c r="AX814">
        <v>645.11088257220922</v>
      </c>
      <c r="AY814">
        <v>0.97764066274307182</v>
      </c>
      <c r="AZ814" t="s">
        <v>102</v>
      </c>
      <c r="BA814" t="str">
        <f>VLOOKUP($AZ814,Sheet1!$A$2:$B$58,2)</f>
        <v>1-Propanol (PW2)</v>
      </c>
      <c r="BB814" t="s">
        <v>156</v>
      </c>
      <c r="BC814">
        <v>60.093820000000001</v>
      </c>
      <c r="BD814">
        <v>6</v>
      </c>
      <c r="BE814">
        <v>97</v>
      </c>
      <c r="BF814" t="s">
        <v>212</v>
      </c>
      <c r="BG814">
        <v>0</v>
      </c>
      <c r="BH814">
        <v>0.30933333333333302</v>
      </c>
      <c r="BI814">
        <v>0.371260668131282</v>
      </c>
      <c r="BJ814">
        <v>80</v>
      </c>
      <c r="BK814">
        <v>2685.5210039329609</v>
      </c>
      <c r="BL814">
        <v>2172.0280989477542</v>
      </c>
      <c r="BM814">
        <v>3.2916248160085431</v>
      </c>
      <c r="BN814">
        <v>559.57621872145228</v>
      </c>
      <c r="BO814">
        <v>2125.944785211509</v>
      </c>
    </row>
    <row r="815" spans="1:67" x14ac:dyDescent="0.25">
      <c r="A815" s="1">
        <v>813</v>
      </c>
      <c r="B815" t="s">
        <v>76</v>
      </c>
      <c r="C815" t="s">
        <v>85</v>
      </c>
      <c r="D815">
        <v>1</v>
      </c>
      <c r="E815">
        <v>1</v>
      </c>
      <c r="F815">
        <v>2</v>
      </c>
      <c r="G815">
        <v>45.016539999999999</v>
      </c>
      <c r="H815">
        <v>2</v>
      </c>
      <c r="I815" t="s">
        <v>89</v>
      </c>
      <c r="J815">
        <v>4</v>
      </c>
      <c r="K815">
        <v>300</v>
      </c>
      <c r="L815">
        <v>33.333333333333329</v>
      </c>
      <c r="N815" t="s">
        <v>91</v>
      </c>
      <c r="O815">
        <v>66.666666666666671</v>
      </c>
      <c r="P815">
        <v>0.1666666666666666</v>
      </c>
      <c r="Q815">
        <v>3.2500000000000001E-2</v>
      </c>
      <c r="R815">
        <v>77.5</v>
      </c>
      <c r="S815">
        <v>170</v>
      </c>
      <c r="T815">
        <v>20</v>
      </c>
      <c r="U815">
        <v>1812.1301775147931</v>
      </c>
      <c r="V815">
        <v>20</v>
      </c>
      <c r="W815">
        <v>0.95</v>
      </c>
      <c r="X815">
        <v>1</v>
      </c>
      <c r="Y815">
        <v>65489.920835394012</v>
      </c>
      <c r="Z815">
        <v>196469762.50618199</v>
      </c>
      <c r="AA815">
        <v>785879050.02472818</v>
      </c>
      <c r="AB815">
        <v>785879.05002472817</v>
      </c>
      <c r="AC815">
        <v>0</v>
      </c>
      <c r="AD815">
        <v>2036.2655815242781</v>
      </c>
      <c r="AE815">
        <v>3665278.0467437012</v>
      </c>
      <c r="AF815">
        <v>1221759.3489145669</v>
      </c>
      <c r="AG815">
        <v>54.999378600786542</v>
      </c>
      <c r="AH815">
        <v>268.84814472865042</v>
      </c>
      <c r="AI815">
        <v>53.769628945730076</v>
      </c>
      <c r="AJ815">
        <v>25541.069125803671</v>
      </c>
      <c r="AK815">
        <v>854.70085470085473</v>
      </c>
      <c r="AL815" t="s">
        <v>93</v>
      </c>
      <c r="AM815">
        <v>20835.731216470409</v>
      </c>
      <c r="AN815">
        <v>730.85297053348984</v>
      </c>
      <c r="AO815">
        <v>9140.8369207741125</v>
      </c>
      <c r="AP815">
        <v>47962.354167508413</v>
      </c>
      <c r="AQ815">
        <v>38821.5172467343</v>
      </c>
      <c r="AR815">
        <v>2.0905155461666668E-2</v>
      </c>
      <c r="AS815">
        <v>426.14410762900661</v>
      </c>
      <c r="AT815">
        <v>347.63713462058269</v>
      </c>
      <c r="AU815">
        <v>12.19403484646427</v>
      </c>
      <c r="AV815">
        <v>152.5117751883846</v>
      </c>
      <c r="AW815">
        <v>800.23567203967298</v>
      </c>
      <c r="AX815">
        <v>647.72389685128837</v>
      </c>
      <c r="AY815">
        <v>0.97764066274307182</v>
      </c>
      <c r="AZ815" t="s">
        <v>103</v>
      </c>
      <c r="BA815" t="str">
        <f>VLOOKUP($AZ815,Sheet1!$A$2:$B$58,2)</f>
        <v>2,3-Butanediol</v>
      </c>
      <c r="BB815" t="s">
        <v>153</v>
      </c>
      <c r="BC815">
        <v>90.119200000000006</v>
      </c>
      <c r="BD815">
        <v>5.5</v>
      </c>
      <c r="BE815">
        <v>177</v>
      </c>
      <c r="BF815" t="s">
        <v>212</v>
      </c>
      <c r="BG815">
        <v>0</v>
      </c>
      <c r="BH815">
        <v>0.25</v>
      </c>
      <c r="BI815">
        <v>0.45455059013416699</v>
      </c>
      <c r="BJ815">
        <v>80</v>
      </c>
      <c r="BK815">
        <v>2200.6232348182421</v>
      </c>
      <c r="BL815">
        <v>1781.2205915850409</v>
      </c>
      <c r="BM815">
        <v>2.6884814472865042</v>
      </c>
      <c r="BN815">
        <v>457.04184603870561</v>
      </c>
      <c r="BO815">
        <v>1743.5813887795359</v>
      </c>
    </row>
    <row r="816" spans="1:67" x14ac:dyDescent="0.25">
      <c r="A816" s="1">
        <v>814</v>
      </c>
      <c r="B816" t="s">
        <v>76</v>
      </c>
      <c r="C816" t="s">
        <v>85</v>
      </c>
      <c r="D816">
        <v>1</v>
      </c>
      <c r="E816">
        <v>1</v>
      </c>
      <c r="F816">
        <v>2</v>
      </c>
      <c r="G816">
        <v>45.016539999999999</v>
      </c>
      <c r="H816">
        <v>2</v>
      </c>
      <c r="I816" t="s">
        <v>89</v>
      </c>
      <c r="J816">
        <v>4</v>
      </c>
      <c r="K816">
        <v>300</v>
      </c>
      <c r="L816">
        <v>33.333333333333329</v>
      </c>
      <c r="N816" t="s">
        <v>91</v>
      </c>
      <c r="O816">
        <v>66.666666666666671</v>
      </c>
      <c r="P816">
        <v>0.1666666666666666</v>
      </c>
      <c r="Q816">
        <v>3.2500000000000001E-2</v>
      </c>
      <c r="R816">
        <v>77.5</v>
      </c>
      <c r="S816">
        <v>170</v>
      </c>
      <c r="T816">
        <v>20</v>
      </c>
      <c r="U816">
        <v>1812.1301775147931</v>
      </c>
      <c r="V816">
        <v>20</v>
      </c>
      <c r="W816">
        <v>0.95</v>
      </c>
      <c r="X816">
        <v>1</v>
      </c>
      <c r="Y816">
        <v>91106.81074580182</v>
      </c>
      <c r="Z816">
        <v>273320432.23740548</v>
      </c>
      <c r="AA816">
        <v>1093281728.9496219</v>
      </c>
      <c r="AB816">
        <v>1093281.728949622</v>
      </c>
      <c r="AC816">
        <v>0</v>
      </c>
      <c r="AD816">
        <v>2832.7666394713292</v>
      </c>
      <c r="AE816">
        <v>5098979.9510483928</v>
      </c>
      <c r="AF816">
        <v>1699659.9836827971</v>
      </c>
      <c r="AG816">
        <v>76.51281164185599</v>
      </c>
      <c r="AH816">
        <v>374.01017940939948</v>
      </c>
      <c r="AI816">
        <v>74.802035881879917</v>
      </c>
      <c r="AJ816">
        <v>35531.656190862719</v>
      </c>
      <c r="AK816">
        <v>854.70085470085473</v>
      </c>
      <c r="AL816" t="s">
        <v>93</v>
      </c>
      <c r="AM816">
        <v>28985.78890422847</v>
      </c>
      <c r="AN816">
        <v>1016.731772157152</v>
      </c>
      <c r="AO816">
        <v>12716.34609991958</v>
      </c>
      <c r="AP816">
        <v>66388.877721949189</v>
      </c>
      <c r="AQ816">
        <v>53672.531622029608</v>
      </c>
      <c r="AR816">
        <v>2.0905155461666679E-2</v>
      </c>
      <c r="AS816">
        <v>426.14410762900678</v>
      </c>
      <c r="AT816">
        <v>347.63713462058269</v>
      </c>
      <c r="AU816">
        <v>12.19403484646427</v>
      </c>
      <c r="AV816">
        <v>152.51177518838469</v>
      </c>
      <c r="AW816">
        <v>796.22601607258116</v>
      </c>
      <c r="AX816">
        <v>643.71424088419644</v>
      </c>
      <c r="AY816">
        <v>0.97764066274307193</v>
      </c>
      <c r="AZ816" t="s">
        <v>104</v>
      </c>
      <c r="BA816" t="str">
        <f>VLOOKUP($AZ816,Sheet1!$A$2:$B$58,2)</f>
        <v>2-Methyl-1-Butanol</v>
      </c>
      <c r="BB816" t="s">
        <v>157</v>
      </c>
      <c r="BC816">
        <v>88.14658</v>
      </c>
      <c r="BD816">
        <v>6</v>
      </c>
      <c r="BE816">
        <v>129</v>
      </c>
      <c r="BF816" t="s">
        <v>212</v>
      </c>
      <c r="BG816">
        <v>0</v>
      </c>
      <c r="BH816">
        <v>0.18559999999999999</v>
      </c>
      <c r="BI816">
        <v>0.32674266522868001</v>
      </c>
      <c r="BJ816">
        <v>80</v>
      </c>
      <c r="BK816">
        <v>3046.0745596053389</v>
      </c>
      <c r="BL816">
        <v>2462.6193231976408</v>
      </c>
      <c r="BM816">
        <v>3.740101794093996</v>
      </c>
      <c r="BN816">
        <v>635.81730499597927</v>
      </c>
      <c r="BO816">
        <v>2410.2572546093602</v>
      </c>
    </row>
    <row r="817" spans="1:67" x14ac:dyDescent="0.25">
      <c r="A817" s="1">
        <v>815</v>
      </c>
      <c r="B817" t="s">
        <v>76</v>
      </c>
      <c r="C817" t="s">
        <v>85</v>
      </c>
      <c r="D817">
        <v>1</v>
      </c>
      <c r="E817">
        <v>1</v>
      </c>
      <c r="F817">
        <v>2</v>
      </c>
      <c r="G817">
        <v>45.016539999999999</v>
      </c>
      <c r="H817">
        <v>2</v>
      </c>
      <c r="I817" t="s">
        <v>89</v>
      </c>
      <c r="J817">
        <v>4</v>
      </c>
      <c r="K817">
        <v>300</v>
      </c>
      <c r="L817">
        <v>33.333333333333329</v>
      </c>
      <c r="N817" t="s">
        <v>91</v>
      </c>
      <c r="O817">
        <v>66.666666666666671</v>
      </c>
      <c r="P817">
        <v>0.1666666666666666</v>
      </c>
      <c r="Q817">
        <v>3.2500000000000001E-2</v>
      </c>
      <c r="R817">
        <v>77.5</v>
      </c>
      <c r="S817">
        <v>170</v>
      </c>
      <c r="T817">
        <v>20</v>
      </c>
      <c r="U817">
        <v>1812.1301775147931</v>
      </c>
      <c r="V817">
        <v>20</v>
      </c>
      <c r="W817">
        <v>0.95</v>
      </c>
      <c r="X817">
        <v>1</v>
      </c>
      <c r="Y817">
        <v>113183.42393141529</v>
      </c>
      <c r="Z817">
        <v>339550271.79424602</v>
      </c>
      <c r="AA817">
        <v>1358201087.1769841</v>
      </c>
      <c r="AB817">
        <v>1358201.0871769839</v>
      </c>
      <c r="AC817">
        <v>0</v>
      </c>
      <c r="AD817">
        <v>3519.1905504038118</v>
      </c>
      <c r="AE817">
        <v>6334542.9907268612</v>
      </c>
      <c r="AF817">
        <v>2111514.330242286</v>
      </c>
      <c r="AG817">
        <v>95.053069307925085</v>
      </c>
      <c r="AH817">
        <v>464.63872836981523</v>
      </c>
      <c r="AI817">
        <v>92.927745673963045</v>
      </c>
      <c r="AJ817">
        <v>44141.535333251988</v>
      </c>
      <c r="AK817">
        <v>854.70085470085473</v>
      </c>
      <c r="AL817" t="s">
        <v>93</v>
      </c>
      <c r="AM817">
        <v>36009.501448660681</v>
      </c>
      <c r="AN817">
        <v>1263.101871864226</v>
      </c>
      <c r="AO817">
        <v>15797.716764573721</v>
      </c>
      <c r="AP817">
        <v>82268.839508477758</v>
      </c>
      <c r="AQ817">
        <v>66471.122743904038</v>
      </c>
      <c r="AR817">
        <v>2.0905155461666679E-2</v>
      </c>
      <c r="AS817">
        <v>426.14410762900678</v>
      </c>
      <c r="AT817">
        <v>347.63713462058269</v>
      </c>
      <c r="AU817">
        <v>12.19403484646428</v>
      </c>
      <c r="AV817">
        <v>152.51177518838469</v>
      </c>
      <c r="AW817">
        <v>794.22659255815711</v>
      </c>
      <c r="AX817">
        <v>641.7148173697725</v>
      </c>
      <c r="AY817">
        <v>0.97764066274307204</v>
      </c>
      <c r="AZ817" t="s">
        <v>106</v>
      </c>
      <c r="BA817" t="str">
        <f>VLOOKUP($AZ817,Sheet1!$A$2:$B$58,2)</f>
        <v>3-Methyl-1-Pentanol</v>
      </c>
      <c r="BB817" t="s">
        <v>159</v>
      </c>
      <c r="BC817">
        <v>102.17296</v>
      </c>
      <c r="BD817">
        <v>6</v>
      </c>
      <c r="BE817">
        <v>153</v>
      </c>
      <c r="BF817" t="s">
        <v>212</v>
      </c>
      <c r="BG817">
        <v>0</v>
      </c>
      <c r="BH817">
        <v>0.128888888888889</v>
      </c>
      <c r="BI817">
        <v>0.26301097041919103</v>
      </c>
      <c r="BJ817">
        <v>80</v>
      </c>
      <c r="BK817">
        <v>3774.6837674313838</v>
      </c>
      <c r="BL817">
        <v>3049.8481505685741</v>
      </c>
      <c r="BM817">
        <v>4.6463872836981519</v>
      </c>
      <c r="BN817">
        <v>789.88583822868577</v>
      </c>
      <c r="BO817">
        <v>2984.797929202698</v>
      </c>
    </row>
    <row r="818" spans="1:67" x14ac:dyDescent="0.25">
      <c r="A818" s="1">
        <v>816</v>
      </c>
      <c r="B818" t="s">
        <v>76</v>
      </c>
      <c r="C818" t="s">
        <v>85</v>
      </c>
      <c r="D818">
        <v>1</v>
      </c>
      <c r="E818">
        <v>1</v>
      </c>
      <c r="F818">
        <v>2</v>
      </c>
      <c r="G818">
        <v>45.016539999999999</v>
      </c>
      <c r="H818">
        <v>2</v>
      </c>
      <c r="I818" t="s">
        <v>89</v>
      </c>
      <c r="J818">
        <v>4</v>
      </c>
      <c r="K818">
        <v>300</v>
      </c>
      <c r="L818">
        <v>33.333333333333329</v>
      </c>
      <c r="N818" t="s">
        <v>91</v>
      </c>
      <c r="O818">
        <v>66.666666666666671</v>
      </c>
      <c r="P818">
        <v>0.1666666666666666</v>
      </c>
      <c r="Q818">
        <v>3.2500000000000001E-2</v>
      </c>
      <c r="R818">
        <v>77.5</v>
      </c>
      <c r="S818">
        <v>170</v>
      </c>
      <c r="T818">
        <v>20</v>
      </c>
      <c r="U818">
        <v>1812.1301775147931</v>
      </c>
      <c r="V818">
        <v>20</v>
      </c>
      <c r="W818">
        <v>0.95</v>
      </c>
      <c r="X818">
        <v>1</v>
      </c>
      <c r="Y818">
        <v>288923.83799695468</v>
      </c>
      <c r="Z818">
        <v>866771513.99086404</v>
      </c>
      <c r="AA818">
        <v>3467086055.9634562</v>
      </c>
      <c r="AB818">
        <v>3467086.0559634562</v>
      </c>
      <c r="AC818">
        <v>0</v>
      </c>
      <c r="AD818">
        <v>8983.4536290527121</v>
      </c>
      <c r="AE818">
        <v>16170216.532294881</v>
      </c>
      <c r="AF818">
        <v>5390072.1774316262</v>
      </c>
      <c r="AG818">
        <v>242.64239977823789</v>
      </c>
      <c r="AH818">
        <v>1186.085382643829</v>
      </c>
      <c r="AI818">
        <v>237.21707652876589</v>
      </c>
      <c r="AJ818">
        <v>112680.2968188123</v>
      </c>
      <c r="AK818">
        <v>854.70085470085473</v>
      </c>
      <c r="AL818" t="s">
        <v>93</v>
      </c>
      <c r="AM818">
        <v>91921.617154896769</v>
      </c>
      <c r="AN818">
        <v>3224.325859070047</v>
      </c>
      <c r="AO818">
        <v>40326.903009890193</v>
      </c>
      <c r="AP818">
        <v>208680.94068748</v>
      </c>
      <c r="AQ818">
        <v>168354.0376775898</v>
      </c>
      <c r="AR818">
        <v>2.0905155461666668E-2</v>
      </c>
      <c r="AS818">
        <v>426.14410762900673</v>
      </c>
      <c r="AT818">
        <v>347.63713462058269</v>
      </c>
      <c r="AU818">
        <v>12.19403484646428</v>
      </c>
      <c r="AV818">
        <v>152.5117751883846</v>
      </c>
      <c r="AW818">
        <v>789.20765882825583</v>
      </c>
      <c r="AX818">
        <v>636.69588363987111</v>
      </c>
      <c r="AY818">
        <v>0.9776406627430716</v>
      </c>
      <c r="AZ818" t="s">
        <v>107</v>
      </c>
      <c r="BA818" t="str">
        <f>VLOOKUP($AZ818,Sheet1!$A$2:$B$58,2)</f>
        <v>4-Hydroxystyrene</v>
      </c>
      <c r="BB818" t="s">
        <v>160</v>
      </c>
      <c r="BC818">
        <v>120.14731999999999</v>
      </c>
      <c r="BD818">
        <v>4.75</v>
      </c>
      <c r="BE818">
        <v>229</v>
      </c>
      <c r="BF818" t="s">
        <v>212</v>
      </c>
      <c r="BG818">
        <v>0</v>
      </c>
      <c r="BH818">
        <v>4.2568807339450003E-2</v>
      </c>
      <c r="BI818">
        <v>0.10303228134426901</v>
      </c>
      <c r="BJ818">
        <v>80</v>
      </c>
      <c r="BK818">
        <v>9574.7620130726409</v>
      </c>
      <c r="BL818">
        <v>7724.4708567652006</v>
      </c>
      <c r="BM818">
        <v>11.860853826438291</v>
      </c>
      <c r="BN818">
        <v>2016.345150494509</v>
      </c>
      <c r="BO818">
        <v>7558.4168625781313</v>
      </c>
    </row>
    <row r="819" spans="1:67" x14ac:dyDescent="0.25">
      <c r="A819" s="1">
        <v>817</v>
      </c>
      <c r="B819" t="s">
        <v>76</v>
      </c>
      <c r="C819" t="s">
        <v>85</v>
      </c>
      <c r="D819">
        <v>1</v>
      </c>
      <c r="E819">
        <v>1</v>
      </c>
      <c r="F819">
        <v>2</v>
      </c>
      <c r="G819">
        <v>45.016539999999999</v>
      </c>
      <c r="H819">
        <v>2</v>
      </c>
      <c r="I819" t="s">
        <v>89</v>
      </c>
      <c r="J819">
        <v>4</v>
      </c>
      <c r="K819">
        <v>300</v>
      </c>
      <c r="L819">
        <v>33.333333333333329</v>
      </c>
      <c r="N819" t="s">
        <v>91</v>
      </c>
      <c r="O819">
        <v>66.666666666666671</v>
      </c>
      <c r="P819">
        <v>0.1666666666666666</v>
      </c>
      <c r="Q819">
        <v>3.2500000000000001E-2</v>
      </c>
      <c r="R819">
        <v>77.5</v>
      </c>
      <c r="S819">
        <v>170</v>
      </c>
      <c r="T819">
        <v>20</v>
      </c>
      <c r="U819">
        <v>1812.1301775147931</v>
      </c>
      <c r="V819">
        <v>20</v>
      </c>
      <c r="W819">
        <v>0.95</v>
      </c>
      <c r="X819">
        <v>1</v>
      </c>
      <c r="Y819">
        <v>75956.140672190319</v>
      </c>
      <c r="Z819">
        <v>227868422.01657099</v>
      </c>
      <c r="AA819">
        <v>911473688.06628394</v>
      </c>
      <c r="AB819">
        <v>911473.68806628394</v>
      </c>
      <c r="AC819">
        <v>0</v>
      </c>
      <c r="AD819">
        <v>2361.689752915503</v>
      </c>
      <c r="AE819">
        <v>4251041.5552479047</v>
      </c>
      <c r="AF819">
        <v>1417013.851749301</v>
      </c>
      <c r="AG819">
        <v>63.789060737826489</v>
      </c>
      <c r="AH819">
        <v>311.81389807743369</v>
      </c>
      <c r="AI819">
        <v>62.362779615486737</v>
      </c>
      <c r="AJ819">
        <v>29622.894862154229</v>
      </c>
      <c r="AK819">
        <v>854.70085470085473</v>
      </c>
      <c r="AL819" t="s">
        <v>93</v>
      </c>
      <c r="AM819">
        <v>24165.577101001109</v>
      </c>
      <c r="AN819">
        <v>847.65365925634273</v>
      </c>
      <c r="AO819">
        <v>10601.672534632749</v>
      </c>
      <c r="AP819">
        <v>55490.82647711254</v>
      </c>
      <c r="AQ819">
        <v>44889.153942479803</v>
      </c>
      <c r="AR819">
        <v>2.0905155461666668E-2</v>
      </c>
      <c r="AS819">
        <v>426.14410762900673</v>
      </c>
      <c r="AT819">
        <v>347.63713462058269</v>
      </c>
      <c r="AU819">
        <v>12.19403484646428</v>
      </c>
      <c r="AV819">
        <v>152.5117751883846</v>
      </c>
      <c r="AW819">
        <v>798.27069031313181</v>
      </c>
      <c r="AX819">
        <v>645.7589151247472</v>
      </c>
      <c r="AY819">
        <v>0.9776406627430716</v>
      </c>
      <c r="AZ819" t="s">
        <v>109</v>
      </c>
      <c r="BA819" t="str">
        <f>VLOOKUP($AZ819,Sheet1!$A$2:$B$58,2)</f>
        <v>Acetone</v>
      </c>
      <c r="BB819" t="s">
        <v>162</v>
      </c>
      <c r="BC819">
        <v>58.078139999999998</v>
      </c>
      <c r="BD819">
        <v>5.333333333333333</v>
      </c>
      <c r="BE819">
        <v>56</v>
      </c>
      <c r="BF819" t="s">
        <v>212</v>
      </c>
      <c r="BG819">
        <v>0</v>
      </c>
      <c r="BH819">
        <v>0.33333333333333398</v>
      </c>
      <c r="BI819">
        <v>0.39191672852419301</v>
      </c>
      <c r="BJ819">
        <v>80</v>
      </c>
      <c r="BK819">
        <v>2546.0468774805522</v>
      </c>
      <c r="BL819">
        <v>2059.6177329442721</v>
      </c>
      <c r="BM819">
        <v>3.118138980774336</v>
      </c>
      <c r="BN819">
        <v>530.08362673163708</v>
      </c>
      <c r="BO819">
        <v>2015.963250748915</v>
      </c>
    </row>
    <row r="820" spans="1:67" x14ac:dyDescent="0.25">
      <c r="A820" s="1">
        <v>818</v>
      </c>
      <c r="B820" t="s">
        <v>76</v>
      </c>
      <c r="C820" t="s">
        <v>85</v>
      </c>
      <c r="D820">
        <v>1</v>
      </c>
      <c r="E820">
        <v>1</v>
      </c>
      <c r="F820">
        <v>2</v>
      </c>
      <c r="G820">
        <v>45.016539999999999</v>
      </c>
      <c r="H820">
        <v>2</v>
      </c>
      <c r="I820" t="s">
        <v>89</v>
      </c>
      <c r="J820">
        <v>4</v>
      </c>
      <c r="K820">
        <v>300</v>
      </c>
      <c r="L820">
        <v>33.333333333333329</v>
      </c>
      <c r="N820" t="s">
        <v>91</v>
      </c>
      <c r="O820">
        <v>66.666666666666671</v>
      </c>
      <c r="P820">
        <v>0.1666666666666666</v>
      </c>
      <c r="Q820">
        <v>3.2500000000000001E-2</v>
      </c>
      <c r="R820">
        <v>77.5</v>
      </c>
      <c r="S820">
        <v>170</v>
      </c>
      <c r="T820">
        <v>20</v>
      </c>
      <c r="U820">
        <v>1812.1301775147931</v>
      </c>
      <c r="V820">
        <v>20</v>
      </c>
      <c r="W820">
        <v>0.95</v>
      </c>
      <c r="X820">
        <v>1</v>
      </c>
      <c r="Y820">
        <v>205425.00096231821</v>
      </c>
      <c r="Z820">
        <v>616275002.88695467</v>
      </c>
      <c r="AA820">
        <v>2465100011.5478191</v>
      </c>
      <c r="AB820">
        <v>2465100.0115478188</v>
      </c>
      <c r="AC820">
        <v>0</v>
      </c>
      <c r="AD820">
        <v>6387.2402609179862</v>
      </c>
      <c r="AE820">
        <v>11497032.469652381</v>
      </c>
      <c r="AF820">
        <v>3832344.1565507911</v>
      </c>
      <c r="AG820">
        <v>172.51887401713489</v>
      </c>
      <c r="AH820">
        <v>843.3073316490013</v>
      </c>
      <c r="AI820">
        <v>168.66146632980031</v>
      </c>
      <c r="AJ820">
        <v>80115.750375304109</v>
      </c>
      <c r="AK820">
        <v>854.70085470085473</v>
      </c>
      <c r="AL820" t="s">
        <v>93</v>
      </c>
      <c r="AM820">
        <v>65356.3182027976</v>
      </c>
      <c r="AN820">
        <v>2292.4973837197649</v>
      </c>
      <c r="AO820">
        <v>28672.449276066051</v>
      </c>
      <c r="AP820">
        <v>148619.26681652229</v>
      </c>
      <c r="AQ820">
        <v>119946.81754045629</v>
      </c>
      <c r="AR820">
        <v>2.0905155461666668E-2</v>
      </c>
      <c r="AS820">
        <v>426.14410762900661</v>
      </c>
      <c r="AT820">
        <v>347.63713462058257</v>
      </c>
      <c r="AU820">
        <v>12.19403484646427</v>
      </c>
      <c r="AV820">
        <v>152.5117751883846</v>
      </c>
      <c r="AW820">
        <v>790.52152089093806</v>
      </c>
      <c r="AX820">
        <v>638.00974570255357</v>
      </c>
      <c r="AY820">
        <v>0.9776406627430716</v>
      </c>
      <c r="AZ820" t="s">
        <v>110</v>
      </c>
      <c r="BA820" t="str">
        <f>VLOOKUP($AZ820,Sheet1!$A$2:$B$58,2)</f>
        <v>Acrylate (PW1)</v>
      </c>
      <c r="BB820" t="s">
        <v>163</v>
      </c>
      <c r="BC820">
        <v>71.053619999999995</v>
      </c>
      <c r="BD820">
        <v>3.666666666666667</v>
      </c>
      <c r="BE820">
        <v>80</v>
      </c>
      <c r="BF820" t="s">
        <v>212</v>
      </c>
      <c r="BG820">
        <v>0</v>
      </c>
      <c r="BH820">
        <v>0.100869565217391</v>
      </c>
      <c r="BI820">
        <v>0.144911680779443</v>
      </c>
      <c r="BJ820">
        <v>80</v>
      </c>
      <c r="BK820">
        <v>6818.9941335208823</v>
      </c>
      <c r="BL820">
        <v>5503.4361470281556</v>
      </c>
      <c r="BM820">
        <v>8.4330733164900131</v>
      </c>
      <c r="BN820">
        <v>1433.622463803302</v>
      </c>
      <c r="BO820">
        <v>5385.3716697175814</v>
      </c>
    </row>
    <row r="821" spans="1:67" x14ac:dyDescent="0.25">
      <c r="A821" s="1">
        <v>819</v>
      </c>
      <c r="B821" t="s">
        <v>76</v>
      </c>
      <c r="C821" t="s">
        <v>85</v>
      </c>
      <c r="D821">
        <v>1</v>
      </c>
      <c r="E821">
        <v>1</v>
      </c>
      <c r="F821">
        <v>2</v>
      </c>
      <c r="G821">
        <v>45.016539999999999</v>
      </c>
      <c r="H821">
        <v>2</v>
      </c>
      <c r="I821" t="s">
        <v>89</v>
      </c>
      <c r="J821">
        <v>4</v>
      </c>
      <c r="K821">
        <v>300</v>
      </c>
      <c r="L821">
        <v>33.333333333333329</v>
      </c>
      <c r="N821" t="s">
        <v>91</v>
      </c>
      <c r="O821">
        <v>66.666666666666671</v>
      </c>
      <c r="P821">
        <v>0.1666666666666666</v>
      </c>
      <c r="Q821">
        <v>3.2500000000000001E-2</v>
      </c>
      <c r="R821">
        <v>77.5</v>
      </c>
      <c r="S821">
        <v>170</v>
      </c>
      <c r="T821">
        <v>20</v>
      </c>
      <c r="U821">
        <v>1812.1301775147931</v>
      </c>
      <c r="V821">
        <v>20</v>
      </c>
      <c r="W821">
        <v>0.95</v>
      </c>
      <c r="X821">
        <v>1</v>
      </c>
      <c r="Y821">
        <v>87880.195599443381</v>
      </c>
      <c r="Z821">
        <v>263640586.79833019</v>
      </c>
      <c r="AA821">
        <v>1054562347.193321</v>
      </c>
      <c r="AB821">
        <v>1054562.347193321</v>
      </c>
      <c r="AC821">
        <v>0</v>
      </c>
      <c r="AD821">
        <v>2732.4421119174081</v>
      </c>
      <c r="AE821">
        <v>4918395.8014513347</v>
      </c>
      <c r="AF821">
        <v>1639465.2671504449</v>
      </c>
      <c r="AG821">
        <v>73.803053777288682</v>
      </c>
      <c r="AH821">
        <v>360.76433203645519</v>
      </c>
      <c r="AI821">
        <v>72.152866407291057</v>
      </c>
      <c r="AJ821">
        <v>34273.276283782929</v>
      </c>
      <c r="AK821">
        <v>854.70085470085473</v>
      </c>
      <c r="AL821" t="s">
        <v>93</v>
      </c>
      <c r="AM821">
        <v>27959.23573282528</v>
      </c>
      <c r="AN821">
        <v>980.72346378842451</v>
      </c>
      <c r="AO821">
        <v>12265.98728923948</v>
      </c>
      <c r="AP821">
        <v>64067.936335097482</v>
      </c>
      <c r="AQ821">
        <v>51801.949045857997</v>
      </c>
      <c r="AR821">
        <v>2.0905155461666668E-2</v>
      </c>
      <c r="AS821">
        <v>426.14410762900673</v>
      </c>
      <c r="AT821">
        <v>347.63713462058251</v>
      </c>
      <c r="AU821">
        <v>12.19403484646427</v>
      </c>
      <c r="AV821">
        <v>152.5117751883846</v>
      </c>
      <c r="AW821">
        <v>796.60238289126414</v>
      </c>
      <c r="AX821">
        <v>644.09060770287954</v>
      </c>
      <c r="AY821">
        <v>0.9776406627430716</v>
      </c>
      <c r="AZ821" t="s">
        <v>111</v>
      </c>
      <c r="BA821" t="str">
        <f>VLOOKUP($AZ821,Sheet1!$A$2:$B$58,2)</f>
        <v>Acrylate (PW2)</v>
      </c>
      <c r="BB821" t="s">
        <v>163</v>
      </c>
      <c r="BC821">
        <v>71.053619999999995</v>
      </c>
      <c r="BD821">
        <v>3.666666666666667</v>
      </c>
      <c r="BE821">
        <v>80</v>
      </c>
      <c r="BF821" t="s">
        <v>212</v>
      </c>
      <c r="BG821">
        <v>0</v>
      </c>
      <c r="BH821">
        <v>0.23200000000000001</v>
      </c>
      <c r="BI821">
        <v>0.33873937080491401</v>
      </c>
      <c r="BJ821">
        <v>80</v>
      </c>
      <c r="BK821">
        <v>2939.584425182014</v>
      </c>
      <c r="BL821">
        <v>2376.7926878871081</v>
      </c>
      <c r="BM821">
        <v>3.607643320364553</v>
      </c>
      <c r="BN821">
        <v>613.29936446197405</v>
      </c>
      <c r="BO821">
        <v>2326.2850607200389</v>
      </c>
    </row>
    <row r="822" spans="1:67" x14ac:dyDescent="0.25">
      <c r="A822" s="1">
        <v>820</v>
      </c>
      <c r="B822" t="s">
        <v>76</v>
      </c>
      <c r="C822" t="s">
        <v>85</v>
      </c>
      <c r="D822">
        <v>1</v>
      </c>
      <c r="E822">
        <v>1</v>
      </c>
      <c r="F822">
        <v>2</v>
      </c>
      <c r="G822">
        <v>45.016539999999999</v>
      </c>
      <c r="H822">
        <v>2</v>
      </c>
      <c r="I822" t="s">
        <v>89</v>
      </c>
      <c r="J822">
        <v>4</v>
      </c>
      <c r="K822">
        <v>300</v>
      </c>
      <c r="L822">
        <v>33.333333333333329</v>
      </c>
      <c r="N822" t="s">
        <v>91</v>
      </c>
      <c r="O822">
        <v>66.666666666666671</v>
      </c>
      <c r="P822">
        <v>0.1666666666666666</v>
      </c>
      <c r="Q822">
        <v>3.2500000000000001E-2</v>
      </c>
      <c r="R822">
        <v>77.5</v>
      </c>
      <c r="S822">
        <v>170</v>
      </c>
      <c r="T822">
        <v>20</v>
      </c>
      <c r="U822">
        <v>1812.1301775147931</v>
      </c>
      <c r="V822">
        <v>20</v>
      </c>
      <c r="W822">
        <v>0.95</v>
      </c>
      <c r="X822">
        <v>1</v>
      </c>
      <c r="Y822">
        <v>296735.11639703938</v>
      </c>
      <c r="Z822">
        <v>890205349.19111824</v>
      </c>
      <c r="AA822">
        <v>3560821396.764473</v>
      </c>
      <c r="AB822">
        <v>3560821.3967644731</v>
      </c>
      <c r="AC822">
        <v>0</v>
      </c>
      <c r="AD822">
        <v>9226.3282141934578</v>
      </c>
      <c r="AE822">
        <v>16607390.785548231</v>
      </c>
      <c r="AF822">
        <v>5535796.9285160741</v>
      </c>
      <c r="AG822">
        <v>249.20242386442101</v>
      </c>
      <c r="AH822">
        <v>1218.1521141199621</v>
      </c>
      <c r="AI822">
        <v>243.6304228239924</v>
      </c>
      <c r="AJ822">
        <v>115726.6953948454</v>
      </c>
      <c r="AK822">
        <v>854.70085470085473</v>
      </c>
      <c r="AL822" t="s">
        <v>93</v>
      </c>
      <c r="AM822">
        <v>94406.788844297043</v>
      </c>
      <c r="AN822">
        <v>3311.4979910491811</v>
      </c>
      <c r="AO822">
        <v>41417.171880078713</v>
      </c>
      <c r="AP822">
        <v>214299.6830848924</v>
      </c>
      <c r="AQ822">
        <v>172882.51120481369</v>
      </c>
      <c r="AR822">
        <v>2.0905155461666668E-2</v>
      </c>
      <c r="AS822">
        <v>426.14410762900661</v>
      </c>
      <c r="AT822">
        <v>347.63713462058257</v>
      </c>
      <c r="AU822">
        <v>12.19403484646428</v>
      </c>
      <c r="AV822">
        <v>152.5117751883846</v>
      </c>
      <c r="AW822">
        <v>789.12256935885887</v>
      </c>
      <c r="AX822">
        <v>636.61079417047426</v>
      </c>
      <c r="AY822">
        <v>0.97764066274307171</v>
      </c>
      <c r="AZ822" t="s">
        <v>113</v>
      </c>
      <c r="BA822" t="str">
        <f>VLOOKUP($AZ822,Sheet1!$A$2:$B$58,2)</f>
        <v>Benzoate (PW1)</v>
      </c>
      <c r="BB822" t="s">
        <v>165</v>
      </c>
      <c r="BC822">
        <v>121.1121</v>
      </c>
      <c r="BD822">
        <v>4.1428571428571432</v>
      </c>
      <c r="BE822">
        <v>249.2</v>
      </c>
      <c r="BF822" t="s">
        <v>212</v>
      </c>
      <c r="BG822">
        <v>0</v>
      </c>
      <c r="BH822">
        <v>4.1061946902655001E-2</v>
      </c>
      <c r="BI822">
        <v>0.100320051516037</v>
      </c>
      <c r="BJ822">
        <v>80</v>
      </c>
      <c r="BK822">
        <v>9832.5628505173645</v>
      </c>
      <c r="BL822">
        <v>7932.2476482768088</v>
      </c>
      <c r="BM822">
        <v>12.181521141199619</v>
      </c>
      <c r="BN822">
        <v>2070.8585940039352</v>
      </c>
      <c r="BO822">
        <v>7761.7042565134288</v>
      </c>
    </row>
    <row r="823" spans="1:67" x14ac:dyDescent="0.25">
      <c r="A823" s="1">
        <v>821</v>
      </c>
      <c r="B823" t="s">
        <v>76</v>
      </c>
      <c r="C823" t="s">
        <v>85</v>
      </c>
      <c r="D823">
        <v>1</v>
      </c>
      <c r="E823">
        <v>1</v>
      </c>
      <c r="F823">
        <v>2</v>
      </c>
      <c r="G823">
        <v>45.016539999999999</v>
      </c>
      <c r="H823">
        <v>2</v>
      </c>
      <c r="I823" t="s">
        <v>89</v>
      </c>
      <c r="J823">
        <v>4</v>
      </c>
      <c r="K823">
        <v>300</v>
      </c>
      <c r="L823">
        <v>33.333333333333329</v>
      </c>
      <c r="N823" t="s">
        <v>91</v>
      </c>
      <c r="O823">
        <v>66.666666666666671</v>
      </c>
      <c r="P823">
        <v>0.1666666666666666</v>
      </c>
      <c r="Q823">
        <v>3.2500000000000001E-2</v>
      </c>
      <c r="R823">
        <v>77.5</v>
      </c>
      <c r="S823">
        <v>170</v>
      </c>
      <c r="T823">
        <v>20</v>
      </c>
      <c r="U823">
        <v>1812.1301775147931</v>
      </c>
      <c r="V823">
        <v>20</v>
      </c>
      <c r="W823">
        <v>0.95</v>
      </c>
      <c r="X823">
        <v>1</v>
      </c>
      <c r="Y823">
        <v>317953.81552143459</v>
      </c>
      <c r="Z823">
        <v>953861446.56430399</v>
      </c>
      <c r="AA823">
        <v>3815445786.257216</v>
      </c>
      <c r="AB823">
        <v>3815445.7862572158</v>
      </c>
      <c r="AC823">
        <v>0</v>
      </c>
      <c r="AD823">
        <v>9886.077167323574</v>
      </c>
      <c r="AE823">
        <v>17794938.901182432</v>
      </c>
      <c r="AF823">
        <v>5931646.300394142</v>
      </c>
      <c r="AG823">
        <v>267.02219294754491</v>
      </c>
      <c r="AH823">
        <v>1305.258768401731</v>
      </c>
      <c r="AI823">
        <v>261.05175368034622</v>
      </c>
      <c r="AJ823">
        <v>124001.9880533595</v>
      </c>
      <c r="AK823">
        <v>854.70085470085473</v>
      </c>
      <c r="AL823" t="s">
        <v>93</v>
      </c>
      <c r="AM823">
        <v>101157.5545511341</v>
      </c>
      <c r="AN823">
        <v>3548.2939603846562</v>
      </c>
      <c r="AO823">
        <v>44378.798125658861</v>
      </c>
      <c r="AP823">
        <v>229562.5374195792</v>
      </c>
      <c r="AQ823">
        <v>185183.73929392031</v>
      </c>
      <c r="AR823">
        <v>2.0905155461666668E-2</v>
      </c>
      <c r="AS823">
        <v>426.14410762900673</v>
      </c>
      <c r="AT823">
        <v>347.63713462058269</v>
      </c>
      <c r="AU823">
        <v>12.19403484646428</v>
      </c>
      <c r="AV823">
        <v>152.51177518838469</v>
      </c>
      <c r="AW823">
        <v>788.91253430244205</v>
      </c>
      <c r="AX823">
        <v>636.40075911405745</v>
      </c>
      <c r="AY823">
        <v>0.97764066274307193</v>
      </c>
      <c r="AZ823" t="s">
        <v>114</v>
      </c>
      <c r="BA823" t="str">
        <f>VLOOKUP($AZ823,Sheet1!$A$2:$B$58,2)</f>
        <v>Benzoate (PW2)</v>
      </c>
      <c r="BB823" t="s">
        <v>165</v>
      </c>
      <c r="BC823">
        <v>121.1121</v>
      </c>
      <c r="BD823">
        <v>4.1428571428571432</v>
      </c>
      <c r="BE823">
        <v>249.2</v>
      </c>
      <c r="BF823" t="s">
        <v>212</v>
      </c>
      <c r="BG823">
        <v>0</v>
      </c>
      <c r="BH823">
        <v>3.8347107438017003E-2</v>
      </c>
      <c r="BI823">
        <v>9.3625176709229999E-2</v>
      </c>
      <c r="BJ823">
        <v>80</v>
      </c>
      <c r="BK823">
        <v>10532.857747662159</v>
      </c>
      <c r="BL823">
        <v>8496.6563146058943</v>
      </c>
      <c r="BM823">
        <v>13.052587684017309</v>
      </c>
      <c r="BN823">
        <v>2218.939906282943</v>
      </c>
      <c r="BO823">
        <v>8313.9178413792215</v>
      </c>
    </row>
    <row r="824" spans="1:67" x14ac:dyDescent="0.25">
      <c r="A824" s="1">
        <v>822</v>
      </c>
      <c r="B824" t="s">
        <v>76</v>
      </c>
      <c r="C824" t="s">
        <v>85</v>
      </c>
      <c r="D824">
        <v>1</v>
      </c>
      <c r="E824">
        <v>1</v>
      </c>
      <c r="F824">
        <v>2</v>
      </c>
      <c r="G824">
        <v>45.016539999999999</v>
      </c>
      <c r="H824">
        <v>2</v>
      </c>
      <c r="I824" t="s">
        <v>89</v>
      </c>
      <c r="J824">
        <v>4</v>
      </c>
      <c r="K824">
        <v>300</v>
      </c>
      <c r="L824">
        <v>33.333333333333329</v>
      </c>
      <c r="N824" t="s">
        <v>91</v>
      </c>
      <c r="O824">
        <v>66.666666666666671</v>
      </c>
      <c r="P824">
        <v>0.1666666666666666</v>
      </c>
      <c r="Q824">
        <v>3.2500000000000001E-2</v>
      </c>
      <c r="R824">
        <v>77.5</v>
      </c>
      <c r="S824">
        <v>170</v>
      </c>
      <c r="T824">
        <v>20</v>
      </c>
      <c r="U824">
        <v>1812.1301775147931</v>
      </c>
      <c r="V824">
        <v>20</v>
      </c>
      <c r="W824">
        <v>0.95</v>
      </c>
      <c r="X824">
        <v>1</v>
      </c>
      <c r="Y824">
        <v>187914.6532324107</v>
      </c>
      <c r="Z824">
        <v>563743959.69723213</v>
      </c>
      <c r="AA824">
        <v>2254975838.788929</v>
      </c>
      <c r="AB824">
        <v>2254975.838788928</v>
      </c>
      <c r="AC824">
        <v>66773.504273504266</v>
      </c>
      <c r="AD824">
        <v>5842.7943683576405</v>
      </c>
      <c r="AE824">
        <v>10517029.86304375</v>
      </c>
      <c r="AF824">
        <v>3505676.6210145839</v>
      </c>
      <c r="AG824">
        <v>157.81343183696791</v>
      </c>
      <c r="AH824">
        <v>771.42414045425915</v>
      </c>
      <c r="AI824">
        <v>154.28482809085179</v>
      </c>
      <c r="AJ824">
        <v>73286.71476064017</v>
      </c>
      <c r="AK824">
        <v>2170.1388888888891</v>
      </c>
      <c r="AL824" t="s">
        <v>95</v>
      </c>
      <c r="AM824">
        <v>59785.370885205077</v>
      </c>
      <c r="AN824">
        <v>2097.0857922835321</v>
      </c>
      <c r="AO824">
        <v>26228.420775444811</v>
      </c>
      <c r="AP824">
        <v>137339.31032701771</v>
      </c>
      <c r="AQ824">
        <v>111110.88955157281</v>
      </c>
      <c r="AR824">
        <v>2.0905155461666661E-2</v>
      </c>
      <c r="AS824">
        <v>426.14410762900661</v>
      </c>
      <c r="AT824">
        <v>347.63713462058269</v>
      </c>
      <c r="AU824">
        <v>12.19403484646427</v>
      </c>
      <c r="AV824">
        <v>152.51177518838469</v>
      </c>
      <c r="AW824">
        <v>798.59409761839493</v>
      </c>
      <c r="AX824">
        <v>646.08232243001009</v>
      </c>
      <c r="AY824">
        <v>0.97764066274307182</v>
      </c>
      <c r="AZ824" t="s">
        <v>117</v>
      </c>
      <c r="BA824" t="str">
        <f>VLOOKUP($AZ824,Sheet1!$A$2:$B$58,2)</f>
        <v>Butane</v>
      </c>
      <c r="BB824" t="s">
        <v>168</v>
      </c>
      <c r="BC824">
        <v>58.121200000000002</v>
      </c>
      <c r="BD824">
        <v>6.5</v>
      </c>
      <c r="BE824">
        <v>-1</v>
      </c>
      <c r="BF824" t="s">
        <v>212</v>
      </c>
      <c r="BG824">
        <v>0</v>
      </c>
      <c r="BH824">
        <v>0.13647058823529401</v>
      </c>
      <c r="BI824">
        <v>0.158414906190157</v>
      </c>
      <c r="BJ824">
        <v>80</v>
      </c>
      <c r="BK824">
        <v>6301.4437594952706</v>
      </c>
      <c r="BL824">
        <v>5098.0234275939147</v>
      </c>
      <c r="BM824">
        <v>7.7142414045425927</v>
      </c>
      <c r="BN824">
        <v>1311.421038772241</v>
      </c>
      <c r="BO824">
        <v>4990.02272072303</v>
      </c>
    </row>
    <row r="825" spans="1:67" x14ac:dyDescent="0.25">
      <c r="A825" s="1">
        <v>823</v>
      </c>
      <c r="B825" t="s">
        <v>76</v>
      </c>
      <c r="C825" t="s">
        <v>85</v>
      </c>
      <c r="D825">
        <v>1</v>
      </c>
      <c r="E825">
        <v>1</v>
      </c>
      <c r="F825">
        <v>2</v>
      </c>
      <c r="G825">
        <v>45.016539999999999</v>
      </c>
      <c r="H825">
        <v>2</v>
      </c>
      <c r="I825" t="s">
        <v>89</v>
      </c>
      <c r="J825">
        <v>4</v>
      </c>
      <c r="K825">
        <v>300</v>
      </c>
      <c r="L825">
        <v>33.333333333333329</v>
      </c>
      <c r="N825" t="s">
        <v>91</v>
      </c>
      <c r="O825">
        <v>66.666666666666671</v>
      </c>
      <c r="P825">
        <v>0.1666666666666666</v>
      </c>
      <c r="Q825">
        <v>3.2500000000000001E-2</v>
      </c>
      <c r="R825">
        <v>77.5</v>
      </c>
      <c r="S825">
        <v>170</v>
      </c>
      <c r="T825">
        <v>20</v>
      </c>
      <c r="U825">
        <v>1812.1301775147931</v>
      </c>
      <c r="V825">
        <v>20</v>
      </c>
      <c r="W825">
        <v>0.95</v>
      </c>
      <c r="X825">
        <v>1</v>
      </c>
      <c r="Y825">
        <v>80437.338373607403</v>
      </c>
      <c r="Z825">
        <v>241312015.12082219</v>
      </c>
      <c r="AA825">
        <v>965248060.48328876</v>
      </c>
      <c r="AB825">
        <v>965248.06048328872</v>
      </c>
      <c r="AC825">
        <v>0</v>
      </c>
      <c r="AD825">
        <v>2501.0227758754222</v>
      </c>
      <c r="AE825">
        <v>4501840.9965757597</v>
      </c>
      <c r="AF825">
        <v>1500613.6655252529</v>
      </c>
      <c r="AG825">
        <v>67.552435098664162</v>
      </c>
      <c r="AH825">
        <v>330.21003709883189</v>
      </c>
      <c r="AI825">
        <v>66.042007419766378</v>
      </c>
      <c r="AJ825">
        <v>31370.561965706889</v>
      </c>
      <c r="AK825">
        <v>854.70085470085473</v>
      </c>
      <c r="AL825" t="s">
        <v>93</v>
      </c>
      <c r="AM825">
        <v>25591.277875159471</v>
      </c>
      <c r="AN825">
        <v>897.66283028374903</v>
      </c>
      <c r="AO825">
        <v>11227.141261360281</v>
      </c>
      <c r="AP825">
        <v>58714.203525850957</v>
      </c>
      <c r="AQ825">
        <v>47487.062264490669</v>
      </c>
      <c r="AR825">
        <v>2.0905155461666668E-2</v>
      </c>
      <c r="AS825">
        <v>426.14410762900673</v>
      </c>
      <c r="AT825">
        <v>347.63713462058269</v>
      </c>
      <c r="AU825">
        <v>12.19403484646428</v>
      </c>
      <c r="AV825">
        <v>152.51177518838469</v>
      </c>
      <c r="AW825">
        <v>797.58570770977371</v>
      </c>
      <c r="AX825">
        <v>645.07393252138888</v>
      </c>
      <c r="AY825">
        <v>0.97764066274307182</v>
      </c>
      <c r="AZ825" t="s">
        <v>118</v>
      </c>
      <c r="BA825" t="str">
        <f>VLOOKUP($AZ825,Sheet1!$A$2:$B$58,2)</f>
        <v>Butanol (PW1)</v>
      </c>
      <c r="BB825" t="s">
        <v>169</v>
      </c>
      <c r="BC825">
        <v>74.120199999999997</v>
      </c>
      <c r="BD825">
        <v>6</v>
      </c>
      <c r="BE825">
        <v>117.7</v>
      </c>
      <c r="BF825" t="s">
        <v>212</v>
      </c>
      <c r="BG825">
        <v>0</v>
      </c>
      <c r="BH825">
        <v>0.25</v>
      </c>
      <c r="BI825">
        <v>0.37008288396245198</v>
      </c>
      <c r="BJ825">
        <v>80</v>
      </c>
      <c r="BK825">
        <v>2693.942837784331</v>
      </c>
      <c r="BL825">
        <v>2178.81574802456</v>
      </c>
      <c r="BM825">
        <v>3.302100370988319</v>
      </c>
      <c r="BN825">
        <v>561.35706306801433</v>
      </c>
      <c r="BO825">
        <v>2132.5857747163159</v>
      </c>
    </row>
    <row r="826" spans="1:67" x14ac:dyDescent="0.25">
      <c r="A826" s="1">
        <v>824</v>
      </c>
      <c r="B826" t="s">
        <v>76</v>
      </c>
      <c r="C826" t="s">
        <v>85</v>
      </c>
      <c r="D826">
        <v>1</v>
      </c>
      <c r="E826">
        <v>1</v>
      </c>
      <c r="F826">
        <v>2</v>
      </c>
      <c r="G826">
        <v>45.016539999999999</v>
      </c>
      <c r="H826">
        <v>2</v>
      </c>
      <c r="I826" t="s">
        <v>89</v>
      </c>
      <c r="J826">
        <v>4</v>
      </c>
      <c r="K826">
        <v>300</v>
      </c>
      <c r="L826">
        <v>33.333333333333329</v>
      </c>
      <c r="N826" t="s">
        <v>91</v>
      </c>
      <c r="O826">
        <v>66.666666666666671</v>
      </c>
      <c r="P826">
        <v>0.1666666666666666</v>
      </c>
      <c r="Q826">
        <v>3.2500000000000001E-2</v>
      </c>
      <c r="R826">
        <v>77.5</v>
      </c>
      <c r="S826">
        <v>170</v>
      </c>
      <c r="T826">
        <v>20</v>
      </c>
      <c r="U826">
        <v>1812.1301775147931</v>
      </c>
      <c r="V826">
        <v>20</v>
      </c>
      <c r="W826">
        <v>0.95</v>
      </c>
      <c r="X826">
        <v>1</v>
      </c>
      <c r="Y826">
        <v>80437.338373607403</v>
      </c>
      <c r="Z826">
        <v>241312015.12082219</v>
      </c>
      <c r="AA826">
        <v>965248060.48328876</v>
      </c>
      <c r="AB826">
        <v>965248.06048328872</v>
      </c>
      <c r="AC826">
        <v>0</v>
      </c>
      <c r="AD826">
        <v>2501.0227758754222</v>
      </c>
      <c r="AE826">
        <v>4501840.9965757597</v>
      </c>
      <c r="AF826">
        <v>1500613.6655252529</v>
      </c>
      <c r="AG826">
        <v>67.552435098664162</v>
      </c>
      <c r="AH826">
        <v>330.21003709883189</v>
      </c>
      <c r="AI826">
        <v>66.042007419766378</v>
      </c>
      <c r="AJ826">
        <v>31370.561965706889</v>
      </c>
      <c r="AK826">
        <v>854.70085470085473</v>
      </c>
      <c r="AL826" t="s">
        <v>93</v>
      </c>
      <c r="AM826">
        <v>25591.277875159471</v>
      </c>
      <c r="AN826">
        <v>897.66283028374903</v>
      </c>
      <c r="AO826">
        <v>11227.141261360281</v>
      </c>
      <c r="AP826">
        <v>58714.203525850957</v>
      </c>
      <c r="AQ826">
        <v>47487.062264490669</v>
      </c>
      <c r="AR826">
        <v>2.0905155461666668E-2</v>
      </c>
      <c r="AS826">
        <v>426.14410762900673</v>
      </c>
      <c r="AT826">
        <v>347.63713462058269</v>
      </c>
      <c r="AU826">
        <v>12.19403484646428</v>
      </c>
      <c r="AV826">
        <v>152.51177518838469</v>
      </c>
      <c r="AW826">
        <v>797.58570770977371</v>
      </c>
      <c r="AX826">
        <v>645.07393252138888</v>
      </c>
      <c r="AY826">
        <v>0.97764066274307182</v>
      </c>
      <c r="AZ826" t="s">
        <v>119</v>
      </c>
      <c r="BA826" t="str">
        <f>VLOOKUP($AZ826,Sheet1!$A$2:$B$58,2)</f>
        <v>Butanol (PW2)</v>
      </c>
      <c r="BB826" t="s">
        <v>169</v>
      </c>
      <c r="BC826">
        <v>74.120199999999997</v>
      </c>
      <c r="BD826">
        <v>6</v>
      </c>
      <c r="BE826">
        <v>117.7</v>
      </c>
      <c r="BF826" t="s">
        <v>212</v>
      </c>
      <c r="BG826">
        <v>0</v>
      </c>
      <c r="BH826">
        <v>0.25</v>
      </c>
      <c r="BI826">
        <v>0.37008288396245198</v>
      </c>
      <c r="BJ826">
        <v>80</v>
      </c>
      <c r="BK826">
        <v>2693.942837784331</v>
      </c>
      <c r="BL826">
        <v>2178.81574802456</v>
      </c>
      <c r="BM826">
        <v>3.302100370988319</v>
      </c>
      <c r="BN826">
        <v>561.35706306801433</v>
      </c>
      <c r="BO826">
        <v>2132.5857747163159</v>
      </c>
    </row>
    <row r="827" spans="1:67" x14ac:dyDescent="0.25">
      <c r="A827" s="1">
        <v>825</v>
      </c>
      <c r="B827" t="s">
        <v>76</v>
      </c>
      <c r="C827" t="s">
        <v>85</v>
      </c>
      <c r="D827">
        <v>1</v>
      </c>
      <c r="E827">
        <v>1</v>
      </c>
      <c r="F827">
        <v>2</v>
      </c>
      <c r="G827">
        <v>45.016539999999999</v>
      </c>
      <c r="H827">
        <v>2</v>
      </c>
      <c r="I827" t="s">
        <v>89</v>
      </c>
      <c r="J827">
        <v>4</v>
      </c>
      <c r="K827">
        <v>300</v>
      </c>
      <c r="L827">
        <v>33.333333333333329</v>
      </c>
      <c r="N827" t="s">
        <v>91</v>
      </c>
      <c r="O827">
        <v>66.666666666666671</v>
      </c>
      <c r="P827">
        <v>0.1666666666666666</v>
      </c>
      <c r="Q827">
        <v>3.2500000000000001E-2</v>
      </c>
      <c r="R827">
        <v>77.5</v>
      </c>
      <c r="S827">
        <v>170</v>
      </c>
      <c r="T827">
        <v>20</v>
      </c>
      <c r="U827">
        <v>1812.1301775147931</v>
      </c>
      <c r="V827">
        <v>20</v>
      </c>
      <c r="W827">
        <v>0.95</v>
      </c>
      <c r="X827">
        <v>1</v>
      </c>
      <c r="Y827">
        <v>67072.981573582379</v>
      </c>
      <c r="Z827">
        <v>201218944.72074711</v>
      </c>
      <c r="AA827">
        <v>804875778.88298845</v>
      </c>
      <c r="AB827">
        <v>804875.7788829885</v>
      </c>
      <c r="AC827">
        <v>0</v>
      </c>
      <c r="AD827">
        <v>2085.4873862465279</v>
      </c>
      <c r="AE827">
        <v>3753877.2952437499</v>
      </c>
      <c r="AF827">
        <v>1251292.4317479159</v>
      </c>
      <c r="AG827">
        <v>56.328855805477353</v>
      </c>
      <c r="AH827">
        <v>275.346899606129</v>
      </c>
      <c r="AI827">
        <v>55.069379921225803</v>
      </c>
      <c r="AJ827">
        <v>26158.46281369713</v>
      </c>
      <c r="AK827">
        <v>854.70085470085473</v>
      </c>
      <c r="AL827" t="s">
        <v>93</v>
      </c>
      <c r="AM827">
        <v>21339.384719475001</v>
      </c>
      <c r="AN827">
        <v>748.51957675749088</v>
      </c>
      <c r="AO827">
        <v>9361.7945866083865</v>
      </c>
      <c r="AP827">
        <v>49101.067964630471</v>
      </c>
      <c r="AQ827">
        <v>39739.273378022088</v>
      </c>
      <c r="AR827">
        <v>2.0905155461666668E-2</v>
      </c>
      <c r="AS827">
        <v>426.14410762900673</v>
      </c>
      <c r="AT827">
        <v>347.63713462058269</v>
      </c>
      <c r="AU827">
        <v>12.19403484646428</v>
      </c>
      <c r="AV827">
        <v>152.51177518838469</v>
      </c>
      <c r="AW827">
        <v>799.89909729949193</v>
      </c>
      <c r="AX827">
        <v>647.38732211110732</v>
      </c>
      <c r="AY827">
        <v>0.97764066274307182</v>
      </c>
      <c r="AZ827" t="s">
        <v>120</v>
      </c>
      <c r="BA827" t="str">
        <f>VLOOKUP($AZ827,Sheet1!$A$2:$B$58,2)</f>
        <v>Butyrate</v>
      </c>
      <c r="BB827" t="s">
        <v>170</v>
      </c>
      <c r="BC827">
        <v>87.095680000000002</v>
      </c>
      <c r="BD827">
        <v>4.75</v>
      </c>
      <c r="BE827">
        <v>163.5</v>
      </c>
      <c r="BF827" t="s">
        <v>212</v>
      </c>
      <c r="BG827">
        <v>0</v>
      </c>
      <c r="BH827">
        <v>0.25</v>
      </c>
      <c r="BI827">
        <v>0.44382225845903001</v>
      </c>
      <c r="BJ827">
        <v>80</v>
      </c>
      <c r="BK827">
        <v>2252.870045535728</v>
      </c>
      <c r="BL827">
        <v>1823.329355874534</v>
      </c>
      <c r="BM827">
        <v>2.7534689960612901</v>
      </c>
      <c r="BN827">
        <v>468.08972933041917</v>
      </c>
      <c r="BO827">
        <v>1784.780316205309</v>
      </c>
    </row>
    <row r="828" spans="1:67" x14ac:dyDescent="0.25">
      <c r="A828" s="1">
        <v>826</v>
      </c>
      <c r="B828" t="s">
        <v>76</v>
      </c>
      <c r="C828" t="s">
        <v>85</v>
      </c>
      <c r="D828">
        <v>1</v>
      </c>
      <c r="E828">
        <v>1</v>
      </c>
      <c r="F828">
        <v>2</v>
      </c>
      <c r="G828">
        <v>45.016539999999999</v>
      </c>
      <c r="H828">
        <v>2</v>
      </c>
      <c r="I828" t="s">
        <v>89</v>
      </c>
      <c r="J828">
        <v>4</v>
      </c>
      <c r="K828">
        <v>300</v>
      </c>
      <c r="L828">
        <v>33.333333333333329</v>
      </c>
      <c r="N828" t="s">
        <v>91</v>
      </c>
      <c r="O828">
        <v>66.666666666666671</v>
      </c>
      <c r="P828">
        <v>0.1666666666666666</v>
      </c>
      <c r="Q828">
        <v>3.2500000000000001E-2</v>
      </c>
      <c r="R828">
        <v>77.5</v>
      </c>
      <c r="S828">
        <v>170</v>
      </c>
      <c r="T828">
        <v>20</v>
      </c>
      <c r="U828">
        <v>1812.1301775147931</v>
      </c>
      <c r="V828">
        <v>20</v>
      </c>
      <c r="W828">
        <v>0.95</v>
      </c>
      <c r="X828">
        <v>1</v>
      </c>
      <c r="Y828">
        <v>210237.93619355719</v>
      </c>
      <c r="Z828">
        <v>630713808.58067155</v>
      </c>
      <c r="AA828">
        <v>2522855234.3226862</v>
      </c>
      <c r="AB828">
        <v>2522855.2343226862</v>
      </c>
      <c r="AC828">
        <v>0</v>
      </c>
      <c r="AD828">
        <v>6536.887935437403</v>
      </c>
      <c r="AE828">
        <v>11766398.283787331</v>
      </c>
      <c r="AF828">
        <v>3922132.7612624411</v>
      </c>
      <c r="AG828">
        <v>176.56084633268111</v>
      </c>
      <c r="AH828">
        <v>863.06531411579988</v>
      </c>
      <c r="AI828">
        <v>172.61306282315999</v>
      </c>
      <c r="AJ828">
        <v>81992.795115487301</v>
      </c>
      <c r="AK828">
        <v>854.70085470085473</v>
      </c>
      <c r="AL828" t="s">
        <v>93</v>
      </c>
      <c r="AM828">
        <v>66887.561843974487</v>
      </c>
      <c r="AN828">
        <v>2346.2086718976429</v>
      </c>
      <c r="AO828">
        <v>29344.2206799372</v>
      </c>
      <c r="AP828">
        <v>152081.26648606031</v>
      </c>
      <c r="AQ828">
        <v>122737.0458061231</v>
      </c>
      <c r="AR828">
        <v>2.0905155461666668E-2</v>
      </c>
      <c r="AS828">
        <v>426.14410762900673</v>
      </c>
      <c r="AT828">
        <v>347.63713462058251</v>
      </c>
      <c r="AU828">
        <v>12.19403484646427</v>
      </c>
      <c r="AV828">
        <v>152.5117751883846</v>
      </c>
      <c r="AW828">
        <v>790.41744463654572</v>
      </c>
      <c r="AX828">
        <v>637.90566944816112</v>
      </c>
      <c r="AY828">
        <v>0.97764066274307171</v>
      </c>
      <c r="AZ828" t="s">
        <v>121</v>
      </c>
      <c r="BA828" t="str">
        <f>VLOOKUP($AZ828,Sheet1!$A$2:$B$58,2)</f>
        <v>Catechol</v>
      </c>
      <c r="BB828" t="s">
        <v>171</v>
      </c>
      <c r="BC828">
        <v>110.10924</v>
      </c>
      <c r="BD828">
        <v>4.333333333333333</v>
      </c>
      <c r="BE828">
        <v>245</v>
      </c>
      <c r="BF828" t="s">
        <v>212</v>
      </c>
      <c r="BG828">
        <v>0</v>
      </c>
      <c r="BH828">
        <v>6.3561643835616397E-2</v>
      </c>
      <c r="BI828">
        <v>0.14159424651201699</v>
      </c>
      <c r="BJ828">
        <v>80</v>
      </c>
      <c r="BK828">
        <v>6977.8386490571811</v>
      </c>
      <c r="BL828">
        <v>5631.4582439091419</v>
      </c>
      <c r="BM828">
        <v>8.6306531411579996</v>
      </c>
      <c r="BN828">
        <v>1467.2110339968599</v>
      </c>
      <c r="BO828">
        <v>5510.6276150603207</v>
      </c>
    </row>
    <row r="829" spans="1:67" x14ac:dyDescent="0.25">
      <c r="A829" s="1">
        <v>827</v>
      </c>
      <c r="B829" t="s">
        <v>76</v>
      </c>
      <c r="C829" t="s">
        <v>85</v>
      </c>
      <c r="D829">
        <v>1</v>
      </c>
      <c r="E829">
        <v>1</v>
      </c>
      <c r="F829">
        <v>2</v>
      </c>
      <c r="G829">
        <v>45.016539999999999</v>
      </c>
      <c r="H829">
        <v>2</v>
      </c>
      <c r="I829" t="s">
        <v>89</v>
      </c>
      <c r="J829">
        <v>4</v>
      </c>
      <c r="K829">
        <v>300</v>
      </c>
      <c r="L829">
        <v>33.333333333333329</v>
      </c>
      <c r="N829" t="s">
        <v>91</v>
      </c>
      <c r="O829">
        <v>66.666666666666671</v>
      </c>
      <c r="P829">
        <v>0.1666666666666666</v>
      </c>
      <c r="Q829">
        <v>3.2500000000000001E-2</v>
      </c>
      <c r="R829">
        <v>77.5</v>
      </c>
      <c r="S829">
        <v>170</v>
      </c>
      <c r="T829">
        <v>20</v>
      </c>
      <c r="U829">
        <v>1812.1301775147931</v>
      </c>
      <c r="V829">
        <v>20</v>
      </c>
      <c r="W829">
        <v>0.95</v>
      </c>
      <c r="X829">
        <v>1</v>
      </c>
      <c r="Y829">
        <v>73582.393962951013</v>
      </c>
      <c r="Z829">
        <v>220747181.88885301</v>
      </c>
      <c r="AA829">
        <v>882988727.55541217</v>
      </c>
      <c r="AB829">
        <v>882988.72755541222</v>
      </c>
      <c r="AC829">
        <v>0</v>
      </c>
      <c r="AD829">
        <v>2287.8833005389679</v>
      </c>
      <c r="AE829">
        <v>4118189.9409701419</v>
      </c>
      <c r="AF829">
        <v>1372729.980323381</v>
      </c>
      <c r="AG829">
        <v>61.795554068426682</v>
      </c>
      <c r="AH829">
        <v>302.06923217015981</v>
      </c>
      <c r="AI829">
        <v>60.41384643403196</v>
      </c>
      <c r="AJ829">
        <v>28697.133645550901</v>
      </c>
      <c r="AK829">
        <v>854.70085470085473</v>
      </c>
      <c r="AL829" t="s">
        <v>93</v>
      </c>
      <c r="AM829">
        <v>23410.36549318739</v>
      </c>
      <c r="AN829">
        <v>821.1631732149541</v>
      </c>
      <c r="AO829">
        <v>10270.35389378543</v>
      </c>
      <c r="AP829">
        <v>53783.36316665409</v>
      </c>
      <c r="AQ829">
        <v>43513.009272868658</v>
      </c>
      <c r="AR829">
        <v>2.0905155461666668E-2</v>
      </c>
      <c r="AS829">
        <v>426.14410762900661</v>
      </c>
      <c r="AT829">
        <v>347.63713462058257</v>
      </c>
      <c r="AU829">
        <v>12.19403484646427</v>
      </c>
      <c r="AV829">
        <v>152.5117751883846</v>
      </c>
      <c r="AW829">
        <v>798.66733678100081</v>
      </c>
      <c r="AX829">
        <v>646.15556159261621</v>
      </c>
      <c r="AY829">
        <v>0.97764066274307149</v>
      </c>
      <c r="AZ829" t="s">
        <v>123</v>
      </c>
      <c r="BA829" t="str">
        <f>VLOOKUP($AZ829,Sheet1!$A$2:$B$58,2)</f>
        <v>Citrate</v>
      </c>
      <c r="BB829" t="s">
        <v>173</v>
      </c>
      <c r="BC829">
        <v>189.09639999999999</v>
      </c>
      <c r="BD829">
        <v>2.5</v>
      </c>
      <c r="BF829" t="s">
        <v>212</v>
      </c>
      <c r="BG829">
        <v>0</v>
      </c>
      <c r="BH829">
        <v>0.103111111111111</v>
      </c>
      <c r="BI829">
        <v>0.40455984863113797</v>
      </c>
      <c r="BJ829">
        <v>80</v>
      </c>
      <c r="BK829">
        <v>2467.7045296368342</v>
      </c>
      <c r="BL829">
        <v>1996.477047150556</v>
      </c>
      <c r="BM829">
        <v>3.0206923217015991</v>
      </c>
      <c r="BN829">
        <v>513.51769468927182</v>
      </c>
      <c r="BO829">
        <v>1954.1868349475619</v>
      </c>
    </row>
    <row r="830" spans="1:67" x14ac:dyDescent="0.25">
      <c r="A830" s="1">
        <v>828</v>
      </c>
      <c r="B830" t="s">
        <v>76</v>
      </c>
      <c r="C830" t="s">
        <v>85</v>
      </c>
      <c r="D830">
        <v>1</v>
      </c>
      <c r="E830">
        <v>1</v>
      </c>
      <c r="F830">
        <v>2</v>
      </c>
      <c r="G830">
        <v>45.016539999999999</v>
      </c>
      <c r="H830">
        <v>2</v>
      </c>
      <c r="I830" t="s">
        <v>89</v>
      </c>
      <c r="J830">
        <v>4</v>
      </c>
      <c r="K830">
        <v>300</v>
      </c>
      <c r="L830">
        <v>33.333333333333329</v>
      </c>
      <c r="N830" t="s">
        <v>91</v>
      </c>
      <c r="O830">
        <v>66.666666666666671</v>
      </c>
      <c r="P830">
        <v>0.1666666666666666</v>
      </c>
      <c r="Q830">
        <v>3.2500000000000001E-2</v>
      </c>
      <c r="R830">
        <v>77.5</v>
      </c>
      <c r="S830">
        <v>170</v>
      </c>
      <c r="T830">
        <v>20</v>
      </c>
      <c r="U830">
        <v>1812.1301775147931</v>
      </c>
      <c r="V830">
        <v>20</v>
      </c>
      <c r="W830">
        <v>0.95</v>
      </c>
      <c r="X830">
        <v>1</v>
      </c>
      <c r="Y830">
        <v>223480.32767025189</v>
      </c>
      <c r="Z830">
        <v>670440983.01075566</v>
      </c>
      <c r="AA830">
        <v>2681763932.0430231</v>
      </c>
      <c r="AB830">
        <v>2681763.932043022</v>
      </c>
      <c r="AC830">
        <v>0</v>
      </c>
      <c r="AD830">
        <v>6948.6310805976991</v>
      </c>
      <c r="AE830">
        <v>12507535.94507586</v>
      </c>
      <c r="AF830">
        <v>4169178.6483586188</v>
      </c>
      <c r="AG830">
        <v>187.68199739098171</v>
      </c>
      <c r="AH830">
        <v>917.42776157131379</v>
      </c>
      <c r="AI830">
        <v>183.4855523142628</v>
      </c>
      <c r="AJ830">
        <v>87157.327791398231</v>
      </c>
      <c r="AK830">
        <v>854.70085470085473</v>
      </c>
      <c r="AL830" t="s">
        <v>93</v>
      </c>
      <c r="AM830">
        <v>71100.651521776817</v>
      </c>
      <c r="AN830">
        <v>2493.9908195052958</v>
      </c>
      <c r="AO830">
        <v>31192.54389342467</v>
      </c>
      <c r="AP830">
        <v>161606.67098738119</v>
      </c>
      <c r="AQ830">
        <v>130414.1270939565</v>
      </c>
      <c r="AR830">
        <v>2.0905155461666661E-2</v>
      </c>
      <c r="AS830">
        <v>426.14410762900661</v>
      </c>
      <c r="AT830">
        <v>347.63713462058251</v>
      </c>
      <c r="AU830">
        <v>12.19403484646428</v>
      </c>
      <c r="AV830">
        <v>152.5117751883846</v>
      </c>
      <c r="AW830">
        <v>790.15422271366094</v>
      </c>
      <c r="AX830">
        <v>637.64244752527622</v>
      </c>
      <c r="AY830">
        <v>0.97764066274307149</v>
      </c>
      <c r="AZ830" t="s">
        <v>124</v>
      </c>
      <c r="BA830" t="str">
        <f>VLOOKUP($AZ830,Sheet1!$A$2:$B$58,2)</f>
        <v>Coumaric Acid</v>
      </c>
      <c r="BB830" t="s">
        <v>174</v>
      </c>
      <c r="BC830">
        <v>163.14818</v>
      </c>
      <c r="BD830">
        <v>4.1111111111111107</v>
      </c>
      <c r="BE830">
        <v>346</v>
      </c>
      <c r="BF830" t="s">
        <v>212</v>
      </c>
      <c r="BG830">
        <v>0</v>
      </c>
      <c r="BH830">
        <v>4.0347826086956501E-2</v>
      </c>
      <c r="BI830">
        <v>0.13320403846683099</v>
      </c>
      <c r="BJ830">
        <v>80</v>
      </c>
      <c r="BK830">
        <v>7414.8861382909236</v>
      </c>
      <c r="BL830">
        <v>5983.7004086409033</v>
      </c>
      <c r="BM830">
        <v>9.1742776157131392</v>
      </c>
      <c r="BN830">
        <v>1559.6271946712341</v>
      </c>
      <c r="BO830">
        <v>5855.2589436196904</v>
      </c>
    </row>
    <row r="831" spans="1:67" x14ac:dyDescent="0.25">
      <c r="A831" s="1">
        <v>829</v>
      </c>
      <c r="B831" t="s">
        <v>76</v>
      </c>
      <c r="C831" t="s">
        <v>85</v>
      </c>
      <c r="D831">
        <v>1</v>
      </c>
      <c r="E831">
        <v>1</v>
      </c>
      <c r="F831">
        <v>2</v>
      </c>
      <c r="G831">
        <v>45.016539999999999</v>
      </c>
      <c r="H831">
        <v>2</v>
      </c>
      <c r="I831" t="s">
        <v>89</v>
      </c>
      <c r="J831">
        <v>4</v>
      </c>
      <c r="K831">
        <v>300</v>
      </c>
      <c r="L831">
        <v>33.333333333333329</v>
      </c>
      <c r="N831" t="s">
        <v>91</v>
      </c>
      <c r="O831">
        <v>66.666666666666671</v>
      </c>
      <c r="P831">
        <v>0.1666666666666666</v>
      </c>
      <c r="Q831">
        <v>3.2500000000000001E-2</v>
      </c>
      <c r="R831">
        <v>77.5</v>
      </c>
      <c r="S831">
        <v>170</v>
      </c>
      <c r="T831">
        <v>20</v>
      </c>
      <c r="U831">
        <v>1812.1301775147931</v>
      </c>
      <c r="V831">
        <v>20</v>
      </c>
      <c r="W831">
        <v>0.95</v>
      </c>
      <c r="X831">
        <v>1</v>
      </c>
      <c r="Y831">
        <v>66305.715592051623</v>
      </c>
      <c r="Z831">
        <v>198917146.77615491</v>
      </c>
      <c r="AA831">
        <v>795668587.1046195</v>
      </c>
      <c r="AB831">
        <v>795668.58710461948</v>
      </c>
      <c r="AC831">
        <v>0</v>
      </c>
      <c r="AD831">
        <v>2061.6309318465842</v>
      </c>
      <c r="AE831">
        <v>3710935.6773238508</v>
      </c>
      <c r="AF831">
        <v>1236978.55910795</v>
      </c>
      <c r="AG831">
        <v>55.684494785225397</v>
      </c>
      <c r="AH831">
        <v>272.1971319317044</v>
      </c>
      <c r="AI831">
        <v>54.439426386340877</v>
      </c>
      <c r="AJ831">
        <v>25859.229080900139</v>
      </c>
      <c r="AK831">
        <v>854.70085470085473</v>
      </c>
      <c r="AL831" t="s">
        <v>93</v>
      </c>
      <c r="AM831">
        <v>21095.277724707092</v>
      </c>
      <c r="AN831">
        <v>739.95705882132665</v>
      </c>
      <c r="AO831">
        <v>9254.7024856779499</v>
      </c>
      <c r="AP831">
        <v>48549.164719129403</v>
      </c>
      <c r="AQ831">
        <v>39294.462233451457</v>
      </c>
      <c r="AR831">
        <v>2.0905155461666668E-2</v>
      </c>
      <c r="AS831">
        <v>426.14410762900673</v>
      </c>
      <c r="AT831">
        <v>347.63713462058269</v>
      </c>
      <c r="AU831">
        <v>12.19403484646428</v>
      </c>
      <c r="AV831">
        <v>152.5117751883846</v>
      </c>
      <c r="AW831">
        <v>800.06021875756915</v>
      </c>
      <c r="AX831">
        <v>647.54844356918454</v>
      </c>
      <c r="AY831">
        <v>0.97764066274307171</v>
      </c>
      <c r="AZ831" t="s">
        <v>125</v>
      </c>
      <c r="BA831" t="str">
        <f>VLOOKUP($AZ831,Sheet1!$A$2:$B$58,2)</f>
        <v>Ethyl Acetate</v>
      </c>
      <c r="BB831" t="s">
        <v>175</v>
      </c>
      <c r="BC831">
        <v>88.103520000000003</v>
      </c>
      <c r="BD831">
        <v>5</v>
      </c>
      <c r="BE831">
        <v>77.099999999999994</v>
      </c>
      <c r="BF831" t="s">
        <v>212</v>
      </c>
      <c r="BG831">
        <v>0</v>
      </c>
      <c r="BH831">
        <v>0.25</v>
      </c>
      <c r="BI831">
        <v>0.44895801059926599</v>
      </c>
      <c r="BJ831">
        <v>80</v>
      </c>
      <c r="BK831">
        <v>2227.5474539636079</v>
      </c>
      <c r="BL831">
        <v>1802.920396455454</v>
      </c>
      <c r="BM831">
        <v>2.7219713193170438</v>
      </c>
      <c r="BN831">
        <v>462.73512428389739</v>
      </c>
      <c r="BO831">
        <v>1764.812329679711</v>
      </c>
    </row>
    <row r="832" spans="1:67" x14ac:dyDescent="0.25">
      <c r="A832" s="1">
        <v>830</v>
      </c>
      <c r="B832" t="s">
        <v>76</v>
      </c>
      <c r="C832" t="s">
        <v>85</v>
      </c>
      <c r="D832">
        <v>1</v>
      </c>
      <c r="E832">
        <v>1</v>
      </c>
      <c r="F832">
        <v>2</v>
      </c>
      <c r="G832">
        <v>45.016539999999999</v>
      </c>
      <c r="H832">
        <v>2</v>
      </c>
      <c r="I832" t="s">
        <v>89</v>
      </c>
      <c r="J832">
        <v>4</v>
      </c>
      <c r="K832">
        <v>300</v>
      </c>
      <c r="L832">
        <v>33.333333333333329</v>
      </c>
      <c r="N832" t="s">
        <v>91</v>
      </c>
      <c r="O832">
        <v>66.666666666666671</v>
      </c>
      <c r="P832">
        <v>0.1666666666666666</v>
      </c>
      <c r="Q832">
        <v>3.2500000000000001E-2</v>
      </c>
      <c r="R832">
        <v>77.5</v>
      </c>
      <c r="S832">
        <v>170</v>
      </c>
      <c r="T832">
        <v>20</v>
      </c>
      <c r="U832">
        <v>1812.1301775147931</v>
      </c>
      <c r="V832">
        <v>20</v>
      </c>
      <c r="W832">
        <v>0.95</v>
      </c>
      <c r="X832">
        <v>1</v>
      </c>
      <c r="Y832">
        <v>222337.08055420039</v>
      </c>
      <c r="Z832">
        <v>667011241.66260123</v>
      </c>
      <c r="AA832">
        <v>2668044966.6504049</v>
      </c>
      <c r="AB832">
        <v>2668044.966650405</v>
      </c>
      <c r="AC832">
        <v>0</v>
      </c>
      <c r="AD832">
        <v>6913.0843167003404</v>
      </c>
      <c r="AE832">
        <v>12443551.77006061</v>
      </c>
      <c r="AF832">
        <v>4147850.590020203</v>
      </c>
      <c r="AG832">
        <v>186.72188199966811</v>
      </c>
      <c r="AH832">
        <v>912.73452233394551</v>
      </c>
      <c r="AI832">
        <v>182.5469044667891</v>
      </c>
      <c r="AJ832">
        <v>86711.461416138161</v>
      </c>
      <c r="AK832">
        <v>1835.336538461539</v>
      </c>
      <c r="AL832" t="s">
        <v>94</v>
      </c>
      <c r="AM832">
        <v>70736.925480880775</v>
      </c>
      <c r="AN832">
        <v>2481.232435617183</v>
      </c>
      <c r="AO832">
        <v>31032.97375935415</v>
      </c>
      <c r="AP832">
        <v>161764.95587109771</v>
      </c>
      <c r="AQ832">
        <v>130731.98211174351</v>
      </c>
      <c r="AR832">
        <v>2.0905155461666668E-2</v>
      </c>
      <c r="AS832">
        <v>426.14410762900661</v>
      </c>
      <c r="AT832">
        <v>347.63713462058257</v>
      </c>
      <c r="AU832">
        <v>12.19403484646428</v>
      </c>
      <c r="AV832">
        <v>152.5117751883846</v>
      </c>
      <c r="AW832">
        <v>794.99505185948556</v>
      </c>
      <c r="AX832">
        <v>642.48327667110107</v>
      </c>
      <c r="AY832">
        <v>0.97764066274307171</v>
      </c>
      <c r="AZ832" t="s">
        <v>126</v>
      </c>
      <c r="BA832" t="str">
        <f>VLOOKUP($AZ832,Sheet1!$A$2:$B$58,2)</f>
        <v>Farnesene</v>
      </c>
      <c r="BB832" t="s">
        <v>176</v>
      </c>
      <c r="BC832">
        <v>204.34866</v>
      </c>
      <c r="BD832">
        <v>5.6</v>
      </c>
      <c r="BE832" t="s">
        <v>198</v>
      </c>
      <c r="BF832" t="s">
        <v>212</v>
      </c>
      <c r="BG832">
        <v>0</v>
      </c>
      <c r="BH832">
        <v>3.2676056338028198E-2</v>
      </c>
      <c r="BI832">
        <v>0.13388896755038299</v>
      </c>
      <c r="BJ832">
        <v>80</v>
      </c>
      <c r="BK832">
        <v>7422.1486131813444</v>
      </c>
      <c r="BL832">
        <v>5998.2843286670713</v>
      </c>
      <c r="BM832">
        <v>9.1273452233394572</v>
      </c>
      <c r="BN832">
        <v>1551.6486879677079</v>
      </c>
      <c r="BO832">
        <v>5870.4999252136358</v>
      </c>
    </row>
    <row r="833" spans="1:67" x14ac:dyDescent="0.25">
      <c r="A833" s="1">
        <v>831</v>
      </c>
      <c r="B833" t="s">
        <v>76</v>
      </c>
      <c r="C833" t="s">
        <v>85</v>
      </c>
      <c r="D833">
        <v>1</v>
      </c>
      <c r="E833">
        <v>1</v>
      </c>
      <c r="F833">
        <v>2</v>
      </c>
      <c r="G833">
        <v>45.016539999999999</v>
      </c>
      <c r="H833">
        <v>2</v>
      </c>
      <c r="I833" t="s">
        <v>89</v>
      </c>
      <c r="J833">
        <v>4</v>
      </c>
      <c r="K833">
        <v>300</v>
      </c>
      <c r="L833">
        <v>33.333333333333329</v>
      </c>
      <c r="N833" t="s">
        <v>91</v>
      </c>
      <c r="O833">
        <v>66.666666666666671</v>
      </c>
      <c r="P833">
        <v>0.1666666666666666</v>
      </c>
      <c r="Q833">
        <v>3.2500000000000001E-2</v>
      </c>
      <c r="R833">
        <v>77.5</v>
      </c>
      <c r="S833">
        <v>170</v>
      </c>
      <c r="T833">
        <v>20</v>
      </c>
      <c r="U833">
        <v>1812.1301775147931</v>
      </c>
      <c r="V833">
        <v>20</v>
      </c>
      <c r="W833">
        <v>0.95</v>
      </c>
      <c r="X833">
        <v>1</v>
      </c>
      <c r="Y833">
        <v>165818.53843235239</v>
      </c>
      <c r="Z833">
        <v>497455615.29705739</v>
      </c>
      <c r="AA833">
        <v>1989822461.18823</v>
      </c>
      <c r="AB833">
        <v>1989822.461188229</v>
      </c>
      <c r="AC833">
        <v>0</v>
      </c>
      <c r="AD833">
        <v>5155.7640974575261</v>
      </c>
      <c r="AE833">
        <v>9280375.3754235469</v>
      </c>
      <c r="AF833">
        <v>3093458.458474515</v>
      </c>
      <c r="AG833">
        <v>139.25679643425639</v>
      </c>
      <c r="AH833">
        <v>680.71553378731676</v>
      </c>
      <c r="AI833">
        <v>136.14310675746341</v>
      </c>
      <c r="AJ833">
        <v>64669.229988617459</v>
      </c>
      <c r="AK833">
        <v>1835.336538461539</v>
      </c>
      <c r="AL833" t="s">
        <v>94</v>
      </c>
      <c r="AM833">
        <v>52755.453868517048</v>
      </c>
      <c r="AN833">
        <v>1850.498058890764</v>
      </c>
      <c r="AO833">
        <v>23144.328148768771</v>
      </c>
      <c r="AP833">
        <v>121110.5184544868</v>
      </c>
      <c r="AQ833">
        <v>97966.190305718046</v>
      </c>
      <c r="AR833">
        <v>2.0905155461666668E-2</v>
      </c>
      <c r="AS833">
        <v>426.14410762900661</v>
      </c>
      <c r="AT833">
        <v>347.63713462058251</v>
      </c>
      <c r="AU833">
        <v>12.19403484646427</v>
      </c>
      <c r="AV833">
        <v>152.5117751883846</v>
      </c>
      <c r="AW833">
        <v>798.06940364618038</v>
      </c>
      <c r="AX833">
        <v>645.55762845779577</v>
      </c>
      <c r="AY833">
        <v>0.97764066274307126</v>
      </c>
      <c r="AZ833" t="s">
        <v>127</v>
      </c>
      <c r="BA833" t="str">
        <f>VLOOKUP($AZ833,Sheet1!$A$2:$B$58,2)</f>
        <v>Gamma Butyrolactone</v>
      </c>
      <c r="BB833" t="s">
        <v>177</v>
      </c>
      <c r="BC833">
        <v>86.08784</v>
      </c>
      <c r="BD833">
        <v>4.5</v>
      </c>
      <c r="BE833">
        <v>204</v>
      </c>
      <c r="BF833" t="s">
        <v>212</v>
      </c>
      <c r="BG833">
        <v>0</v>
      </c>
      <c r="BH833">
        <v>0.103111111111111</v>
      </c>
      <c r="BI833">
        <v>0.179524451517902</v>
      </c>
      <c r="BJ833">
        <v>80</v>
      </c>
      <c r="BK833">
        <v>5556.8294241982239</v>
      </c>
      <c r="BL833">
        <v>4494.9143626364285</v>
      </c>
      <c r="BM833">
        <v>6.8071553378731666</v>
      </c>
      <c r="BN833">
        <v>1157.216407438438</v>
      </c>
      <c r="BO833">
        <v>4399.6130167597858</v>
      </c>
    </row>
    <row r="834" spans="1:67" x14ac:dyDescent="0.25">
      <c r="A834" s="1">
        <v>832</v>
      </c>
      <c r="B834" t="s">
        <v>76</v>
      </c>
      <c r="C834" t="s">
        <v>85</v>
      </c>
      <c r="D834">
        <v>1</v>
      </c>
      <c r="E834">
        <v>1</v>
      </c>
      <c r="F834">
        <v>2</v>
      </c>
      <c r="G834">
        <v>45.016539999999999</v>
      </c>
      <c r="H834">
        <v>2</v>
      </c>
      <c r="I834" t="s">
        <v>89</v>
      </c>
      <c r="J834">
        <v>4</v>
      </c>
      <c r="K834">
        <v>300</v>
      </c>
      <c r="L834">
        <v>33.333333333333329</v>
      </c>
      <c r="N834" t="s">
        <v>91</v>
      </c>
      <c r="O834">
        <v>66.666666666666671</v>
      </c>
      <c r="P834">
        <v>0.1666666666666666</v>
      </c>
      <c r="Q834">
        <v>3.2500000000000001E-2</v>
      </c>
      <c r="R834">
        <v>77.5</v>
      </c>
      <c r="S834">
        <v>170</v>
      </c>
      <c r="T834">
        <v>20</v>
      </c>
      <c r="U834">
        <v>1812.1301775147931</v>
      </c>
      <c r="V834">
        <v>20</v>
      </c>
      <c r="W834">
        <v>0.95</v>
      </c>
      <c r="X834">
        <v>1</v>
      </c>
      <c r="Y834">
        <v>78872.206237653096</v>
      </c>
      <c r="Z834">
        <v>236616618.71295929</v>
      </c>
      <c r="AA834">
        <v>946466474.85183704</v>
      </c>
      <c r="AB834">
        <v>946466.47485183703</v>
      </c>
      <c r="AC834">
        <v>0</v>
      </c>
      <c r="AD834">
        <v>2452.3584217530261</v>
      </c>
      <c r="AE834">
        <v>4414245.1591554461</v>
      </c>
      <c r="AF834">
        <v>1471415.0530518149</v>
      </c>
      <c r="AG834">
        <v>66.238014592309156</v>
      </c>
      <c r="AH834">
        <v>323.78488242405189</v>
      </c>
      <c r="AI834">
        <v>64.75697648481038</v>
      </c>
      <c r="AJ834">
        <v>30760.160432684701</v>
      </c>
      <c r="AK834">
        <v>854.70085470085473</v>
      </c>
      <c r="AL834" t="s">
        <v>93</v>
      </c>
      <c r="AM834">
        <v>25093.328387864021</v>
      </c>
      <c r="AN834">
        <v>880.19630327855202</v>
      </c>
      <c r="AO834">
        <v>11008.68600241776</v>
      </c>
      <c r="AP834">
        <v>57588.385978528117</v>
      </c>
      <c r="AQ834">
        <v>46579.699976110358</v>
      </c>
      <c r="AR834">
        <v>2.0905155461666668E-2</v>
      </c>
      <c r="AS834">
        <v>426.14410762900661</v>
      </c>
      <c r="AT834">
        <v>347.63713462058269</v>
      </c>
      <c r="AU834">
        <v>12.19403484646428</v>
      </c>
      <c r="AV834">
        <v>152.5117751883846</v>
      </c>
      <c r="AW834">
        <v>797.81610392832272</v>
      </c>
      <c r="AX834">
        <v>645.30432873993811</v>
      </c>
      <c r="AY834">
        <v>0.97764066274307171</v>
      </c>
      <c r="AZ834" t="s">
        <v>128</v>
      </c>
      <c r="BA834" t="str">
        <f>VLOOKUP($AZ834,Sheet1!$A$2:$B$58,2)</f>
        <v>L-Glutamate</v>
      </c>
      <c r="BB834" t="s">
        <v>178</v>
      </c>
      <c r="BC834">
        <v>146.11892</v>
      </c>
      <c r="BD834">
        <v>3.4</v>
      </c>
      <c r="BE834">
        <v>333.8</v>
      </c>
      <c r="BF834" t="s">
        <v>212</v>
      </c>
      <c r="BG834">
        <v>0</v>
      </c>
      <c r="BH834">
        <v>0.12540540540540501</v>
      </c>
      <c r="BI834">
        <v>0.37742677152800302</v>
      </c>
      <c r="BJ834">
        <v>80</v>
      </c>
      <c r="BK834">
        <v>2642.2877366991738</v>
      </c>
      <c r="BL834">
        <v>2137.1838771778139</v>
      </c>
      <c r="BM834">
        <v>3.237848824240519</v>
      </c>
      <c r="BN834">
        <v>550.43430012088822</v>
      </c>
      <c r="BO834">
        <v>2091.8534365782862</v>
      </c>
    </row>
    <row r="835" spans="1:67" x14ac:dyDescent="0.25">
      <c r="A835" s="1">
        <v>833</v>
      </c>
      <c r="B835" t="s">
        <v>76</v>
      </c>
      <c r="C835" t="s">
        <v>85</v>
      </c>
      <c r="D835">
        <v>1</v>
      </c>
      <c r="E835">
        <v>1</v>
      </c>
      <c r="F835">
        <v>2</v>
      </c>
      <c r="G835">
        <v>45.016539999999999</v>
      </c>
      <c r="H835">
        <v>2</v>
      </c>
      <c r="I835" t="s">
        <v>89</v>
      </c>
      <c r="J835">
        <v>4</v>
      </c>
      <c r="K835">
        <v>300</v>
      </c>
      <c r="L835">
        <v>33.333333333333329</v>
      </c>
      <c r="N835" t="s">
        <v>91</v>
      </c>
      <c r="O835">
        <v>66.666666666666671</v>
      </c>
      <c r="P835">
        <v>0.1666666666666666</v>
      </c>
      <c r="Q835">
        <v>3.2500000000000001E-2</v>
      </c>
      <c r="R835">
        <v>77.5</v>
      </c>
      <c r="S835">
        <v>170</v>
      </c>
      <c r="T835">
        <v>20</v>
      </c>
      <c r="U835">
        <v>1812.1301775147931</v>
      </c>
      <c r="V835">
        <v>20</v>
      </c>
      <c r="W835">
        <v>0.95</v>
      </c>
      <c r="X835">
        <v>1</v>
      </c>
      <c r="Y835">
        <v>156255.15814094589</v>
      </c>
      <c r="Z835">
        <v>468765474.42283762</v>
      </c>
      <c r="AA835">
        <v>1875061897.69135</v>
      </c>
      <c r="AB835">
        <v>1875061.89769135</v>
      </c>
      <c r="AC835">
        <v>0</v>
      </c>
      <c r="AD835">
        <v>4858.4117433545962</v>
      </c>
      <c r="AE835">
        <v>8745141.1380382739</v>
      </c>
      <c r="AF835">
        <v>2915047.0460127569</v>
      </c>
      <c r="AG835">
        <v>131.22533194871511</v>
      </c>
      <c r="AH835">
        <v>641.45610247510695</v>
      </c>
      <c r="AI835">
        <v>128.29122049502141</v>
      </c>
      <c r="AJ835">
        <v>60939.511674968882</v>
      </c>
      <c r="AK835">
        <v>854.70085470085473</v>
      </c>
      <c r="AL835" t="s">
        <v>93</v>
      </c>
      <c r="AM835">
        <v>49712.847941820793</v>
      </c>
      <c r="AN835">
        <v>1743.7728589644501</v>
      </c>
      <c r="AO835">
        <v>21809.507484153641</v>
      </c>
      <c r="AP835">
        <v>113250.833330455</v>
      </c>
      <c r="AQ835">
        <v>91441.325846301348</v>
      </c>
      <c r="AR835">
        <v>2.0905155461666668E-2</v>
      </c>
      <c r="AS835">
        <v>426.14410762900661</v>
      </c>
      <c r="AT835">
        <v>347.63713462058251</v>
      </c>
      <c r="AU835">
        <v>12.19403484646428</v>
      </c>
      <c r="AV835">
        <v>152.5117751883846</v>
      </c>
      <c r="AW835">
        <v>791.95211745799963</v>
      </c>
      <c r="AX835">
        <v>639.44034226961503</v>
      </c>
      <c r="AY835">
        <v>0.97764066274307138</v>
      </c>
      <c r="AZ835" t="s">
        <v>130</v>
      </c>
      <c r="BA835" t="str">
        <f>VLOOKUP($AZ835,Sheet1!$A$2:$B$58,2)</f>
        <v>Glycolate</v>
      </c>
      <c r="BB835" t="s">
        <v>180</v>
      </c>
      <c r="BC835">
        <v>75.041920000000005</v>
      </c>
      <c r="BD835">
        <v>2.5</v>
      </c>
      <c r="BE835">
        <v>112</v>
      </c>
      <c r="BF835" t="s">
        <v>212</v>
      </c>
      <c r="BG835">
        <v>0</v>
      </c>
      <c r="BH835">
        <v>0.12210526315789499</v>
      </c>
      <c r="BI835">
        <v>0.190511996645361</v>
      </c>
      <c r="BJ835">
        <v>80</v>
      </c>
      <c r="BK835">
        <v>5196.2089750456907</v>
      </c>
      <c r="BL835">
        <v>4195.5385587865121</v>
      </c>
      <c r="BM835">
        <v>6.4145610247510696</v>
      </c>
      <c r="BN835">
        <v>1090.4753742076821</v>
      </c>
      <c r="BO835">
        <v>4105.7336008380089</v>
      </c>
    </row>
    <row r="836" spans="1:67" x14ac:dyDescent="0.25">
      <c r="A836" s="1">
        <v>834</v>
      </c>
      <c r="B836" t="s">
        <v>76</v>
      </c>
      <c r="C836" t="s">
        <v>85</v>
      </c>
      <c r="D836">
        <v>1</v>
      </c>
      <c r="E836">
        <v>1</v>
      </c>
      <c r="F836">
        <v>2</v>
      </c>
      <c r="G836">
        <v>45.016539999999999</v>
      </c>
      <c r="H836">
        <v>2</v>
      </c>
      <c r="I836" t="s">
        <v>89</v>
      </c>
      <c r="J836">
        <v>4</v>
      </c>
      <c r="K836">
        <v>300</v>
      </c>
      <c r="L836">
        <v>33.333333333333329</v>
      </c>
      <c r="N836" t="s">
        <v>91</v>
      </c>
      <c r="O836">
        <v>66.666666666666671</v>
      </c>
      <c r="P836">
        <v>0.1666666666666666</v>
      </c>
      <c r="Q836">
        <v>3.2500000000000001E-2</v>
      </c>
      <c r="R836">
        <v>77.5</v>
      </c>
      <c r="S836">
        <v>170</v>
      </c>
      <c r="T836">
        <v>20</v>
      </c>
      <c r="U836">
        <v>1812.1301775147931</v>
      </c>
      <c r="V836">
        <v>20</v>
      </c>
      <c r="W836">
        <v>0.95</v>
      </c>
      <c r="X836">
        <v>1</v>
      </c>
      <c r="Y836">
        <v>109085.3711755768</v>
      </c>
      <c r="Z836">
        <v>327256113.5267303</v>
      </c>
      <c r="AA836">
        <v>1309024454.106921</v>
      </c>
      <c r="AB836">
        <v>1309024.4541069211</v>
      </c>
      <c r="AC836">
        <v>0</v>
      </c>
      <c r="AD836">
        <v>3391.7705799482219</v>
      </c>
      <c r="AE836">
        <v>6105187.0439068004</v>
      </c>
      <c r="AF836">
        <v>2035062.3479689329</v>
      </c>
      <c r="AG836">
        <v>91.611465589837408</v>
      </c>
      <c r="AH836">
        <v>447.81546967056357</v>
      </c>
      <c r="AI836">
        <v>89.563093934112729</v>
      </c>
      <c r="AJ836">
        <v>42543.294758474927</v>
      </c>
      <c r="AK836">
        <v>854.70085470085473</v>
      </c>
      <c r="AL836" t="s">
        <v>93</v>
      </c>
      <c r="AM836">
        <v>34705.698899468684</v>
      </c>
      <c r="AN836">
        <v>1217.3685133290171</v>
      </c>
      <c r="AO836">
        <v>15225.725968799159</v>
      </c>
      <c r="AP836">
        <v>79321.06302597349</v>
      </c>
      <c r="AQ836">
        <v>64095.337057174329</v>
      </c>
      <c r="AR836">
        <v>2.0905155461666668E-2</v>
      </c>
      <c r="AS836">
        <v>426.14410762900661</v>
      </c>
      <c r="AT836">
        <v>347.63713462058257</v>
      </c>
      <c r="AU836">
        <v>12.19403484646427</v>
      </c>
      <c r="AV836">
        <v>152.5117751883846</v>
      </c>
      <c r="AW836">
        <v>794.53657294970117</v>
      </c>
      <c r="AX836">
        <v>642.02479776131668</v>
      </c>
      <c r="AY836">
        <v>0.97764066274307149</v>
      </c>
      <c r="AZ836" t="s">
        <v>131</v>
      </c>
      <c r="BA836" t="str">
        <f>VLOOKUP($AZ836,Sheet1!$A$2:$B$58,2)</f>
        <v>Heptane</v>
      </c>
      <c r="BB836" t="s">
        <v>181</v>
      </c>
      <c r="BC836">
        <v>100.20034</v>
      </c>
      <c r="BD836">
        <v>6.2857142857142856</v>
      </c>
      <c r="BE836">
        <v>98</v>
      </c>
      <c r="BF836" t="s">
        <v>212</v>
      </c>
      <c r="BG836">
        <v>0.14640668883957991</v>
      </c>
      <c r="BH836">
        <v>0.13636363636363599</v>
      </c>
      <c r="BI836">
        <v>0.272891606296639</v>
      </c>
      <c r="BJ836">
        <v>80</v>
      </c>
      <c r="BK836">
        <v>3639.4329956324441</v>
      </c>
      <c r="BL836">
        <v>2940.8416333966588</v>
      </c>
      <c r="BM836">
        <v>4.3317480078660564</v>
      </c>
      <c r="BN836">
        <v>736.39716133722959</v>
      </c>
      <c r="BO836">
        <v>2903.035834295214</v>
      </c>
    </row>
    <row r="837" spans="1:67" x14ac:dyDescent="0.25">
      <c r="A837" s="1">
        <v>835</v>
      </c>
      <c r="B837" t="s">
        <v>76</v>
      </c>
      <c r="C837" t="s">
        <v>85</v>
      </c>
      <c r="D837">
        <v>1</v>
      </c>
      <c r="E837">
        <v>1</v>
      </c>
      <c r="F837">
        <v>2</v>
      </c>
      <c r="G837">
        <v>45.016539999999999</v>
      </c>
      <c r="H837">
        <v>2</v>
      </c>
      <c r="I837" t="s">
        <v>89</v>
      </c>
      <c r="J837">
        <v>4</v>
      </c>
      <c r="K837">
        <v>300</v>
      </c>
      <c r="L837">
        <v>33.333333333333329</v>
      </c>
      <c r="N837" t="s">
        <v>91</v>
      </c>
      <c r="O837">
        <v>66.666666666666671</v>
      </c>
      <c r="P837">
        <v>0.1666666666666666</v>
      </c>
      <c r="Q837">
        <v>3.2500000000000001E-2</v>
      </c>
      <c r="R837">
        <v>77.5</v>
      </c>
      <c r="S837">
        <v>170</v>
      </c>
      <c r="T837">
        <v>20</v>
      </c>
      <c r="U837">
        <v>1812.1301775147931</v>
      </c>
      <c r="V837">
        <v>20</v>
      </c>
      <c r="W837">
        <v>0.95</v>
      </c>
      <c r="X837">
        <v>1</v>
      </c>
      <c r="Y837">
        <v>109544.5002050402</v>
      </c>
      <c r="Z837">
        <v>328633500.61512059</v>
      </c>
      <c r="AA837">
        <v>1314534002.4604819</v>
      </c>
      <c r="AB837">
        <v>1314534.0024604821</v>
      </c>
      <c r="AC837">
        <v>0</v>
      </c>
      <c r="AD837">
        <v>3406.046191038437</v>
      </c>
      <c r="AE837">
        <v>6130883.1438691868</v>
      </c>
      <c r="AF837">
        <v>2043627.7146230619</v>
      </c>
      <c r="AG837">
        <v>91.99704876043765</v>
      </c>
      <c r="AH837">
        <v>449.70027860280459</v>
      </c>
      <c r="AI837">
        <v>89.940055720560935</v>
      </c>
      <c r="AJ837">
        <v>42722.355079965673</v>
      </c>
      <c r="AK837">
        <v>854.70085470085473</v>
      </c>
      <c r="AL837" t="s">
        <v>93</v>
      </c>
      <c r="AM837">
        <v>34851.771591717363</v>
      </c>
      <c r="AN837">
        <v>1222.492291320518</v>
      </c>
      <c r="AO837">
        <v>15289.809472495361</v>
      </c>
      <c r="AP837">
        <v>79651.319817704425</v>
      </c>
      <c r="AQ837">
        <v>64361.51034520907</v>
      </c>
      <c r="AR837">
        <v>2.0905155461666668E-2</v>
      </c>
      <c r="AS837">
        <v>426.14410762900661</v>
      </c>
      <c r="AT837">
        <v>347.63713462058257</v>
      </c>
      <c r="AU837">
        <v>12.19403484646428</v>
      </c>
      <c r="AV837">
        <v>152.5117751883846</v>
      </c>
      <c r="AW837">
        <v>794.50069036820378</v>
      </c>
      <c r="AX837">
        <v>641.98891517981895</v>
      </c>
      <c r="AY837">
        <v>0.9776406627430716</v>
      </c>
      <c r="AZ837" t="s">
        <v>132</v>
      </c>
      <c r="BA837" t="str">
        <f>VLOOKUP($AZ837,Sheet1!$A$2:$B$58,2)</f>
        <v>Hexane</v>
      </c>
      <c r="BB837" t="s">
        <v>182</v>
      </c>
      <c r="BC837">
        <v>86.173959999999994</v>
      </c>
      <c r="BD837">
        <v>6.333333333333333</v>
      </c>
      <c r="BE837">
        <v>69</v>
      </c>
      <c r="BF837" t="s">
        <v>212</v>
      </c>
      <c r="BG837">
        <v>0.17023704144500151</v>
      </c>
      <c r="BH837">
        <v>0.157894736842105</v>
      </c>
      <c r="BI837">
        <v>0.271747847749992</v>
      </c>
      <c r="BJ837">
        <v>80</v>
      </c>
      <c r="BK837">
        <v>3654.5859376002509</v>
      </c>
      <c r="BL837">
        <v>2953.0542766729141</v>
      </c>
      <c r="BM837">
        <v>4.3267657445830459</v>
      </c>
      <c r="BN837">
        <v>735.55017657911776</v>
      </c>
      <c r="BO837">
        <v>2919.0357610211331</v>
      </c>
    </row>
    <row r="838" spans="1:67" x14ac:dyDescent="0.25">
      <c r="A838" s="1">
        <v>836</v>
      </c>
      <c r="B838" t="s">
        <v>76</v>
      </c>
      <c r="C838" t="s">
        <v>85</v>
      </c>
      <c r="D838">
        <v>1</v>
      </c>
      <c r="E838">
        <v>1</v>
      </c>
      <c r="F838">
        <v>2</v>
      </c>
      <c r="G838">
        <v>45.016539999999999</v>
      </c>
      <c r="H838">
        <v>2</v>
      </c>
      <c r="I838" t="s">
        <v>89</v>
      </c>
      <c r="J838">
        <v>4</v>
      </c>
      <c r="K838">
        <v>300</v>
      </c>
      <c r="L838">
        <v>33.333333333333329</v>
      </c>
      <c r="N838" t="s">
        <v>91</v>
      </c>
      <c r="O838">
        <v>66.666666666666671</v>
      </c>
      <c r="P838">
        <v>0.1666666666666666</v>
      </c>
      <c r="Q838">
        <v>3.2500000000000001E-2</v>
      </c>
      <c r="R838">
        <v>77.5</v>
      </c>
      <c r="S838">
        <v>170</v>
      </c>
      <c r="T838">
        <v>20</v>
      </c>
      <c r="U838">
        <v>1812.1301775147931</v>
      </c>
      <c r="V838">
        <v>20</v>
      </c>
      <c r="W838">
        <v>0.95</v>
      </c>
      <c r="X838">
        <v>1</v>
      </c>
      <c r="Y838">
        <v>69220.588751765594</v>
      </c>
      <c r="Z838">
        <v>207661766.2552968</v>
      </c>
      <c r="AA838">
        <v>830647065.02118719</v>
      </c>
      <c r="AB838">
        <v>830647.06502118718</v>
      </c>
      <c r="AC838">
        <v>0</v>
      </c>
      <c r="AD838">
        <v>2152.262525440246</v>
      </c>
      <c r="AE838">
        <v>3874072.5457924418</v>
      </c>
      <c r="AF838">
        <v>1291357.515264147</v>
      </c>
      <c r="AG838">
        <v>58.13244724018908</v>
      </c>
      <c r="AH838">
        <v>284.1632212338755</v>
      </c>
      <c r="AI838">
        <v>56.832644246775097</v>
      </c>
      <c r="AJ838">
        <v>26996.029613188581</v>
      </c>
      <c r="AK838">
        <v>854.70085470085473</v>
      </c>
      <c r="AL838" t="s">
        <v>93</v>
      </c>
      <c r="AM838">
        <v>22022.649645625352</v>
      </c>
      <c r="AN838">
        <v>772.48639586022477</v>
      </c>
      <c r="AO838">
        <v>9661.549521951767</v>
      </c>
      <c r="AP838">
        <v>50645.86650937501</v>
      </c>
      <c r="AQ838">
        <v>40984.316987423241</v>
      </c>
      <c r="AR838">
        <v>2.0905155461666668E-2</v>
      </c>
      <c r="AS838">
        <v>426.14410762900673</v>
      </c>
      <c r="AT838">
        <v>347.63713462058269</v>
      </c>
      <c r="AU838">
        <v>12.19403484646427</v>
      </c>
      <c r="AV838">
        <v>152.5117751883846</v>
      </c>
      <c r="AW838">
        <v>799.46710305101931</v>
      </c>
      <c r="AX838">
        <v>646.95532786263482</v>
      </c>
      <c r="AY838">
        <v>0.97764066274307171</v>
      </c>
      <c r="AZ838" t="s">
        <v>133</v>
      </c>
      <c r="BA838" t="str">
        <f>VLOOKUP($AZ838,Sheet1!$A$2:$B$58,2)</f>
        <v>Isobutanol</v>
      </c>
      <c r="BB838" t="s">
        <v>183</v>
      </c>
      <c r="BC838">
        <v>86.130899999999997</v>
      </c>
      <c r="BD838">
        <v>5.6</v>
      </c>
      <c r="BE838">
        <v>108</v>
      </c>
      <c r="BF838" t="s">
        <v>212</v>
      </c>
      <c r="BG838">
        <v>0</v>
      </c>
      <c r="BH838">
        <v>0.25</v>
      </c>
      <c r="BI838">
        <v>0.430052426602756</v>
      </c>
      <c r="BJ838">
        <v>80</v>
      </c>
      <c r="BK838">
        <v>2323.7489594190092</v>
      </c>
      <c r="BL838">
        <v>1880.454823186692</v>
      </c>
      <c r="BM838">
        <v>2.8416322123387552</v>
      </c>
      <c r="BN838">
        <v>483.07747609758832</v>
      </c>
      <c r="BO838">
        <v>1840.671483321421</v>
      </c>
    </row>
    <row r="839" spans="1:67" x14ac:dyDescent="0.25">
      <c r="A839" s="1">
        <v>837</v>
      </c>
      <c r="B839" t="s">
        <v>76</v>
      </c>
      <c r="C839" t="s">
        <v>85</v>
      </c>
      <c r="D839">
        <v>1</v>
      </c>
      <c r="E839">
        <v>1</v>
      </c>
      <c r="F839">
        <v>2</v>
      </c>
      <c r="G839">
        <v>45.016539999999999</v>
      </c>
      <c r="H839">
        <v>2</v>
      </c>
      <c r="I839" t="s">
        <v>89</v>
      </c>
      <c r="J839">
        <v>4</v>
      </c>
      <c r="K839">
        <v>300</v>
      </c>
      <c r="L839">
        <v>33.333333333333329</v>
      </c>
      <c r="N839" t="s">
        <v>91</v>
      </c>
      <c r="O839">
        <v>66.666666666666671</v>
      </c>
      <c r="P839">
        <v>0.1666666666666666</v>
      </c>
      <c r="Q839">
        <v>3.2500000000000001E-2</v>
      </c>
      <c r="R839">
        <v>77.5</v>
      </c>
      <c r="S839">
        <v>170</v>
      </c>
      <c r="T839">
        <v>20</v>
      </c>
      <c r="U839">
        <v>1812.1301775147931</v>
      </c>
      <c r="V839">
        <v>20</v>
      </c>
      <c r="W839">
        <v>0.95</v>
      </c>
      <c r="X839">
        <v>1</v>
      </c>
      <c r="Y839">
        <v>67072.981573582379</v>
      </c>
      <c r="Z839">
        <v>201218944.72074711</v>
      </c>
      <c r="AA839">
        <v>804875778.88298845</v>
      </c>
      <c r="AB839">
        <v>804875.7788829885</v>
      </c>
      <c r="AC839">
        <v>0</v>
      </c>
      <c r="AD839">
        <v>2085.4873862465279</v>
      </c>
      <c r="AE839">
        <v>3753877.2952437499</v>
      </c>
      <c r="AF839">
        <v>1251292.4317479159</v>
      </c>
      <c r="AG839">
        <v>56.328855805477353</v>
      </c>
      <c r="AH839">
        <v>275.346899606129</v>
      </c>
      <c r="AI839">
        <v>55.069379921225803</v>
      </c>
      <c r="AJ839">
        <v>26158.46281369713</v>
      </c>
      <c r="AK839">
        <v>854.70085470085473</v>
      </c>
      <c r="AL839" t="s">
        <v>93</v>
      </c>
      <c r="AM839">
        <v>21339.384719475001</v>
      </c>
      <c r="AN839">
        <v>748.51957675749088</v>
      </c>
      <c r="AO839">
        <v>9361.7945866083865</v>
      </c>
      <c r="AP839">
        <v>49101.067964630471</v>
      </c>
      <c r="AQ839">
        <v>39739.273378022088</v>
      </c>
      <c r="AR839">
        <v>2.0905155461666668E-2</v>
      </c>
      <c r="AS839">
        <v>426.14410762900673</v>
      </c>
      <c r="AT839">
        <v>347.63713462058269</v>
      </c>
      <c r="AU839">
        <v>12.19403484646428</v>
      </c>
      <c r="AV839">
        <v>152.51177518838469</v>
      </c>
      <c r="AW839">
        <v>799.89909729949193</v>
      </c>
      <c r="AX839">
        <v>647.38732211110732</v>
      </c>
      <c r="AY839">
        <v>0.97764066274307182</v>
      </c>
      <c r="AZ839" t="s">
        <v>134</v>
      </c>
      <c r="BA839" t="str">
        <f>VLOOKUP($AZ839,Sheet1!$A$2:$B$58,2)</f>
        <v>Isobutyrate</v>
      </c>
      <c r="BB839" t="s">
        <v>170</v>
      </c>
      <c r="BC839">
        <v>87.095680000000002</v>
      </c>
      <c r="BD839">
        <v>4.75</v>
      </c>
      <c r="BE839">
        <v>155</v>
      </c>
      <c r="BF839" t="s">
        <v>212</v>
      </c>
      <c r="BG839">
        <v>0</v>
      </c>
      <c r="BH839">
        <v>0.25</v>
      </c>
      <c r="BI839">
        <v>0.44382225845903001</v>
      </c>
      <c r="BJ839">
        <v>80</v>
      </c>
      <c r="BK839">
        <v>2252.870045535728</v>
      </c>
      <c r="BL839">
        <v>1823.329355874534</v>
      </c>
      <c r="BM839">
        <v>2.7534689960612901</v>
      </c>
      <c r="BN839">
        <v>468.08972933041917</v>
      </c>
      <c r="BO839">
        <v>1784.780316205309</v>
      </c>
    </row>
    <row r="840" spans="1:67" x14ac:dyDescent="0.25">
      <c r="A840" s="1">
        <v>838</v>
      </c>
      <c r="B840" t="s">
        <v>76</v>
      </c>
      <c r="C840" t="s">
        <v>85</v>
      </c>
      <c r="D840">
        <v>1</v>
      </c>
      <c r="E840">
        <v>1</v>
      </c>
      <c r="F840">
        <v>2</v>
      </c>
      <c r="G840">
        <v>45.016539999999999</v>
      </c>
      <c r="H840">
        <v>2</v>
      </c>
      <c r="I840" t="s">
        <v>89</v>
      </c>
      <c r="J840">
        <v>4</v>
      </c>
      <c r="K840">
        <v>300</v>
      </c>
      <c r="L840">
        <v>33.333333333333329</v>
      </c>
      <c r="N840" t="s">
        <v>91</v>
      </c>
      <c r="O840">
        <v>66.666666666666671</v>
      </c>
      <c r="P840">
        <v>0.1666666666666666</v>
      </c>
      <c r="Q840">
        <v>3.2500000000000001E-2</v>
      </c>
      <c r="R840">
        <v>77.5</v>
      </c>
      <c r="S840">
        <v>170</v>
      </c>
      <c r="T840">
        <v>20</v>
      </c>
      <c r="U840">
        <v>1812.1301775147931</v>
      </c>
      <c r="V840">
        <v>20</v>
      </c>
      <c r="W840">
        <v>0.95</v>
      </c>
      <c r="X840">
        <v>1</v>
      </c>
      <c r="Y840">
        <v>225481.02239632531</v>
      </c>
      <c r="Z840">
        <v>676443067.18897605</v>
      </c>
      <c r="AA840">
        <v>2705772268.7559042</v>
      </c>
      <c r="AB840">
        <v>2705772.2687559039</v>
      </c>
      <c r="AC840">
        <v>66773.504273504266</v>
      </c>
      <c r="AD840">
        <v>7010.8382990196023</v>
      </c>
      <c r="AE840">
        <v>12619508.938235279</v>
      </c>
      <c r="AF840">
        <v>4206502.9794117603</v>
      </c>
      <c r="AG840">
        <v>189.36220963280871</v>
      </c>
      <c r="AH840">
        <v>925.64098061955769</v>
      </c>
      <c r="AI840">
        <v>185.12819612391161</v>
      </c>
      <c r="AJ840">
        <v>87937.598734566898</v>
      </c>
      <c r="AK840">
        <v>2170.1388888888891</v>
      </c>
      <c r="AL840" t="s">
        <v>95</v>
      </c>
      <c r="AM840">
        <v>71737.175998015722</v>
      </c>
      <c r="AN840">
        <v>2516.3181282732621</v>
      </c>
      <c r="AO840">
        <v>31471.79334106496</v>
      </c>
      <c r="AP840">
        <v>164361.23174974479</v>
      </c>
      <c r="AQ840">
        <v>132889.43840867979</v>
      </c>
      <c r="AR840">
        <v>2.0905155461666679E-2</v>
      </c>
      <c r="AS840">
        <v>426.14410762900678</v>
      </c>
      <c r="AT840">
        <v>347.63713462058257</v>
      </c>
      <c r="AU840">
        <v>12.19403484646428</v>
      </c>
      <c r="AV840">
        <v>152.5117751883846</v>
      </c>
      <c r="AW840">
        <v>796.4917332370494</v>
      </c>
      <c r="AX840">
        <v>643.97995804866491</v>
      </c>
      <c r="AY840">
        <v>0.9776406627430716</v>
      </c>
      <c r="AZ840" t="s">
        <v>135</v>
      </c>
      <c r="BA840" t="str">
        <f>VLOOKUP($AZ840,Sheet1!$A$2:$B$58,2)</f>
        <v>Isoprene</v>
      </c>
      <c r="BB840" t="s">
        <v>184</v>
      </c>
      <c r="BC840">
        <v>68.116219999999998</v>
      </c>
      <c r="BD840">
        <v>5.6</v>
      </c>
      <c r="BE840">
        <v>34.07</v>
      </c>
      <c r="BF840" t="s">
        <v>212</v>
      </c>
      <c r="BG840">
        <v>0</v>
      </c>
      <c r="BH840">
        <v>9.6666666666666803E-2</v>
      </c>
      <c r="BI840">
        <v>0.132022118079829</v>
      </c>
      <c r="BJ840">
        <v>80</v>
      </c>
      <c r="BK840">
        <v>7541.2717280016632</v>
      </c>
      <c r="BL840">
        <v>6097.2733907669317</v>
      </c>
      <c r="BM840">
        <v>9.2564098061955775</v>
      </c>
      <c r="BN840">
        <v>1573.5896670532479</v>
      </c>
      <c r="BO840">
        <v>5967.6820609484148</v>
      </c>
    </row>
    <row r="841" spans="1:67" x14ac:dyDescent="0.25">
      <c r="A841" s="1">
        <v>839</v>
      </c>
      <c r="B841" t="s">
        <v>76</v>
      </c>
      <c r="C841" t="s">
        <v>85</v>
      </c>
      <c r="D841">
        <v>1</v>
      </c>
      <c r="E841">
        <v>1</v>
      </c>
      <c r="F841">
        <v>2</v>
      </c>
      <c r="G841">
        <v>45.016539999999999</v>
      </c>
      <c r="H841">
        <v>2</v>
      </c>
      <c r="I841" t="s">
        <v>89</v>
      </c>
      <c r="J841">
        <v>4</v>
      </c>
      <c r="K841">
        <v>300</v>
      </c>
      <c r="L841">
        <v>33.333333333333329</v>
      </c>
      <c r="N841" t="s">
        <v>91</v>
      </c>
      <c r="O841">
        <v>66.666666666666671</v>
      </c>
      <c r="P841">
        <v>0.1666666666666666</v>
      </c>
      <c r="Q841">
        <v>3.2500000000000001E-2</v>
      </c>
      <c r="R841">
        <v>77.5</v>
      </c>
      <c r="S841">
        <v>170</v>
      </c>
      <c r="T841">
        <v>20</v>
      </c>
      <c r="U841">
        <v>1812.1301775147931</v>
      </c>
      <c r="V841">
        <v>20</v>
      </c>
      <c r="W841">
        <v>0.95</v>
      </c>
      <c r="X841">
        <v>1</v>
      </c>
      <c r="Y841">
        <v>74409.044154450326</v>
      </c>
      <c r="Z841">
        <v>223227132.46335101</v>
      </c>
      <c r="AA841">
        <v>892908529.85340393</v>
      </c>
      <c r="AB841">
        <v>892908.52985340392</v>
      </c>
      <c r="AC841">
        <v>0</v>
      </c>
      <c r="AD841">
        <v>2313.5861768203631</v>
      </c>
      <c r="AE841">
        <v>4164455.1182766538</v>
      </c>
      <c r="AF841">
        <v>1388151.7060922179</v>
      </c>
      <c r="AG841">
        <v>62.48978680336856</v>
      </c>
      <c r="AH841">
        <v>305.46278292559242</v>
      </c>
      <c r="AI841">
        <v>61.092556585118487</v>
      </c>
      <c r="AJ841">
        <v>29019.527220235628</v>
      </c>
      <c r="AK841">
        <v>854.70085470085473</v>
      </c>
      <c r="AL841" t="s">
        <v>93</v>
      </c>
      <c r="AM841">
        <v>23673.365676733411</v>
      </c>
      <c r="AN841">
        <v>830.38840574451967</v>
      </c>
      <c r="AO841">
        <v>10385.73461947014</v>
      </c>
      <c r="AP841">
        <v>54377.982157414423</v>
      </c>
      <c r="AQ841">
        <v>43992.247537944277</v>
      </c>
      <c r="AR841">
        <v>2.0905155461666668E-2</v>
      </c>
      <c r="AS841">
        <v>426.14410762900661</v>
      </c>
      <c r="AT841">
        <v>347.63713462058257</v>
      </c>
      <c r="AU841">
        <v>12.19403484646427</v>
      </c>
      <c r="AV841">
        <v>152.5117751883846</v>
      </c>
      <c r="AW841">
        <v>798.52633384663591</v>
      </c>
      <c r="AX841">
        <v>646.0145586582513</v>
      </c>
      <c r="AY841">
        <v>0.9776406627430716</v>
      </c>
      <c r="AZ841" t="s">
        <v>136</v>
      </c>
      <c r="BA841" t="str">
        <f>VLOOKUP($AZ841,Sheet1!$A$2:$B$58,2)</f>
        <v>Isopropanol</v>
      </c>
      <c r="BB841" t="s">
        <v>156</v>
      </c>
      <c r="BC841">
        <v>60.093820000000001</v>
      </c>
      <c r="BD841">
        <v>6</v>
      </c>
      <c r="BE841">
        <v>82.5</v>
      </c>
      <c r="BF841" t="s">
        <v>212</v>
      </c>
      <c r="BG841">
        <v>0</v>
      </c>
      <c r="BH841">
        <v>0.33333333333333298</v>
      </c>
      <c r="BI841">
        <v>0.400065375141468</v>
      </c>
      <c r="BJ841">
        <v>80</v>
      </c>
      <c r="BK841">
        <v>2494.9870179475888</v>
      </c>
      <c r="BL841">
        <v>2018.4656021213179</v>
      </c>
      <c r="BM841">
        <v>3.0546278292559248</v>
      </c>
      <c r="BN841">
        <v>519.28673097350725</v>
      </c>
      <c r="BO841">
        <v>1975.700286974082</v>
      </c>
    </row>
    <row r="842" spans="1:67" x14ac:dyDescent="0.25">
      <c r="A842" s="1">
        <v>840</v>
      </c>
      <c r="B842" t="s">
        <v>76</v>
      </c>
      <c r="C842" t="s">
        <v>85</v>
      </c>
      <c r="D842">
        <v>1</v>
      </c>
      <c r="E842">
        <v>1</v>
      </c>
      <c r="F842">
        <v>2</v>
      </c>
      <c r="G842">
        <v>45.016539999999999</v>
      </c>
      <c r="H842">
        <v>2</v>
      </c>
      <c r="I842" t="s">
        <v>89</v>
      </c>
      <c r="J842">
        <v>4</v>
      </c>
      <c r="K842">
        <v>300</v>
      </c>
      <c r="L842">
        <v>33.333333333333329</v>
      </c>
      <c r="N842" t="s">
        <v>91</v>
      </c>
      <c r="O842">
        <v>66.666666666666671</v>
      </c>
      <c r="P842">
        <v>0.1666666666666666</v>
      </c>
      <c r="Q842">
        <v>3.2500000000000001E-2</v>
      </c>
      <c r="R842">
        <v>77.5</v>
      </c>
      <c r="S842">
        <v>170</v>
      </c>
      <c r="T842">
        <v>20</v>
      </c>
      <c r="U842">
        <v>1812.1301775147931</v>
      </c>
      <c r="V842">
        <v>20</v>
      </c>
      <c r="W842">
        <v>0.95</v>
      </c>
      <c r="X842">
        <v>1</v>
      </c>
      <c r="Y842">
        <v>84963.992987767037</v>
      </c>
      <c r="Z842">
        <v>254891978.96330109</v>
      </c>
      <c r="AA842">
        <v>1019567915.853204</v>
      </c>
      <c r="AB842">
        <v>1019567.915853204</v>
      </c>
      <c r="AC842">
        <v>0</v>
      </c>
      <c r="AD842">
        <v>2641.7691819281799</v>
      </c>
      <c r="AE842">
        <v>4755184.5274707247</v>
      </c>
      <c r="AF842">
        <v>1585061.5091569079</v>
      </c>
      <c r="AG842">
        <v>71.353984829422316</v>
      </c>
      <c r="AH842">
        <v>348.79278508997749</v>
      </c>
      <c r="AI842">
        <v>69.7585570179955</v>
      </c>
      <c r="AJ842">
        <v>33135.957265229154</v>
      </c>
      <c r="AK842">
        <v>854.70085470085473</v>
      </c>
      <c r="AL842" t="s">
        <v>93</v>
      </c>
      <c r="AM842">
        <v>27031.440844473251</v>
      </c>
      <c r="AN842">
        <v>948.1792903609113</v>
      </c>
      <c r="AO842">
        <v>11858.954693059241</v>
      </c>
      <c r="AP842">
        <v>61970.278254764162</v>
      </c>
      <c r="AQ842">
        <v>50111.323561704929</v>
      </c>
      <c r="AR842">
        <v>2.0905155461666668E-2</v>
      </c>
      <c r="AS842">
        <v>426.14410762900661</v>
      </c>
      <c r="AT842">
        <v>347.63713462058257</v>
      </c>
      <c r="AU842">
        <v>12.19403484646428</v>
      </c>
      <c r="AV842">
        <v>152.5117751883846</v>
      </c>
      <c r="AW842">
        <v>796.96713497723329</v>
      </c>
      <c r="AX842">
        <v>644.45535978884868</v>
      </c>
      <c r="AY842">
        <v>0.97764066274307149</v>
      </c>
      <c r="AZ842" t="s">
        <v>137</v>
      </c>
      <c r="BA842" t="str">
        <f>VLOOKUP($AZ842,Sheet1!$A$2:$B$58,2)</f>
        <v>Itaconate</v>
      </c>
      <c r="BB842" t="s">
        <v>185</v>
      </c>
      <c r="BC842">
        <v>128.08086</v>
      </c>
      <c r="BD842">
        <v>3.2</v>
      </c>
      <c r="BE842">
        <v>381</v>
      </c>
      <c r="BF842" t="s">
        <v>212</v>
      </c>
      <c r="BG842">
        <v>0</v>
      </c>
      <c r="BH842">
        <v>0.13257142857142801</v>
      </c>
      <c r="BI842">
        <v>0.350365856367582</v>
      </c>
      <c r="BJ842">
        <v>80</v>
      </c>
      <c r="BK842">
        <v>2843.3390429356832</v>
      </c>
      <c r="BL842">
        <v>2299.2228982806701</v>
      </c>
      <c r="BM842">
        <v>3.4879278508997751</v>
      </c>
      <c r="BN842">
        <v>592.94773465296169</v>
      </c>
      <c r="BO842">
        <v>2250.3913082827212</v>
      </c>
    </row>
    <row r="843" spans="1:67" x14ac:dyDescent="0.25">
      <c r="A843" s="1">
        <v>841</v>
      </c>
      <c r="B843" t="s">
        <v>76</v>
      </c>
      <c r="C843" t="s">
        <v>85</v>
      </c>
      <c r="D843">
        <v>1</v>
      </c>
      <c r="E843">
        <v>1</v>
      </c>
      <c r="F843">
        <v>2</v>
      </c>
      <c r="G843">
        <v>45.016539999999999</v>
      </c>
      <c r="H843">
        <v>2</v>
      </c>
      <c r="I843" t="s">
        <v>89</v>
      </c>
      <c r="J843">
        <v>4</v>
      </c>
      <c r="K843">
        <v>300</v>
      </c>
      <c r="L843">
        <v>33.333333333333329</v>
      </c>
      <c r="N843" t="s">
        <v>91</v>
      </c>
      <c r="O843">
        <v>66.666666666666671</v>
      </c>
      <c r="P843">
        <v>0.1666666666666666</v>
      </c>
      <c r="Q843">
        <v>3.2500000000000001E-2</v>
      </c>
      <c r="R843">
        <v>77.5</v>
      </c>
      <c r="S843">
        <v>170</v>
      </c>
      <c r="T843">
        <v>20</v>
      </c>
      <c r="U843">
        <v>1812.1301775147931</v>
      </c>
      <c r="V843">
        <v>20</v>
      </c>
      <c r="W843">
        <v>0.95</v>
      </c>
      <c r="X843">
        <v>1</v>
      </c>
      <c r="Y843">
        <v>220765.1096331382</v>
      </c>
      <c r="Z843">
        <v>662295328.89941454</v>
      </c>
      <c r="AA843">
        <v>2649181315.5976582</v>
      </c>
      <c r="AB843">
        <v>2649181.315597658</v>
      </c>
      <c r="AC843">
        <v>0</v>
      </c>
      <c r="AD843">
        <v>6864.2073255407149</v>
      </c>
      <c r="AE843">
        <v>12355573.18597329</v>
      </c>
      <c r="AF843">
        <v>4118524.3953244281</v>
      </c>
      <c r="AG843">
        <v>185.4017181830979</v>
      </c>
      <c r="AH843">
        <v>906.28129319114032</v>
      </c>
      <c r="AI843">
        <v>181.2562586382281</v>
      </c>
      <c r="AJ843">
        <v>86098.392756923888</v>
      </c>
      <c r="AK843">
        <v>854.70085470085473</v>
      </c>
      <c r="AL843" t="s">
        <v>93</v>
      </c>
      <c r="AM843">
        <v>70236.800222313381</v>
      </c>
      <c r="AN843">
        <v>2463.6895892891471</v>
      </c>
      <c r="AO843">
        <v>30813.563968498769</v>
      </c>
      <c r="AP843">
        <v>159653.58342322719</v>
      </c>
      <c r="AQ843">
        <v>128840.01945472851</v>
      </c>
      <c r="AR843">
        <v>2.0905155461666668E-2</v>
      </c>
      <c r="AS843">
        <v>426.14410762900661</v>
      </c>
      <c r="AT843">
        <v>347.63713462058269</v>
      </c>
      <c r="AU843">
        <v>12.19403484646428</v>
      </c>
      <c r="AV843">
        <v>152.51177518838469</v>
      </c>
      <c r="AW843">
        <v>790.20562009495882</v>
      </c>
      <c r="AX843">
        <v>637.6938449065741</v>
      </c>
      <c r="AY843">
        <v>0.97764066274307171</v>
      </c>
      <c r="AZ843" t="s">
        <v>138</v>
      </c>
      <c r="BA843" t="str">
        <f>VLOOKUP($AZ843,Sheet1!$A$2:$B$58,2)</f>
        <v>Limonene</v>
      </c>
      <c r="BB843" t="s">
        <v>186</v>
      </c>
      <c r="BC843">
        <v>136.23244</v>
      </c>
      <c r="BD843">
        <v>5.6</v>
      </c>
      <c r="BE843">
        <v>176</v>
      </c>
      <c r="BF843" t="s">
        <v>212</v>
      </c>
      <c r="BG843">
        <v>0</v>
      </c>
      <c r="BH843">
        <v>4.9361702127659599E-2</v>
      </c>
      <c r="BI843">
        <v>0.13484233180250599</v>
      </c>
      <c r="BJ843">
        <v>80</v>
      </c>
      <c r="BK843">
        <v>7325.2739841772845</v>
      </c>
      <c r="BL843">
        <v>5911.4767260232402</v>
      </c>
      <c r="BM843">
        <v>9.0628129319114041</v>
      </c>
      <c r="BN843">
        <v>1540.678198424939</v>
      </c>
      <c r="BO843">
        <v>5784.5957857523463</v>
      </c>
    </row>
    <row r="844" spans="1:67" x14ac:dyDescent="0.25">
      <c r="A844" s="1">
        <v>842</v>
      </c>
      <c r="B844" t="s">
        <v>76</v>
      </c>
      <c r="C844" t="s">
        <v>85</v>
      </c>
      <c r="D844">
        <v>1</v>
      </c>
      <c r="E844">
        <v>1</v>
      </c>
      <c r="F844">
        <v>2</v>
      </c>
      <c r="G844">
        <v>45.016539999999999</v>
      </c>
      <c r="H844">
        <v>2</v>
      </c>
      <c r="I844" t="s">
        <v>89</v>
      </c>
      <c r="J844">
        <v>4</v>
      </c>
      <c r="K844">
        <v>300</v>
      </c>
      <c r="L844">
        <v>33.333333333333329</v>
      </c>
      <c r="N844" t="s">
        <v>91</v>
      </c>
      <c r="O844">
        <v>66.666666666666671</v>
      </c>
      <c r="P844">
        <v>0.1666666666666666</v>
      </c>
      <c r="Q844">
        <v>3.2500000000000001E-2</v>
      </c>
      <c r="R844">
        <v>77.5</v>
      </c>
      <c r="S844">
        <v>170</v>
      </c>
      <c r="T844">
        <v>20</v>
      </c>
      <c r="U844">
        <v>1812.1301775147931</v>
      </c>
      <c r="V844">
        <v>20</v>
      </c>
      <c r="W844">
        <v>0.95</v>
      </c>
      <c r="X844">
        <v>1</v>
      </c>
      <c r="Y844">
        <v>90025.470047487965</v>
      </c>
      <c r="Z844">
        <v>270076410.14246392</v>
      </c>
      <c r="AA844">
        <v>1080305640.569855</v>
      </c>
      <c r="AB844">
        <v>1080305.640569855</v>
      </c>
      <c r="AC844">
        <v>0</v>
      </c>
      <c r="AD844">
        <v>2799.1447199791319</v>
      </c>
      <c r="AE844">
        <v>5038460.4959624382</v>
      </c>
      <c r="AF844">
        <v>1679486.831987479</v>
      </c>
      <c r="AG844">
        <v>75.604686151637623</v>
      </c>
      <c r="AH844">
        <v>369.57107737884468</v>
      </c>
      <c r="AI844">
        <v>73.914215475768955</v>
      </c>
      <c r="AJ844">
        <v>35109.933318520307</v>
      </c>
      <c r="AK844">
        <v>854.70085470085473</v>
      </c>
      <c r="AL844" t="s">
        <v>93</v>
      </c>
      <c r="AM844">
        <v>28641.758496860471</v>
      </c>
      <c r="AN844">
        <v>1004.664250140935</v>
      </c>
      <c r="AO844">
        <v>12565.41663088072</v>
      </c>
      <c r="AP844">
        <v>65611.056920222574</v>
      </c>
      <c r="AQ844">
        <v>53045.640289341864</v>
      </c>
      <c r="AR844">
        <v>2.0905155461666679E-2</v>
      </c>
      <c r="AS844">
        <v>426.14410762900678</v>
      </c>
      <c r="AT844">
        <v>347.63713462058269</v>
      </c>
      <c r="AU844">
        <v>12.19403484646428</v>
      </c>
      <c r="AV844">
        <v>152.51177518838469</v>
      </c>
      <c r="AW844">
        <v>796.34914279702127</v>
      </c>
      <c r="AX844">
        <v>643.83736760863644</v>
      </c>
      <c r="AY844">
        <v>0.97764066274307193</v>
      </c>
      <c r="AZ844" t="s">
        <v>139</v>
      </c>
      <c r="BA844" t="str">
        <f>VLOOKUP($AZ844,Sheet1!$A$2:$B$58,2)</f>
        <v>L-Lysine</v>
      </c>
      <c r="BB844" t="s">
        <v>187</v>
      </c>
      <c r="BC844">
        <v>147.19319999999999</v>
      </c>
      <c r="BD844">
        <v>4.833333333333333</v>
      </c>
      <c r="BF844" t="s">
        <v>212</v>
      </c>
      <c r="BG844">
        <v>0</v>
      </c>
      <c r="BH844">
        <v>0.11047619047619001</v>
      </c>
      <c r="BI844">
        <v>0.33066733389856801</v>
      </c>
      <c r="BJ844">
        <v>80</v>
      </c>
      <c r="BK844">
        <v>3010.386350414723</v>
      </c>
      <c r="BL844">
        <v>2433.8561055373748</v>
      </c>
      <c r="BM844">
        <v>3.695710773788448</v>
      </c>
      <c r="BN844">
        <v>628.27083154403613</v>
      </c>
      <c r="BO844">
        <v>2382.1155188706862</v>
      </c>
    </row>
    <row r="845" spans="1:67" x14ac:dyDescent="0.25">
      <c r="A845" s="1">
        <v>843</v>
      </c>
      <c r="B845" t="s">
        <v>76</v>
      </c>
      <c r="C845" t="s">
        <v>85</v>
      </c>
      <c r="D845">
        <v>1</v>
      </c>
      <c r="E845">
        <v>1</v>
      </c>
      <c r="F845">
        <v>2</v>
      </c>
      <c r="G845">
        <v>45.016539999999999</v>
      </c>
      <c r="H845">
        <v>2</v>
      </c>
      <c r="I845" t="s">
        <v>89</v>
      </c>
      <c r="J845">
        <v>4</v>
      </c>
      <c r="K845">
        <v>300</v>
      </c>
      <c r="L845">
        <v>33.333333333333329</v>
      </c>
      <c r="N845" t="s">
        <v>91</v>
      </c>
      <c r="O845">
        <v>66.666666666666671</v>
      </c>
      <c r="P845">
        <v>0.1666666666666666</v>
      </c>
      <c r="Q845">
        <v>3.2500000000000001E-2</v>
      </c>
      <c r="R845">
        <v>77.5</v>
      </c>
      <c r="S845">
        <v>170</v>
      </c>
      <c r="T845">
        <v>20</v>
      </c>
      <c r="U845">
        <v>1812.1301775147931</v>
      </c>
      <c r="V845">
        <v>20</v>
      </c>
      <c r="W845">
        <v>0.95</v>
      </c>
      <c r="X845">
        <v>1</v>
      </c>
      <c r="Y845">
        <v>70236.764847426515</v>
      </c>
      <c r="Z845">
        <v>210710294.5422796</v>
      </c>
      <c r="AA845">
        <v>842841178.16911829</v>
      </c>
      <c r="AB845">
        <v>842841.17816911824</v>
      </c>
      <c r="AC845">
        <v>0</v>
      </c>
      <c r="AD845">
        <v>2183.8582944069381</v>
      </c>
      <c r="AE845">
        <v>3930944.9299324881</v>
      </c>
      <c r="AF845">
        <v>1310314.9766441621</v>
      </c>
      <c r="AG845">
        <v>58.985846558700999</v>
      </c>
      <c r="AH845">
        <v>288.33481061054789</v>
      </c>
      <c r="AI845">
        <v>57.666962122109588</v>
      </c>
      <c r="AJ845">
        <v>27392.33829049634</v>
      </c>
      <c r="AK845">
        <v>854.70085470085473</v>
      </c>
      <c r="AL845" t="s">
        <v>93</v>
      </c>
      <c r="AM845">
        <v>22345.94782231747</v>
      </c>
      <c r="AN845">
        <v>783.82669538456832</v>
      </c>
      <c r="AO845">
        <v>9803.3835607586298</v>
      </c>
      <c r="AP845">
        <v>51376.813662899229</v>
      </c>
      <c r="AQ845">
        <v>41573.430102140599</v>
      </c>
      <c r="AR845">
        <v>2.0905155461666668E-2</v>
      </c>
      <c r="AS845">
        <v>426.14410762900661</v>
      </c>
      <c r="AT845">
        <v>347.63713462058269</v>
      </c>
      <c r="AU845">
        <v>12.19403484646427</v>
      </c>
      <c r="AV845">
        <v>152.51177518838469</v>
      </c>
      <c r="AW845">
        <v>799.27190512224206</v>
      </c>
      <c r="AX845">
        <v>646.76012993385723</v>
      </c>
      <c r="AY845">
        <v>0.97764066274307182</v>
      </c>
      <c r="AZ845" t="s">
        <v>140</v>
      </c>
      <c r="BA845" t="str">
        <f>VLOOKUP($AZ845,Sheet1!$A$2:$B$58,2)</f>
        <v>L-Malate</v>
      </c>
      <c r="BB845" t="s">
        <v>188</v>
      </c>
      <c r="BC845">
        <v>132.06916000000001</v>
      </c>
      <c r="BD845">
        <v>2.5</v>
      </c>
      <c r="BF845" t="s">
        <v>212</v>
      </c>
      <c r="BG845">
        <v>0</v>
      </c>
      <c r="BH845">
        <v>0.15466666666666701</v>
      </c>
      <c r="BI845">
        <v>0.42383048576103299</v>
      </c>
      <c r="BJ845">
        <v>80</v>
      </c>
      <c r="BK845">
        <v>2357.2864977110589</v>
      </c>
      <c r="BL845">
        <v>1907.484689228201</v>
      </c>
      <c r="BM845">
        <v>2.8833481061054789</v>
      </c>
      <c r="BN845">
        <v>490.16917803793149</v>
      </c>
      <c r="BO845">
        <v>1867.1173196731279</v>
      </c>
    </row>
    <row r="846" spans="1:67" x14ac:dyDescent="0.25">
      <c r="A846" s="1">
        <v>844</v>
      </c>
      <c r="B846" t="s">
        <v>76</v>
      </c>
      <c r="C846" t="s">
        <v>85</v>
      </c>
      <c r="D846">
        <v>1</v>
      </c>
      <c r="E846">
        <v>1</v>
      </c>
      <c r="F846">
        <v>2</v>
      </c>
      <c r="G846">
        <v>45.016539999999999</v>
      </c>
      <c r="H846">
        <v>2</v>
      </c>
      <c r="I846" t="s">
        <v>89</v>
      </c>
      <c r="J846">
        <v>4</v>
      </c>
      <c r="K846">
        <v>300</v>
      </c>
      <c r="L846">
        <v>33.333333333333329</v>
      </c>
      <c r="N846" t="s">
        <v>91</v>
      </c>
      <c r="O846">
        <v>66.666666666666671</v>
      </c>
      <c r="P846">
        <v>0.1666666666666666</v>
      </c>
      <c r="Q846">
        <v>3.2500000000000001E-2</v>
      </c>
      <c r="R846">
        <v>77.5</v>
      </c>
      <c r="S846">
        <v>170</v>
      </c>
      <c r="T846">
        <v>20</v>
      </c>
      <c r="U846">
        <v>1812.1301775147931</v>
      </c>
      <c r="V846">
        <v>20</v>
      </c>
      <c r="W846">
        <v>0.95</v>
      </c>
      <c r="X846">
        <v>1</v>
      </c>
      <c r="Y846">
        <v>78900.666590121036</v>
      </c>
      <c r="Z846">
        <v>236701999.77036309</v>
      </c>
      <c r="AA846">
        <v>946807999.08145237</v>
      </c>
      <c r="AB846">
        <v>946807.99908145238</v>
      </c>
      <c r="AC846">
        <v>0</v>
      </c>
      <c r="AD846">
        <v>2453.2433340483722</v>
      </c>
      <c r="AE846">
        <v>4415838.0012870701</v>
      </c>
      <c r="AF846">
        <v>1471946.0004290231</v>
      </c>
      <c r="AG846">
        <v>66.261916006153129</v>
      </c>
      <c r="AH846">
        <v>323.90171739440649</v>
      </c>
      <c r="AI846">
        <v>64.780343478881306</v>
      </c>
      <c r="AJ846">
        <v>30771.259970147199</v>
      </c>
      <c r="AK846">
        <v>854.70085470085473</v>
      </c>
      <c r="AL846" t="s">
        <v>93</v>
      </c>
      <c r="AM846">
        <v>25102.383098066501</v>
      </c>
      <c r="AN846">
        <v>880.51391449075493</v>
      </c>
      <c r="AO846">
        <v>11012.658391409819</v>
      </c>
      <c r="AP846">
        <v>57608.85783740531</v>
      </c>
      <c r="AQ846">
        <v>46596.199445995488</v>
      </c>
      <c r="AR846">
        <v>2.0905155461666668E-2</v>
      </c>
      <c r="AS846">
        <v>426.14410762900673</v>
      </c>
      <c r="AT846">
        <v>347.63713462058269</v>
      </c>
      <c r="AU846">
        <v>12.19403484646427</v>
      </c>
      <c r="AV846">
        <v>152.51177518838469</v>
      </c>
      <c r="AW846">
        <v>797.81183280971629</v>
      </c>
      <c r="AX846">
        <v>645.30005762133146</v>
      </c>
      <c r="AY846">
        <v>0.97764066274307182</v>
      </c>
      <c r="AZ846" t="s">
        <v>141</v>
      </c>
      <c r="BA846" t="str">
        <f>VLOOKUP($AZ846,Sheet1!$A$2:$B$58,2)</f>
        <v>Malonate</v>
      </c>
      <c r="BB846" t="s">
        <v>189</v>
      </c>
      <c r="BC846">
        <v>102.04378</v>
      </c>
      <c r="BD846">
        <v>2</v>
      </c>
      <c r="BE846">
        <v>199</v>
      </c>
      <c r="BF846" t="s">
        <v>212</v>
      </c>
      <c r="BG846">
        <v>0</v>
      </c>
      <c r="BH846">
        <v>0.17846153846153801</v>
      </c>
      <c r="BI846">
        <v>0.37729062947226699</v>
      </c>
      <c r="BJ846">
        <v>80</v>
      </c>
      <c r="BK846">
        <v>2643.2270327176252</v>
      </c>
      <c r="BL846">
        <v>2137.940910843522</v>
      </c>
      <c r="BM846">
        <v>3.239017173944065</v>
      </c>
      <c r="BN846">
        <v>550.63291957049114</v>
      </c>
      <c r="BO846">
        <v>2092.5941131471341</v>
      </c>
    </row>
    <row r="847" spans="1:67" x14ac:dyDescent="0.25">
      <c r="A847" s="1">
        <v>845</v>
      </c>
      <c r="B847" t="s">
        <v>76</v>
      </c>
      <c r="C847" t="s">
        <v>85</v>
      </c>
      <c r="D847">
        <v>1</v>
      </c>
      <c r="E847">
        <v>1</v>
      </c>
      <c r="F847">
        <v>2</v>
      </c>
      <c r="G847">
        <v>45.016539999999999</v>
      </c>
      <c r="H847">
        <v>2</v>
      </c>
      <c r="I847" t="s">
        <v>89</v>
      </c>
      <c r="J847">
        <v>4</v>
      </c>
      <c r="K847">
        <v>300</v>
      </c>
      <c r="L847">
        <v>33.333333333333329</v>
      </c>
      <c r="N847" t="s">
        <v>91</v>
      </c>
      <c r="O847">
        <v>66.666666666666671</v>
      </c>
      <c r="P847">
        <v>0.1666666666666666</v>
      </c>
      <c r="Q847">
        <v>3.2500000000000001E-2</v>
      </c>
      <c r="R847">
        <v>77.5</v>
      </c>
      <c r="S847">
        <v>170</v>
      </c>
      <c r="T847">
        <v>20</v>
      </c>
      <c r="U847">
        <v>1812.1301775147931</v>
      </c>
      <c r="V847">
        <v>20</v>
      </c>
      <c r="W847">
        <v>0.95</v>
      </c>
      <c r="X847">
        <v>1</v>
      </c>
      <c r="Y847">
        <v>108468.38855886309</v>
      </c>
      <c r="Z847">
        <v>325405165.67658943</v>
      </c>
      <c r="AA847">
        <v>1301620662.706358</v>
      </c>
      <c r="AB847">
        <v>1301620.6627063579</v>
      </c>
      <c r="AC847">
        <v>0</v>
      </c>
      <c r="AD847">
        <v>3372.586857464109</v>
      </c>
      <c r="AE847">
        <v>6070656.3434353974</v>
      </c>
      <c r="AF847">
        <v>2023552.1144784649</v>
      </c>
      <c r="AG847">
        <v>91.093314703504419</v>
      </c>
      <c r="AH847">
        <v>445.28264279098619</v>
      </c>
      <c r="AI847">
        <v>89.056528558197243</v>
      </c>
      <c r="AJ847">
        <v>42302.671537956623</v>
      </c>
      <c r="AK847">
        <v>854.70085470085473</v>
      </c>
      <c r="AL847" t="s">
        <v>93</v>
      </c>
      <c r="AM847">
        <v>34509.40481630143</v>
      </c>
      <c r="AN847">
        <v>1210.48312436472</v>
      </c>
      <c r="AO847">
        <v>15139.60985489353</v>
      </c>
      <c r="AP847">
        <v>78877.260333323633</v>
      </c>
      <c r="AQ847">
        <v>63737.6504784301</v>
      </c>
      <c r="AR847">
        <v>2.0905155461666668E-2</v>
      </c>
      <c r="AS847">
        <v>426.14410762900661</v>
      </c>
      <c r="AT847">
        <v>347.63713462058257</v>
      </c>
      <c r="AU847">
        <v>12.19403484646428</v>
      </c>
      <c r="AV847">
        <v>152.5117751883846</v>
      </c>
      <c r="AW847">
        <v>794.58527073887683</v>
      </c>
      <c r="AX847">
        <v>642.07349555049211</v>
      </c>
      <c r="AY847">
        <v>0.97764066274307149</v>
      </c>
      <c r="AZ847" t="s">
        <v>142</v>
      </c>
      <c r="BA847" t="str">
        <f>VLOOKUP($AZ847,Sheet1!$A$2:$B$58,2)</f>
        <v>Nonane</v>
      </c>
      <c r="BB847" t="s">
        <v>190</v>
      </c>
      <c r="BC847">
        <v>128.25309999999999</v>
      </c>
      <c r="BD847">
        <v>6.2222222222222223</v>
      </c>
      <c r="BE847">
        <v>151</v>
      </c>
      <c r="BF847" t="s">
        <v>212</v>
      </c>
      <c r="BG847">
        <v>0.114383200094187</v>
      </c>
      <c r="BH847">
        <v>0.107142857142857</v>
      </c>
      <c r="BI847">
        <v>0.27444385003851701</v>
      </c>
      <c r="BJ847">
        <v>80</v>
      </c>
      <c r="BK847">
        <v>3619.0703063092869</v>
      </c>
      <c r="BL847">
        <v>2924.4301496480061</v>
      </c>
      <c r="BM847">
        <v>4.3384432278156746</v>
      </c>
      <c r="BN847">
        <v>737.53534872866464</v>
      </c>
      <c r="BO847">
        <v>2881.5349575806231</v>
      </c>
    </row>
    <row r="848" spans="1:67" x14ac:dyDescent="0.25">
      <c r="A848" s="1">
        <v>846</v>
      </c>
      <c r="B848" t="s">
        <v>76</v>
      </c>
      <c r="C848" t="s">
        <v>85</v>
      </c>
      <c r="D848">
        <v>1</v>
      </c>
      <c r="E848">
        <v>1</v>
      </c>
      <c r="F848">
        <v>2</v>
      </c>
      <c r="G848">
        <v>45.016539999999999</v>
      </c>
      <c r="H848">
        <v>2</v>
      </c>
      <c r="I848" t="s">
        <v>89</v>
      </c>
      <c r="J848">
        <v>4</v>
      </c>
      <c r="K848">
        <v>300</v>
      </c>
      <c r="L848">
        <v>33.333333333333329</v>
      </c>
      <c r="N848" t="s">
        <v>91</v>
      </c>
      <c r="O848">
        <v>66.666666666666671</v>
      </c>
      <c r="P848">
        <v>0.1666666666666666</v>
      </c>
      <c r="Q848">
        <v>3.2500000000000001E-2</v>
      </c>
      <c r="R848">
        <v>77.5</v>
      </c>
      <c r="S848">
        <v>170</v>
      </c>
      <c r="T848">
        <v>20</v>
      </c>
      <c r="U848">
        <v>1812.1301775147931</v>
      </c>
      <c r="V848">
        <v>20</v>
      </c>
      <c r="W848">
        <v>0.95</v>
      </c>
      <c r="X848">
        <v>1</v>
      </c>
      <c r="Y848">
        <v>108738.9989202951</v>
      </c>
      <c r="Z848">
        <v>326216996.7608853</v>
      </c>
      <c r="AA848">
        <v>1304867987.043541</v>
      </c>
      <c r="AB848">
        <v>1304867.9870435409</v>
      </c>
      <c r="AC848">
        <v>0</v>
      </c>
      <c r="AD848">
        <v>3381.0008936693562</v>
      </c>
      <c r="AE848">
        <v>6085801.60860484</v>
      </c>
      <c r="AF848">
        <v>2028600.536201613</v>
      </c>
      <c r="AG848">
        <v>91.320577181941346</v>
      </c>
      <c r="AH848">
        <v>446.39354799116501</v>
      </c>
      <c r="AI848">
        <v>89.278709598232993</v>
      </c>
      <c r="AJ848">
        <v>42408.209578915092</v>
      </c>
      <c r="AK848">
        <v>854.70085470085473</v>
      </c>
      <c r="AL848" t="s">
        <v>93</v>
      </c>
      <c r="AM848">
        <v>34595.499969315293</v>
      </c>
      <c r="AN848">
        <v>1213.5030758929381</v>
      </c>
      <c r="AO848">
        <v>15177.380631699611</v>
      </c>
      <c r="AP848">
        <v>79071.913478824164</v>
      </c>
      <c r="AQ848">
        <v>63894.532847124559</v>
      </c>
      <c r="AR848">
        <v>2.0905155461666679E-2</v>
      </c>
      <c r="AS848">
        <v>426.14410762900678</v>
      </c>
      <c r="AT848">
        <v>347.63713462058269</v>
      </c>
      <c r="AU848">
        <v>12.19403484646428</v>
      </c>
      <c r="AV848">
        <v>152.51177518838469</v>
      </c>
      <c r="AW848">
        <v>794.56384371163972</v>
      </c>
      <c r="AX848">
        <v>642.052068523255</v>
      </c>
      <c r="AY848">
        <v>0.97764066274307193</v>
      </c>
      <c r="AZ848" t="s">
        <v>143</v>
      </c>
      <c r="BA848" t="str">
        <f>VLOOKUP($AZ848,Sheet1!$A$2:$B$58,2)</f>
        <v>Octane</v>
      </c>
      <c r="BB848" t="s">
        <v>191</v>
      </c>
      <c r="BC848">
        <v>114.22672</v>
      </c>
      <c r="BD848">
        <v>6.25</v>
      </c>
      <c r="BE848">
        <v>126</v>
      </c>
      <c r="BF848" t="s">
        <v>212</v>
      </c>
      <c r="BG848">
        <v>0.12842879494394849</v>
      </c>
      <c r="BH848">
        <v>0.12</v>
      </c>
      <c r="BI848">
        <v>0.273760862792091</v>
      </c>
      <c r="BJ848">
        <v>80</v>
      </c>
      <c r="BK848">
        <v>3628.0014407824392</v>
      </c>
      <c r="BL848">
        <v>2931.6282739201501</v>
      </c>
      <c r="BM848">
        <v>4.3355066849677009</v>
      </c>
      <c r="BN848">
        <v>737.03613644450911</v>
      </c>
      <c r="BO848">
        <v>2890.965304337929</v>
      </c>
    </row>
    <row r="849" spans="1:67" x14ac:dyDescent="0.25">
      <c r="A849" s="1">
        <v>847</v>
      </c>
      <c r="B849" t="s">
        <v>76</v>
      </c>
      <c r="C849" t="s">
        <v>85</v>
      </c>
      <c r="D849">
        <v>1</v>
      </c>
      <c r="E849">
        <v>1</v>
      </c>
      <c r="F849">
        <v>2</v>
      </c>
      <c r="G849">
        <v>45.016539999999999</v>
      </c>
      <c r="H849">
        <v>2</v>
      </c>
      <c r="I849" t="s">
        <v>89</v>
      </c>
      <c r="J849">
        <v>4</v>
      </c>
      <c r="K849">
        <v>300</v>
      </c>
      <c r="L849">
        <v>33.333333333333329</v>
      </c>
      <c r="N849" t="s">
        <v>91</v>
      </c>
      <c r="O849">
        <v>66.666666666666671</v>
      </c>
      <c r="P849">
        <v>0.1666666666666666</v>
      </c>
      <c r="Q849">
        <v>3.2500000000000001E-2</v>
      </c>
      <c r="R849">
        <v>77.5</v>
      </c>
      <c r="S849">
        <v>170</v>
      </c>
      <c r="T849">
        <v>20</v>
      </c>
      <c r="U849">
        <v>1812.1301775147931</v>
      </c>
      <c r="V849">
        <v>20</v>
      </c>
      <c r="W849">
        <v>0.95</v>
      </c>
      <c r="X849">
        <v>1</v>
      </c>
      <c r="Y849">
        <v>110182.1499343328</v>
      </c>
      <c r="Z849">
        <v>330546449.80299842</v>
      </c>
      <c r="AA849">
        <v>1322185799.2119939</v>
      </c>
      <c r="AB849">
        <v>1322185.799211994</v>
      </c>
      <c r="AC849">
        <v>66773.504273504266</v>
      </c>
      <c r="AD849">
        <v>3425.8725121007319</v>
      </c>
      <c r="AE849">
        <v>6166570.5217813179</v>
      </c>
      <c r="AF849">
        <v>2055523.507260439</v>
      </c>
      <c r="AG849">
        <v>92.532556185529828</v>
      </c>
      <c r="AH849">
        <v>452.31794777265958</v>
      </c>
      <c r="AI849">
        <v>90.463589554531936</v>
      </c>
      <c r="AJ849">
        <v>42971.038474389803</v>
      </c>
      <c r="AK849">
        <v>2170.1388888888891</v>
      </c>
      <c r="AL849" t="s">
        <v>95</v>
      </c>
      <c r="AM849">
        <v>35054.640952381123</v>
      </c>
      <c r="AN849">
        <v>1229.6083206708161</v>
      </c>
      <c r="AO849">
        <v>15378.81022427043</v>
      </c>
      <c r="AP849">
        <v>81425.426636330623</v>
      </c>
      <c r="AQ849">
        <v>66046.61641206019</v>
      </c>
      <c r="AR849">
        <v>2.0905155461666668E-2</v>
      </c>
      <c r="AS849">
        <v>426.14410762900673</v>
      </c>
      <c r="AT849">
        <v>347.63713462058269</v>
      </c>
      <c r="AU849">
        <v>12.19403484646428</v>
      </c>
      <c r="AV849">
        <v>152.51177518838469</v>
      </c>
      <c r="AW849">
        <v>807.49656057138145</v>
      </c>
      <c r="AX849">
        <v>654.98478538299673</v>
      </c>
      <c r="AY849">
        <v>0.97764066274307204</v>
      </c>
      <c r="AZ849" t="s">
        <v>144</v>
      </c>
      <c r="BA849" t="str">
        <f>VLOOKUP($AZ849,Sheet1!$A$2:$B$58,2)</f>
        <v>Pentane</v>
      </c>
      <c r="BB849" t="s">
        <v>192</v>
      </c>
      <c r="BC849">
        <v>72.147580000000005</v>
      </c>
      <c r="BD849">
        <v>6.4</v>
      </c>
      <c r="BE849">
        <v>36.1</v>
      </c>
      <c r="BF849" t="s">
        <v>212</v>
      </c>
      <c r="BG849">
        <v>0.2033332233735371</v>
      </c>
      <c r="BH849">
        <v>0.1875</v>
      </c>
      <c r="BI849">
        <v>0.27017517974835198</v>
      </c>
      <c r="BJ849">
        <v>80</v>
      </c>
      <c r="BK849">
        <v>3735.9860430346721</v>
      </c>
      <c r="BL849">
        <v>3030.3708227059669</v>
      </c>
      <c r="BM849">
        <v>4.3198462543530587</v>
      </c>
      <c r="BN849">
        <v>734.37386324002</v>
      </c>
      <c r="BO849">
        <v>3001.6121797946521</v>
      </c>
    </row>
    <row r="850" spans="1:67" x14ac:dyDescent="0.25">
      <c r="A850" s="1">
        <v>848</v>
      </c>
      <c r="B850" t="s">
        <v>76</v>
      </c>
      <c r="C850" t="s">
        <v>85</v>
      </c>
      <c r="D850">
        <v>1</v>
      </c>
      <c r="E850">
        <v>1</v>
      </c>
      <c r="F850">
        <v>2</v>
      </c>
      <c r="G850">
        <v>45.016539999999999</v>
      </c>
      <c r="H850">
        <v>2</v>
      </c>
      <c r="I850" t="s">
        <v>89</v>
      </c>
      <c r="J850">
        <v>4</v>
      </c>
      <c r="K850">
        <v>300</v>
      </c>
      <c r="L850">
        <v>33.333333333333329</v>
      </c>
      <c r="N850" t="s">
        <v>91</v>
      </c>
      <c r="O850">
        <v>66.666666666666671</v>
      </c>
      <c r="P850">
        <v>0.1666666666666666</v>
      </c>
      <c r="Q850">
        <v>3.2500000000000001E-2</v>
      </c>
      <c r="R850">
        <v>77.5</v>
      </c>
      <c r="S850">
        <v>170</v>
      </c>
      <c r="T850">
        <v>20</v>
      </c>
      <c r="U850">
        <v>1812.1301775147931</v>
      </c>
      <c r="V850">
        <v>20</v>
      </c>
      <c r="W850">
        <v>0.95</v>
      </c>
      <c r="X850">
        <v>1</v>
      </c>
      <c r="Y850">
        <v>120260.9901844581</v>
      </c>
      <c r="Z850">
        <v>360782970.55337441</v>
      </c>
      <c r="AA850">
        <v>1443131882.2134969</v>
      </c>
      <c r="AB850">
        <v>1443131.8822134971</v>
      </c>
      <c r="AC850">
        <v>0</v>
      </c>
      <c r="AD850">
        <v>3739.2519641021449</v>
      </c>
      <c r="AE850">
        <v>6730653.5353838624</v>
      </c>
      <c r="AF850">
        <v>2243551.1784612872</v>
      </c>
      <c r="AG850">
        <v>100.99691136724969</v>
      </c>
      <c r="AH850">
        <v>493.69343682040619</v>
      </c>
      <c r="AI850">
        <v>98.738687364081244</v>
      </c>
      <c r="AJ850">
        <v>46901.786171938656</v>
      </c>
      <c r="AK850">
        <v>854.70085470085473</v>
      </c>
      <c r="AL850" t="s">
        <v>93</v>
      </c>
      <c r="AM850">
        <v>38261.241353581478</v>
      </c>
      <c r="AN850">
        <v>1342.085939247437</v>
      </c>
      <c r="AO850">
        <v>16785.576851893809</v>
      </c>
      <c r="AP850">
        <v>87359.814319468438</v>
      </c>
      <c r="AQ850">
        <v>70574.237467574625</v>
      </c>
      <c r="AR850">
        <v>2.0905155461666668E-2</v>
      </c>
      <c r="AS850">
        <v>426.14410762900673</v>
      </c>
      <c r="AT850">
        <v>347.63713462058269</v>
      </c>
      <c r="AU850">
        <v>12.19403484646428</v>
      </c>
      <c r="AV850">
        <v>152.51177518838469</v>
      </c>
      <c r="AW850">
        <v>793.74098844190758</v>
      </c>
      <c r="AX850">
        <v>641.22921325352308</v>
      </c>
      <c r="AY850">
        <v>0.97764066274307193</v>
      </c>
      <c r="AZ850" t="s">
        <v>145</v>
      </c>
      <c r="BA850" t="str">
        <f>VLOOKUP($AZ850,Sheet1!$A$2:$B$58,2)</f>
        <v>Pentanol (PW1)</v>
      </c>
      <c r="BB850" t="s">
        <v>157</v>
      </c>
      <c r="BC850">
        <v>88.14658</v>
      </c>
      <c r="BD850">
        <v>6</v>
      </c>
      <c r="BE850">
        <v>138</v>
      </c>
      <c r="BF850" t="s">
        <v>212</v>
      </c>
      <c r="BG850">
        <v>0</v>
      </c>
      <c r="BH850">
        <v>0.14060606060606101</v>
      </c>
      <c r="BI850">
        <v>0.24753232214293999</v>
      </c>
      <c r="BJ850">
        <v>80</v>
      </c>
      <c r="BK850">
        <v>4008.2694129110232</v>
      </c>
      <c r="BL850">
        <v>3238.1085008528648</v>
      </c>
      <c r="BM850">
        <v>4.9369343682040627</v>
      </c>
      <c r="BN850">
        <v>839.27884259469067</v>
      </c>
      <c r="BO850">
        <v>3168.9905703163331</v>
      </c>
    </row>
    <row r="851" spans="1:67" x14ac:dyDescent="0.25">
      <c r="A851" s="1">
        <v>849</v>
      </c>
      <c r="B851" t="s">
        <v>76</v>
      </c>
      <c r="C851" t="s">
        <v>85</v>
      </c>
      <c r="D851">
        <v>1</v>
      </c>
      <c r="E851">
        <v>1</v>
      </c>
      <c r="F851">
        <v>2</v>
      </c>
      <c r="G851">
        <v>45.016539999999999</v>
      </c>
      <c r="H851">
        <v>2</v>
      </c>
      <c r="I851" t="s">
        <v>89</v>
      </c>
      <c r="J851">
        <v>4</v>
      </c>
      <c r="K851">
        <v>300</v>
      </c>
      <c r="L851">
        <v>33.333333333333329</v>
      </c>
      <c r="N851" t="s">
        <v>91</v>
      </c>
      <c r="O851">
        <v>66.666666666666671</v>
      </c>
      <c r="P851">
        <v>0.1666666666666666</v>
      </c>
      <c r="Q851">
        <v>3.2500000000000001E-2</v>
      </c>
      <c r="R851">
        <v>77.5</v>
      </c>
      <c r="S851">
        <v>170</v>
      </c>
      <c r="T851">
        <v>20</v>
      </c>
      <c r="U851">
        <v>1812.1301775147931</v>
      </c>
      <c r="V851">
        <v>20</v>
      </c>
      <c r="W851">
        <v>0.95</v>
      </c>
      <c r="X851">
        <v>1</v>
      </c>
      <c r="Y851">
        <v>120260.9901844581</v>
      </c>
      <c r="Z851">
        <v>360782970.55337441</v>
      </c>
      <c r="AA851">
        <v>1443131882.2134969</v>
      </c>
      <c r="AB851">
        <v>1443131.8822134971</v>
      </c>
      <c r="AC851">
        <v>0</v>
      </c>
      <c r="AD851">
        <v>3739.2519641021449</v>
      </c>
      <c r="AE851">
        <v>6730653.5353838624</v>
      </c>
      <c r="AF851">
        <v>2243551.1784612872</v>
      </c>
      <c r="AG851">
        <v>100.99691136724969</v>
      </c>
      <c r="AH851">
        <v>493.69343682040619</v>
      </c>
      <c r="AI851">
        <v>98.738687364081244</v>
      </c>
      <c r="AJ851">
        <v>46901.786171938656</v>
      </c>
      <c r="AK851">
        <v>854.70085470085473</v>
      </c>
      <c r="AL851" t="s">
        <v>93</v>
      </c>
      <c r="AM851">
        <v>38261.241353581478</v>
      </c>
      <c r="AN851">
        <v>1342.085939247437</v>
      </c>
      <c r="AO851">
        <v>16785.576851893809</v>
      </c>
      <c r="AP851">
        <v>87359.814319468438</v>
      </c>
      <c r="AQ851">
        <v>70574.237467574625</v>
      </c>
      <c r="AR851">
        <v>2.0905155461666668E-2</v>
      </c>
      <c r="AS851">
        <v>426.14410762900673</v>
      </c>
      <c r="AT851">
        <v>347.63713462058269</v>
      </c>
      <c r="AU851">
        <v>12.19403484646428</v>
      </c>
      <c r="AV851">
        <v>152.51177518838469</v>
      </c>
      <c r="AW851">
        <v>793.74098844190758</v>
      </c>
      <c r="AX851">
        <v>641.22921325352308</v>
      </c>
      <c r="AY851">
        <v>0.97764066274307193</v>
      </c>
      <c r="AZ851" t="s">
        <v>146</v>
      </c>
      <c r="BA851" t="str">
        <f>VLOOKUP($AZ851,Sheet1!$A$2:$B$58,2)</f>
        <v>Pentanol (PW2)</v>
      </c>
      <c r="BB851" t="s">
        <v>157</v>
      </c>
      <c r="BC851">
        <v>88.14658</v>
      </c>
      <c r="BD851">
        <v>6</v>
      </c>
      <c r="BE851">
        <v>138</v>
      </c>
      <c r="BF851" t="s">
        <v>212</v>
      </c>
      <c r="BG851">
        <v>0</v>
      </c>
      <c r="BH851">
        <v>0.14060606060606101</v>
      </c>
      <c r="BI851">
        <v>0.24753232214293999</v>
      </c>
      <c r="BJ851">
        <v>80</v>
      </c>
      <c r="BK851">
        <v>4008.2694129110232</v>
      </c>
      <c r="BL851">
        <v>3238.1085008528648</v>
      </c>
      <c r="BM851">
        <v>4.9369343682040627</v>
      </c>
      <c r="BN851">
        <v>839.27884259469067</v>
      </c>
      <c r="BO851">
        <v>3168.9905703163331</v>
      </c>
    </row>
    <row r="852" spans="1:67" x14ac:dyDescent="0.25">
      <c r="A852" s="1">
        <v>850</v>
      </c>
      <c r="B852" t="s">
        <v>76</v>
      </c>
      <c r="C852" t="s">
        <v>85</v>
      </c>
      <c r="D852">
        <v>1</v>
      </c>
      <c r="E852">
        <v>1</v>
      </c>
      <c r="F852">
        <v>2</v>
      </c>
      <c r="G852">
        <v>45.016539999999999</v>
      </c>
      <c r="H852">
        <v>2</v>
      </c>
      <c r="I852" t="s">
        <v>89</v>
      </c>
      <c r="J852">
        <v>4</v>
      </c>
      <c r="K852">
        <v>300</v>
      </c>
      <c r="L852">
        <v>33.333333333333329</v>
      </c>
      <c r="N852" t="s">
        <v>91</v>
      </c>
      <c r="O852">
        <v>66.666666666666671</v>
      </c>
      <c r="P852">
        <v>0.1666666666666666</v>
      </c>
      <c r="Q852">
        <v>3.2500000000000001E-2</v>
      </c>
      <c r="R852">
        <v>77.5</v>
      </c>
      <c r="S852">
        <v>170</v>
      </c>
      <c r="T852">
        <v>20</v>
      </c>
      <c r="U852">
        <v>1812.1301775147931</v>
      </c>
      <c r="V852">
        <v>20</v>
      </c>
      <c r="W852">
        <v>0.95</v>
      </c>
      <c r="X852">
        <v>1</v>
      </c>
      <c r="Y852">
        <v>331951.39539928013</v>
      </c>
      <c r="Z852">
        <v>995854186.19784033</v>
      </c>
      <c r="AA852">
        <v>3983416744.7913609</v>
      </c>
      <c r="AB852">
        <v>3983416.744791362</v>
      </c>
      <c r="AC852">
        <v>0</v>
      </c>
      <c r="AD852">
        <v>10321.301240987281</v>
      </c>
      <c r="AE852">
        <v>18578342.233777091</v>
      </c>
      <c r="AF852">
        <v>6192780.7445923639</v>
      </c>
      <c r="AG852">
        <v>278.77756210017191</v>
      </c>
      <c r="AH852">
        <v>1362.7214028475489</v>
      </c>
      <c r="AI852">
        <v>272.54428056950991</v>
      </c>
      <c r="AJ852">
        <v>129461.0442057193</v>
      </c>
      <c r="AK852">
        <v>854.70085470085473</v>
      </c>
      <c r="AL852" t="s">
        <v>93</v>
      </c>
      <c r="AM852">
        <v>105610.9087206851</v>
      </c>
      <c r="AN852">
        <v>3704.5038428139878</v>
      </c>
      <c r="AO852">
        <v>46332.527696816687</v>
      </c>
      <c r="AP852">
        <v>239631.15762391919</v>
      </c>
      <c r="AQ852">
        <v>193298.62992710251</v>
      </c>
      <c r="AR852">
        <v>2.0905155461666668E-2</v>
      </c>
      <c r="AS852">
        <v>426.14410762900673</v>
      </c>
      <c r="AT852">
        <v>347.63713462058257</v>
      </c>
      <c r="AU852">
        <v>12.19403484646428</v>
      </c>
      <c r="AV852">
        <v>152.51177518838469</v>
      </c>
      <c r="AW852">
        <v>788.78867733742231</v>
      </c>
      <c r="AX852">
        <v>636.27690214903771</v>
      </c>
      <c r="AY852">
        <v>0.97764066274307182</v>
      </c>
      <c r="AZ852" t="s">
        <v>147</v>
      </c>
      <c r="BA852" t="str">
        <f>VLOOKUP($AZ852,Sheet1!$A$2:$B$58,2)</f>
        <v>Phenol</v>
      </c>
      <c r="BB852" t="s">
        <v>193</v>
      </c>
      <c r="BC852">
        <v>94.11023999999999</v>
      </c>
      <c r="BD852">
        <v>4.666666666666667</v>
      </c>
      <c r="BE852">
        <v>181.7</v>
      </c>
      <c r="BF852" t="s">
        <v>212</v>
      </c>
      <c r="BG852">
        <v>0</v>
      </c>
      <c r="BH852">
        <v>4.7346938775510203E-2</v>
      </c>
      <c r="BI852">
        <v>8.9677231595191503E-2</v>
      </c>
      <c r="BJ852">
        <v>80</v>
      </c>
      <c r="BK852">
        <v>10994.82922401729</v>
      </c>
      <c r="BL852">
        <v>8868.9861800879189</v>
      </c>
      <c r="BM852">
        <v>13.6272140284755</v>
      </c>
      <c r="BN852">
        <v>2316.6263848408348</v>
      </c>
      <c r="BO852">
        <v>8678.2028391764525</v>
      </c>
    </row>
    <row r="853" spans="1:67" x14ac:dyDescent="0.25">
      <c r="A853" s="1">
        <v>851</v>
      </c>
      <c r="B853" t="s">
        <v>76</v>
      </c>
      <c r="C853" t="s">
        <v>85</v>
      </c>
      <c r="D853">
        <v>1</v>
      </c>
      <c r="E853">
        <v>1</v>
      </c>
      <c r="F853">
        <v>2</v>
      </c>
      <c r="G853">
        <v>45.016539999999999</v>
      </c>
      <c r="H853">
        <v>2</v>
      </c>
      <c r="I853" t="s">
        <v>89</v>
      </c>
      <c r="J853">
        <v>4</v>
      </c>
      <c r="K853">
        <v>300</v>
      </c>
      <c r="L853">
        <v>33.333333333333329</v>
      </c>
      <c r="N853" t="s">
        <v>91</v>
      </c>
      <c r="O853">
        <v>66.666666666666671</v>
      </c>
      <c r="P853">
        <v>0.1666666666666666</v>
      </c>
      <c r="Q853">
        <v>3.2500000000000001E-2</v>
      </c>
      <c r="R853">
        <v>77.5</v>
      </c>
      <c r="S853">
        <v>170</v>
      </c>
      <c r="T853">
        <v>20</v>
      </c>
      <c r="U853">
        <v>1812.1301775147931</v>
      </c>
      <c r="V853">
        <v>20</v>
      </c>
      <c r="W853">
        <v>0.95</v>
      </c>
      <c r="X853">
        <v>1</v>
      </c>
      <c r="Y853">
        <v>112674.45185397151</v>
      </c>
      <c r="Z853">
        <v>338023355.56191438</v>
      </c>
      <c r="AA853">
        <v>1352093422.247658</v>
      </c>
      <c r="AB853">
        <v>1352093.422247658</v>
      </c>
      <c r="AC853">
        <v>66773.504273504266</v>
      </c>
      <c r="AD853">
        <v>3503.3651789567939</v>
      </c>
      <c r="AE853">
        <v>6306057.3221222302</v>
      </c>
      <c r="AF853">
        <v>2102019.1073740758</v>
      </c>
      <c r="AG853">
        <v>94.625627227869387</v>
      </c>
      <c r="AH853">
        <v>462.54930457766551</v>
      </c>
      <c r="AI853">
        <v>92.50986091553311</v>
      </c>
      <c r="AJ853">
        <v>43943.036223048883</v>
      </c>
      <c r="AK853">
        <v>2170.1388888888891</v>
      </c>
      <c r="AL853" t="s">
        <v>95</v>
      </c>
      <c r="AM853">
        <v>35847.571104769078</v>
      </c>
      <c r="AN853">
        <v>1257.4218565279209</v>
      </c>
      <c r="AO853">
        <v>15726.676355640629</v>
      </c>
      <c r="AP853">
        <v>83218.16807323476</v>
      </c>
      <c r="AQ853">
        <v>67491.491717594123</v>
      </c>
      <c r="AR853">
        <v>2.0905155461666668E-2</v>
      </c>
      <c r="AS853">
        <v>426.14410762900673</v>
      </c>
      <c r="AT853">
        <v>347.63713462058269</v>
      </c>
      <c r="AU853">
        <v>12.19403484646428</v>
      </c>
      <c r="AV853">
        <v>152.51177518838469</v>
      </c>
      <c r="AW853">
        <v>807.0205206596172</v>
      </c>
      <c r="AX853">
        <v>654.50874547123249</v>
      </c>
      <c r="AY853">
        <v>0.97764066274307204</v>
      </c>
      <c r="AZ853" t="s">
        <v>148</v>
      </c>
      <c r="BA853" t="str">
        <f>VLOOKUP($AZ853,Sheet1!$A$2:$B$58,2)</f>
        <v>Propane (PW1)</v>
      </c>
      <c r="BB853" t="s">
        <v>194</v>
      </c>
      <c r="BC853">
        <v>44.094819999999999</v>
      </c>
      <c r="BD853">
        <v>6.666666666666667</v>
      </c>
      <c r="BE853">
        <v>-42</v>
      </c>
      <c r="BF853" t="s">
        <v>212</v>
      </c>
      <c r="BG853">
        <v>0.33269213934879421</v>
      </c>
      <c r="BH853">
        <v>0.3</v>
      </c>
      <c r="BI853">
        <v>0.26419904134212102</v>
      </c>
      <c r="BJ853">
        <v>80</v>
      </c>
      <c r="BK853">
        <v>3818.2411476589</v>
      </c>
      <c r="BL853">
        <v>3096.6650283170652</v>
      </c>
      <c r="BM853">
        <v>4.2928009064278623</v>
      </c>
      <c r="BN853">
        <v>729.77615409273653</v>
      </c>
      <c r="BO853">
        <v>3088.4649935661641</v>
      </c>
    </row>
    <row r="854" spans="1:67" x14ac:dyDescent="0.25">
      <c r="A854" s="1">
        <v>852</v>
      </c>
      <c r="B854" t="s">
        <v>76</v>
      </c>
      <c r="C854" t="s">
        <v>85</v>
      </c>
      <c r="D854">
        <v>1</v>
      </c>
      <c r="E854">
        <v>1</v>
      </c>
      <c r="F854">
        <v>2</v>
      </c>
      <c r="G854">
        <v>45.016539999999999</v>
      </c>
      <c r="H854">
        <v>2</v>
      </c>
      <c r="I854" t="s">
        <v>89</v>
      </c>
      <c r="J854">
        <v>4</v>
      </c>
      <c r="K854">
        <v>300</v>
      </c>
      <c r="L854">
        <v>33.333333333333329</v>
      </c>
      <c r="N854" t="s">
        <v>91</v>
      </c>
      <c r="O854">
        <v>66.666666666666671</v>
      </c>
      <c r="P854">
        <v>0.1666666666666666</v>
      </c>
      <c r="Q854">
        <v>3.2500000000000001E-2</v>
      </c>
      <c r="R854">
        <v>77.5</v>
      </c>
      <c r="S854">
        <v>170</v>
      </c>
      <c r="T854">
        <v>20</v>
      </c>
      <c r="U854">
        <v>1812.1301775147931</v>
      </c>
      <c r="V854">
        <v>20</v>
      </c>
      <c r="W854">
        <v>0.95</v>
      </c>
      <c r="X854">
        <v>1</v>
      </c>
      <c r="Y854">
        <v>124950.2676201633</v>
      </c>
      <c r="Z854">
        <v>374850802.86049002</v>
      </c>
      <c r="AA854">
        <v>1499403211.4419601</v>
      </c>
      <c r="AB854">
        <v>1499403.21144196</v>
      </c>
      <c r="AC854">
        <v>66773.504273504266</v>
      </c>
      <c r="AD854">
        <v>3885.0547704384821</v>
      </c>
      <c r="AE854">
        <v>6993098.5867892671</v>
      </c>
      <c r="AF854">
        <v>2331032.862263089</v>
      </c>
      <c r="AG854">
        <v>104.93503408538081</v>
      </c>
      <c r="AH854">
        <v>512.94378134099259</v>
      </c>
      <c r="AI854">
        <v>102.58875626819849</v>
      </c>
      <c r="AJ854">
        <v>48730.604371863701</v>
      </c>
      <c r="AK854">
        <v>2170.1388888888891</v>
      </c>
      <c r="AL854" t="s">
        <v>95</v>
      </c>
      <c r="AM854">
        <v>39753.143053926928</v>
      </c>
      <c r="AN854">
        <v>1394.4172338928361</v>
      </c>
      <c r="AO854">
        <v>17440.088565593749</v>
      </c>
      <c r="AP854">
        <v>92048.303548572352</v>
      </c>
      <c r="AQ854">
        <v>74608.214982978607</v>
      </c>
      <c r="AR854">
        <v>2.0905155461666668E-2</v>
      </c>
      <c r="AS854">
        <v>426.14410762900673</v>
      </c>
      <c r="AT854">
        <v>347.63713462058269</v>
      </c>
      <c r="AU854">
        <v>12.19403484646427</v>
      </c>
      <c r="AV854">
        <v>152.51177518838469</v>
      </c>
      <c r="AW854">
        <v>804.95291778319688</v>
      </c>
      <c r="AX854">
        <v>652.44114259481216</v>
      </c>
      <c r="AY854">
        <v>0.97764066274307171</v>
      </c>
      <c r="AZ854" t="s">
        <v>149</v>
      </c>
      <c r="BA854" t="str">
        <f>VLOOKUP($AZ854,Sheet1!$A$2:$B$58,2)</f>
        <v>Propane (PW2)</v>
      </c>
      <c r="BB854" t="s">
        <v>194</v>
      </c>
      <c r="BC854">
        <v>44.094819999999999</v>
      </c>
      <c r="BD854">
        <v>6.666666666666667</v>
      </c>
      <c r="BE854">
        <v>-42</v>
      </c>
      <c r="BF854" t="s">
        <v>212</v>
      </c>
      <c r="BG854">
        <v>0.15145906732999559</v>
      </c>
      <c r="BH854">
        <v>0.270526315789473</v>
      </c>
      <c r="BI854">
        <v>0.238242644297982</v>
      </c>
      <c r="BJ854">
        <v>80</v>
      </c>
      <c r="BK854">
        <v>4223.388093235325</v>
      </c>
      <c r="BL854">
        <v>3423.1966768445709</v>
      </c>
      <c r="BM854">
        <v>4.9779787460799314</v>
      </c>
      <c r="BN854">
        <v>846.25638683358818</v>
      </c>
      <c r="BO854">
        <v>3377.1317064017371</v>
      </c>
    </row>
    <row r="855" spans="1:67" x14ac:dyDescent="0.25">
      <c r="A855" s="1">
        <v>853</v>
      </c>
      <c r="B855" t="s">
        <v>76</v>
      </c>
      <c r="C855" t="s">
        <v>85</v>
      </c>
      <c r="D855">
        <v>1</v>
      </c>
      <c r="E855">
        <v>1</v>
      </c>
      <c r="F855">
        <v>2</v>
      </c>
      <c r="G855">
        <v>45.016539999999999</v>
      </c>
      <c r="H855">
        <v>2</v>
      </c>
      <c r="I855" t="s">
        <v>89</v>
      </c>
      <c r="J855">
        <v>4</v>
      </c>
      <c r="K855">
        <v>300</v>
      </c>
      <c r="L855">
        <v>33.333333333333329</v>
      </c>
      <c r="N855" t="s">
        <v>91</v>
      </c>
      <c r="O855">
        <v>66.666666666666671</v>
      </c>
      <c r="P855">
        <v>0.1666666666666666</v>
      </c>
      <c r="Q855">
        <v>3.2500000000000001E-2</v>
      </c>
      <c r="R855">
        <v>77.5</v>
      </c>
      <c r="S855">
        <v>170</v>
      </c>
      <c r="T855">
        <v>20</v>
      </c>
      <c r="U855">
        <v>1812.1301775147931</v>
      </c>
      <c r="V855">
        <v>20</v>
      </c>
      <c r="W855">
        <v>0.95</v>
      </c>
      <c r="X855">
        <v>1</v>
      </c>
      <c r="Y855">
        <v>142283.4700906431</v>
      </c>
      <c r="Z855">
        <v>426850410.27192932</v>
      </c>
      <c r="AA855">
        <v>1707401641.0877171</v>
      </c>
      <c r="AB855">
        <v>1707401.6410877169</v>
      </c>
      <c r="AC855">
        <v>0</v>
      </c>
      <c r="AD855">
        <v>4423.9927193320518</v>
      </c>
      <c r="AE855">
        <v>7963186.8947976939</v>
      </c>
      <c r="AF855">
        <v>2654395.6315992312</v>
      </c>
      <c r="AG855">
        <v>119.491707125712</v>
      </c>
      <c r="AH855">
        <v>584.09975873341057</v>
      </c>
      <c r="AI855">
        <v>116.81995174668209</v>
      </c>
      <c r="AJ855">
        <v>55490.553335350807</v>
      </c>
      <c r="AK855">
        <v>854.70085470085473</v>
      </c>
      <c r="AL855" t="s">
        <v>93</v>
      </c>
      <c r="AM855">
        <v>45267.731301839318</v>
      </c>
      <c r="AN855">
        <v>1587.8519235796509</v>
      </c>
      <c r="AO855">
        <v>19859.391796935961</v>
      </c>
      <c r="AP855">
        <v>103200.8374154706</v>
      </c>
      <c r="AQ855">
        <v>83341.445618534679</v>
      </c>
      <c r="AR855">
        <v>2.0905155461666668E-2</v>
      </c>
      <c r="AS855">
        <v>426.14410762900661</v>
      </c>
      <c r="AT855">
        <v>347.63713462058257</v>
      </c>
      <c r="AU855">
        <v>12.19403484646427</v>
      </c>
      <c r="AV855">
        <v>152.5117751883846</v>
      </c>
      <c r="AW855">
        <v>792.53902013200934</v>
      </c>
      <c r="AX855">
        <v>640.02724494362474</v>
      </c>
      <c r="AY855">
        <v>0.97764066274307149</v>
      </c>
      <c r="AZ855" t="s">
        <v>150</v>
      </c>
      <c r="BA855" t="str">
        <f>VLOOKUP($AZ855,Sheet1!$A$2:$B$58,2)</f>
        <v>Shikimate</v>
      </c>
      <c r="BB855" t="s">
        <v>195</v>
      </c>
      <c r="BC855">
        <v>173.14045999999999</v>
      </c>
      <c r="BD855">
        <v>3.8571428571428572</v>
      </c>
      <c r="BE855">
        <v>400.5</v>
      </c>
      <c r="BF855" t="s">
        <v>212</v>
      </c>
      <c r="BG855">
        <v>0</v>
      </c>
      <c r="BH855">
        <v>5.9487179487179499E-2</v>
      </c>
      <c r="BI855">
        <v>0.20921954001124601</v>
      </c>
      <c r="BJ855">
        <v>80</v>
      </c>
      <c r="BK855">
        <v>4735.0920239656434</v>
      </c>
      <c r="BL855">
        <v>3823.8974052639978</v>
      </c>
      <c r="BM855">
        <v>5.8409975873341047</v>
      </c>
      <c r="BN855">
        <v>992.96958984679782</v>
      </c>
      <c r="BO855">
        <v>3742.122434118844</v>
      </c>
    </row>
    <row r="856" spans="1:67" x14ac:dyDescent="0.25">
      <c r="A856" s="1">
        <v>854</v>
      </c>
      <c r="B856" t="s">
        <v>76</v>
      </c>
      <c r="C856" t="s">
        <v>85</v>
      </c>
      <c r="D856">
        <v>1</v>
      </c>
      <c r="E856">
        <v>1</v>
      </c>
      <c r="F856">
        <v>2</v>
      </c>
      <c r="G856">
        <v>45.016539999999999</v>
      </c>
      <c r="H856">
        <v>2</v>
      </c>
      <c r="I856" t="s">
        <v>89</v>
      </c>
      <c r="J856">
        <v>4</v>
      </c>
      <c r="K856">
        <v>300</v>
      </c>
      <c r="L856">
        <v>33.333333333333329</v>
      </c>
      <c r="N856" t="s">
        <v>91</v>
      </c>
      <c r="O856">
        <v>66.666666666666671</v>
      </c>
      <c r="P856">
        <v>0.1666666666666666</v>
      </c>
      <c r="Q856">
        <v>3.2500000000000001E-2</v>
      </c>
      <c r="R856">
        <v>77.5</v>
      </c>
      <c r="S856">
        <v>170</v>
      </c>
      <c r="T856">
        <v>20</v>
      </c>
      <c r="U856">
        <v>1812.1301775147931</v>
      </c>
      <c r="V856">
        <v>20</v>
      </c>
      <c r="W856">
        <v>0.95</v>
      </c>
      <c r="X856">
        <v>1</v>
      </c>
      <c r="Y856">
        <v>324631.89708278538</v>
      </c>
      <c r="Z856">
        <v>973895691.24835646</v>
      </c>
      <c r="AA856">
        <v>3895582764.9934258</v>
      </c>
      <c r="AB856">
        <v>3895582.7649934259</v>
      </c>
      <c r="AC856">
        <v>0</v>
      </c>
      <c r="AD856">
        <v>10093.717479917161</v>
      </c>
      <c r="AE856">
        <v>18168691.463850889</v>
      </c>
      <c r="AF856">
        <v>6056230.4879502961</v>
      </c>
      <c r="AG856">
        <v>272.63054201003399</v>
      </c>
      <c r="AH856">
        <v>1332.6735188734631</v>
      </c>
      <c r="AI856">
        <v>266.53470377469262</v>
      </c>
      <c r="AJ856">
        <v>126606.4398622864</v>
      </c>
      <c r="AK856">
        <v>854.70085470085473</v>
      </c>
      <c r="AL856" t="s">
        <v>93</v>
      </c>
      <c r="AM856">
        <v>103282.19771269331</v>
      </c>
      <c r="AN856">
        <v>3622.8198673382699</v>
      </c>
      <c r="AO856">
        <v>45310.899641697732</v>
      </c>
      <c r="AP856">
        <v>234366.15829701879</v>
      </c>
      <c r="AQ856">
        <v>189055.25865532109</v>
      </c>
      <c r="AR856">
        <v>2.0905155461666668E-2</v>
      </c>
      <c r="AS856">
        <v>426.14410762900673</v>
      </c>
      <c r="AT856">
        <v>347.63713462058269</v>
      </c>
      <c r="AU856">
        <v>12.19403484646427</v>
      </c>
      <c r="AV856">
        <v>152.51177518838469</v>
      </c>
      <c r="AW856">
        <v>788.85211127141156</v>
      </c>
      <c r="AX856">
        <v>636.34033608302695</v>
      </c>
      <c r="AY856">
        <v>0.97764066274307182</v>
      </c>
      <c r="AZ856" t="s">
        <v>151</v>
      </c>
      <c r="BA856" t="str">
        <f>VLOOKUP($AZ856,Sheet1!$A$2:$B$58,2)</f>
        <v>Styrene</v>
      </c>
      <c r="BB856" t="s">
        <v>196</v>
      </c>
      <c r="BC856">
        <v>104.14832</v>
      </c>
      <c r="BD856">
        <v>5</v>
      </c>
      <c r="BE856">
        <v>145</v>
      </c>
      <c r="BF856" t="s">
        <v>212</v>
      </c>
      <c r="BG856">
        <v>0</v>
      </c>
      <c r="BH856">
        <v>4.3773584905660398E-2</v>
      </c>
      <c r="BI856">
        <v>9.1699190471036404E-2</v>
      </c>
      <c r="BJ856">
        <v>80</v>
      </c>
      <c r="BK856">
        <v>10753.258933084229</v>
      </c>
      <c r="BL856">
        <v>8674.290536458142</v>
      </c>
      <c r="BM856">
        <v>13.326735188734631</v>
      </c>
      <c r="BN856">
        <v>2265.5449820848862</v>
      </c>
      <c r="BO856">
        <v>8487.7139509993431</v>
      </c>
    </row>
    <row r="857" spans="1:67" x14ac:dyDescent="0.25">
      <c r="A857" s="1">
        <v>855</v>
      </c>
      <c r="B857" t="s">
        <v>76</v>
      </c>
      <c r="C857" t="s">
        <v>85</v>
      </c>
      <c r="D857">
        <v>1</v>
      </c>
      <c r="E857">
        <v>1</v>
      </c>
      <c r="F857">
        <v>2</v>
      </c>
      <c r="G857">
        <v>45.016539999999999</v>
      </c>
      <c r="H857">
        <v>2</v>
      </c>
      <c r="I857" t="s">
        <v>89</v>
      </c>
      <c r="J857">
        <v>4</v>
      </c>
      <c r="K857">
        <v>300</v>
      </c>
      <c r="L857">
        <v>33.333333333333329</v>
      </c>
      <c r="N857" t="s">
        <v>91</v>
      </c>
      <c r="O857">
        <v>66.666666666666671</v>
      </c>
      <c r="P857">
        <v>0.1666666666666666</v>
      </c>
      <c r="Q857">
        <v>3.2500000000000001E-2</v>
      </c>
      <c r="R857">
        <v>77.5</v>
      </c>
      <c r="S857">
        <v>170</v>
      </c>
      <c r="T857">
        <v>20</v>
      </c>
      <c r="U857">
        <v>1812.1301775147931</v>
      </c>
      <c r="V857">
        <v>20</v>
      </c>
      <c r="W857">
        <v>0.95</v>
      </c>
      <c r="X857">
        <v>1</v>
      </c>
      <c r="Y857">
        <v>69365.996078368917</v>
      </c>
      <c r="Z857">
        <v>208097988.23510671</v>
      </c>
      <c r="AA857">
        <v>832391952.94042695</v>
      </c>
      <c r="AB857">
        <v>832391.952940427</v>
      </c>
      <c r="AC857">
        <v>0</v>
      </c>
      <c r="AD857">
        <v>2156.7836476325901</v>
      </c>
      <c r="AE857">
        <v>3882210.5657386631</v>
      </c>
      <c r="AF857">
        <v>1294070.188579554</v>
      </c>
      <c r="AG857">
        <v>58.254562406999042</v>
      </c>
      <c r="AH857">
        <v>284.76014499693082</v>
      </c>
      <c r="AI857">
        <v>56.952028999386151</v>
      </c>
      <c r="AJ857">
        <v>27052.73847056388</v>
      </c>
      <c r="AK857">
        <v>854.70085470085473</v>
      </c>
      <c r="AL857" t="s">
        <v>93</v>
      </c>
      <c r="AM857">
        <v>22068.911237262131</v>
      </c>
      <c r="AN857">
        <v>774.1091093286451</v>
      </c>
      <c r="AO857">
        <v>9681.8449298956457</v>
      </c>
      <c r="AP857">
        <v>50750.459671855511</v>
      </c>
      <c r="AQ857">
        <v>41068.614741959856</v>
      </c>
      <c r="AR857">
        <v>2.0905155461666668E-2</v>
      </c>
      <c r="AS857">
        <v>426.14410762900661</v>
      </c>
      <c r="AT857">
        <v>347.63713462058257</v>
      </c>
      <c r="AU857">
        <v>12.19403484646427</v>
      </c>
      <c r="AV857">
        <v>152.5117751883846</v>
      </c>
      <c r="AW857">
        <v>799.43882103311387</v>
      </c>
      <c r="AX857">
        <v>646.92704584472926</v>
      </c>
      <c r="AY857">
        <v>0.97764066274307138</v>
      </c>
      <c r="AZ857" t="s">
        <v>152</v>
      </c>
      <c r="BA857" t="str">
        <f>VLOOKUP($AZ857,Sheet1!$A$2:$B$58,2)</f>
        <v>Succinate</v>
      </c>
      <c r="BB857" t="s">
        <v>197</v>
      </c>
      <c r="BC857">
        <v>116.07016</v>
      </c>
      <c r="BD857">
        <v>3</v>
      </c>
      <c r="BE857">
        <v>235</v>
      </c>
      <c r="BF857" t="s">
        <v>212</v>
      </c>
      <c r="BG857">
        <v>0</v>
      </c>
      <c r="BH857">
        <v>0.17846153846153801</v>
      </c>
      <c r="BI857">
        <v>0.42915093628780498</v>
      </c>
      <c r="BJ857">
        <v>80</v>
      </c>
      <c r="BK857">
        <v>2328.5479345225631</v>
      </c>
      <c r="BL857">
        <v>1884.322598246865</v>
      </c>
      <c r="BM857">
        <v>2.8476014499693072</v>
      </c>
      <c r="BN857">
        <v>484.09224649478222</v>
      </c>
      <c r="BO857">
        <v>1844.455688027781</v>
      </c>
    </row>
    <row r="858" spans="1:67" x14ac:dyDescent="0.25">
      <c r="A858" s="1">
        <v>856</v>
      </c>
      <c r="B858" t="s">
        <v>77</v>
      </c>
      <c r="C858" t="s">
        <v>86</v>
      </c>
      <c r="D858">
        <v>2</v>
      </c>
      <c r="E858">
        <v>4</v>
      </c>
      <c r="F858">
        <v>2</v>
      </c>
      <c r="G858">
        <v>60.050759999999997</v>
      </c>
      <c r="H858">
        <v>8</v>
      </c>
      <c r="I858" t="s">
        <v>89</v>
      </c>
      <c r="J858">
        <v>4</v>
      </c>
      <c r="K858">
        <v>20</v>
      </c>
      <c r="L858">
        <v>5</v>
      </c>
      <c r="N858" t="s">
        <v>90</v>
      </c>
      <c r="O858">
        <v>95</v>
      </c>
      <c r="P858">
        <v>0.48749999999999999</v>
      </c>
      <c r="Q858">
        <v>3.2500000000000001E-2</v>
      </c>
      <c r="R858">
        <v>77.5</v>
      </c>
      <c r="S858">
        <v>170</v>
      </c>
      <c r="T858">
        <v>50</v>
      </c>
      <c r="U858">
        <v>1812.1301775147931</v>
      </c>
      <c r="V858">
        <v>20</v>
      </c>
      <c r="W858">
        <v>0.95</v>
      </c>
      <c r="X858">
        <v>1</v>
      </c>
      <c r="Y858">
        <v>21809809.133688621</v>
      </c>
      <c r="Z858">
        <v>4361961826.7377243</v>
      </c>
      <c r="AA858">
        <v>17447847306.950901</v>
      </c>
      <c r="AB858">
        <v>17447847.306950901</v>
      </c>
      <c r="AC858">
        <v>0</v>
      </c>
      <c r="AD858">
        <v>45208.54823871085</v>
      </c>
      <c r="AE858">
        <v>20343846.70741988</v>
      </c>
      <c r="AF858">
        <v>1017192.3353709941</v>
      </c>
      <c r="AG858">
        <v>61.083172805203091</v>
      </c>
      <c r="AH858">
        <v>6983.5950100296814</v>
      </c>
      <c r="AI858">
        <v>3491.7975050148411</v>
      </c>
      <c r="AJ858">
        <v>567055.03747590422</v>
      </c>
      <c r="AK858">
        <v>854.70085470085473</v>
      </c>
      <c r="AL858" t="s">
        <v>93</v>
      </c>
      <c r="AM858">
        <v>541228.61327730026</v>
      </c>
      <c r="AN858">
        <v>243392.62574753529</v>
      </c>
      <c r="AO858">
        <v>593605.57585252286</v>
      </c>
      <c r="AP858">
        <v>1352530.9773554411</v>
      </c>
      <c r="AQ858">
        <v>758925.40150291775</v>
      </c>
      <c r="AR858">
        <v>0.55747081231111095</v>
      </c>
      <c r="AS858">
        <v>9283.3265109569129</v>
      </c>
      <c r="AT858">
        <v>8860.5190009252146</v>
      </c>
      <c r="AU858">
        <v>3984.6100745900189</v>
      </c>
      <c r="AV858">
        <v>9717.9885816599126</v>
      </c>
      <c r="AW858">
        <v>22142.447997400552</v>
      </c>
      <c r="AX858">
        <v>12424.459415740641</v>
      </c>
      <c r="AY858">
        <v>57.164638715646547</v>
      </c>
      <c r="AZ858" t="s">
        <v>96</v>
      </c>
      <c r="BA858" t="str">
        <f>VLOOKUP($AZ858,Sheet1!$A$2:$B$58,2)</f>
        <v>1,3-Butanediol (PW1)</v>
      </c>
      <c r="BB858" t="s">
        <v>153</v>
      </c>
      <c r="BC858">
        <v>90.119200000000006</v>
      </c>
      <c r="BD858">
        <v>5.5</v>
      </c>
      <c r="BE858">
        <v>207</v>
      </c>
      <c r="BF858" t="s">
        <v>213</v>
      </c>
      <c r="BG858">
        <v>1.627844011043152</v>
      </c>
      <c r="BH858">
        <v>0.27272727272727298</v>
      </c>
      <c r="BI858">
        <v>0.40927801965569299</v>
      </c>
      <c r="BJ858">
        <v>80</v>
      </c>
      <c r="BK858">
        <v>67626.548867772028</v>
      </c>
      <c r="BL858">
        <v>37946.270075145891</v>
      </c>
      <c r="BM858">
        <v>172.96203123969889</v>
      </c>
      <c r="BN858">
        <v>29403.54531074881</v>
      </c>
      <c r="BO858">
        <v>38223.003557023221</v>
      </c>
    </row>
    <row r="859" spans="1:67" x14ac:dyDescent="0.25">
      <c r="A859" s="1">
        <v>857</v>
      </c>
      <c r="B859" t="s">
        <v>77</v>
      </c>
      <c r="C859" t="s">
        <v>86</v>
      </c>
      <c r="D859">
        <v>2</v>
      </c>
      <c r="E859">
        <v>4</v>
      </c>
      <c r="F859">
        <v>2</v>
      </c>
      <c r="G859">
        <v>60.050759999999997</v>
      </c>
      <c r="H859">
        <v>8</v>
      </c>
      <c r="I859" t="s">
        <v>89</v>
      </c>
      <c r="J859">
        <v>4</v>
      </c>
      <c r="K859">
        <v>20</v>
      </c>
      <c r="L859">
        <v>5</v>
      </c>
      <c r="N859" t="s">
        <v>90</v>
      </c>
      <c r="O859">
        <v>95</v>
      </c>
      <c r="P859">
        <v>0.48749999999999999</v>
      </c>
      <c r="Q859">
        <v>3.2500000000000001E-2</v>
      </c>
      <c r="R859">
        <v>77.5</v>
      </c>
      <c r="S859">
        <v>170</v>
      </c>
      <c r="T859">
        <v>50</v>
      </c>
      <c r="U859">
        <v>1812.1301775147931</v>
      </c>
      <c r="V859">
        <v>20</v>
      </c>
      <c r="W859">
        <v>0.95</v>
      </c>
      <c r="X859">
        <v>1</v>
      </c>
      <c r="Y859">
        <v>21809809.133688681</v>
      </c>
      <c r="Z859">
        <v>4361961826.7377357</v>
      </c>
      <c r="AA859">
        <v>17447847306.950939</v>
      </c>
      <c r="AB859">
        <v>17447847.306950942</v>
      </c>
      <c r="AC859">
        <v>0</v>
      </c>
      <c r="AD859">
        <v>45208.548238710973</v>
      </c>
      <c r="AE859">
        <v>20343846.707419939</v>
      </c>
      <c r="AF859">
        <v>1017192.335370997</v>
      </c>
      <c r="AG859">
        <v>61.083172805203233</v>
      </c>
      <c r="AH859">
        <v>6983.5950100296996</v>
      </c>
      <c r="AI859">
        <v>3491.7975050148498</v>
      </c>
      <c r="AJ859">
        <v>567055.03747590561</v>
      </c>
      <c r="AK859">
        <v>854.70085470085473</v>
      </c>
      <c r="AL859" t="s">
        <v>93</v>
      </c>
      <c r="AM859">
        <v>541228.61327730177</v>
      </c>
      <c r="AN859">
        <v>243392.6257475359</v>
      </c>
      <c r="AO859">
        <v>593605.57585252449</v>
      </c>
      <c r="AP859">
        <v>1352530.9773554441</v>
      </c>
      <c r="AQ859">
        <v>758925.40150291962</v>
      </c>
      <c r="AR859">
        <v>0.55747081231111095</v>
      </c>
      <c r="AS859">
        <v>9283.3265109569129</v>
      </c>
      <c r="AT859">
        <v>8860.5190009252165</v>
      </c>
      <c r="AU859">
        <v>3984.6100745900189</v>
      </c>
      <c r="AV859">
        <v>9717.9885816599144</v>
      </c>
      <c r="AW859">
        <v>22142.447997400552</v>
      </c>
      <c r="AX859">
        <v>12424.459415740641</v>
      </c>
      <c r="AY859">
        <v>57.164638715646568</v>
      </c>
      <c r="AZ859" t="s">
        <v>97</v>
      </c>
      <c r="BA859" t="str">
        <f>VLOOKUP($AZ859,Sheet1!$A$2:$B$58,2)</f>
        <v>1,3-Butanediol (PW2)</v>
      </c>
      <c r="BB859" t="s">
        <v>153</v>
      </c>
      <c r="BC859">
        <v>90.119200000000006</v>
      </c>
      <c r="BD859">
        <v>5.5</v>
      </c>
      <c r="BE859">
        <v>207</v>
      </c>
      <c r="BF859" t="s">
        <v>213</v>
      </c>
      <c r="BG859">
        <v>1.627844011043148</v>
      </c>
      <c r="BH859">
        <v>0.27272727272727298</v>
      </c>
      <c r="BI859">
        <v>0.40927801965569199</v>
      </c>
      <c r="BJ859">
        <v>80</v>
      </c>
      <c r="BK859">
        <v>67626.548867772202</v>
      </c>
      <c r="BL859">
        <v>37946.270075145992</v>
      </c>
      <c r="BM859">
        <v>172.9620312396994</v>
      </c>
      <c r="BN859">
        <v>29403.545310748901</v>
      </c>
      <c r="BO859">
        <v>38223.003557023301</v>
      </c>
    </row>
    <row r="860" spans="1:67" x14ac:dyDescent="0.25">
      <c r="A860" s="1">
        <v>858</v>
      </c>
      <c r="B860" t="s">
        <v>77</v>
      </c>
      <c r="C860" t="s">
        <v>86</v>
      </c>
      <c r="D860">
        <v>2</v>
      </c>
      <c r="E860">
        <v>4</v>
      </c>
      <c r="F860">
        <v>2</v>
      </c>
      <c r="G860">
        <v>60.050759999999997</v>
      </c>
      <c r="H860">
        <v>8</v>
      </c>
      <c r="I860" t="s">
        <v>89</v>
      </c>
      <c r="J860">
        <v>4</v>
      </c>
      <c r="K860">
        <v>20</v>
      </c>
      <c r="L860">
        <v>5</v>
      </c>
      <c r="N860" t="s">
        <v>90</v>
      </c>
      <c r="O860">
        <v>95</v>
      </c>
      <c r="P860">
        <v>0.48749999999999999</v>
      </c>
      <c r="Q860">
        <v>3.2500000000000001E-2</v>
      </c>
      <c r="R860">
        <v>77.5</v>
      </c>
      <c r="S860">
        <v>170</v>
      </c>
      <c r="T860">
        <v>50</v>
      </c>
      <c r="U860">
        <v>1812.1301775147931</v>
      </c>
      <c r="V860">
        <v>20</v>
      </c>
      <c r="W860">
        <v>0.95</v>
      </c>
      <c r="X860">
        <v>1</v>
      </c>
      <c r="Y860">
        <v>19542114.51364059</v>
      </c>
      <c r="Z860">
        <v>3908422902.7281189</v>
      </c>
      <c r="AA860">
        <v>15633691610.912479</v>
      </c>
      <c r="AB860">
        <v>15633691.610912479</v>
      </c>
      <c r="AC860">
        <v>0</v>
      </c>
      <c r="AD860">
        <v>40507.9485685033</v>
      </c>
      <c r="AE860">
        <v>18228576.85582649</v>
      </c>
      <c r="AF860">
        <v>911428.84279132436</v>
      </c>
      <c r="AG860">
        <v>54.731994695539548</v>
      </c>
      <c r="AH860">
        <v>6257.469405914404</v>
      </c>
      <c r="AI860">
        <v>3128.734702957202</v>
      </c>
      <c r="AJ860">
        <v>508094.97735465539</v>
      </c>
      <c r="AK860">
        <v>854.70085470085473</v>
      </c>
      <c r="AL860" t="s">
        <v>93</v>
      </c>
      <c r="AM860">
        <v>484953.87895836629</v>
      </c>
      <c r="AN860">
        <v>218085.6574662544</v>
      </c>
      <c r="AO860">
        <v>531884.89950272429</v>
      </c>
      <c r="AP860">
        <v>1211989.214633977</v>
      </c>
      <c r="AQ860">
        <v>680104.31513125252</v>
      </c>
      <c r="AR860">
        <v>0.55747081231111095</v>
      </c>
      <c r="AS860">
        <v>9283.3265109569129</v>
      </c>
      <c r="AT860">
        <v>8860.5190009252146</v>
      </c>
      <c r="AU860">
        <v>3984.6100745900189</v>
      </c>
      <c r="AV860">
        <v>9717.9885816599144</v>
      </c>
      <c r="AW860">
        <v>22144.071696563791</v>
      </c>
      <c r="AX860">
        <v>12426.08311490388</v>
      </c>
      <c r="AY860">
        <v>57.164638715646547</v>
      </c>
      <c r="AZ860" t="s">
        <v>98</v>
      </c>
      <c r="BA860" t="str">
        <f>VLOOKUP($AZ860,Sheet1!$A$2:$B$58,2)</f>
        <v>1,3-Diaminopropane</v>
      </c>
      <c r="BB860" t="s">
        <v>154</v>
      </c>
      <c r="BC860">
        <v>76.139580000000009</v>
      </c>
      <c r="BD860">
        <v>6</v>
      </c>
      <c r="BE860">
        <v>139.30000000000001</v>
      </c>
      <c r="BF860" t="s">
        <v>213</v>
      </c>
      <c r="BG860">
        <v>1.474840290155961</v>
      </c>
      <c r="BH860">
        <v>0.36025974025974</v>
      </c>
      <c r="BI860">
        <v>0.45677122018060501</v>
      </c>
      <c r="BJ860">
        <v>80</v>
      </c>
      <c r="BK860">
        <v>60599.460731698848</v>
      </c>
      <c r="BL860">
        <v>34005.215756562633</v>
      </c>
      <c r="BM860">
        <v>154.9618948577041</v>
      </c>
      <c r="BN860">
        <v>26343.522125809701</v>
      </c>
      <c r="BO860">
        <v>34255.938605889147</v>
      </c>
    </row>
    <row r="861" spans="1:67" x14ac:dyDescent="0.25">
      <c r="A861" s="1">
        <v>859</v>
      </c>
      <c r="B861" t="s">
        <v>77</v>
      </c>
      <c r="C861" t="s">
        <v>86</v>
      </c>
      <c r="D861">
        <v>2</v>
      </c>
      <c r="E861">
        <v>4</v>
      </c>
      <c r="F861">
        <v>2</v>
      </c>
      <c r="G861">
        <v>60.050759999999997</v>
      </c>
      <c r="H861">
        <v>8</v>
      </c>
      <c r="I861" t="s">
        <v>89</v>
      </c>
      <c r="J861">
        <v>4</v>
      </c>
      <c r="K861">
        <v>20</v>
      </c>
      <c r="L861">
        <v>5</v>
      </c>
      <c r="N861" t="s">
        <v>90</v>
      </c>
      <c r="O861">
        <v>95</v>
      </c>
      <c r="P861">
        <v>0.48749999999999999</v>
      </c>
      <c r="Q861">
        <v>3.2500000000000001E-2</v>
      </c>
      <c r="R861">
        <v>77.5</v>
      </c>
      <c r="S861">
        <v>170</v>
      </c>
      <c r="T861">
        <v>50</v>
      </c>
      <c r="U861">
        <v>1812.1301775147931</v>
      </c>
      <c r="V861">
        <v>20</v>
      </c>
      <c r="W861">
        <v>0.95</v>
      </c>
      <c r="X861">
        <v>1</v>
      </c>
      <c r="Y861">
        <v>18785502.43606272</v>
      </c>
      <c r="Z861">
        <v>3757100487.212544</v>
      </c>
      <c r="AA861">
        <v>15028401948.85018</v>
      </c>
      <c r="AB861">
        <v>15028401.948850179</v>
      </c>
      <c r="AC861">
        <v>0</v>
      </c>
      <c r="AD861">
        <v>38939.60226168784</v>
      </c>
      <c r="AE861">
        <v>17522821.017759532</v>
      </c>
      <c r="AF861">
        <v>876141.05088797654</v>
      </c>
      <c r="AG861">
        <v>52.612935973021663</v>
      </c>
      <c r="AH861">
        <v>6015.1989533344549</v>
      </c>
      <c r="AI861">
        <v>3007.599476667227</v>
      </c>
      <c r="AJ861">
        <v>488423.06333763071</v>
      </c>
      <c r="AK861">
        <v>854.70085470085473</v>
      </c>
      <c r="AL861" t="s">
        <v>93</v>
      </c>
      <c r="AM861">
        <v>466177.91888342018</v>
      </c>
      <c r="AN861">
        <v>209642.03473186179</v>
      </c>
      <c r="AO861">
        <v>511291.91103342868</v>
      </c>
      <c r="AP861">
        <v>1165097.7178076131</v>
      </c>
      <c r="AQ861">
        <v>653805.80677418457</v>
      </c>
      <c r="AR861">
        <v>0.55747081231111095</v>
      </c>
      <c r="AS861">
        <v>9283.3265109569129</v>
      </c>
      <c r="AT861">
        <v>8860.5190009252146</v>
      </c>
      <c r="AU861">
        <v>3984.6100745900189</v>
      </c>
      <c r="AV861">
        <v>9717.9885816599144</v>
      </c>
      <c r="AW861">
        <v>22144.700656983681</v>
      </c>
      <c r="AX861">
        <v>12426.71207532377</v>
      </c>
      <c r="AY861">
        <v>57.164638715646547</v>
      </c>
      <c r="AZ861" t="s">
        <v>99</v>
      </c>
      <c r="BA861" t="str">
        <f>VLOOKUP($AZ861,Sheet1!$A$2:$B$58,2)</f>
        <v>1,3-Propanediol</v>
      </c>
      <c r="BB861" t="s">
        <v>155</v>
      </c>
      <c r="BC861">
        <v>76.092820000000003</v>
      </c>
      <c r="BD861">
        <v>5.333333333333333</v>
      </c>
      <c r="BE861">
        <v>213</v>
      </c>
      <c r="BF861" t="s">
        <v>213</v>
      </c>
      <c r="BG861">
        <v>1.349536000899954</v>
      </c>
      <c r="BH861">
        <v>0.375</v>
      </c>
      <c r="BI861">
        <v>0.47516831246253299</v>
      </c>
      <c r="BJ861">
        <v>80</v>
      </c>
      <c r="BK861">
        <v>58254.885890380647</v>
      </c>
      <c r="BL861">
        <v>32690.290338709219</v>
      </c>
      <c r="BM861">
        <v>149.03043783246139</v>
      </c>
      <c r="BN861">
        <v>25335.174431518441</v>
      </c>
      <c r="BO861">
        <v>32919.711458862213</v>
      </c>
    </row>
    <row r="862" spans="1:67" x14ac:dyDescent="0.25">
      <c r="A862" s="1">
        <v>860</v>
      </c>
      <c r="B862" t="s">
        <v>77</v>
      </c>
      <c r="C862" t="s">
        <v>86</v>
      </c>
      <c r="D862">
        <v>2</v>
      </c>
      <c r="E862">
        <v>4</v>
      </c>
      <c r="F862">
        <v>2</v>
      </c>
      <c r="G862">
        <v>60.050759999999997</v>
      </c>
      <c r="H862">
        <v>8</v>
      </c>
      <c r="I862" t="s">
        <v>89</v>
      </c>
      <c r="J862">
        <v>4</v>
      </c>
      <c r="K862">
        <v>20</v>
      </c>
      <c r="L862">
        <v>5</v>
      </c>
      <c r="N862" t="s">
        <v>90</v>
      </c>
      <c r="O862">
        <v>95</v>
      </c>
      <c r="P862">
        <v>0.48749999999999999</v>
      </c>
      <c r="Q862">
        <v>3.2500000000000001E-2</v>
      </c>
      <c r="R862">
        <v>77.5</v>
      </c>
      <c r="S862">
        <v>170</v>
      </c>
      <c r="T862">
        <v>50</v>
      </c>
      <c r="U862">
        <v>1812.1301775147931</v>
      </c>
      <c r="V862">
        <v>20</v>
      </c>
      <c r="W862">
        <v>0.95</v>
      </c>
      <c r="X862">
        <v>1</v>
      </c>
      <c r="Y862">
        <v>20244253.52755757</v>
      </c>
      <c r="Z862">
        <v>4048850705.5115142</v>
      </c>
      <c r="AA862">
        <v>16195402822.046049</v>
      </c>
      <c r="AB862">
        <v>16195402.822046051</v>
      </c>
      <c r="AC862">
        <v>0</v>
      </c>
      <c r="AD862">
        <v>41963.380172070843</v>
      </c>
      <c r="AE862">
        <v>18883521.07743188</v>
      </c>
      <c r="AF862">
        <v>944176.0538715939</v>
      </c>
      <c r="AG862">
        <v>56.698489608790148</v>
      </c>
      <c r="AH862">
        <v>6482.2973484186596</v>
      </c>
      <c r="AI862">
        <v>3241.1486742093298</v>
      </c>
      <c r="AJ862">
        <v>526350.59171649674</v>
      </c>
      <c r="AK862">
        <v>854.70085470085473</v>
      </c>
      <c r="AL862" t="s">
        <v>93</v>
      </c>
      <c r="AM862">
        <v>502378.04450244608</v>
      </c>
      <c r="AN862">
        <v>225921.37290922279</v>
      </c>
      <c r="AO862">
        <v>550995.27461558604</v>
      </c>
      <c r="AP862">
        <v>1255504.709982866</v>
      </c>
      <c r="AQ862">
        <v>704509.43536728038</v>
      </c>
      <c r="AR862">
        <v>0.55747081231111095</v>
      </c>
      <c r="AS862">
        <v>9283.3265109569129</v>
      </c>
      <c r="AT862">
        <v>8860.5190009252165</v>
      </c>
      <c r="AU862">
        <v>3984.6100745900198</v>
      </c>
      <c r="AV862">
        <v>9717.9885816599144</v>
      </c>
      <c r="AW862">
        <v>22143.53007717901</v>
      </c>
      <c r="AX862">
        <v>12425.541495519101</v>
      </c>
      <c r="AY862">
        <v>57.164638715646561</v>
      </c>
      <c r="AZ862" t="s">
        <v>100</v>
      </c>
      <c r="BA862" t="str">
        <f>VLOOKUP($AZ862,Sheet1!$A$2:$B$58,2)</f>
        <v>1,4-Butanediol</v>
      </c>
      <c r="BB862" t="s">
        <v>153</v>
      </c>
      <c r="BC862">
        <v>90.119200000000006</v>
      </c>
      <c r="BD862">
        <v>5.5</v>
      </c>
      <c r="BE862">
        <v>230</v>
      </c>
      <c r="BF862" t="s">
        <v>213</v>
      </c>
      <c r="BG862">
        <v>1.370773595437822</v>
      </c>
      <c r="BH862">
        <v>0.29381818181818198</v>
      </c>
      <c r="BI862">
        <v>0.44092885317573199</v>
      </c>
      <c r="BJ862">
        <v>80</v>
      </c>
      <c r="BK862">
        <v>62775.235499143317</v>
      </c>
      <c r="BL862">
        <v>35225.471768364027</v>
      </c>
      <c r="BM862">
        <v>160.6866601150287</v>
      </c>
      <c r="BN862">
        <v>27316.73221955487</v>
      </c>
      <c r="BO862">
        <v>35458.503279588447</v>
      </c>
    </row>
    <row r="863" spans="1:67" x14ac:dyDescent="0.25">
      <c r="A863" s="1">
        <v>861</v>
      </c>
      <c r="B863" t="s">
        <v>77</v>
      </c>
      <c r="C863" t="s">
        <v>86</v>
      </c>
      <c r="D863">
        <v>2</v>
      </c>
      <c r="E863">
        <v>4</v>
      </c>
      <c r="F863">
        <v>2</v>
      </c>
      <c r="G863">
        <v>60.050759999999997</v>
      </c>
      <c r="H863">
        <v>8</v>
      </c>
      <c r="I863" t="s">
        <v>89</v>
      </c>
      <c r="J863">
        <v>4</v>
      </c>
      <c r="K863">
        <v>20</v>
      </c>
      <c r="L863">
        <v>5</v>
      </c>
      <c r="N863" t="s">
        <v>90</v>
      </c>
      <c r="O863">
        <v>95</v>
      </c>
      <c r="P863">
        <v>0.48749999999999999</v>
      </c>
      <c r="Q863">
        <v>3.2500000000000001E-2</v>
      </c>
      <c r="R863">
        <v>77.5</v>
      </c>
      <c r="S863">
        <v>170</v>
      </c>
      <c r="T863">
        <v>50</v>
      </c>
      <c r="U863">
        <v>1812.1301775147931</v>
      </c>
      <c r="V863">
        <v>20</v>
      </c>
      <c r="W863">
        <v>0.95</v>
      </c>
      <c r="X863">
        <v>1</v>
      </c>
      <c r="Y863">
        <v>26760190.771887939</v>
      </c>
      <c r="Z863">
        <v>5352038154.3775883</v>
      </c>
      <c r="AA863">
        <v>21408152617.510349</v>
      </c>
      <c r="AB863">
        <v>21408152.617510349</v>
      </c>
      <c r="AC863">
        <v>0</v>
      </c>
      <c r="AD863">
        <v>55469.966196049558</v>
      </c>
      <c r="AE863">
        <v>24961484.788222302</v>
      </c>
      <c r="AF863">
        <v>1248074.2394111149</v>
      </c>
      <c r="AG863">
        <v>74.947806613059413</v>
      </c>
      <c r="AH863">
        <v>8568.7285751313739</v>
      </c>
      <c r="AI863">
        <v>4284.3642875656869</v>
      </c>
      <c r="AJ863">
        <v>695764.96006908652</v>
      </c>
      <c r="AK863">
        <v>854.70085470085473</v>
      </c>
      <c r="AL863" t="s">
        <v>93</v>
      </c>
      <c r="AM863">
        <v>664076.46457268146</v>
      </c>
      <c r="AN863">
        <v>298637.78529882099</v>
      </c>
      <c r="AO863">
        <v>728341.92888616677</v>
      </c>
      <c r="AP863">
        <v>1659333.91079529</v>
      </c>
      <c r="AQ863">
        <v>930991.98190912302</v>
      </c>
      <c r="AR863">
        <v>0.55747081231111106</v>
      </c>
      <c r="AS863">
        <v>9283.3265109569147</v>
      </c>
      <c r="AT863">
        <v>8860.5190009252146</v>
      </c>
      <c r="AU863">
        <v>3984.610074590018</v>
      </c>
      <c r="AV863">
        <v>9717.9885816599144</v>
      </c>
      <c r="AW863">
        <v>22139.859534010109</v>
      </c>
      <c r="AX863">
        <v>12421.8709523502</v>
      </c>
      <c r="AY863">
        <v>57.164638715646547</v>
      </c>
      <c r="AZ863" t="s">
        <v>101</v>
      </c>
      <c r="BA863" t="str">
        <f>VLOOKUP($AZ863,Sheet1!$A$2:$B$58,2)</f>
        <v>1-Propanol (PW1)</v>
      </c>
      <c r="BB863" t="s">
        <v>156</v>
      </c>
      <c r="BC863">
        <v>60.093820000000001</v>
      </c>
      <c r="BD863">
        <v>6</v>
      </c>
      <c r="BE863">
        <v>97</v>
      </c>
      <c r="BF863" t="s">
        <v>213</v>
      </c>
      <c r="BG863">
        <v>2.1970645234401829</v>
      </c>
      <c r="BH863">
        <v>0.33333333333333298</v>
      </c>
      <c r="BI863">
        <v>0.333565465485468</v>
      </c>
      <c r="BJ863">
        <v>80</v>
      </c>
      <c r="BK863">
        <v>82966.695539764478</v>
      </c>
      <c r="BL863">
        <v>46549.599095456142</v>
      </c>
      <c r="BM863">
        <v>212.0211498548442</v>
      </c>
      <c r="BN863">
        <v>36043.595475323513</v>
      </c>
      <c r="BO863">
        <v>46923.100064440972</v>
      </c>
    </row>
    <row r="864" spans="1:67" x14ac:dyDescent="0.25">
      <c r="A864" s="1">
        <v>862</v>
      </c>
      <c r="B864" t="s">
        <v>77</v>
      </c>
      <c r="C864" t="s">
        <v>86</v>
      </c>
      <c r="D864">
        <v>2</v>
      </c>
      <c r="E864">
        <v>4</v>
      </c>
      <c r="F864">
        <v>2</v>
      </c>
      <c r="G864">
        <v>60.050759999999997</v>
      </c>
      <c r="H864">
        <v>8</v>
      </c>
      <c r="I864" t="s">
        <v>89</v>
      </c>
      <c r="J864">
        <v>4</v>
      </c>
      <c r="K864">
        <v>20</v>
      </c>
      <c r="L864">
        <v>5</v>
      </c>
      <c r="N864" t="s">
        <v>90</v>
      </c>
      <c r="O864">
        <v>95</v>
      </c>
      <c r="P864">
        <v>0.48749999999999999</v>
      </c>
      <c r="Q864">
        <v>3.2500000000000001E-2</v>
      </c>
      <c r="R864">
        <v>77.5</v>
      </c>
      <c r="S864">
        <v>170</v>
      </c>
      <c r="T864">
        <v>50</v>
      </c>
      <c r="U864">
        <v>1812.1301775147931</v>
      </c>
      <c r="V864">
        <v>20</v>
      </c>
      <c r="W864">
        <v>0.95</v>
      </c>
      <c r="X864">
        <v>1</v>
      </c>
      <c r="Y864">
        <v>28416674.997342739</v>
      </c>
      <c r="Z864">
        <v>5683334999.4685488</v>
      </c>
      <c r="AA864">
        <v>22733339997.874199</v>
      </c>
      <c r="AB864">
        <v>22733339.9978742</v>
      </c>
      <c r="AC864">
        <v>0</v>
      </c>
      <c r="AD864">
        <v>58903.616007200922</v>
      </c>
      <c r="AE864">
        <v>26506627.203240409</v>
      </c>
      <c r="AF864">
        <v>1325331.3601620209</v>
      </c>
      <c r="AG864">
        <v>79.587155429563055</v>
      </c>
      <c r="AH864">
        <v>9099.1419730739635</v>
      </c>
      <c r="AI864">
        <v>4549.5709865369818</v>
      </c>
      <c r="AJ864">
        <v>738833.54993091139</v>
      </c>
      <c r="AK864">
        <v>854.70085470085473</v>
      </c>
      <c r="AL864" t="s">
        <v>93</v>
      </c>
      <c r="AM864">
        <v>705183.50291323219</v>
      </c>
      <c r="AN864">
        <v>317123.78133259882</v>
      </c>
      <c r="AO864">
        <v>773427.06771128695</v>
      </c>
      <c r="AP864">
        <v>1761995.535031443</v>
      </c>
      <c r="AQ864">
        <v>988568.46732015605</v>
      </c>
      <c r="AR864">
        <v>0.55747081231111106</v>
      </c>
      <c r="AS864">
        <v>9283.3265109569147</v>
      </c>
      <c r="AT864">
        <v>8860.5190009252183</v>
      </c>
      <c r="AU864">
        <v>3984.6100745900189</v>
      </c>
      <c r="AV864">
        <v>9717.9885816599181</v>
      </c>
      <c r="AW864">
        <v>22139.194767312169</v>
      </c>
      <c r="AX864">
        <v>12421.20618565225</v>
      </c>
      <c r="AY864">
        <v>57.164638715646568</v>
      </c>
      <c r="AZ864" t="s">
        <v>102</v>
      </c>
      <c r="BA864" t="str">
        <f>VLOOKUP($AZ864,Sheet1!$A$2:$B$58,2)</f>
        <v>1-Propanol (PW2)</v>
      </c>
      <c r="BB864" t="s">
        <v>156</v>
      </c>
      <c r="BC864">
        <v>60.093820000000001</v>
      </c>
      <c r="BD864">
        <v>6</v>
      </c>
      <c r="BE864">
        <v>97</v>
      </c>
      <c r="BF864" t="s">
        <v>213</v>
      </c>
      <c r="BG864">
        <v>2.469065777572379</v>
      </c>
      <c r="BH864">
        <v>0.31390243902439102</v>
      </c>
      <c r="BI864">
        <v>0.31412103957058402</v>
      </c>
      <c r="BJ864">
        <v>80</v>
      </c>
      <c r="BK864">
        <v>88099.776751572135</v>
      </c>
      <c r="BL864">
        <v>49428.423366007788</v>
      </c>
      <c r="BM864">
        <v>225.00948354927669</v>
      </c>
      <c r="BN864">
        <v>38251.612203377037</v>
      </c>
      <c r="BO864">
        <v>49848.164548195091</v>
      </c>
    </row>
    <row r="865" spans="1:67" x14ac:dyDescent="0.25">
      <c r="A865" s="1">
        <v>863</v>
      </c>
      <c r="B865" t="s">
        <v>77</v>
      </c>
      <c r="C865" t="s">
        <v>86</v>
      </c>
      <c r="D865">
        <v>2</v>
      </c>
      <c r="E865">
        <v>4</v>
      </c>
      <c r="F865">
        <v>2</v>
      </c>
      <c r="G865">
        <v>60.050759999999997</v>
      </c>
      <c r="H865">
        <v>8</v>
      </c>
      <c r="I865" t="s">
        <v>89</v>
      </c>
      <c r="J865">
        <v>4</v>
      </c>
      <c r="K865">
        <v>20</v>
      </c>
      <c r="L865">
        <v>5</v>
      </c>
      <c r="N865" t="s">
        <v>90</v>
      </c>
      <c r="O865">
        <v>95</v>
      </c>
      <c r="P865">
        <v>0.48749999999999999</v>
      </c>
      <c r="Q865">
        <v>3.2500000000000001E-2</v>
      </c>
      <c r="R865">
        <v>77.5</v>
      </c>
      <c r="S865">
        <v>170</v>
      </c>
      <c r="T865">
        <v>50</v>
      </c>
      <c r="U865">
        <v>1812.1301775147931</v>
      </c>
      <c r="V865">
        <v>20</v>
      </c>
      <c r="W865">
        <v>0.95</v>
      </c>
      <c r="X865">
        <v>1</v>
      </c>
      <c r="Y865">
        <v>21809809.133688621</v>
      </c>
      <c r="Z865">
        <v>4361961826.7377243</v>
      </c>
      <c r="AA865">
        <v>17447847306.950901</v>
      </c>
      <c r="AB865">
        <v>17447847.306950901</v>
      </c>
      <c r="AC865">
        <v>0</v>
      </c>
      <c r="AD865">
        <v>45208.54823871085</v>
      </c>
      <c r="AE865">
        <v>20343846.70741988</v>
      </c>
      <c r="AF865">
        <v>1017192.3353709941</v>
      </c>
      <c r="AG865">
        <v>61.083172805203091</v>
      </c>
      <c r="AH865">
        <v>6983.5950100296814</v>
      </c>
      <c r="AI865">
        <v>3491.7975050148411</v>
      </c>
      <c r="AJ865">
        <v>567055.03747590422</v>
      </c>
      <c r="AK865">
        <v>854.70085470085473</v>
      </c>
      <c r="AL865" t="s">
        <v>93</v>
      </c>
      <c r="AM865">
        <v>541228.61327730026</v>
      </c>
      <c r="AN865">
        <v>243392.62574753529</v>
      </c>
      <c r="AO865">
        <v>593605.57585252286</v>
      </c>
      <c r="AP865">
        <v>1352530.9773554411</v>
      </c>
      <c r="AQ865">
        <v>758925.40150291775</v>
      </c>
      <c r="AR865">
        <v>0.55747081231111095</v>
      </c>
      <c r="AS865">
        <v>9283.3265109569129</v>
      </c>
      <c r="AT865">
        <v>8860.5190009252146</v>
      </c>
      <c r="AU865">
        <v>3984.6100745900189</v>
      </c>
      <c r="AV865">
        <v>9717.9885816599126</v>
      </c>
      <c r="AW865">
        <v>22142.447997400552</v>
      </c>
      <c r="AX865">
        <v>12424.459415740641</v>
      </c>
      <c r="AY865">
        <v>57.164638715646547</v>
      </c>
      <c r="AZ865" t="s">
        <v>103</v>
      </c>
      <c r="BA865" t="str">
        <f>VLOOKUP($AZ865,Sheet1!$A$2:$B$58,2)</f>
        <v>2,3-Butanediol</v>
      </c>
      <c r="BB865" t="s">
        <v>153</v>
      </c>
      <c r="BC865">
        <v>90.119200000000006</v>
      </c>
      <c r="BD865">
        <v>5.5</v>
      </c>
      <c r="BE865">
        <v>177</v>
      </c>
      <c r="BF865" t="s">
        <v>213</v>
      </c>
      <c r="BG865">
        <v>1.62784401104315</v>
      </c>
      <c r="BH865">
        <v>0.27272727272727298</v>
      </c>
      <c r="BI865">
        <v>0.40927801965569299</v>
      </c>
      <c r="BJ865">
        <v>80</v>
      </c>
      <c r="BK865">
        <v>67626.548867772028</v>
      </c>
      <c r="BL865">
        <v>37946.270075145891</v>
      </c>
      <c r="BM865">
        <v>172.96203123969889</v>
      </c>
      <c r="BN865">
        <v>29403.54531074881</v>
      </c>
      <c r="BO865">
        <v>38223.003557023221</v>
      </c>
    </row>
    <row r="866" spans="1:67" x14ac:dyDescent="0.25">
      <c r="A866" s="1">
        <v>864</v>
      </c>
      <c r="B866" t="s">
        <v>77</v>
      </c>
      <c r="C866" t="s">
        <v>86</v>
      </c>
      <c r="D866">
        <v>2</v>
      </c>
      <c r="E866">
        <v>4</v>
      </c>
      <c r="F866">
        <v>2</v>
      </c>
      <c r="G866">
        <v>60.050759999999997</v>
      </c>
      <c r="H866">
        <v>8</v>
      </c>
      <c r="I866" t="s">
        <v>89</v>
      </c>
      <c r="J866">
        <v>4</v>
      </c>
      <c r="K866">
        <v>20</v>
      </c>
      <c r="L866">
        <v>5</v>
      </c>
      <c r="N866" t="s">
        <v>90</v>
      </c>
      <c r="O866">
        <v>95</v>
      </c>
      <c r="P866">
        <v>0.48749999999999999</v>
      </c>
      <c r="Q866">
        <v>3.2500000000000001E-2</v>
      </c>
      <c r="R866">
        <v>77.5</v>
      </c>
      <c r="S866">
        <v>170</v>
      </c>
      <c r="T866">
        <v>50</v>
      </c>
      <c r="U866">
        <v>1812.1301775147931</v>
      </c>
      <c r="V866">
        <v>20</v>
      </c>
      <c r="W866">
        <v>0.95</v>
      </c>
      <c r="X866">
        <v>1</v>
      </c>
      <c r="Y866">
        <v>30713344.0847449</v>
      </c>
      <c r="Z866">
        <v>6142668816.9489794</v>
      </c>
      <c r="AA866">
        <v>24570675267.795921</v>
      </c>
      <c r="AB866">
        <v>24570675.26779592</v>
      </c>
      <c r="AC866">
        <v>0</v>
      </c>
      <c r="AD866">
        <v>63664.275515485933</v>
      </c>
      <c r="AE866">
        <v>28648923.981968671</v>
      </c>
      <c r="AF866">
        <v>1432446.1990984341</v>
      </c>
      <c r="AG866">
        <v>86.019482914972244</v>
      </c>
      <c r="AH866">
        <v>9834.5453266822387</v>
      </c>
      <c r="AI866">
        <v>4917.2726633411194</v>
      </c>
      <c r="AJ866">
        <v>798546.94620336732</v>
      </c>
      <c r="AK866">
        <v>854.70085470085473</v>
      </c>
      <c r="AL866" t="s">
        <v>93</v>
      </c>
      <c r="AM866">
        <v>762177.2628178735</v>
      </c>
      <c r="AN866">
        <v>342754.09823402262</v>
      </c>
      <c r="AO866">
        <v>835936.35276799032</v>
      </c>
      <c r="AP866">
        <v>1904333.008109964</v>
      </c>
      <c r="AQ866">
        <v>1068396.655341974</v>
      </c>
      <c r="AR866">
        <v>0.55747081231111106</v>
      </c>
      <c r="AS866">
        <v>9283.3265109569147</v>
      </c>
      <c r="AT866">
        <v>8860.5190009252146</v>
      </c>
      <c r="AU866">
        <v>3984.6100745900212</v>
      </c>
      <c r="AV866">
        <v>9717.9885816599144</v>
      </c>
      <c r="AW866">
        <v>22138.391717517548</v>
      </c>
      <c r="AX866">
        <v>12420.403135857639</v>
      </c>
      <c r="AY866">
        <v>57.164638715646547</v>
      </c>
      <c r="AZ866" t="s">
        <v>104</v>
      </c>
      <c r="BA866" t="str">
        <f>VLOOKUP($AZ866,Sheet1!$A$2:$B$58,2)</f>
        <v>2-Methyl-1-Butanol</v>
      </c>
      <c r="BB866" t="s">
        <v>157</v>
      </c>
      <c r="BC866">
        <v>88.14658</v>
      </c>
      <c r="BD866">
        <v>6</v>
      </c>
      <c r="BE866">
        <v>129</v>
      </c>
      <c r="BF866" t="s">
        <v>213</v>
      </c>
      <c r="BG866">
        <v>2.5468424815285462</v>
      </c>
      <c r="BH866">
        <v>0.19800000000000001</v>
      </c>
      <c r="BI866">
        <v>0.290631833077999</v>
      </c>
      <c r="BJ866">
        <v>80</v>
      </c>
      <c r="BK866">
        <v>95216.650405498192</v>
      </c>
      <c r="BL866">
        <v>53419.832767098676</v>
      </c>
      <c r="BM866">
        <v>243.31679068552739</v>
      </c>
      <c r="BN866">
        <v>41363.85441653966</v>
      </c>
      <c r="BO866">
        <v>53852.795988958533</v>
      </c>
    </row>
    <row r="867" spans="1:67" x14ac:dyDescent="0.25">
      <c r="A867" s="1">
        <v>865</v>
      </c>
      <c r="B867" t="s">
        <v>77</v>
      </c>
      <c r="C867" t="s">
        <v>86</v>
      </c>
      <c r="D867">
        <v>2</v>
      </c>
      <c r="E867">
        <v>4</v>
      </c>
      <c r="F867">
        <v>2</v>
      </c>
      <c r="G867">
        <v>60.050759999999997</v>
      </c>
      <c r="H867">
        <v>8</v>
      </c>
      <c r="I867" t="s">
        <v>89</v>
      </c>
      <c r="J867">
        <v>4</v>
      </c>
      <c r="K867">
        <v>20</v>
      </c>
      <c r="L867">
        <v>5</v>
      </c>
      <c r="N867" t="s">
        <v>90</v>
      </c>
      <c r="O867">
        <v>95</v>
      </c>
      <c r="P867">
        <v>0.48749999999999999</v>
      </c>
      <c r="Q867">
        <v>3.2500000000000001E-2</v>
      </c>
      <c r="R867">
        <v>77.5</v>
      </c>
      <c r="S867">
        <v>170</v>
      </c>
      <c r="T867">
        <v>50</v>
      </c>
      <c r="U867">
        <v>1812.1301775147931</v>
      </c>
      <c r="V867">
        <v>20</v>
      </c>
      <c r="W867">
        <v>0.95</v>
      </c>
      <c r="X867">
        <v>1</v>
      </c>
      <c r="Y867">
        <v>12822292.24876627</v>
      </c>
      <c r="Z867">
        <v>2564458449.7532539</v>
      </c>
      <c r="AA867">
        <v>10257833799.01302</v>
      </c>
      <c r="AB867">
        <v>10257833.799013009</v>
      </c>
      <c r="AC867">
        <v>0</v>
      </c>
      <c r="AD867">
        <v>26578.738681568611</v>
      </c>
      <c r="AE867">
        <v>11960432.406705869</v>
      </c>
      <c r="AF867">
        <v>598021.6203352937</v>
      </c>
      <c r="AG867">
        <v>35.911652797565843</v>
      </c>
      <c r="AH867">
        <v>4105.7533157091784</v>
      </c>
      <c r="AI867">
        <v>2052.8766578545892</v>
      </c>
      <c r="AJ867">
        <v>333379.598467923</v>
      </c>
      <c r="AK867">
        <v>1835.336538461539</v>
      </c>
      <c r="AL867" t="s">
        <v>94</v>
      </c>
      <c r="AM867">
        <v>318195.88196746132</v>
      </c>
      <c r="AN867">
        <v>143093.93353235969</v>
      </c>
      <c r="AO867">
        <v>348989.03183528018</v>
      </c>
      <c r="AP867">
        <v>796504.75050620548</v>
      </c>
      <c r="AQ867">
        <v>447515.7186709253</v>
      </c>
      <c r="AR867">
        <v>0.55747081231111106</v>
      </c>
      <c r="AS867">
        <v>9283.3265109569147</v>
      </c>
      <c r="AT867">
        <v>8860.5190009252146</v>
      </c>
      <c r="AU867">
        <v>3984.6100745900189</v>
      </c>
      <c r="AV867">
        <v>9717.9885816599162</v>
      </c>
      <c r="AW867">
        <v>22179.562578088691</v>
      </c>
      <c r="AX867">
        <v>12461.57399642878</v>
      </c>
      <c r="AY867">
        <v>57.164638715646547</v>
      </c>
      <c r="AZ867" t="s">
        <v>105</v>
      </c>
      <c r="BA867" t="str">
        <f>VLOOKUP($AZ867,Sheet1!$A$2:$B$58,2)</f>
        <v>2-Pyrone-4,6-Dicarboxylate</v>
      </c>
      <c r="BB867" t="s">
        <v>158</v>
      </c>
      <c r="BC867">
        <v>182.08457999999999</v>
      </c>
      <c r="BD867">
        <v>2.5714285714285721</v>
      </c>
      <c r="BE867">
        <v>355.5</v>
      </c>
      <c r="BF867" t="s">
        <v>213</v>
      </c>
      <c r="BG867">
        <v>0.41356500839436111</v>
      </c>
      <c r="BH867">
        <v>0.229593147751606</v>
      </c>
      <c r="BI867">
        <v>0.69615286550371602</v>
      </c>
      <c r="BJ867">
        <v>80</v>
      </c>
      <c r="BK867">
        <v>39825.237525310273</v>
      </c>
      <c r="BL867">
        <v>22375.78593354626</v>
      </c>
      <c r="BM867">
        <v>102.23026788433511</v>
      </c>
      <c r="BN867">
        <v>17379.145540336969</v>
      </c>
      <c r="BO867">
        <v>22446.0919849733</v>
      </c>
    </row>
    <row r="868" spans="1:67" x14ac:dyDescent="0.25">
      <c r="A868" s="1">
        <v>866</v>
      </c>
      <c r="B868" t="s">
        <v>77</v>
      </c>
      <c r="C868" t="s">
        <v>86</v>
      </c>
      <c r="D868">
        <v>2</v>
      </c>
      <c r="E868">
        <v>4</v>
      </c>
      <c r="F868">
        <v>2</v>
      </c>
      <c r="G868">
        <v>60.050759999999997</v>
      </c>
      <c r="H868">
        <v>8</v>
      </c>
      <c r="I868" t="s">
        <v>89</v>
      </c>
      <c r="J868">
        <v>4</v>
      </c>
      <c r="K868">
        <v>20</v>
      </c>
      <c r="L868">
        <v>5</v>
      </c>
      <c r="N868" t="s">
        <v>90</v>
      </c>
      <c r="O868">
        <v>95</v>
      </c>
      <c r="P868">
        <v>0.48749999999999999</v>
      </c>
      <c r="Q868">
        <v>3.2500000000000001E-2</v>
      </c>
      <c r="R868">
        <v>77.5</v>
      </c>
      <c r="S868">
        <v>170</v>
      </c>
      <c r="T868">
        <v>50</v>
      </c>
      <c r="U868">
        <v>1812.1301775147931</v>
      </c>
      <c r="V868">
        <v>20</v>
      </c>
      <c r="W868">
        <v>0.95</v>
      </c>
      <c r="X868">
        <v>1</v>
      </c>
      <c r="Y868">
        <v>32340850.784642659</v>
      </c>
      <c r="Z868">
        <v>6468170156.9285307</v>
      </c>
      <c r="AA868">
        <v>25872680627.714119</v>
      </c>
      <c r="AB868">
        <v>25872680.62771412</v>
      </c>
      <c r="AC868">
        <v>0</v>
      </c>
      <c r="AD868">
        <v>67037.85914935192</v>
      </c>
      <c r="AE868">
        <v>30167036.617208369</v>
      </c>
      <c r="AF868">
        <v>1508351.830860418</v>
      </c>
      <c r="AG868">
        <v>90.577673790559558</v>
      </c>
      <c r="AH868">
        <v>10355.67999588205</v>
      </c>
      <c r="AI868">
        <v>5177.839997941026</v>
      </c>
      <c r="AJ868">
        <v>840862.1204007091</v>
      </c>
      <c r="AK868">
        <v>854.70085470085473</v>
      </c>
      <c r="AL868" t="s">
        <v>93</v>
      </c>
      <c r="AM868">
        <v>802565.19968085899</v>
      </c>
      <c r="AN868">
        <v>360916.71151879209</v>
      </c>
      <c r="AO868">
        <v>880232.79964997445</v>
      </c>
      <c r="AP868">
        <v>2005198.7324550611</v>
      </c>
      <c r="AQ868">
        <v>1124965.932805086</v>
      </c>
      <c r="AR868">
        <v>0.55747081231111117</v>
      </c>
      <c r="AS868">
        <v>9283.3265109569165</v>
      </c>
      <c r="AT868">
        <v>8860.5190009252146</v>
      </c>
      <c r="AU868">
        <v>3984.6100745900198</v>
      </c>
      <c r="AV868">
        <v>9717.9885816599162</v>
      </c>
      <c r="AW868">
        <v>22137.891696044549</v>
      </c>
      <c r="AX868">
        <v>12419.903114384641</v>
      </c>
      <c r="AY868">
        <v>57.164638715646568</v>
      </c>
      <c r="AZ868" t="s">
        <v>106</v>
      </c>
      <c r="BA868" t="str">
        <f>VLOOKUP($AZ868,Sheet1!$A$2:$B$58,2)</f>
        <v>3-Methyl-1-Pentanol</v>
      </c>
      <c r="BB868" t="s">
        <v>159</v>
      </c>
      <c r="BC868">
        <v>102.17296</v>
      </c>
      <c r="BD868">
        <v>6</v>
      </c>
      <c r="BE868">
        <v>153</v>
      </c>
      <c r="BF868" t="s">
        <v>213</v>
      </c>
      <c r="BG868">
        <v>2.7260543405602791</v>
      </c>
      <c r="BH868">
        <v>0.16222222222222199</v>
      </c>
      <c r="BI868">
        <v>0.27600620499271</v>
      </c>
      <c r="BJ868">
        <v>80</v>
      </c>
      <c r="BK868">
        <v>100259.936622753</v>
      </c>
      <c r="BL868">
        <v>56248.296640254317</v>
      </c>
      <c r="BM868">
        <v>256.16594555649112</v>
      </c>
      <c r="BN868">
        <v>43548.210744603479</v>
      </c>
      <c r="BO868">
        <v>56711.725878149562</v>
      </c>
    </row>
    <row r="869" spans="1:67" x14ac:dyDescent="0.25">
      <c r="A869" s="1">
        <v>867</v>
      </c>
      <c r="B869" t="s">
        <v>77</v>
      </c>
      <c r="C869" t="s">
        <v>86</v>
      </c>
      <c r="D869">
        <v>2</v>
      </c>
      <c r="E869">
        <v>4</v>
      </c>
      <c r="F869">
        <v>2</v>
      </c>
      <c r="G869">
        <v>60.050759999999997</v>
      </c>
      <c r="H869">
        <v>8</v>
      </c>
      <c r="I869" t="s">
        <v>89</v>
      </c>
      <c r="J869">
        <v>4</v>
      </c>
      <c r="K869">
        <v>20</v>
      </c>
      <c r="L869">
        <v>5</v>
      </c>
      <c r="N869" t="s">
        <v>90</v>
      </c>
      <c r="O869">
        <v>95</v>
      </c>
      <c r="P869">
        <v>0.48749999999999999</v>
      </c>
      <c r="Q869">
        <v>3.2500000000000001E-2</v>
      </c>
      <c r="R869">
        <v>77.5</v>
      </c>
      <c r="S869">
        <v>170</v>
      </c>
      <c r="T869">
        <v>50</v>
      </c>
      <c r="U869">
        <v>1812.1301775147931</v>
      </c>
      <c r="V869">
        <v>20</v>
      </c>
      <c r="W869">
        <v>0.95</v>
      </c>
      <c r="X869">
        <v>1</v>
      </c>
      <c r="Y869">
        <v>29812855.74605478</v>
      </c>
      <c r="Z869">
        <v>5962571149.2109575</v>
      </c>
      <c r="AA869">
        <v>23850284596.84383</v>
      </c>
      <c r="AB869">
        <v>23850284.596843831</v>
      </c>
      <c r="AC869">
        <v>0</v>
      </c>
      <c r="AD869">
        <v>61797.694737610822</v>
      </c>
      <c r="AE869">
        <v>27808962.631924871</v>
      </c>
      <c r="AF869">
        <v>1390448.1315962439</v>
      </c>
      <c r="AG869">
        <v>83.497467042934446</v>
      </c>
      <c r="AH869">
        <v>9546.205074361902</v>
      </c>
      <c r="AI869">
        <v>4773.102537180951</v>
      </c>
      <c r="AJ869">
        <v>775134.24939742452</v>
      </c>
      <c r="AK869">
        <v>854.70085470085473</v>
      </c>
      <c r="AL869" t="s">
        <v>93</v>
      </c>
      <c r="AM869">
        <v>739830.89326304744</v>
      </c>
      <c r="AN869">
        <v>332704.84838202462</v>
      </c>
      <c r="AO869">
        <v>811427.43132076168</v>
      </c>
      <c r="AP869">
        <v>1848524.6918971969</v>
      </c>
      <c r="AQ869">
        <v>1037097.2605764359</v>
      </c>
      <c r="AR869">
        <v>0.55747081231111095</v>
      </c>
      <c r="AS869">
        <v>9283.3265109569129</v>
      </c>
      <c r="AT869">
        <v>8860.5190009252146</v>
      </c>
      <c r="AU869">
        <v>3984.610074590018</v>
      </c>
      <c r="AV869">
        <v>9717.988581659909</v>
      </c>
      <c r="AW869">
        <v>22138.69183536651</v>
      </c>
      <c r="AX869">
        <v>12420.703253706601</v>
      </c>
      <c r="AY869">
        <v>57.164638715646532</v>
      </c>
      <c r="AZ869" t="s">
        <v>107</v>
      </c>
      <c r="BA869" t="str">
        <f>VLOOKUP($AZ869,Sheet1!$A$2:$B$58,2)</f>
        <v>4-Hydroxystyrene</v>
      </c>
      <c r="BB869" t="s">
        <v>160</v>
      </c>
      <c r="BC869">
        <v>120.14731999999999</v>
      </c>
      <c r="BD869">
        <v>4.75</v>
      </c>
      <c r="BE869">
        <v>229</v>
      </c>
      <c r="BF869" t="s">
        <v>213</v>
      </c>
      <c r="BG869">
        <v>1.964986253274992</v>
      </c>
      <c r="BH869">
        <v>0.14965116279069701</v>
      </c>
      <c r="BI869">
        <v>0.29941028016029497</v>
      </c>
      <c r="BJ869">
        <v>80</v>
      </c>
      <c r="BK869">
        <v>92426.234594859867</v>
      </c>
      <c r="BL869">
        <v>51854.86302882179</v>
      </c>
      <c r="BM869">
        <v>236.6901406057726</v>
      </c>
      <c r="BN869">
        <v>40237.323902981327</v>
      </c>
      <c r="BO869">
        <v>52188.910691878533</v>
      </c>
    </row>
    <row r="870" spans="1:67" x14ac:dyDescent="0.25">
      <c r="A870" s="1">
        <v>868</v>
      </c>
      <c r="B870" t="s">
        <v>77</v>
      </c>
      <c r="C870" t="s">
        <v>86</v>
      </c>
      <c r="D870">
        <v>2</v>
      </c>
      <c r="E870">
        <v>4</v>
      </c>
      <c r="F870">
        <v>2</v>
      </c>
      <c r="G870">
        <v>60.050759999999997</v>
      </c>
      <c r="H870">
        <v>8</v>
      </c>
      <c r="I870" t="s">
        <v>89</v>
      </c>
      <c r="J870">
        <v>4</v>
      </c>
      <c r="K870">
        <v>20</v>
      </c>
      <c r="L870">
        <v>5</v>
      </c>
      <c r="N870" t="s">
        <v>90</v>
      </c>
      <c r="O870">
        <v>95</v>
      </c>
      <c r="P870">
        <v>0.48749999999999999</v>
      </c>
      <c r="Q870">
        <v>3.2500000000000001E-2</v>
      </c>
      <c r="R870">
        <v>77.5</v>
      </c>
      <c r="S870">
        <v>170</v>
      </c>
      <c r="T870">
        <v>50</v>
      </c>
      <c r="U870">
        <v>1812.1301775147931</v>
      </c>
      <c r="V870">
        <v>20</v>
      </c>
      <c r="W870">
        <v>0.95</v>
      </c>
      <c r="X870">
        <v>1</v>
      </c>
      <c r="Y870">
        <v>22104180.75248738</v>
      </c>
      <c r="Z870">
        <v>4420836150.4974766</v>
      </c>
      <c r="AA870">
        <v>17683344601.98991</v>
      </c>
      <c r="AB870">
        <v>17683344.60198991</v>
      </c>
      <c r="AC870">
        <v>0</v>
      </c>
      <c r="AD870">
        <v>45818.737601075089</v>
      </c>
      <c r="AE870">
        <v>20618431.92048379</v>
      </c>
      <c r="AF870">
        <v>1030921.59602419</v>
      </c>
      <c r="AG870">
        <v>61.907625341665558</v>
      </c>
      <c r="AH870">
        <v>7077.8540727998316</v>
      </c>
      <c r="AI870">
        <v>3538.9270363999158</v>
      </c>
      <c r="AJ870">
        <v>574708.69956467196</v>
      </c>
      <c r="AK870">
        <v>854.70085470085473</v>
      </c>
      <c r="AL870" t="s">
        <v>93</v>
      </c>
      <c r="AM870">
        <v>548533.69064198702</v>
      </c>
      <c r="AN870">
        <v>246677.74763034499</v>
      </c>
      <c r="AO870">
        <v>601617.59618798574</v>
      </c>
      <c r="AP870">
        <v>1370774.8386917049</v>
      </c>
      <c r="AQ870">
        <v>769157.24250371894</v>
      </c>
      <c r="AR870">
        <v>0.55747081231111095</v>
      </c>
      <c r="AS870">
        <v>9283.3265109569129</v>
      </c>
      <c r="AT870">
        <v>8860.5190009252146</v>
      </c>
      <c r="AU870">
        <v>3984.6100745900198</v>
      </c>
      <c r="AV870">
        <v>9717.9885816599126</v>
      </c>
      <c r="AW870">
        <v>22142.26165397972</v>
      </c>
      <c r="AX870">
        <v>12424.273072319809</v>
      </c>
      <c r="AY870">
        <v>57.164638715646547</v>
      </c>
      <c r="AZ870" t="s">
        <v>108</v>
      </c>
      <c r="BA870" t="str">
        <f>VLOOKUP($AZ870,Sheet1!$A$2:$B$58,2)</f>
        <v>5-Aminopentanoate</v>
      </c>
      <c r="BB870" t="s">
        <v>161</v>
      </c>
      <c r="BC870">
        <v>117.14444</v>
      </c>
      <c r="BD870">
        <v>4.8</v>
      </c>
      <c r="BE870">
        <v>247.5</v>
      </c>
      <c r="BF870" t="s">
        <v>213</v>
      </c>
      <c r="BG870">
        <v>1.7511435793127079</v>
      </c>
      <c r="BH870">
        <v>0.20701492537313501</v>
      </c>
      <c r="BI870">
        <v>0.40382747459664398</v>
      </c>
      <c r="BJ870">
        <v>80</v>
      </c>
      <c r="BK870">
        <v>68538.741934585225</v>
      </c>
      <c r="BL870">
        <v>38457.862125185937</v>
      </c>
      <c r="BM870">
        <v>175.19520824068309</v>
      </c>
      <c r="BN870">
        <v>29783.185400916129</v>
      </c>
      <c r="BO870">
        <v>38755.5565336691</v>
      </c>
    </row>
    <row r="871" spans="1:67" x14ac:dyDescent="0.25">
      <c r="A871" s="1">
        <v>869</v>
      </c>
      <c r="B871" t="s">
        <v>77</v>
      </c>
      <c r="C871" t="s">
        <v>86</v>
      </c>
      <c r="D871">
        <v>2</v>
      </c>
      <c r="E871">
        <v>4</v>
      </c>
      <c r="F871">
        <v>2</v>
      </c>
      <c r="G871">
        <v>60.050759999999997</v>
      </c>
      <c r="H871">
        <v>8</v>
      </c>
      <c r="I871" t="s">
        <v>89</v>
      </c>
      <c r="J871">
        <v>4</v>
      </c>
      <c r="K871">
        <v>20</v>
      </c>
      <c r="L871">
        <v>5</v>
      </c>
      <c r="N871" t="s">
        <v>90</v>
      </c>
      <c r="O871">
        <v>95</v>
      </c>
      <c r="P871">
        <v>0.48749999999999999</v>
      </c>
      <c r="Q871">
        <v>3.2500000000000001E-2</v>
      </c>
      <c r="R871">
        <v>77.5</v>
      </c>
      <c r="S871">
        <v>170</v>
      </c>
      <c r="T871">
        <v>50</v>
      </c>
      <c r="U871">
        <v>1812.1301775147931</v>
      </c>
      <c r="V871">
        <v>20</v>
      </c>
      <c r="W871">
        <v>0.95</v>
      </c>
      <c r="X871">
        <v>1</v>
      </c>
      <c r="Y871">
        <v>25566172.178460758</v>
      </c>
      <c r="Z871">
        <v>5113234435.6921511</v>
      </c>
      <c r="AA871">
        <v>20452937742.7686</v>
      </c>
      <c r="AB871">
        <v>20452937.742768601</v>
      </c>
      <c r="AC871">
        <v>0</v>
      </c>
      <c r="AD871">
        <v>52994.940080599037</v>
      </c>
      <c r="AE871">
        <v>23847723.036269572</v>
      </c>
      <c r="AF871">
        <v>1192386.1518134789</v>
      </c>
      <c r="AG871">
        <v>71.603694629874767</v>
      </c>
      <c r="AH871">
        <v>8186.3986684445435</v>
      </c>
      <c r="AI871">
        <v>4093.1993342222718</v>
      </c>
      <c r="AJ871">
        <v>664720.47663997964</v>
      </c>
      <c r="AK871">
        <v>854.70085470085473</v>
      </c>
      <c r="AL871" t="s">
        <v>93</v>
      </c>
      <c r="AM871">
        <v>634445.89680445218</v>
      </c>
      <c r="AN871">
        <v>285312.80300006631</v>
      </c>
      <c r="AO871">
        <v>695843.88681778626</v>
      </c>
      <c r="AP871">
        <v>1585333.8772991991</v>
      </c>
      <c r="AQ871">
        <v>889489.99048141262</v>
      </c>
      <c r="AR871">
        <v>0.55747081231111095</v>
      </c>
      <c r="AS871">
        <v>9283.3265109569129</v>
      </c>
      <c r="AT871">
        <v>8860.5190009252146</v>
      </c>
      <c r="AU871">
        <v>3984.6100745900189</v>
      </c>
      <c r="AV871">
        <v>9717.9885816599126</v>
      </c>
      <c r="AW871">
        <v>22140.39213330983</v>
      </c>
      <c r="AX871">
        <v>12422.403551649921</v>
      </c>
      <c r="AY871">
        <v>57.164638715646547</v>
      </c>
      <c r="AZ871" t="s">
        <v>109</v>
      </c>
      <c r="BA871" t="str">
        <f>VLOOKUP($AZ871,Sheet1!$A$2:$B$58,2)</f>
        <v>Acetone</v>
      </c>
      <c r="BB871" t="s">
        <v>162</v>
      </c>
      <c r="BC871">
        <v>58.078139999999998</v>
      </c>
      <c r="BD871">
        <v>5.333333333333333</v>
      </c>
      <c r="BE871">
        <v>56</v>
      </c>
      <c r="BF871" t="s">
        <v>213</v>
      </c>
      <c r="BG871">
        <v>1.9247498724538821</v>
      </c>
      <c r="BH871">
        <v>0.361010101010101</v>
      </c>
      <c r="BI871">
        <v>0.34914399500231103</v>
      </c>
      <c r="BJ871">
        <v>80</v>
      </c>
      <c r="BK871">
        <v>79266.693864959918</v>
      </c>
      <c r="BL871">
        <v>44474.499524070612</v>
      </c>
      <c r="BM871">
        <v>202.7352168386598</v>
      </c>
      <c r="BN871">
        <v>34464.986862572157</v>
      </c>
      <c r="BO871">
        <v>44801.70700238776</v>
      </c>
    </row>
    <row r="872" spans="1:67" x14ac:dyDescent="0.25">
      <c r="A872" s="1">
        <v>870</v>
      </c>
      <c r="B872" t="s">
        <v>77</v>
      </c>
      <c r="C872" t="s">
        <v>86</v>
      </c>
      <c r="D872">
        <v>2</v>
      </c>
      <c r="E872">
        <v>4</v>
      </c>
      <c r="F872">
        <v>2</v>
      </c>
      <c r="G872">
        <v>60.050759999999997</v>
      </c>
      <c r="H872">
        <v>8</v>
      </c>
      <c r="I872" t="s">
        <v>89</v>
      </c>
      <c r="J872">
        <v>4</v>
      </c>
      <c r="K872">
        <v>20</v>
      </c>
      <c r="L872">
        <v>5</v>
      </c>
      <c r="N872" t="s">
        <v>90</v>
      </c>
      <c r="O872">
        <v>95</v>
      </c>
      <c r="P872">
        <v>0.48749999999999999</v>
      </c>
      <c r="Q872">
        <v>3.2500000000000001E-2</v>
      </c>
      <c r="R872">
        <v>77.5</v>
      </c>
      <c r="S872">
        <v>170</v>
      </c>
      <c r="T872">
        <v>50</v>
      </c>
      <c r="U872">
        <v>1812.1301775147931</v>
      </c>
      <c r="V872">
        <v>20</v>
      </c>
      <c r="W872">
        <v>0.95</v>
      </c>
      <c r="X872">
        <v>1</v>
      </c>
      <c r="Y872">
        <v>17585481.379144941</v>
      </c>
      <c r="Z872">
        <v>3517096275.8289881</v>
      </c>
      <c r="AA872">
        <v>14068385103.31595</v>
      </c>
      <c r="AB872">
        <v>14068385.103315949</v>
      </c>
      <c r="AC872">
        <v>0</v>
      </c>
      <c r="AD872">
        <v>36452.133916293802</v>
      </c>
      <c r="AE872">
        <v>16403460.26233221</v>
      </c>
      <c r="AF872">
        <v>820173.01311661059</v>
      </c>
      <c r="AG872">
        <v>49.252012769142432</v>
      </c>
      <c r="AH872">
        <v>5630.9470319328766</v>
      </c>
      <c r="AI872">
        <v>2815.4735159664378</v>
      </c>
      <c r="AJ872">
        <v>457222.51585776848</v>
      </c>
      <c r="AK872">
        <v>854.70085470085473</v>
      </c>
      <c r="AL872" t="s">
        <v>93</v>
      </c>
      <c r="AM872">
        <v>436398.39497479802</v>
      </c>
      <c r="AN872">
        <v>196250.06627376119</v>
      </c>
      <c r="AO872">
        <v>478630.49771429453</v>
      </c>
      <c r="AP872">
        <v>1090725.6779610279</v>
      </c>
      <c r="AQ872">
        <v>612095.18024673383</v>
      </c>
      <c r="AR872">
        <v>0.55747081231111106</v>
      </c>
      <c r="AS872">
        <v>9283.3265109569147</v>
      </c>
      <c r="AT872">
        <v>8860.5190009252165</v>
      </c>
      <c r="AU872">
        <v>3984.6100745900198</v>
      </c>
      <c r="AV872">
        <v>9717.9885816599162</v>
      </c>
      <c r="AW872">
        <v>22145.809209332339</v>
      </c>
      <c r="AX872">
        <v>12427.82062767243</v>
      </c>
      <c r="AY872">
        <v>57.164638715646561</v>
      </c>
      <c r="AZ872" t="s">
        <v>110</v>
      </c>
      <c r="BA872" t="str">
        <f>VLOOKUP($AZ872,Sheet1!$A$2:$B$58,2)</f>
        <v>Acrylate (PW1)</v>
      </c>
      <c r="BB872" t="s">
        <v>163</v>
      </c>
      <c r="BC872">
        <v>71.053619999999995</v>
      </c>
      <c r="BD872">
        <v>3.666666666666667</v>
      </c>
      <c r="BE872">
        <v>80</v>
      </c>
      <c r="BF872" t="s">
        <v>213</v>
      </c>
      <c r="BG872">
        <v>1.029431367111558</v>
      </c>
      <c r="BH872">
        <v>0.42900000000000099</v>
      </c>
      <c r="BI872">
        <v>0.50759346866049504</v>
      </c>
      <c r="BJ872">
        <v>80</v>
      </c>
      <c r="BK872">
        <v>54536.283898051428</v>
      </c>
      <c r="BL872">
        <v>30604.759012336701</v>
      </c>
      <c r="BM872">
        <v>139.74424443121029</v>
      </c>
      <c r="BN872">
        <v>23756.52155330576</v>
      </c>
      <c r="BO872">
        <v>30779.762344745672</v>
      </c>
    </row>
    <row r="873" spans="1:67" x14ac:dyDescent="0.25">
      <c r="A873" s="1">
        <v>871</v>
      </c>
      <c r="B873" t="s">
        <v>77</v>
      </c>
      <c r="C873" t="s">
        <v>86</v>
      </c>
      <c r="D873">
        <v>2</v>
      </c>
      <c r="E873">
        <v>4</v>
      </c>
      <c r="F873">
        <v>2</v>
      </c>
      <c r="G873">
        <v>60.050759999999997</v>
      </c>
      <c r="H873">
        <v>8</v>
      </c>
      <c r="I873" t="s">
        <v>89</v>
      </c>
      <c r="J873">
        <v>4</v>
      </c>
      <c r="K873">
        <v>20</v>
      </c>
      <c r="L873">
        <v>5</v>
      </c>
      <c r="N873" t="s">
        <v>90</v>
      </c>
      <c r="O873">
        <v>95</v>
      </c>
      <c r="P873">
        <v>0.48749999999999999</v>
      </c>
      <c r="Q873">
        <v>3.2500000000000001E-2</v>
      </c>
      <c r="R873">
        <v>77.5</v>
      </c>
      <c r="S873">
        <v>170</v>
      </c>
      <c r="T873">
        <v>50</v>
      </c>
      <c r="U873">
        <v>1812.1301775147931</v>
      </c>
      <c r="V873">
        <v>20</v>
      </c>
      <c r="W873">
        <v>0.95</v>
      </c>
      <c r="X873">
        <v>1</v>
      </c>
      <c r="Y873">
        <v>15088343.02330637</v>
      </c>
      <c r="Z873">
        <v>3017668604.661273</v>
      </c>
      <c r="AA873">
        <v>12070674418.64509</v>
      </c>
      <c r="AB873">
        <v>12070674.418645089</v>
      </c>
      <c r="AC873">
        <v>0</v>
      </c>
      <c r="AD873">
        <v>31275.930900180101</v>
      </c>
      <c r="AE873">
        <v>14074168.905081039</v>
      </c>
      <c r="AF873">
        <v>703708.44525405229</v>
      </c>
      <c r="AG873">
        <v>42.258226955924229</v>
      </c>
      <c r="AH873">
        <v>4831.3525533984111</v>
      </c>
      <c r="AI873">
        <v>2415.676276699206</v>
      </c>
      <c r="AJ873">
        <v>392296.91860596562</v>
      </c>
      <c r="AK873">
        <v>854.70085470085473</v>
      </c>
      <c r="AL873" t="s">
        <v>93</v>
      </c>
      <c r="AM873">
        <v>374429.82288837689</v>
      </c>
      <c r="AN873">
        <v>168382.55686288729</v>
      </c>
      <c r="AO873">
        <v>410664.96703886503</v>
      </c>
      <c r="AP873">
        <v>935963.99921193055</v>
      </c>
      <c r="AQ873">
        <v>525299.03217306559</v>
      </c>
      <c r="AR873">
        <v>0.55747081231111106</v>
      </c>
      <c r="AS873">
        <v>9283.3265109569147</v>
      </c>
      <c r="AT873">
        <v>8860.5190009252183</v>
      </c>
      <c r="AU873">
        <v>3984.6100745900198</v>
      </c>
      <c r="AV873">
        <v>9717.9885816599162</v>
      </c>
      <c r="AW873">
        <v>22148.681254141371</v>
      </c>
      <c r="AX873">
        <v>12430.692672481449</v>
      </c>
      <c r="AY873">
        <v>57.164638715646568</v>
      </c>
      <c r="AZ873" t="s">
        <v>111</v>
      </c>
      <c r="BA873" t="str">
        <f>VLOOKUP($AZ873,Sheet1!$A$2:$B$58,2)</f>
        <v>Acrylate (PW2)</v>
      </c>
      <c r="BB873" t="s">
        <v>163</v>
      </c>
      <c r="BC873">
        <v>71.053619999999995</v>
      </c>
      <c r="BD873">
        <v>3.666666666666667</v>
      </c>
      <c r="BE873">
        <v>80</v>
      </c>
      <c r="BF873" t="s">
        <v>213</v>
      </c>
      <c r="BG873">
        <v>0.61939138357764301</v>
      </c>
      <c r="BH873">
        <v>0.5</v>
      </c>
      <c r="BI873">
        <v>0.59160077932458599</v>
      </c>
      <c r="BJ873">
        <v>80</v>
      </c>
      <c r="BK873">
        <v>46798.199960596517</v>
      </c>
      <c r="BL873">
        <v>26264.951608653271</v>
      </c>
      <c r="BM873">
        <v>120.16442245138261</v>
      </c>
      <c r="BN873">
        <v>20427.951816735051</v>
      </c>
      <c r="BO873">
        <v>26370.24814386147</v>
      </c>
    </row>
    <row r="874" spans="1:67" x14ac:dyDescent="0.25">
      <c r="A874" s="1">
        <v>872</v>
      </c>
      <c r="B874" t="s">
        <v>77</v>
      </c>
      <c r="C874" t="s">
        <v>86</v>
      </c>
      <c r="D874">
        <v>2</v>
      </c>
      <c r="E874">
        <v>4</v>
      </c>
      <c r="F874">
        <v>2</v>
      </c>
      <c r="G874">
        <v>60.050759999999997</v>
      </c>
      <c r="H874">
        <v>8</v>
      </c>
      <c r="I874" t="s">
        <v>89</v>
      </c>
      <c r="J874">
        <v>4</v>
      </c>
      <c r="K874">
        <v>20</v>
      </c>
      <c r="L874">
        <v>5</v>
      </c>
      <c r="N874" t="s">
        <v>90</v>
      </c>
      <c r="O874">
        <v>95</v>
      </c>
      <c r="P874">
        <v>0.48749999999999999</v>
      </c>
      <c r="Q874">
        <v>3.2500000000000001E-2</v>
      </c>
      <c r="R874">
        <v>77.5</v>
      </c>
      <c r="S874">
        <v>170</v>
      </c>
      <c r="T874">
        <v>50</v>
      </c>
      <c r="U874">
        <v>1812.1301775147931</v>
      </c>
      <c r="V874">
        <v>20</v>
      </c>
      <c r="W874">
        <v>0.95</v>
      </c>
      <c r="X874">
        <v>1</v>
      </c>
      <c r="Y874">
        <v>18872837.722014029</v>
      </c>
      <c r="Z874">
        <v>3774567544.4028058</v>
      </c>
      <c r="AA874">
        <v>15098270177.611219</v>
      </c>
      <c r="AB874">
        <v>15098270.177611221</v>
      </c>
      <c r="AC874">
        <v>0</v>
      </c>
      <c r="AD874">
        <v>39120.635551051782</v>
      </c>
      <c r="AE874">
        <v>17604285.997973301</v>
      </c>
      <c r="AF874">
        <v>880214.29989866505</v>
      </c>
      <c r="AG874">
        <v>52.857537671782751</v>
      </c>
      <c r="AH874">
        <v>6043.1640888122774</v>
      </c>
      <c r="AI874">
        <v>3021.5820444061392</v>
      </c>
      <c r="AJ874">
        <v>490693.78077236481</v>
      </c>
      <c r="AK874">
        <v>854.70085470085473</v>
      </c>
      <c r="AL874" t="s">
        <v>93</v>
      </c>
      <c r="AM874">
        <v>468345.2168829515</v>
      </c>
      <c r="AN874">
        <v>210616.67712500709</v>
      </c>
      <c r="AO874">
        <v>513668.94754904357</v>
      </c>
      <c r="AP874">
        <v>1170510.3756350239</v>
      </c>
      <c r="AQ874">
        <v>656841.42808598059</v>
      </c>
      <c r="AR874">
        <v>0.55747081231111106</v>
      </c>
      <c r="AS874">
        <v>9283.3265109569147</v>
      </c>
      <c r="AT874">
        <v>8860.5190009252146</v>
      </c>
      <c r="AU874">
        <v>3984.6100745900198</v>
      </c>
      <c r="AV874">
        <v>9717.9885816599144</v>
      </c>
      <c r="AW874">
        <v>22144.62548186168</v>
      </c>
      <c r="AX874">
        <v>12426.636900201769</v>
      </c>
      <c r="AY874">
        <v>57.164638715646561</v>
      </c>
      <c r="AZ874" t="s">
        <v>112</v>
      </c>
      <c r="BA874" t="str">
        <f>VLOOKUP($AZ874,Sheet1!$A$2:$B$58,2)</f>
        <v>Adipate</v>
      </c>
      <c r="BB874" t="s">
        <v>164</v>
      </c>
      <c r="BC874">
        <v>144.12291999999999</v>
      </c>
      <c r="BD874">
        <v>4</v>
      </c>
      <c r="BE874">
        <v>337.5</v>
      </c>
      <c r="BF874" t="s">
        <v>213</v>
      </c>
      <c r="BG874">
        <v>1.266808489682707</v>
      </c>
      <c r="BH874">
        <v>0.19707317073170699</v>
      </c>
      <c r="BI874">
        <v>0.47296944014374498</v>
      </c>
      <c r="BJ874">
        <v>80</v>
      </c>
      <c r="BK874">
        <v>58525.518781751212</v>
      </c>
      <c r="BL874">
        <v>32842.071404299037</v>
      </c>
      <c r="BM874">
        <v>149.81229373062419</v>
      </c>
      <c r="BN874">
        <v>25468.08993420612</v>
      </c>
      <c r="BO874">
        <v>33057.428847545089</v>
      </c>
    </row>
    <row r="875" spans="1:67" x14ac:dyDescent="0.25">
      <c r="A875" s="1">
        <v>873</v>
      </c>
      <c r="B875" t="s">
        <v>77</v>
      </c>
      <c r="C875" t="s">
        <v>86</v>
      </c>
      <c r="D875">
        <v>2</v>
      </c>
      <c r="E875">
        <v>4</v>
      </c>
      <c r="F875">
        <v>2</v>
      </c>
      <c r="G875">
        <v>60.050759999999997</v>
      </c>
      <c r="H875">
        <v>8</v>
      </c>
      <c r="I875" t="s">
        <v>89</v>
      </c>
      <c r="J875">
        <v>4</v>
      </c>
      <c r="K875">
        <v>20</v>
      </c>
      <c r="L875">
        <v>5</v>
      </c>
      <c r="N875" t="s">
        <v>90</v>
      </c>
      <c r="O875">
        <v>95</v>
      </c>
      <c r="P875">
        <v>0.48749999999999999</v>
      </c>
      <c r="Q875">
        <v>3.2500000000000001E-2</v>
      </c>
      <c r="R875">
        <v>77.5</v>
      </c>
      <c r="S875">
        <v>170</v>
      </c>
      <c r="T875">
        <v>50</v>
      </c>
      <c r="U875">
        <v>1812.1301775147931</v>
      </c>
      <c r="V875">
        <v>20</v>
      </c>
      <c r="W875">
        <v>0.95</v>
      </c>
      <c r="X875">
        <v>1</v>
      </c>
      <c r="Y875">
        <v>25269290.493474159</v>
      </c>
      <c r="Z875">
        <v>5053858098.6948328</v>
      </c>
      <c r="AA875">
        <v>20215432394.779331</v>
      </c>
      <c r="AB875">
        <v>20215432.394779328</v>
      </c>
      <c r="AC875">
        <v>0</v>
      </c>
      <c r="AD875">
        <v>52379.547717711539</v>
      </c>
      <c r="AE875">
        <v>23570796.472970191</v>
      </c>
      <c r="AF875">
        <v>1178539.82364851</v>
      </c>
      <c r="AG875">
        <v>70.772212100358956</v>
      </c>
      <c r="AH875">
        <v>8091.3358716482599</v>
      </c>
      <c r="AI875">
        <v>4045.6679358241299</v>
      </c>
      <c r="AJ875">
        <v>657001.55283032835</v>
      </c>
      <c r="AK875">
        <v>854.70085470085473</v>
      </c>
      <c r="AL875" t="s">
        <v>93</v>
      </c>
      <c r="AM875">
        <v>627078.53005274013</v>
      </c>
      <c r="AN875">
        <v>281999.6693361121</v>
      </c>
      <c r="AO875">
        <v>687763.54909010208</v>
      </c>
      <c r="AP875">
        <v>1566934.4530738811</v>
      </c>
      <c r="AQ875">
        <v>879170.90398377925</v>
      </c>
      <c r="AR875">
        <v>0.55747081231111117</v>
      </c>
      <c r="AS875">
        <v>9283.3265109569165</v>
      </c>
      <c r="AT875">
        <v>8860.5190009252146</v>
      </c>
      <c r="AU875">
        <v>3984.6100745900198</v>
      </c>
      <c r="AV875">
        <v>9717.9885816599144</v>
      </c>
      <c r="AW875">
        <v>22140.532372393289</v>
      </c>
      <c r="AX875">
        <v>12422.543790733371</v>
      </c>
      <c r="AY875">
        <v>57.164638715646568</v>
      </c>
      <c r="AZ875" t="s">
        <v>113</v>
      </c>
      <c r="BA875" t="str">
        <f>VLOOKUP($AZ875,Sheet1!$A$2:$B$58,2)</f>
        <v>Benzoate (PW1)</v>
      </c>
      <c r="BB875" t="s">
        <v>165</v>
      </c>
      <c r="BC875">
        <v>121.1121</v>
      </c>
      <c r="BD875">
        <v>4.1428571428571432</v>
      </c>
      <c r="BE875">
        <v>249.2</v>
      </c>
      <c r="BF875" t="s">
        <v>213</v>
      </c>
      <c r="BG875">
        <v>1.6056408527909249</v>
      </c>
      <c r="BH875">
        <v>0.17515283842794799</v>
      </c>
      <c r="BI875">
        <v>0.35324598819305802</v>
      </c>
      <c r="BJ875">
        <v>80</v>
      </c>
      <c r="BK875">
        <v>78346.722653694058</v>
      </c>
      <c r="BL875">
        <v>43958.545199188957</v>
      </c>
      <c r="BM875">
        <v>200.6777559384156</v>
      </c>
      <c r="BN875">
        <v>34115.218509530649</v>
      </c>
      <c r="BO875">
        <v>44231.504144163409</v>
      </c>
    </row>
    <row r="876" spans="1:67" x14ac:dyDescent="0.25">
      <c r="A876" s="1">
        <v>874</v>
      </c>
      <c r="B876" t="s">
        <v>77</v>
      </c>
      <c r="C876" t="s">
        <v>86</v>
      </c>
      <c r="D876">
        <v>2</v>
      </c>
      <c r="E876">
        <v>4</v>
      </c>
      <c r="F876">
        <v>2</v>
      </c>
      <c r="G876">
        <v>60.050759999999997</v>
      </c>
      <c r="H876">
        <v>8</v>
      </c>
      <c r="I876" t="s">
        <v>89</v>
      </c>
      <c r="J876">
        <v>4</v>
      </c>
      <c r="K876">
        <v>20</v>
      </c>
      <c r="L876">
        <v>5</v>
      </c>
      <c r="N876" t="s">
        <v>90</v>
      </c>
      <c r="O876">
        <v>95</v>
      </c>
      <c r="P876">
        <v>0.48749999999999999</v>
      </c>
      <c r="Q876">
        <v>3.2500000000000001E-2</v>
      </c>
      <c r="R876">
        <v>77.5</v>
      </c>
      <c r="S876">
        <v>170</v>
      </c>
      <c r="T876">
        <v>50</v>
      </c>
      <c r="U876">
        <v>1812.1301775147931</v>
      </c>
      <c r="V876">
        <v>20</v>
      </c>
      <c r="W876">
        <v>0.95</v>
      </c>
      <c r="X876">
        <v>1</v>
      </c>
      <c r="Y876">
        <v>25269290.49347423</v>
      </c>
      <c r="Z876">
        <v>5053858098.6948452</v>
      </c>
      <c r="AA876">
        <v>20215432394.779381</v>
      </c>
      <c r="AB876">
        <v>20215432.39477938</v>
      </c>
      <c r="AC876">
        <v>0</v>
      </c>
      <c r="AD876">
        <v>52379.54771771167</v>
      </c>
      <c r="AE876">
        <v>23570796.472970251</v>
      </c>
      <c r="AF876">
        <v>1178539.8236485131</v>
      </c>
      <c r="AG876">
        <v>70.772212100359155</v>
      </c>
      <c r="AH876">
        <v>8091.3358716482799</v>
      </c>
      <c r="AI876">
        <v>4045.6679358241399</v>
      </c>
      <c r="AJ876">
        <v>657001.55283032986</v>
      </c>
      <c r="AK876">
        <v>854.70085470085473</v>
      </c>
      <c r="AL876" t="s">
        <v>93</v>
      </c>
      <c r="AM876">
        <v>627078.53005274164</v>
      </c>
      <c r="AN876">
        <v>281999.6693361128</v>
      </c>
      <c r="AO876">
        <v>687763.54909010383</v>
      </c>
      <c r="AP876">
        <v>1566934.4530738851</v>
      </c>
      <c r="AQ876">
        <v>879170.90398378123</v>
      </c>
      <c r="AR876">
        <v>0.55747081231111106</v>
      </c>
      <c r="AS876">
        <v>9283.3265109569147</v>
      </c>
      <c r="AT876">
        <v>8860.5190009252146</v>
      </c>
      <c r="AU876">
        <v>3984.6100745900198</v>
      </c>
      <c r="AV876">
        <v>9717.9885816599144</v>
      </c>
      <c r="AW876">
        <v>22140.532372393282</v>
      </c>
      <c r="AX876">
        <v>12422.543790733371</v>
      </c>
      <c r="AY876">
        <v>57.164638715646547</v>
      </c>
      <c r="AZ876" t="s">
        <v>114</v>
      </c>
      <c r="BA876" t="str">
        <f>VLOOKUP($AZ876,Sheet1!$A$2:$B$58,2)</f>
        <v>Benzoate (PW2)</v>
      </c>
      <c r="BB876" t="s">
        <v>165</v>
      </c>
      <c r="BC876">
        <v>121.1121</v>
      </c>
      <c r="BD876">
        <v>4.1428571428571432</v>
      </c>
      <c r="BE876">
        <v>249.2</v>
      </c>
      <c r="BF876" t="s">
        <v>213</v>
      </c>
      <c r="BG876">
        <v>1.6056408527909229</v>
      </c>
      <c r="BH876">
        <v>0.17515283842794799</v>
      </c>
      <c r="BI876">
        <v>0.35324598819305703</v>
      </c>
      <c r="BJ876">
        <v>80</v>
      </c>
      <c r="BK876">
        <v>78346.722653694276</v>
      </c>
      <c r="BL876">
        <v>43958.545199189073</v>
      </c>
      <c r="BM876">
        <v>200.67775593841611</v>
      </c>
      <c r="BN876">
        <v>34115.218509530743</v>
      </c>
      <c r="BO876">
        <v>44231.504144163533</v>
      </c>
    </row>
    <row r="877" spans="1:67" x14ac:dyDescent="0.25">
      <c r="A877" s="1">
        <v>875</v>
      </c>
      <c r="B877" t="s">
        <v>77</v>
      </c>
      <c r="C877" t="s">
        <v>86</v>
      </c>
      <c r="D877">
        <v>2</v>
      </c>
      <c r="E877">
        <v>4</v>
      </c>
      <c r="F877">
        <v>2</v>
      </c>
      <c r="G877">
        <v>60.050759999999997</v>
      </c>
      <c r="H877">
        <v>8</v>
      </c>
      <c r="I877" t="s">
        <v>89</v>
      </c>
      <c r="J877">
        <v>4</v>
      </c>
      <c r="K877">
        <v>20</v>
      </c>
      <c r="L877">
        <v>5</v>
      </c>
      <c r="N877" t="s">
        <v>90</v>
      </c>
      <c r="O877">
        <v>95</v>
      </c>
      <c r="P877">
        <v>0.48749999999999999</v>
      </c>
      <c r="Q877">
        <v>3.2500000000000001E-2</v>
      </c>
      <c r="R877">
        <v>77.5</v>
      </c>
      <c r="S877">
        <v>170</v>
      </c>
      <c r="T877">
        <v>50</v>
      </c>
      <c r="U877">
        <v>1812.1301775147931</v>
      </c>
      <c r="V877">
        <v>20</v>
      </c>
      <c r="W877">
        <v>0.95</v>
      </c>
      <c r="X877">
        <v>1</v>
      </c>
      <c r="Y877">
        <v>32857110.200955689</v>
      </c>
      <c r="Z877">
        <v>6571422040.1911373</v>
      </c>
      <c r="AA877">
        <v>26285688160.764549</v>
      </c>
      <c r="AB877">
        <v>26285688.160764549</v>
      </c>
      <c r="AC877">
        <v>0</v>
      </c>
      <c r="AD877">
        <v>68107.989501388118</v>
      </c>
      <c r="AE877">
        <v>30648595.275624659</v>
      </c>
      <c r="AF877">
        <v>1532429.763781233</v>
      </c>
      <c r="AG877">
        <v>92.023571961683501</v>
      </c>
      <c r="AH877">
        <v>10520.98848902588</v>
      </c>
      <c r="AI877">
        <v>5260.4942445129391</v>
      </c>
      <c r="AJ877">
        <v>854284.86522484792</v>
      </c>
      <c r="AK877">
        <v>854.70085470085473</v>
      </c>
      <c r="AL877" t="s">
        <v>93</v>
      </c>
      <c r="AM877">
        <v>815376.60789950553</v>
      </c>
      <c r="AN877">
        <v>366678.05193828378</v>
      </c>
      <c r="AO877">
        <v>894284.02156719961</v>
      </c>
      <c r="AP877">
        <v>2037194.2259173379</v>
      </c>
      <c r="AQ877">
        <v>1142910.204350139</v>
      </c>
      <c r="AR877">
        <v>0.55747081231111106</v>
      </c>
      <c r="AS877">
        <v>9283.3265109569147</v>
      </c>
      <c r="AT877">
        <v>8860.5190009252146</v>
      </c>
      <c r="AU877">
        <v>3984.6100745900212</v>
      </c>
      <c r="AV877">
        <v>9717.9885816599144</v>
      </c>
      <c r="AW877">
        <v>22137.743433449628</v>
      </c>
      <c r="AX877">
        <v>12419.75485178971</v>
      </c>
      <c r="AY877">
        <v>57.164638715646547</v>
      </c>
      <c r="AZ877" t="s">
        <v>115</v>
      </c>
      <c r="BA877" t="str">
        <f>VLOOKUP($AZ877,Sheet1!$A$2:$B$58,2)</f>
        <v>Benzyl Alcohol</v>
      </c>
      <c r="BB877" t="s">
        <v>166</v>
      </c>
      <c r="BC877">
        <v>108.13661999999999</v>
      </c>
      <c r="BD877">
        <v>4.8571428571428568</v>
      </c>
      <c r="BE877">
        <v>205</v>
      </c>
      <c r="BF877" t="s">
        <v>213</v>
      </c>
      <c r="BG877">
        <v>2.546371158006282</v>
      </c>
      <c r="BH877">
        <v>0.15086746987951799</v>
      </c>
      <c r="BI877">
        <v>0.27166952409116901</v>
      </c>
      <c r="BJ877">
        <v>80</v>
      </c>
      <c r="BK877">
        <v>101859.7112958669</v>
      </c>
      <c r="BL877">
        <v>57145.510217506933</v>
      </c>
      <c r="BM877">
        <v>260.47834106764071</v>
      </c>
      <c r="BN877">
        <v>44281.317981498913</v>
      </c>
      <c r="BO877">
        <v>57578.39331436799</v>
      </c>
    </row>
    <row r="878" spans="1:67" x14ac:dyDescent="0.25">
      <c r="A878" s="1">
        <v>876</v>
      </c>
      <c r="B878" t="s">
        <v>77</v>
      </c>
      <c r="C878" t="s">
        <v>86</v>
      </c>
      <c r="D878">
        <v>2</v>
      </c>
      <c r="E878">
        <v>4</v>
      </c>
      <c r="F878">
        <v>2</v>
      </c>
      <c r="G878">
        <v>60.050759999999997</v>
      </c>
      <c r="H878">
        <v>8</v>
      </c>
      <c r="I878" t="s">
        <v>89</v>
      </c>
      <c r="J878">
        <v>4</v>
      </c>
      <c r="K878">
        <v>20</v>
      </c>
      <c r="L878">
        <v>5</v>
      </c>
      <c r="N878" t="s">
        <v>90</v>
      </c>
      <c r="O878">
        <v>95</v>
      </c>
      <c r="P878">
        <v>0.48749999999999999</v>
      </c>
      <c r="Q878">
        <v>3.2500000000000001E-2</v>
      </c>
      <c r="R878">
        <v>77.5</v>
      </c>
      <c r="S878">
        <v>170</v>
      </c>
      <c r="T878">
        <v>50</v>
      </c>
      <c r="U878">
        <v>1812.1301775147931</v>
      </c>
      <c r="V878">
        <v>20</v>
      </c>
      <c r="W878">
        <v>0.95</v>
      </c>
      <c r="X878">
        <v>1</v>
      </c>
      <c r="Y878">
        <v>38177849.578658268</v>
      </c>
      <c r="Z878">
        <v>7635569915.7316532</v>
      </c>
      <c r="AA878">
        <v>30542279662.926609</v>
      </c>
      <c r="AB878">
        <v>30542279.662926611</v>
      </c>
      <c r="AC878">
        <v>0</v>
      </c>
      <c r="AD878">
        <v>79137.104948846099</v>
      </c>
      <c r="AE878">
        <v>35611697.226980753</v>
      </c>
      <c r="AF878">
        <v>1780584.8613490369</v>
      </c>
      <c r="AG878">
        <v>106.92547416850429</v>
      </c>
      <c r="AH878">
        <v>12224.712200683491</v>
      </c>
      <c r="AI878">
        <v>6112.3561003417472</v>
      </c>
      <c r="AJ878">
        <v>992624.08904511505</v>
      </c>
      <c r="AK878">
        <v>854.70085470085473</v>
      </c>
      <c r="AL878" t="s">
        <v>93</v>
      </c>
      <c r="AM878">
        <v>947415.19555297086</v>
      </c>
      <c r="AN878">
        <v>426056.32160213729</v>
      </c>
      <c r="AO878">
        <v>1039100.537058097</v>
      </c>
      <c r="AP878">
        <v>2366950.3070549238</v>
      </c>
      <c r="AQ878">
        <v>1327849.769996827</v>
      </c>
      <c r="AR878">
        <v>0.55747081231111117</v>
      </c>
      <c r="AS878">
        <v>9283.3265109569165</v>
      </c>
      <c r="AT878">
        <v>8860.5190009252146</v>
      </c>
      <c r="AU878">
        <v>3984.6100745900198</v>
      </c>
      <c r="AV878">
        <v>9717.9885816599144</v>
      </c>
      <c r="AW878">
        <v>22136.44901237321</v>
      </c>
      <c r="AX878">
        <v>12418.4604307133</v>
      </c>
      <c r="AY878">
        <v>57.164638715646547</v>
      </c>
      <c r="AZ878" t="s">
        <v>116</v>
      </c>
      <c r="BA878" t="str">
        <f>VLOOKUP($AZ878,Sheet1!$A$2:$B$58,2)</f>
        <v>Beta Carotene</v>
      </c>
      <c r="BB878" t="s">
        <v>167</v>
      </c>
      <c r="BC878">
        <v>536.86703999999997</v>
      </c>
      <c r="BD878">
        <v>5.4</v>
      </c>
      <c r="BE878">
        <v>633</v>
      </c>
      <c r="BF878" t="s">
        <v>213</v>
      </c>
      <c r="BG878">
        <v>2.9899295614145629</v>
      </c>
      <c r="BH878">
        <v>2.6152882205513799E-2</v>
      </c>
      <c r="BI878">
        <v>0.23380770760578901</v>
      </c>
      <c r="BJ878">
        <v>80</v>
      </c>
      <c r="BK878">
        <v>118347.5153527462</v>
      </c>
      <c r="BL878">
        <v>66392.488499841362</v>
      </c>
      <c r="BM878">
        <v>302.62787545567278</v>
      </c>
      <c r="BN878">
        <v>51446.738827464367</v>
      </c>
      <c r="BO878">
        <v>66900.776525281835</v>
      </c>
    </row>
    <row r="879" spans="1:67" x14ac:dyDescent="0.25">
      <c r="A879" s="1">
        <v>877</v>
      </c>
      <c r="B879" t="s">
        <v>77</v>
      </c>
      <c r="C879" t="s">
        <v>86</v>
      </c>
      <c r="D879">
        <v>2</v>
      </c>
      <c r="E879">
        <v>4</v>
      </c>
      <c r="F879">
        <v>2</v>
      </c>
      <c r="G879">
        <v>60.050759999999997</v>
      </c>
      <c r="H879">
        <v>8</v>
      </c>
      <c r="I879" t="s">
        <v>89</v>
      </c>
      <c r="J879">
        <v>4</v>
      </c>
      <c r="K879">
        <v>20</v>
      </c>
      <c r="L879">
        <v>5</v>
      </c>
      <c r="N879" t="s">
        <v>90</v>
      </c>
      <c r="O879">
        <v>95</v>
      </c>
      <c r="P879">
        <v>0.48749999999999999</v>
      </c>
      <c r="Q879">
        <v>3.2500000000000001E-2</v>
      </c>
      <c r="R879">
        <v>77.5</v>
      </c>
      <c r="S879">
        <v>170</v>
      </c>
      <c r="T879">
        <v>50</v>
      </c>
      <c r="U879">
        <v>1812.1301775147931</v>
      </c>
      <c r="V879">
        <v>20</v>
      </c>
      <c r="W879">
        <v>0.95</v>
      </c>
      <c r="X879">
        <v>1</v>
      </c>
      <c r="Y879">
        <v>39938172.623417877</v>
      </c>
      <c r="Z879">
        <v>7987634524.6835756</v>
      </c>
      <c r="AA879">
        <v>31950538098.734299</v>
      </c>
      <c r="AB879">
        <v>31950538.098734301</v>
      </c>
      <c r="AC879">
        <v>66773.504273504266</v>
      </c>
      <c r="AD879">
        <v>82785.99746307738</v>
      </c>
      <c r="AE879">
        <v>37253698.858384818</v>
      </c>
      <c r="AF879">
        <v>1862684.942919241</v>
      </c>
      <c r="AG879">
        <v>111.855646462857</v>
      </c>
      <c r="AH879">
        <v>12788.37523670862</v>
      </c>
      <c r="AI879">
        <v>6394.1876183543118</v>
      </c>
      <c r="AJ879">
        <v>1038392.488208865</v>
      </c>
      <c r="AK879">
        <v>2170.1388888888891</v>
      </c>
      <c r="AL879" t="s">
        <v>95</v>
      </c>
      <c r="AM879">
        <v>991099.08084491838</v>
      </c>
      <c r="AN879">
        <v>445701.1357956797</v>
      </c>
      <c r="AO879">
        <v>1087011.8951202331</v>
      </c>
      <c r="AP879">
        <v>2477362.8437383519</v>
      </c>
      <c r="AQ879">
        <v>1390350.9486181189</v>
      </c>
      <c r="AR879">
        <v>0.55747081231111106</v>
      </c>
      <c r="AS879">
        <v>9283.3265109569147</v>
      </c>
      <c r="AT879">
        <v>8860.5190009252165</v>
      </c>
      <c r="AU879">
        <v>3984.6100745900198</v>
      </c>
      <c r="AV879">
        <v>9717.9885816599162</v>
      </c>
      <c r="AW879">
        <v>22147.85683225199</v>
      </c>
      <c r="AX879">
        <v>12429.868250592081</v>
      </c>
      <c r="AY879">
        <v>57.164638715646561</v>
      </c>
      <c r="AZ879" t="s">
        <v>117</v>
      </c>
      <c r="BA879" t="str">
        <f>VLOOKUP($AZ879,Sheet1!$A$2:$B$58,2)</f>
        <v>Butane</v>
      </c>
      <c r="BB879" t="s">
        <v>168</v>
      </c>
      <c r="BC879">
        <v>58.121200000000002</v>
      </c>
      <c r="BD879">
        <v>6.5</v>
      </c>
      <c r="BE879">
        <v>-1</v>
      </c>
      <c r="BF879" t="s">
        <v>213</v>
      </c>
      <c r="BG879">
        <v>3.5291625534909459</v>
      </c>
      <c r="BH879">
        <v>0.230927152317881</v>
      </c>
      <c r="BI879">
        <v>0.22350235138376801</v>
      </c>
      <c r="BJ879">
        <v>80</v>
      </c>
      <c r="BK879">
        <v>123868.1421869176</v>
      </c>
      <c r="BL879">
        <v>69517.547430905935</v>
      </c>
      <c r="BM879">
        <v>316.18021836422457</v>
      </c>
      <c r="BN879">
        <v>53750.637121918189</v>
      </c>
      <c r="BO879">
        <v>70117.505064999394</v>
      </c>
    </row>
    <row r="880" spans="1:67" x14ac:dyDescent="0.25">
      <c r="A880" s="1">
        <v>878</v>
      </c>
      <c r="B880" t="s">
        <v>77</v>
      </c>
      <c r="C880" t="s">
        <v>86</v>
      </c>
      <c r="D880">
        <v>2</v>
      </c>
      <c r="E880">
        <v>4</v>
      </c>
      <c r="F880">
        <v>2</v>
      </c>
      <c r="G880">
        <v>60.050759999999997</v>
      </c>
      <c r="H880">
        <v>8</v>
      </c>
      <c r="I880" t="s">
        <v>89</v>
      </c>
      <c r="J880">
        <v>4</v>
      </c>
      <c r="K880">
        <v>20</v>
      </c>
      <c r="L880">
        <v>5</v>
      </c>
      <c r="N880" t="s">
        <v>90</v>
      </c>
      <c r="O880">
        <v>95</v>
      </c>
      <c r="P880">
        <v>0.48749999999999999</v>
      </c>
      <c r="Q880">
        <v>3.2500000000000001E-2</v>
      </c>
      <c r="R880">
        <v>77.5</v>
      </c>
      <c r="S880">
        <v>170</v>
      </c>
      <c r="T880">
        <v>50</v>
      </c>
      <c r="U880">
        <v>1812.1301775147931</v>
      </c>
      <c r="V880">
        <v>20</v>
      </c>
      <c r="W880">
        <v>0.95</v>
      </c>
      <c r="X880">
        <v>1</v>
      </c>
      <c r="Y880">
        <v>28928183.99323434</v>
      </c>
      <c r="Z880">
        <v>5785636798.6468687</v>
      </c>
      <c r="AA880">
        <v>23142547194.587471</v>
      </c>
      <c r="AB880">
        <v>23142547.19458748</v>
      </c>
      <c r="AC880">
        <v>0</v>
      </c>
      <c r="AD880">
        <v>59963.89943167071</v>
      </c>
      <c r="AE880">
        <v>26983754.744251821</v>
      </c>
      <c r="AF880">
        <v>1349187.7372125911</v>
      </c>
      <c r="AG880">
        <v>81.019749002296379</v>
      </c>
      <c r="AH880">
        <v>9262.9293610972745</v>
      </c>
      <c r="AI880">
        <v>4631.4646805486373</v>
      </c>
      <c r="AJ880">
        <v>752132.78382409306</v>
      </c>
      <c r="AK880">
        <v>854.70085470085473</v>
      </c>
      <c r="AL880" t="s">
        <v>93</v>
      </c>
      <c r="AM880">
        <v>717877.02548503876</v>
      </c>
      <c r="AN880">
        <v>322832.10811530479</v>
      </c>
      <c r="AO880">
        <v>787348.99569326837</v>
      </c>
      <c r="AP880">
        <v>1793696.618279137</v>
      </c>
      <c r="AQ880">
        <v>1006347.622585869</v>
      </c>
      <c r="AR880">
        <v>0.55747081231111106</v>
      </c>
      <c r="AS880">
        <v>9283.3265109569147</v>
      </c>
      <c r="AT880">
        <v>8860.5190009252146</v>
      </c>
      <c r="AU880">
        <v>3984.6100745900198</v>
      </c>
      <c r="AV880">
        <v>9717.9885816599144</v>
      </c>
      <c r="AW880">
        <v>22139.004876802301</v>
      </c>
      <c r="AX880">
        <v>12421.016295142381</v>
      </c>
      <c r="AY880">
        <v>57.164638715646547</v>
      </c>
      <c r="AZ880" t="s">
        <v>118</v>
      </c>
      <c r="BA880" t="str">
        <f>VLOOKUP($AZ880,Sheet1!$A$2:$B$58,2)</f>
        <v>Butanol (PW1)</v>
      </c>
      <c r="BB880" t="s">
        <v>169</v>
      </c>
      <c r="BC880">
        <v>74.120199999999997</v>
      </c>
      <c r="BD880">
        <v>6</v>
      </c>
      <c r="BE880">
        <v>117.7</v>
      </c>
      <c r="BF880" t="s">
        <v>213</v>
      </c>
      <c r="BG880">
        <v>2.3750610494844859</v>
      </c>
      <c r="BH880">
        <v>0.25</v>
      </c>
      <c r="BI880">
        <v>0.30856674215679702</v>
      </c>
      <c r="BJ880">
        <v>80</v>
      </c>
      <c r="BK880">
        <v>89684.830913956874</v>
      </c>
      <c r="BL880">
        <v>50317.381129293448</v>
      </c>
      <c r="BM880">
        <v>229.19817297794739</v>
      </c>
      <c r="BN880">
        <v>38963.689406251047</v>
      </c>
      <c r="BO880">
        <v>50721.141507705819</v>
      </c>
    </row>
    <row r="881" spans="1:67" x14ac:dyDescent="0.25">
      <c r="A881" s="1">
        <v>879</v>
      </c>
      <c r="B881" t="s">
        <v>77</v>
      </c>
      <c r="C881" t="s">
        <v>86</v>
      </c>
      <c r="D881">
        <v>2</v>
      </c>
      <c r="E881">
        <v>4</v>
      </c>
      <c r="F881">
        <v>2</v>
      </c>
      <c r="G881">
        <v>60.050759999999997</v>
      </c>
      <c r="H881">
        <v>8</v>
      </c>
      <c r="I881" t="s">
        <v>89</v>
      </c>
      <c r="J881">
        <v>4</v>
      </c>
      <c r="K881">
        <v>20</v>
      </c>
      <c r="L881">
        <v>5</v>
      </c>
      <c r="N881" t="s">
        <v>90</v>
      </c>
      <c r="O881">
        <v>95</v>
      </c>
      <c r="P881">
        <v>0.48749999999999999</v>
      </c>
      <c r="Q881">
        <v>3.2500000000000001E-2</v>
      </c>
      <c r="R881">
        <v>77.5</v>
      </c>
      <c r="S881">
        <v>170</v>
      </c>
      <c r="T881">
        <v>50</v>
      </c>
      <c r="U881">
        <v>1812.1301775147931</v>
      </c>
      <c r="V881">
        <v>20</v>
      </c>
      <c r="W881">
        <v>0.95</v>
      </c>
      <c r="X881">
        <v>1</v>
      </c>
      <c r="Y881">
        <v>30502861.636701591</v>
      </c>
      <c r="Z881">
        <v>6100572327.3403196</v>
      </c>
      <c r="AA881">
        <v>24402289309.361279</v>
      </c>
      <c r="AB881">
        <v>24402289.309361279</v>
      </c>
      <c r="AC881">
        <v>0</v>
      </c>
      <c r="AD881">
        <v>63227.976149111877</v>
      </c>
      <c r="AE881">
        <v>28452589.267100349</v>
      </c>
      <c r="AF881">
        <v>1422629.4633550181</v>
      </c>
      <c r="AG881">
        <v>85.429980472860947</v>
      </c>
      <c r="AH881">
        <v>9767.1479384316735</v>
      </c>
      <c r="AI881">
        <v>4883.5739692158368</v>
      </c>
      <c r="AJ881">
        <v>793074.40255424159</v>
      </c>
      <c r="AK881">
        <v>854.70085470085473</v>
      </c>
      <c r="AL881" t="s">
        <v>93</v>
      </c>
      <c r="AM881">
        <v>756953.96522845468</v>
      </c>
      <c r="AN881">
        <v>340405.16086419037</v>
      </c>
      <c r="AO881">
        <v>830207.57476669224</v>
      </c>
      <c r="AP881">
        <v>1891288.2295015871</v>
      </c>
      <c r="AQ881">
        <v>1061080.6547348951</v>
      </c>
      <c r="AR881">
        <v>0.55747081231111106</v>
      </c>
      <c r="AS881">
        <v>9283.3265109569147</v>
      </c>
      <c r="AT881">
        <v>8860.5190009252165</v>
      </c>
      <c r="AU881">
        <v>3984.6100745900189</v>
      </c>
      <c r="AV881">
        <v>9717.9885816599144</v>
      </c>
      <c r="AW881">
        <v>22138.460280959611</v>
      </c>
      <c r="AX881">
        <v>12420.471699299689</v>
      </c>
      <c r="AY881">
        <v>57.164638715646561</v>
      </c>
      <c r="AZ881" t="s">
        <v>119</v>
      </c>
      <c r="BA881" t="str">
        <f>VLOOKUP($AZ881,Sheet1!$A$2:$B$58,2)</f>
        <v>Butanol (PW2)</v>
      </c>
      <c r="BB881" t="s">
        <v>169</v>
      </c>
      <c r="BC881">
        <v>74.120199999999997</v>
      </c>
      <c r="BD881">
        <v>6</v>
      </c>
      <c r="BE881">
        <v>117.7</v>
      </c>
      <c r="BF881" t="s">
        <v>213</v>
      </c>
      <c r="BG881">
        <v>2.6336293396590742</v>
      </c>
      <c r="BH881">
        <v>0.23709401709401701</v>
      </c>
      <c r="BI881">
        <v>0.29263731375827601</v>
      </c>
      <c r="BJ881">
        <v>80</v>
      </c>
      <c r="BK881">
        <v>94564.411475079338</v>
      </c>
      <c r="BL881">
        <v>53054.032736744739</v>
      </c>
      <c r="BM881">
        <v>241.54506912113271</v>
      </c>
      <c r="BN881">
        <v>41062.661750592561</v>
      </c>
      <c r="BO881">
        <v>53501.749724486777</v>
      </c>
    </row>
    <row r="882" spans="1:67" x14ac:dyDescent="0.25">
      <c r="A882" s="1">
        <v>880</v>
      </c>
      <c r="B882" t="s">
        <v>77</v>
      </c>
      <c r="C882" t="s">
        <v>86</v>
      </c>
      <c r="D882">
        <v>2</v>
      </c>
      <c r="E882">
        <v>4</v>
      </c>
      <c r="F882">
        <v>2</v>
      </c>
      <c r="G882">
        <v>60.050759999999997</v>
      </c>
      <c r="H882">
        <v>8</v>
      </c>
      <c r="I882" t="s">
        <v>89</v>
      </c>
      <c r="J882">
        <v>4</v>
      </c>
      <c r="K882">
        <v>20</v>
      </c>
      <c r="L882">
        <v>5</v>
      </c>
      <c r="N882" t="s">
        <v>90</v>
      </c>
      <c r="O882">
        <v>95</v>
      </c>
      <c r="P882">
        <v>0.48749999999999999</v>
      </c>
      <c r="Q882">
        <v>3.2500000000000001E-2</v>
      </c>
      <c r="R882">
        <v>77.5</v>
      </c>
      <c r="S882">
        <v>170</v>
      </c>
      <c r="T882">
        <v>50</v>
      </c>
      <c r="U882">
        <v>1812.1301775147931</v>
      </c>
      <c r="V882">
        <v>20</v>
      </c>
      <c r="W882">
        <v>0.95</v>
      </c>
      <c r="X882">
        <v>1</v>
      </c>
      <c r="Y882">
        <v>20515395.474793918</v>
      </c>
      <c r="Z882">
        <v>4103079094.9587841</v>
      </c>
      <c r="AA882">
        <v>16412316379.83514</v>
      </c>
      <c r="AB882">
        <v>16412316.37983514</v>
      </c>
      <c r="AC882">
        <v>0</v>
      </c>
      <c r="AD882">
        <v>42525.417818802853</v>
      </c>
      <c r="AE882">
        <v>19136438.01846128</v>
      </c>
      <c r="AF882">
        <v>956821.90092306409</v>
      </c>
      <c r="AG882">
        <v>57.4578823350747</v>
      </c>
      <c r="AH882">
        <v>6569.1181701013511</v>
      </c>
      <c r="AI882">
        <v>3284.559085050676</v>
      </c>
      <c r="AJ882">
        <v>533400.28234464198</v>
      </c>
      <c r="AK882">
        <v>854.70085470085473</v>
      </c>
      <c r="AL882" t="s">
        <v>93</v>
      </c>
      <c r="AM882">
        <v>509106.65818285471</v>
      </c>
      <c r="AN882">
        <v>228947.25681694661</v>
      </c>
      <c r="AO882">
        <v>558375.0444586149</v>
      </c>
      <c r="AP882">
        <v>1272308.8981991441</v>
      </c>
      <c r="AQ882">
        <v>713933.85374052916</v>
      </c>
      <c r="AR882">
        <v>0.55747081231111106</v>
      </c>
      <c r="AS882">
        <v>9283.3265109569147</v>
      </c>
      <c r="AT882">
        <v>8860.5190009252165</v>
      </c>
      <c r="AU882">
        <v>3984.6100745900198</v>
      </c>
      <c r="AV882">
        <v>9717.9885816599162</v>
      </c>
      <c r="AW882">
        <v>22143.330845008772</v>
      </c>
      <c r="AX882">
        <v>12425.34226334885</v>
      </c>
      <c r="AY882">
        <v>57.164638715646547</v>
      </c>
      <c r="AZ882" t="s">
        <v>120</v>
      </c>
      <c r="BA882" t="str">
        <f>VLOOKUP($AZ882,Sheet1!$A$2:$B$58,2)</f>
        <v>Butyrate</v>
      </c>
      <c r="BB882" t="s">
        <v>170</v>
      </c>
      <c r="BC882">
        <v>87.095680000000002</v>
      </c>
      <c r="BD882">
        <v>4.75</v>
      </c>
      <c r="BE882">
        <v>163.5</v>
      </c>
      <c r="BF882" t="s">
        <v>213</v>
      </c>
      <c r="BG882">
        <v>1.3474835950531621</v>
      </c>
      <c r="BH882">
        <v>0.30000000000000099</v>
      </c>
      <c r="BI882">
        <v>0.43510131219609799</v>
      </c>
      <c r="BJ882">
        <v>80</v>
      </c>
      <c r="BK882">
        <v>63615.444909957187</v>
      </c>
      <c r="BL882">
        <v>35696.692687026451</v>
      </c>
      <c r="BM882">
        <v>162.8804706574806</v>
      </c>
      <c r="BN882">
        <v>27689.680011771699</v>
      </c>
      <c r="BO882">
        <v>35925.764898185487</v>
      </c>
    </row>
    <row r="883" spans="1:67" x14ac:dyDescent="0.25">
      <c r="A883" s="1">
        <v>881</v>
      </c>
      <c r="B883" t="s">
        <v>77</v>
      </c>
      <c r="C883" t="s">
        <v>86</v>
      </c>
      <c r="D883">
        <v>2</v>
      </c>
      <c r="E883">
        <v>4</v>
      </c>
      <c r="F883">
        <v>2</v>
      </c>
      <c r="G883">
        <v>60.050759999999997</v>
      </c>
      <c r="H883">
        <v>8</v>
      </c>
      <c r="I883" t="s">
        <v>89</v>
      </c>
      <c r="J883">
        <v>4</v>
      </c>
      <c r="K883">
        <v>20</v>
      </c>
      <c r="L883">
        <v>5</v>
      </c>
      <c r="N883" t="s">
        <v>90</v>
      </c>
      <c r="O883">
        <v>95</v>
      </c>
      <c r="P883">
        <v>0.48749999999999999</v>
      </c>
      <c r="Q883">
        <v>3.2500000000000001E-2</v>
      </c>
      <c r="R883">
        <v>77.5</v>
      </c>
      <c r="S883">
        <v>170</v>
      </c>
      <c r="T883">
        <v>50</v>
      </c>
      <c r="U883">
        <v>1812.1301775147931</v>
      </c>
      <c r="V883">
        <v>20</v>
      </c>
      <c r="W883">
        <v>0.95</v>
      </c>
      <c r="X883">
        <v>1</v>
      </c>
      <c r="Y883">
        <v>22004764.6997201</v>
      </c>
      <c r="Z883">
        <v>4400952939.9440203</v>
      </c>
      <c r="AA883">
        <v>17603811759.776081</v>
      </c>
      <c r="AB883">
        <v>17603811.759776078</v>
      </c>
      <c r="AC883">
        <v>0</v>
      </c>
      <c r="AD883">
        <v>45612.662646925703</v>
      </c>
      <c r="AE883">
        <v>20525698.19111656</v>
      </c>
      <c r="AF883">
        <v>1026284.909555828</v>
      </c>
      <c r="AG883">
        <v>61.629188795358743</v>
      </c>
      <c r="AH883">
        <v>7046.0206236501099</v>
      </c>
      <c r="AI883">
        <v>3523.0103118250549</v>
      </c>
      <c r="AJ883">
        <v>572123.88219272264</v>
      </c>
      <c r="AK883">
        <v>854.70085470085473</v>
      </c>
      <c r="AL883" t="s">
        <v>93</v>
      </c>
      <c r="AM883">
        <v>546066.59833288356</v>
      </c>
      <c r="AN883">
        <v>245568.28656279689</v>
      </c>
      <c r="AO883">
        <v>598911.75301025936</v>
      </c>
      <c r="AP883">
        <v>1364613.467943104</v>
      </c>
      <c r="AQ883">
        <v>765701.71493284462</v>
      </c>
      <c r="AR883">
        <v>0.55747081231111106</v>
      </c>
      <c r="AS883">
        <v>9283.3265109569147</v>
      </c>
      <c r="AT883">
        <v>8860.5190009252146</v>
      </c>
      <c r="AU883">
        <v>3984.6100745900212</v>
      </c>
      <c r="AV883">
        <v>9717.9885816599144</v>
      </c>
      <c r="AW883">
        <v>22142.324028867832</v>
      </c>
      <c r="AX883">
        <v>12424.33544720791</v>
      </c>
      <c r="AY883">
        <v>57.164638715646547</v>
      </c>
      <c r="AZ883" t="s">
        <v>121</v>
      </c>
      <c r="BA883" t="str">
        <f>VLOOKUP($AZ883,Sheet1!$A$2:$B$58,2)</f>
        <v>Catechol</v>
      </c>
      <c r="BB883" t="s">
        <v>171</v>
      </c>
      <c r="BC883">
        <v>110.10924</v>
      </c>
      <c r="BD883">
        <v>4.333333333333333</v>
      </c>
      <c r="BE883">
        <v>245</v>
      </c>
      <c r="BF883" t="s">
        <v>213</v>
      </c>
      <c r="BG883">
        <v>1.2151054386352329</v>
      </c>
      <c r="BH883">
        <v>0.22123674911660801</v>
      </c>
      <c r="BI883">
        <v>0.405651940073609</v>
      </c>
      <c r="BJ883">
        <v>80</v>
      </c>
      <c r="BK883">
        <v>68230.673397155188</v>
      </c>
      <c r="BL883">
        <v>38285.085746642217</v>
      </c>
      <c r="BM883">
        <v>174.93541015261749</v>
      </c>
      <c r="BN883">
        <v>29739.019725944981</v>
      </c>
      <c r="BO883">
        <v>38491.65367121021</v>
      </c>
    </row>
    <row r="884" spans="1:67" x14ac:dyDescent="0.25">
      <c r="A884" s="1">
        <v>882</v>
      </c>
      <c r="B884" t="s">
        <v>77</v>
      </c>
      <c r="C884" t="s">
        <v>86</v>
      </c>
      <c r="D884">
        <v>2</v>
      </c>
      <c r="E884">
        <v>4</v>
      </c>
      <c r="F884">
        <v>2</v>
      </c>
      <c r="G884">
        <v>60.050759999999997</v>
      </c>
      <c r="H884">
        <v>8</v>
      </c>
      <c r="I884" t="s">
        <v>89</v>
      </c>
      <c r="J884">
        <v>4</v>
      </c>
      <c r="K884">
        <v>20</v>
      </c>
      <c r="L884">
        <v>5</v>
      </c>
      <c r="N884" t="s">
        <v>90</v>
      </c>
      <c r="O884">
        <v>95</v>
      </c>
      <c r="P884">
        <v>0.48749999999999999</v>
      </c>
      <c r="Q884">
        <v>3.2500000000000001E-2</v>
      </c>
      <c r="R884">
        <v>77.5</v>
      </c>
      <c r="S884">
        <v>170</v>
      </c>
      <c r="T884">
        <v>50</v>
      </c>
      <c r="U884">
        <v>1812.1301775147931</v>
      </c>
      <c r="V884">
        <v>20</v>
      </c>
      <c r="W884">
        <v>0.95</v>
      </c>
      <c r="X884">
        <v>1</v>
      </c>
      <c r="Y884">
        <v>17478659.426068861</v>
      </c>
      <c r="Z884">
        <v>3495731885.2137709</v>
      </c>
      <c r="AA884">
        <v>13982927540.855089</v>
      </c>
      <c r="AB884">
        <v>13982927.540855089</v>
      </c>
      <c r="AC884">
        <v>0</v>
      </c>
      <c r="AD884">
        <v>36230.707612698418</v>
      </c>
      <c r="AE884">
        <v>16303818.42571429</v>
      </c>
      <c r="AF884">
        <v>815190.92128571449</v>
      </c>
      <c r="AG884">
        <v>48.952834368307329</v>
      </c>
      <c r="AH884">
        <v>5596.7421815423486</v>
      </c>
      <c r="AI884">
        <v>2798.3710907711752</v>
      </c>
      <c r="AJ884">
        <v>454445.14507779031</v>
      </c>
      <c r="AK884">
        <v>854.70085470085473</v>
      </c>
      <c r="AL884" t="s">
        <v>93</v>
      </c>
      <c r="AM884">
        <v>433747.51906953211</v>
      </c>
      <c r="AN884">
        <v>195057.957003694</v>
      </c>
      <c r="AO884">
        <v>475723.08543109969</v>
      </c>
      <c r="AP884">
        <v>1084105.3220057171</v>
      </c>
      <c r="AQ884">
        <v>608382.23657461745</v>
      </c>
      <c r="AR884">
        <v>0.55747081231111117</v>
      </c>
      <c r="AS884">
        <v>9283.3265109569165</v>
      </c>
      <c r="AT884">
        <v>8860.5190009252165</v>
      </c>
      <c r="AU884">
        <v>3984.6100745900198</v>
      </c>
      <c r="AV884">
        <v>9717.9885816599144</v>
      </c>
      <c r="AW884">
        <v>22145.91526711639</v>
      </c>
      <c r="AX884">
        <v>12427.92668545647</v>
      </c>
      <c r="AY884">
        <v>57.164638715646561</v>
      </c>
      <c r="AZ884" t="s">
        <v>122</v>
      </c>
      <c r="BA884" t="str">
        <f>VLOOKUP($AZ884,Sheet1!$A$2:$B$58,2)</f>
        <v>cis,cis-Muconate</v>
      </c>
      <c r="BB884" t="s">
        <v>172</v>
      </c>
      <c r="BC884">
        <v>140.09155999999999</v>
      </c>
      <c r="BD884">
        <v>3.333333333333333</v>
      </c>
      <c r="BE884">
        <v>345.4</v>
      </c>
      <c r="BF884" t="s">
        <v>213</v>
      </c>
      <c r="BG884">
        <v>0.98515480520479159</v>
      </c>
      <c r="BH884">
        <v>0.218916083916084</v>
      </c>
      <c r="BI884">
        <v>0.51069565884391999</v>
      </c>
      <c r="BJ884">
        <v>80</v>
      </c>
      <c r="BK884">
        <v>54205.266100285851</v>
      </c>
      <c r="BL884">
        <v>30419.11182873086</v>
      </c>
      <c r="BM884">
        <v>138.93339973335389</v>
      </c>
      <c r="BN884">
        <v>23618.677954670169</v>
      </c>
      <c r="BO884">
        <v>30586.588145615689</v>
      </c>
    </row>
    <row r="885" spans="1:67" x14ac:dyDescent="0.25">
      <c r="A885" s="1">
        <v>883</v>
      </c>
      <c r="B885" t="s">
        <v>77</v>
      </c>
      <c r="C885" t="s">
        <v>86</v>
      </c>
      <c r="D885">
        <v>2</v>
      </c>
      <c r="E885">
        <v>4</v>
      </c>
      <c r="F885">
        <v>2</v>
      </c>
      <c r="G885">
        <v>60.050759999999997</v>
      </c>
      <c r="H885">
        <v>8</v>
      </c>
      <c r="I885" t="s">
        <v>89</v>
      </c>
      <c r="J885">
        <v>4</v>
      </c>
      <c r="K885">
        <v>20</v>
      </c>
      <c r="L885">
        <v>5</v>
      </c>
      <c r="N885" t="s">
        <v>90</v>
      </c>
      <c r="O885">
        <v>95</v>
      </c>
      <c r="P885">
        <v>0.48749999999999999</v>
      </c>
      <c r="Q885">
        <v>3.2500000000000001E-2</v>
      </c>
      <c r="R885">
        <v>77.5</v>
      </c>
      <c r="S885">
        <v>170</v>
      </c>
      <c r="T885">
        <v>50</v>
      </c>
      <c r="U885">
        <v>1812.1301775147931</v>
      </c>
      <c r="V885">
        <v>20</v>
      </c>
      <c r="W885">
        <v>0.95</v>
      </c>
      <c r="X885">
        <v>1</v>
      </c>
      <c r="Y885">
        <v>9438585.5076518729</v>
      </c>
      <c r="Z885">
        <v>1887717101.530375</v>
      </c>
      <c r="AA885">
        <v>7550868406.1214991</v>
      </c>
      <c r="AB885">
        <v>7550868.4061214989</v>
      </c>
      <c r="AC885">
        <v>0</v>
      </c>
      <c r="AD885">
        <v>19564.808917505168</v>
      </c>
      <c r="AE885">
        <v>8804164.0128773265</v>
      </c>
      <c r="AF885">
        <v>440208.20064386638</v>
      </c>
      <c r="AG885">
        <v>26.434837006896661</v>
      </c>
      <c r="AH885">
        <v>3022.275814012502</v>
      </c>
      <c r="AI885">
        <v>1511.137907006251</v>
      </c>
      <c r="AJ885">
        <v>245403.22319894869</v>
      </c>
      <c r="AK885">
        <v>854.70085470085473</v>
      </c>
      <c r="AL885" t="s">
        <v>93</v>
      </c>
      <c r="AM885">
        <v>234226.3755859689</v>
      </c>
      <c r="AN885">
        <v>105332.5178578255</v>
      </c>
      <c r="AO885">
        <v>256893.44419106271</v>
      </c>
      <c r="AP885">
        <v>585816.81749744399</v>
      </c>
      <c r="AQ885">
        <v>328923.37330638128</v>
      </c>
      <c r="AR885">
        <v>0.55747081231111095</v>
      </c>
      <c r="AS885">
        <v>9283.3265109569129</v>
      </c>
      <c r="AT885">
        <v>8860.5190009252146</v>
      </c>
      <c r="AU885">
        <v>3984.6100745900189</v>
      </c>
      <c r="AV885">
        <v>9717.9885816599144</v>
      </c>
      <c r="AW885">
        <v>22160.787953585961</v>
      </c>
      <c r="AX885">
        <v>12442.79937192605</v>
      </c>
      <c r="AY885">
        <v>57.164638715646547</v>
      </c>
      <c r="AZ885" t="s">
        <v>123</v>
      </c>
      <c r="BA885" t="str">
        <f>VLOOKUP($AZ885,Sheet1!$A$2:$B$58,2)</f>
        <v>Citrate</v>
      </c>
      <c r="BB885" t="s">
        <v>173</v>
      </c>
      <c r="BC885">
        <v>189.09639999999999</v>
      </c>
      <c r="BD885">
        <v>2.5</v>
      </c>
      <c r="BF885" t="s">
        <v>213</v>
      </c>
      <c r="BG885">
        <v>0.15342242595592639</v>
      </c>
      <c r="BH885">
        <v>0.30033613445378099</v>
      </c>
      <c r="BI885">
        <v>0.94572173807909898</v>
      </c>
      <c r="BJ885">
        <v>80</v>
      </c>
      <c r="BK885">
        <v>29290.840874872199</v>
      </c>
      <c r="BL885">
        <v>16446.168665319059</v>
      </c>
      <c r="BM885">
        <v>75.403472924356635</v>
      </c>
      <c r="BN885">
        <v>12818.59039714063</v>
      </c>
      <c r="BO885">
        <v>16472.25047773157</v>
      </c>
    </row>
    <row r="886" spans="1:67" x14ac:dyDescent="0.25">
      <c r="A886" s="1">
        <v>884</v>
      </c>
      <c r="B886" t="s">
        <v>77</v>
      </c>
      <c r="C886" t="s">
        <v>86</v>
      </c>
      <c r="D886">
        <v>2</v>
      </c>
      <c r="E886">
        <v>4</v>
      </c>
      <c r="F886">
        <v>2</v>
      </c>
      <c r="G886">
        <v>60.050759999999997</v>
      </c>
      <c r="H886">
        <v>8</v>
      </c>
      <c r="I886" t="s">
        <v>89</v>
      </c>
      <c r="J886">
        <v>4</v>
      </c>
      <c r="K886">
        <v>20</v>
      </c>
      <c r="L886">
        <v>5</v>
      </c>
      <c r="N886" t="s">
        <v>90</v>
      </c>
      <c r="O886">
        <v>95</v>
      </c>
      <c r="P886">
        <v>0.48749999999999999</v>
      </c>
      <c r="Q886">
        <v>3.2500000000000001E-2</v>
      </c>
      <c r="R886">
        <v>77.5</v>
      </c>
      <c r="S886">
        <v>170</v>
      </c>
      <c r="T886">
        <v>50</v>
      </c>
      <c r="U886">
        <v>1812.1301775147931</v>
      </c>
      <c r="V886">
        <v>20</v>
      </c>
      <c r="W886">
        <v>0.95</v>
      </c>
      <c r="X886">
        <v>1</v>
      </c>
      <c r="Y886">
        <v>22082746.62513708</v>
      </c>
      <c r="Z886">
        <v>4416549325.0274162</v>
      </c>
      <c r="AA886">
        <v>17666197300.109661</v>
      </c>
      <c r="AB886">
        <v>17666197.30010967</v>
      </c>
      <c r="AC886">
        <v>0</v>
      </c>
      <c r="AD886">
        <v>45774.307786291698</v>
      </c>
      <c r="AE886">
        <v>20598438.50383126</v>
      </c>
      <c r="AF886">
        <v>1029921.925191563</v>
      </c>
      <c r="AG886">
        <v>61.847594348416521</v>
      </c>
      <c r="AH886">
        <v>7070.9907727181871</v>
      </c>
      <c r="AI886">
        <v>3535.495386359094</v>
      </c>
      <c r="AJ886">
        <v>574151.41225356411</v>
      </c>
      <c r="AK886">
        <v>854.70085470085473</v>
      </c>
      <c r="AL886" t="s">
        <v>93</v>
      </c>
      <c r="AM886">
        <v>548001.78488565946</v>
      </c>
      <c r="AN886">
        <v>246438.54752985729</v>
      </c>
      <c r="AO886">
        <v>601034.2156810459</v>
      </c>
      <c r="AP886">
        <v>1369446.4455237819</v>
      </c>
      <c r="AQ886">
        <v>768412.2298427358</v>
      </c>
      <c r="AR886">
        <v>0.55747081231111095</v>
      </c>
      <c r="AS886">
        <v>9283.3265109569129</v>
      </c>
      <c r="AT886">
        <v>8860.5190009252146</v>
      </c>
      <c r="AU886">
        <v>3984.6100745900198</v>
      </c>
      <c r="AV886">
        <v>9717.9885816599126</v>
      </c>
      <c r="AW886">
        <v>22142.275054532391</v>
      </c>
      <c r="AX886">
        <v>12424.28647287248</v>
      </c>
      <c r="AY886">
        <v>57.164638715646547</v>
      </c>
      <c r="AZ886" t="s">
        <v>124</v>
      </c>
      <c r="BA886" t="str">
        <f>VLOOKUP($AZ886,Sheet1!$A$2:$B$58,2)</f>
        <v>Coumaric Acid</v>
      </c>
      <c r="BB886" t="s">
        <v>174</v>
      </c>
      <c r="BC886">
        <v>163.14818</v>
      </c>
      <c r="BD886">
        <v>4.1111111111111107</v>
      </c>
      <c r="BE886">
        <v>346</v>
      </c>
      <c r="BF886" t="s">
        <v>213</v>
      </c>
      <c r="BG886">
        <v>1.198281296104025</v>
      </c>
      <c r="BH886">
        <v>0.14878612716763001</v>
      </c>
      <c r="BI886">
        <v>0.40421944076213001</v>
      </c>
      <c r="BJ886">
        <v>80</v>
      </c>
      <c r="BK886">
        <v>68472.322276189079</v>
      </c>
      <c r="BL886">
        <v>38420.611492136777</v>
      </c>
      <c r="BM886">
        <v>175.57648802185071</v>
      </c>
      <c r="BN886">
        <v>29848.002963714611</v>
      </c>
      <c r="BO886">
        <v>38624.319312474472</v>
      </c>
    </row>
    <row r="887" spans="1:67" x14ac:dyDescent="0.25">
      <c r="A887" s="1">
        <v>885</v>
      </c>
      <c r="B887" t="s">
        <v>77</v>
      </c>
      <c r="C887" t="s">
        <v>86</v>
      </c>
      <c r="D887">
        <v>2</v>
      </c>
      <c r="E887">
        <v>4</v>
      </c>
      <c r="F887">
        <v>2</v>
      </c>
      <c r="G887">
        <v>60.050759999999997</v>
      </c>
      <c r="H887">
        <v>8</v>
      </c>
      <c r="I887" t="s">
        <v>89</v>
      </c>
      <c r="J887">
        <v>4</v>
      </c>
      <c r="K887">
        <v>20</v>
      </c>
      <c r="L887">
        <v>5</v>
      </c>
      <c r="N887" t="s">
        <v>90</v>
      </c>
      <c r="O887">
        <v>95</v>
      </c>
      <c r="P887">
        <v>0.48749999999999999</v>
      </c>
      <c r="Q887">
        <v>3.2500000000000001E-2</v>
      </c>
      <c r="R887">
        <v>77.5</v>
      </c>
      <c r="S887">
        <v>170</v>
      </c>
      <c r="T887">
        <v>50</v>
      </c>
      <c r="U887">
        <v>1812.1301775147931</v>
      </c>
      <c r="V887">
        <v>20</v>
      </c>
      <c r="W887">
        <v>0.95</v>
      </c>
      <c r="X887">
        <v>1</v>
      </c>
      <c r="Y887">
        <v>20280714.315910451</v>
      </c>
      <c r="Z887">
        <v>4056142863.1820912</v>
      </c>
      <c r="AA887">
        <v>16224571452.728359</v>
      </c>
      <c r="AB887">
        <v>16224571.452728361</v>
      </c>
      <c r="AC887">
        <v>0</v>
      </c>
      <c r="AD887">
        <v>42038.958059936303</v>
      </c>
      <c r="AE887">
        <v>18917531.12697133</v>
      </c>
      <c r="AF887">
        <v>945876.55634856678</v>
      </c>
      <c r="AG887">
        <v>56.800606074914263</v>
      </c>
      <c r="AH887">
        <v>6493.9722502044651</v>
      </c>
      <c r="AI887">
        <v>3246.986125102233</v>
      </c>
      <c r="AJ887">
        <v>527298.57221367187</v>
      </c>
      <c r="AK887">
        <v>854.70085470085473</v>
      </c>
      <c r="AL887" t="s">
        <v>93</v>
      </c>
      <c r="AM887">
        <v>503282.84939084598</v>
      </c>
      <c r="AN887">
        <v>226328.26720892251</v>
      </c>
      <c r="AO887">
        <v>551987.64126737951</v>
      </c>
      <c r="AP887">
        <v>1257764.389668141</v>
      </c>
      <c r="AQ887">
        <v>705776.74840076151</v>
      </c>
      <c r="AR887">
        <v>0.55747081231111095</v>
      </c>
      <c r="AS887">
        <v>9283.3265109569129</v>
      </c>
      <c r="AT887">
        <v>8860.5190009252146</v>
      </c>
      <c r="AU887">
        <v>3984.6100745900198</v>
      </c>
      <c r="AV887">
        <v>9717.9885816599144</v>
      </c>
      <c r="AW887">
        <v>22143.502976170312</v>
      </c>
      <c r="AX887">
        <v>12425.51439451039</v>
      </c>
      <c r="AY887">
        <v>57.164638715646561</v>
      </c>
      <c r="AZ887" t="s">
        <v>125</v>
      </c>
      <c r="BA887" t="str">
        <f>VLOOKUP($AZ887,Sheet1!$A$2:$B$58,2)</f>
        <v>Ethyl Acetate</v>
      </c>
      <c r="BB887" t="s">
        <v>175</v>
      </c>
      <c r="BC887">
        <v>88.103520000000003</v>
      </c>
      <c r="BD887">
        <v>5</v>
      </c>
      <c r="BE887">
        <v>77.099999999999994</v>
      </c>
      <c r="BF887" t="s">
        <v>213</v>
      </c>
      <c r="BG887">
        <v>1.332069365673471</v>
      </c>
      <c r="BH887">
        <v>0.3</v>
      </c>
      <c r="BI887">
        <v>0.44013614867115203</v>
      </c>
      <c r="BJ887">
        <v>80</v>
      </c>
      <c r="BK887">
        <v>62888.219483407047</v>
      </c>
      <c r="BL887">
        <v>35288.837420038071</v>
      </c>
      <c r="BM887">
        <v>161.0172368894381</v>
      </c>
      <c r="BN887">
        <v>27372.930271204481</v>
      </c>
      <c r="BO887">
        <v>35515.289212202573</v>
      </c>
    </row>
    <row r="888" spans="1:67" x14ac:dyDescent="0.25">
      <c r="A888" s="1">
        <v>886</v>
      </c>
      <c r="B888" t="s">
        <v>77</v>
      </c>
      <c r="C888" t="s">
        <v>86</v>
      </c>
      <c r="D888">
        <v>2</v>
      </c>
      <c r="E888">
        <v>4</v>
      </c>
      <c r="F888">
        <v>2</v>
      </c>
      <c r="G888">
        <v>60.050759999999997</v>
      </c>
      <c r="H888">
        <v>8</v>
      </c>
      <c r="I888" t="s">
        <v>89</v>
      </c>
      <c r="J888">
        <v>4</v>
      </c>
      <c r="K888">
        <v>20</v>
      </c>
      <c r="L888">
        <v>5</v>
      </c>
      <c r="N888" t="s">
        <v>90</v>
      </c>
      <c r="O888">
        <v>95</v>
      </c>
      <c r="P888">
        <v>0.48749999999999999</v>
      </c>
      <c r="Q888">
        <v>3.2500000000000001E-2</v>
      </c>
      <c r="R888">
        <v>77.5</v>
      </c>
      <c r="S888">
        <v>170</v>
      </c>
      <c r="T888">
        <v>50</v>
      </c>
      <c r="U888">
        <v>1812.1301775147931</v>
      </c>
      <c r="V888">
        <v>20</v>
      </c>
      <c r="W888">
        <v>0.95</v>
      </c>
      <c r="X888">
        <v>1</v>
      </c>
      <c r="Y888">
        <v>36724340.356592663</v>
      </c>
      <c r="Z888">
        <v>7344868071.318531</v>
      </c>
      <c r="AA888">
        <v>29379472285.27412</v>
      </c>
      <c r="AB888">
        <v>29379472.285274129</v>
      </c>
      <c r="AC888">
        <v>0</v>
      </c>
      <c r="AD888">
        <v>76124.192668029151</v>
      </c>
      <c r="AE888">
        <v>34255886.700613119</v>
      </c>
      <c r="AF888">
        <v>1712794.3350306561</v>
      </c>
      <c r="AG888">
        <v>102.85460154228549</v>
      </c>
      <c r="AH888">
        <v>11759.29227481307</v>
      </c>
      <c r="AI888">
        <v>5879.6461374065339</v>
      </c>
      <c r="AJ888">
        <v>954832.8492714091</v>
      </c>
      <c r="AK888">
        <v>1835.336538461539</v>
      </c>
      <c r="AL888" t="s">
        <v>94</v>
      </c>
      <c r="AM888">
        <v>911345.1512980127</v>
      </c>
      <c r="AN888">
        <v>409835.48152333312</v>
      </c>
      <c r="AO888">
        <v>999539.84335911076</v>
      </c>
      <c r="AP888">
        <v>2277848.818631216</v>
      </c>
      <c r="AQ888">
        <v>1278308.975272106</v>
      </c>
      <c r="AR888">
        <v>0.55747081231111106</v>
      </c>
      <c r="AS888">
        <v>9283.3265109569147</v>
      </c>
      <c r="AT888">
        <v>8860.5190009252146</v>
      </c>
      <c r="AU888">
        <v>3984.6100745900189</v>
      </c>
      <c r="AV888">
        <v>9717.9885816599144</v>
      </c>
      <c r="AW888">
        <v>22146.29957702717</v>
      </c>
      <c r="AX888">
        <v>12428.310995367259</v>
      </c>
      <c r="AY888">
        <v>57.164638715646547</v>
      </c>
      <c r="AZ888" t="s">
        <v>126</v>
      </c>
      <c r="BA888" t="str">
        <f>VLOOKUP($AZ888,Sheet1!$A$2:$B$58,2)</f>
        <v>Farnesene</v>
      </c>
      <c r="BB888" t="s">
        <v>176</v>
      </c>
      <c r="BC888">
        <v>204.34866</v>
      </c>
      <c r="BD888">
        <v>5.6</v>
      </c>
      <c r="BE888" t="s">
        <v>198</v>
      </c>
      <c r="BF888" t="s">
        <v>213</v>
      </c>
      <c r="BG888">
        <v>2.7997736809235709</v>
      </c>
      <c r="BH888">
        <v>7.1428571428571397E-2</v>
      </c>
      <c r="BI888">
        <v>0.24306156093290601</v>
      </c>
      <c r="BJ888">
        <v>80</v>
      </c>
      <c r="BK888">
        <v>113892.44093156081</v>
      </c>
      <c r="BL888">
        <v>63915.448763605258</v>
      </c>
      <c r="BM888">
        <v>291.1825331894031</v>
      </c>
      <c r="BN888">
        <v>49501.03064219853</v>
      </c>
      <c r="BO888">
        <v>64391.410289362277</v>
      </c>
    </row>
    <row r="889" spans="1:67" x14ac:dyDescent="0.25">
      <c r="A889" s="1">
        <v>887</v>
      </c>
      <c r="B889" t="s">
        <v>77</v>
      </c>
      <c r="C889" t="s">
        <v>86</v>
      </c>
      <c r="D889">
        <v>2</v>
      </c>
      <c r="E889">
        <v>4</v>
      </c>
      <c r="F889">
        <v>2</v>
      </c>
      <c r="G889">
        <v>60.050759999999997</v>
      </c>
      <c r="H889">
        <v>8</v>
      </c>
      <c r="I889" t="s">
        <v>89</v>
      </c>
      <c r="J889">
        <v>4</v>
      </c>
      <c r="K889">
        <v>20</v>
      </c>
      <c r="L889">
        <v>5</v>
      </c>
      <c r="N889" t="s">
        <v>90</v>
      </c>
      <c r="O889">
        <v>95</v>
      </c>
      <c r="P889">
        <v>0.48749999999999999</v>
      </c>
      <c r="Q889">
        <v>3.2500000000000001E-2</v>
      </c>
      <c r="R889">
        <v>77.5</v>
      </c>
      <c r="S889">
        <v>170</v>
      </c>
      <c r="T889">
        <v>50</v>
      </c>
      <c r="U889">
        <v>1812.1301775147931</v>
      </c>
      <c r="V889">
        <v>20</v>
      </c>
      <c r="W889">
        <v>0.95</v>
      </c>
      <c r="X889">
        <v>1</v>
      </c>
      <c r="Y889">
        <v>20209677.91220554</v>
      </c>
      <c r="Z889">
        <v>4041935582.4411068</v>
      </c>
      <c r="AA889">
        <v>16167742329.764429</v>
      </c>
      <c r="AB889">
        <v>16167742.329764429</v>
      </c>
      <c r="AC889">
        <v>0</v>
      </c>
      <c r="AD889">
        <v>41891.709972439843</v>
      </c>
      <c r="AE889">
        <v>18851269.487597931</v>
      </c>
      <c r="AF889">
        <v>942563.47437989642</v>
      </c>
      <c r="AG889">
        <v>56.601652984753301</v>
      </c>
      <c r="AH889">
        <v>6471.2260871636408</v>
      </c>
      <c r="AI889">
        <v>3235.61304358182</v>
      </c>
      <c r="AJ889">
        <v>525451.625717344</v>
      </c>
      <c r="AK889">
        <v>1835.336538461539</v>
      </c>
      <c r="AL889" t="s">
        <v>94</v>
      </c>
      <c r="AM889">
        <v>501520.02175518218</v>
      </c>
      <c r="AN889">
        <v>225535.51672149621</v>
      </c>
      <c r="AO889">
        <v>550054.21740890946</v>
      </c>
      <c r="AP889">
        <v>1254342.500732484</v>
      </c>
      <c r="AQ889">
        <v>704288.28332357435</v>
      </c>
      <c r="AR889">
        <v>0.55747081231111106</v>
      </c>
      <c r="AS889">
        <v>9283.3265109569147</v>
      </c>
      <c r="AT889">
        <v>8860.5190009252165</v>
      </c>
      <c r="AU889">
        <v>3984.6100745900189</v>
      </c>
      <c r="AV889">
        <v>9717.9885816599144</v>
      </c>
      <c r="AW889">
        <v>22160.881080104919</v>
      </c>
      <c r="AX889">
        <v>12442.89249844501</v>
      </c>
      <c r="AY889">
        <v>57.164638715646561</v>
      </c>
      <c r="AZ889" t="s">
        <v>127</v>
      </c>
      <c r="BA889" t="str">
        <f>VLOOKUP($AZ889,Sheet1!$A$2:$B$58,2)</f>
        <v>Gamma Butyrolactone</v>
      </c>
      <c r="BB889" t="s">
        <v>177</v>
      </c>
      <c r="BC889">
        <v>86.08784</v>
      </c>
      <c r="BD889">
        <v>4.5</v>
      </c>
      <c r="BE889">
        <v>204</v>
      </c>
      <c r="BF889" t="s">
        <v>213</v>
      </c>
      <c r="BG889">
        <v>1.273620851063358</v>
      </c>
      <c r="BH889">
        <v>0.308103448275862</v>
      </c>
      <c r="BI889">
        <v>0.44168321385833398</v>
      </c>
      <c r="BJ889">
        <v>80</v>
      </c>
      <c r="BK889">
        <v>62717.12503662418</v>
      </c>
      <c r="BL889">
        <v>35214.414166178707</v>
      </c>
      <c r="BM889">
        <v>160.50703132802769</v>
      </c>
      <c r="BN889">
        <v>27286.1953257647</v>
      </c>
      <c r="BO889">
        <v>35430.929710859476</v>
      </c>
    </row>
    <row r="890" spans="1:67" x14ac:dyDescent="0.25">
      <c r="A890" s="1">
        <v>888</v>
      </c>
      <c r="B890" t="s">
        <v>77</v>
      </c>
      <c r="C890" t="s">
        <v>86</v>
      </c>
      <c r="D890">
        <v>2</v>
      </c>
      <c r="E890">
        <v>4</v>
      </c>
      <c r="F890">
        <v>2</v>
      </c>
      <c r="G890">
        <v>60.050759999999997</v>
      </c>
      <c r="H890">
        <v>8</v>
      </c>
      <c r="I890" t="s">
        <v>89</v>
      </c>
      <c r="J890">
        <v>4</v>
      </c>
      <c r="K890">
        <v>20</v>
      </c>
      <c r="L890">
        <v>5</v>
      </c>
      <c r="N890" t="s">
        <v>90</v>
      </c>
      <c r="O890">
        <v>95</v>
      </c>
      <c r="P890">
        <v>0.48749999999999999</v>
      </c>
      <c r="Q890">
        <v>3.2500000000000001E-2</v>
      </c>
      <c r="R890">
        <v>77.5</v>
      </c>
      <c r="S890">
        <v>170</v>
      </c>
      <c r="T890">
        <v>50</v>
      </c>
      <c r="U890">
        <v>1812.1301775147931</v>
      </c>
      <c r="V890">
        <v>20</v>
      </c>
      <c r="W890">
        <v>0.95</v>
      </c>
      <c r="X890">
        <v>1</v>
      </c>
      <c r="Y890">
        <v>11906791.52677479</v>
      </c>
      <c r="Z890">
        <v>2381358305.354959</v>
      </c>
      <c r="AA890">
        <v>9525433221.4198341</v>
      </c>
      <c r="AB890">
        <v>9525433.2214198336</v>
      </c>
      <c r="AC890">
        <v>0</v>
      </c>
      <c r="AD890">
        <v>24681.039426200281</v>
      </c>
      <c r="AE890">
        <v>11106467.741790131</v>
      </c>
      <c r="AF890">
        <v>555323.38708950626</v>
      </c>
      <c r="AG890">
        <v>33.347591440499038</v>
      </c>
      <c r="AH890">
        <v>3812.6060334662302</v>
      </c>
      <c r="AI890">
        <v>1906.3030167331151</v>
      </c>
      <c r="AJ890">
        <v>309576.57969614462</v>
      </c>
      <c r="AK890">
        <v>854.70085470085473</v>
      </c>
      <c r="AL890" t="s">
        <v>93</v>
      </c>
      <c r="AM890">
        <v>295476.96759363281</v>
      </c>
      <c r="AN890">
        <v>132877.1488171244</v>
      </c>
      <c r="AO890">
        <v>324071.51284462959</v>
      </c>
      <c r="AP890">
        <v>738785.39696160273</v>
      </c>
      <c r="AQ890">
        <v>414713.88411697309</v>
      </c>
      <c r="AR890">
        <v>0.55747081231111106</v>
      </c>
      <c r="AS890">
        <v>9283.3265109569147</v>
      </c>
      <c r="AT890">
        <v>8860.5190009252146</v>
      </c>
      <c r="AU890">
        <v>3984.6100745900189</v>
      </c>
      <c r="AV890">
        <v>9717.9885816599162</v>
      </c>
      <c r="AW890">
        <v>22154.08564902782</v>
      </c>
      <c r="AX890">
        <v>12436.0970673679</v>
      </c>
      <c r="AY890">
        <v>57.164638715646561</v>
      </c>
      <c r="AZ890" t="s">
        <v>128</v>
      </c>
      <c r="BA890" t="str">
        <f>VLOOKUP($AZ890,Sheet1!$A$2:$B$58,2)</f>
        <v>L-Glutamate</v>
      </c>
      <c r="BB890" t="s">
        <v>178</v>
      </c>
      <c r="BC890">
        <v>146.11892</v>
      </c>
      <c r="BD890">
        <v>3.4</v>
      </c>
      <c r="BE890">
        <v>333.8</v>
      </c>
      <c r="BF890" t="s">
        <v>213</v>
      </c>
      <c r="BG890">
        <v>0.44917706787735778</v>
      </c>
      <c r="BH890">
        <v>0.308103448275862</v>
      </c>
      <c r="BI890">
        <v>0.74967932975329399</v>
      </c>
      <c r="BJ890">
        <v>80</v>
      </c>
      <c r="BK890">
        <v>36939.269848080126</v>
      </c>
      <c r="BL890">
        <v>20735.694205848649</v>
      </c>
      <c r="BM890">
        <v>94.865973768778389</v>
      </c>
      <c r="BN890">
        <v>16127.21554069233</v>
      </c>
      <c r="BO890">
        <v>20812.0543073878</v>
      </c>
    </row>
    <row r="891" spans="1:67" x14ac:dyDescent="0.25">
      <c r="A891" s="1">
        <v>889</v>
      </c>
      <c r="B891" t="s">
        <v>77</v>
      </c>
      <c r="C891" t="s">
        <v>86</v>
      </c>
      <c r="D891">
        <v>2</v>
      </c>
      <c r="E891">
        <v>4</v>
      </c>
      <c r="F891">
        <v>2</v>
      </c>
      <c r="G891">
        <v>60.050759999999997</v>
      </c>
      <c r="H891">
        <v>8</v>
      </c>
      <c r="I891" t="s">
        <v>89</v>
      </c>
      <c r="J891">
        <v>4</v>
      </c>
      <c r="K891">
        <v>20</v>
      </c>
      <c r="L891">
        <v>5</v>
      </c>
      <c r="N891" t="s">
        <v>90</v>
      </c>
      <c r="O891">
        <v>95</v>
      </c>
      <c r="P891">
        <v>0.48749999999999999</v>
      </c>
      <c r="Q891">
        <v>3.2500000000000001E-2</v>
      </c>
      <c r="R891">
        <v>77.5</v>
      </c>
      <c r="S891">
        <v>170</v>
      </c>
      <c r="T891">
        <v>50</v>
      </c>
      <c r="U891">
        <v>1812.1301775147931</v>
      </c>
      <c r="V891">
        <v>20</v>
      </c>
      <c r="W891">
        <v>0.95</v>
      </c>
      <c r="X891">
        <v>1</v>
      </c>
      <c r="Y891">
        <v>17824066.966826819</v>
      </c>
      <c r="Z891">
        <v>3564813393.3653641</v>
      </c>
      <c r="AA891">
        <v>14259253573.461451</v>
      </c>
      <c r="AB891">
        <v>14259253.573461451</v>
      </c>
      <c r="AC891">
        <v>0</v>
      </c>
      <c r="AD891">
        <v>36946.686985679291</v>
      </c>
      <c r="AE891">
        <v>16626009.14355568</v>
      </c>
      <c r="AF891">
        <v>831300.45717778406</v>
      </c>
      <c r="AG891">
        <v>49.920224241873377</v>
      </c>
      <c r="AH891">
        <v>5707.3431667815066</v>
      </c>
      <c r="AI891">
        <v>2853.6715833907529</v>
      </c>
      <c r="AJ891">
        <v>463425.7411374973</v>
      </c>
      <c r="AK891">
        <v>854.70085470085473</v>
      </c>
      <c r="AL891" t="s">
        <v>93</v>
      </c>
      <c r="AM891">
        <v>442319.09542556677</v>
      </c>
      <c r="AN891">
        <v>198912.6284399617</v>
      </c>
      <c r="AO891">
        <v>485124.16917642811</v>
      </c>
      <c r="AP891">
        <v>1105512.165857726</v>
      </c>
      <c r="AQ891">
        <v>620387.99668129836</v>
      </c>
      <c r="AR891">
        <v>0.55747081231111106</v>
      </c>
      <c r="AS891">
        <v>9283.3265109569147</v>
      </c>
      <c r="AT891">
        <v>8860.5190009252165</v>
      </c>
      <c r="AU891">
        <v>3984.6100745900198</v>
      </c>
      <c r="AV891">
        <v>9717.9885816599144</v>
      </c>
      <c r="AW891">
        <v>22145.576920914871</v>
      </c>
      <c r="AX891">
        <v>12427.58833925496</v>
      </c>
      <c r="AY891">
        <v>57.164638715646561</v>
      </c>
      <c r="AZ891" t="s">
        <v>129</v>
      </c>
      <c r="BA891" t="str">
        <f>VLOOKUP($AZ891,Sheet1!$A$2:$B$58,2)</f>
        <v>Glutarate</v>
      </c>
      <c r="BB891" t="s">
        <v>179</v>
      </c>
      <c r="BC891">
        <v>130.09654</v>
      </c>
      <c r="BD891">
        <v>3.6</v>
      </c>
      <c r="BE891">
        <v>200</v>
      </c>
      <c r="BF891" t="s">
        <v>213</v>
      </c>
      <c r="BG891">
        <v>1.235345992795325</v>
      </c>
      <c r="BH891">
        <v>0.23116666666666699</v>
      </c>
      <c r="BI891">
        <v>0.50079903244965496</v>
      </c>
      <c r="BJ891">
        <v>80</v>
      </c>
      <c r="BK891">
        <v>55275.608292886318</v>
      </c>
      <c r="BL891">
        <v>31019.39983406492</v>
      </c>
      <c r="BM891">
        <v>141.44823317674229</v>
      </c>
      <c r="BN891">
        <v>24046.19964004619</v>
      </c>
      <c r="BO891">
        <v>31229.40865284012</v>
      </c>
    </row>
    <row r="892" spans="1:67" x14ac:dyDescent="0.25">
      <c r="A892" s="1">
        <v>890</v>
      </c>
      <c r="B892" t="s">
        <v>77</v>
      </c>
      <c r="C892" t="s">
        <v>86</v>
      </c>
      <c r="D892">
        <v>2</v>
      </c>
      <c r="E892">
        <v>4</v>
      </c>
      <c r="F892">
        <v>2</v>
      </c>
      <c r="G892">
        <v>60.050759999999997</v>
      </c>
      <c r="H892">
        <v>8</v>
      </c>
      <c r="I892" t="s">
        <v>89</v>
      </c>
      <c r="J892">
        <v>4</v>
      </c>
      <c r="K892">
        <v>20</v>
      </c>
      <c r="L892">
        <v>5</v>
      </c>
      <c r="N892" t="s">
        <v>90</v>
      </c>
      <c r="O892">
        <v>95</v>
      </c>
      <c r="P892">
        <v>0.48749999999999999</v>
      </c>
      <c r="Q892">
        <v>3.2500000000000001E-2</v>
      </c>
      <c r="R892">
        <v>77.5</v>
      </c>
      <c r="S892">
        <v>170</v>
      </c>
      <c r="T892">
        <v>50</v>
      </c>
      <c r="U892">
        <v>1812.1301775147931</v>
      </c>
      <c r="V892">
        <v>20</v>
      </c>
      <c r="W892">
        <v>0.95</v>
      </c>
      <c r="X892">
        <v>1</v>
      </c>
      <c r="Y892">
        <v>6456874.8167922404</v>
      </c>
      <c r="Z892">
        <v>1291374963.358448</v>
      </c>
      <c r="AA892">
        <v>5165499853.4337921</v>
      </c>
      <c r="AB892">
        <v>5165499.8534337915</v>
      </c>
      <c r="AC892">
        <v>0</v>
      </c>
      <c r="AD892">
        <v>13384.158239852521</v>
      </c>
      <c r="AE892">
        <v>6022871.2079336327</v>
      </c>
      <c r="AF892">
        <v>301143.56039668171</v>
      </c>
      <c r="AG892">
        <v>18.08389967092663</v>
      </c>
      <c r="AH892">
        <v>2067.5191825170409</v>
      </c>
      <c r="AI892">
        <v>1033.7595912585209</v>
      </c>
      <c r="AJ892">
        <v>167878.7452365983</v>
      </c>
      <c r="AK892">
        <v>854.70085470085473</v>
      </c>
      <c r="AL892" t="s">
        <v>93</v>
      </c>
      <c r="AM892">
        <v>160232.73664507069</v>
      </c>
      <c r="AN892">
        <v>72057.288816649423</v>
      </c>
      <c r="AO892">
        <v>175739.1305139485</v>
      </c>
      <c r="AP892">
        <v>401023.47155301931</v>
      </c>
      <c r="AQ892">
        <v>225284.3410390708</v>
      </c>
      <c r="AR892">
        <v>0.55747081231111117</v>
      </c>
      <c r="AS892">
        <v>9283.3265109569165</v>
      </c>
      <c r="AT892">
        <v>8860.5190009252165</v>
      </c>
      <c r="AU892">
        <v>3984.6100745900198</v>
      </c>
      <c r="AV892">
        <v>9717.9885816599144</v>
      </c>
      <c r="AW892">
        <v>22175.718669670681</v>
      </c>
      <c r="AX892">
        <v>12457.73008801077</v>
      </c>
      <c r="AY892">
        <v>57.164638715646547</v>
      </c>
      <c r="AZ892" t="s">
        <v>130</v>
      </c>
      <c r="BA892" t="str">
        <f>VLOOKUP($AZ892,Sheet1!$A$2:$B$58,2)</f>
        <v>Glycolate</v>
      </c>
      <c r="BB892" t="s">
        <v>180</v>
      </c>
      <c r="BC892">
        <v>75.041920000000005</v>
      </c>
      <c r="BD892">
        <v>2.5</v>
      </c>
      <c r="BE892">
        <v>112</v>
      </c>
      <c r="BF892" t="s">
        <v>213</v>
      </c>
      <c r="BG892">
        <v>-0.1127000480257936</v>
      </c>
      <c r="BH892">
        <v>1.1062962962963001</v>
      </c>
      <c r="BI892">
        <v>1.38244518355697</v>
      </c>
      <c r="BJ892">
        <v>80</v>
      </c>
      <c r="BK892">
        <v>20051.173577650959</v>
      </c>
      <c r="BL892">
        <v>11264.217051953539</v>
      </c>
      <c r="BM892">
        <v>51.800679610951818</v>
      </c>
      <c r="BN892">
        <v>8806.11553386181</v>
      </c>
      <c r="BO892">
        <v>11245.058043789149</v>
      </c>
    </row>
    <row r="893" spans="1:67" x14ac:dyDescent="0.25">
      <c r="A893" s="1">
        <v>891</v>
      </c>
      <c r="B893" t="s">
        <v>77</v>
      </c>
      <c r="C893" t="s">
        <v>86</v>
      </c>
      <c r="D893">
        <v>2</v>
      </c>
      <c r="E893">
        <v>4</v>
      </c>
      <c r="F893">
        <v>2</v>
      </c>
      <c r="G893">
        <v>60.050759999999997</v>
      </c>
      <c r="H893">
        <v>8</v>
      </c>
      <c r="I893" t="s">
        <v>89</v>
      </c>
      <c r="J893">
        <v>4</v>
      </c>
      <c r="K893">
        <v>20</v>
      </c>
      <c r="L893">
        <v>5</v>
      </c>
      <c r="N893" t="s">
        <v>90</v>
      </c>
      <c r="O893">
        <v>95</v>
      </c>
      <c r="P893">
        <v>0.48749999999999999</v>
      </c>
      <c r="Q893">
        <v>3.2500000000000001E-2</v>
      </c>
      <c r="R893">
        <v>77.5</v>
      </c>
      <c r="S893">
        <v>170</v>
      </c>
      <c r="T893">
        <v>50</v>
      </c>
      <c r="U893">
        <v>1812.1301775147931</v>
      </c>
      <c r="V893">
        <v>20</v>
      </c>
      <c r="W893">
        <v>0.95</v>
      </c>
      <c r="X893">
        <v>1</v>
      </c>
      <c r="Y893">
        <v>39231055.528967559</v>
      </c>
      <c r="Z893">
        <v>7846211105.7935123</v>
      </c>
      <c r="AA893">
        <v>31384844423.174049</v>
      </c>
      <c r="AB893">
        <v>31384844.42317405</v>
      </c>
      <c r="AC893">
        <v>0</v>
      </c>
      <c r="AD893">
        <v>81320.247025789271</v>
      </c>
      <c r="AE893">
        <v>36594111.161605172</v>
      </c>
      <c r="AF893">
        <v>1829705.558080259</v>
      </c>
      <c r="AG893">
        <v>109.87520933894371</v>
      </c>
      <c r="AH893">
        <v>12561.953291333501</v>
      </c>
      <c r="AI893">
        <v>6280.9766456667503</v>
      </c>
      <c r="AJ893">
        <v>1020007.443753157</v>
      </c>
      <c r="AK893">
        <v>854.70085470085473</v>
      </c>
      <c r="AL893" t="s">
        <v>93</v>
      </c>
      <c r="AM893">
        <v>973551.38007834635</v>
      </c>
      <c r="AN893">
        <v>437809.86607964238</v>
      </c>
      <c r="AO893">
        <v>1067766.029763347</v>
      </c>
      <c r="AP893">
        <v>2432223.3907658458</v>
      </c>
      <c r="AQ893">
        <v>1364457.361002499</v>
      </c>
      <c r="AR893">
        <v>0.55747081231111106</v>
      </c>
      <c r="AS893">
        <v>9283.3265109569147</v>
      </c>
      <c r="AT893">
        <v>8860.5190009252165</v>
      </c>
      <c r="AU893">
        <v>3984.6100745900189</v>
      </c>
      <c r="AV893">
        <v>9717.9885816599144</v>
      </c>
      <c r="AW893">
        <v>22136.23441902085</v>
      </c>
      <c r="AX893">
        <v>12418.245837360941</v>
      </c>
      <c r="AY893">
        <v>57.164638715646561</v>
      </c>
      <c r="AZ893" t="s">
        <v>131</v>
      </c>
      <c r="BA893" t="str">
        <f>VLOOKUP($AZ893,Sheet1!$A$2:$B$58,2)</f>
        <v>Heptane</v>
      </c>
      <c r="BB893" t="s">
        <v>181</v>
      </c>
      <c r="BC893">
        <v>100.20034</v>
      </c>
      <c r="BD893">
        <v>6.2857142857142856</v>
      </c>
      <c r="BE893">
        <v>98</v>
      </c>
      <c r="BF893" t="s">
        <v>213</v>
      </c>
      <c r="BG893">
        <v>3.367353843310311</v>
      </c>
      <c r="BH893">
        <v>0.13636363636363699</v>
      </c>
      <c r="BI893">
        <v>0.22753085204943599</v>
      </c>
      <c r="BJ893">
        <v>80</v>
      </c>
      <c r="BK893">
        <v>121611.16953829231</v>
      </c>
      <c r="BL893">
        <v>68222.868050124933</v>
      </c>
      <c r="BM893">
        <v>310.68147844002721</v>
      </c>
      <c r="BN893">
        <v>52815.851334804633</v>
      </c>
      <c r="BO893">
        <v>68795.318203487681</v>
      </c>
    </row>
    <row r="894" spans="1:67" x14ac:dyDescent="0.25">
      <c r="A894" s="1">
        <v>892</v>
      </c>
      <c r="B894" t="s">
        <v>77</v>
      </c>
      <c r="C894" t="s">
        <v>86</v>
      </c>
      <c r="D894">
        <v>2</v>
      </c>
      <c r="E894">
        <v>4</v>
      </c>
      <c r="F894">
        <v>2</v>
      </c>
      <c r="G894">
        <v>60.050759999999997</v>
      </c>
      <c r="H894">
        <v>8</v>
      </c>
      <c r="I894" t="s">
        <v>89</v>
      </c>
      <c r="J894">
        <v>4</v>
      </c>
      <c r="K894">
        <v>20</v>
      </c>
      <c r="L894">
        <v>5</v>
      </c>
      <c r="N894" t="s">
        <v>90</v>
      </c>
      <c r="O894">
        <v>95</v>
      </c>
      <c r="P894">
        <v>0.48749999999999999</v>
      </c>
      <c r="Q894">
        <v>3.2500000000000001E-2</v>
      </c>
      <c r="R894">
        <v>77.5</v>
      </c>
      <c r="S894">
        <v>170</v>
      </c>
      <c r="T894">
        <v>50</v>
      </c>
      <c r="U894">
        <v>1812.1301775147931</v>
      </c>
      <c r="V894">
        <v>20</v>
      </c>
      <c r="W894">
        <v>0.95</v>
      </c>
      <c r="X894">
        <v>1</v>
      </c>
      <c r="Y894">
        <v>38264589.6770254</v>
      </c>
      <c r="Z894">
        <v>7652917935.4050808</v>
      </c>
      <c r="AA894">
        <v>30611671741.620319</v>
      </c>
      <c r="AB894">
        <v>30611671.741620321</v>
      </c>
      <c r="AC894">
        <v>0</v>
      </c>
      <c r="AD894">
        <v>79316.904501296289</v>
      </c>
      <c r="AE894">
        <v>35692607.025583327</v>
      </c>
      <c r="AF894">
        <v>1784630.3512791661</v>
      </c>
      <c r="AG894">
        <v>107.1684089133809</v>
      </c>
      <c r="AH894">
        <v>12252.48675452819</v>
      </c>
      <c r="AI894">
        <v>6126.2433772640961</v>
      </c>
      <c r="AJ894">
        <v>994879.33160266059</v>
      </c>
      <c r="AK894">
        <v>854.70085470085473</v>
      </c>
      <c r="AL894" t="s">
        <v>93</v>
      </c>
      <c r="AM894">
        <v>949567.72347593494</v>
      </c>
      <c r="AN894">
        <v>427024.32183404051</v>
      </c>
      <c r="AO894">
        <v>1041461.374134896</v>
      </c>
      <c r="AP894">
        <v>2372326.0777673372</v>
      </c>
      <c r="AQ894">
        <v>1330864.70363244</v>
      </c>
      <c r="AR894">
        <v>0.55747081231111117</v>
      </c>
      <c r="AS894">
        <v>9283.3265109569165</v>
      </c>
      <c r="AT894">
        <v>8860.5190009252165</v>
      </c>
      <c r="AU894">
        <v>3984.6100745900198</v>
      </c>
      <c r="AV894">
        <v>9717.9885816599162</v>
      </c>
      <c r="AW894">
        <v>22136.43089247293</v>
      </c>
      <c r="AX894">
        <v>12418.44231081302</v>
      </c>
      <c r="AY894">
        <v>57.164638715646561</v>
      </c>
      <c r="AZ894" t="s">
        <v>132</v>
      </c>
      <c r="BA894" t="str">
        <f>VLOOKUP($AZ894,Sheet1!$A$2:$B$58,2)</f>
        <v>Hexane</v>
      </c>
      <c r="BB894" t="s">
        <v>182</v>
      </c>
      <c r="BC894">
        <v>86.173959999999994</v>
      </c>
      <c r="BD894">
        <v>6.333333333333333</v>
      </c>
      <c r="BE894">
        <v>69</v>
      </c>
      <c r="BF894" t="s">
        <v>213</v>
      </c>
      <c r="BG894">
        <v>3.2189300518023489</v>
      </c>
      <c r="BH894">
        <v>0.162564102564102</v>
      </c>
      <c r="BI894">
        <v>0.23327770052279401</v>
      </c>
      <c r="BJ894">
        <v>80</v>
      </c>
      <c r="BK894">
        <v>118616.30388836681</v>
      </c>
      <c r="BL894">
        <v>66543.235181622018</v>
      </c>
      <c r="BM894">
        <v>303.09323881140239</v>
      </c>
      <c r="BN894">
        <v>51525.850597938414</v>
      </c>
      <c r="BO894">
        <v>67090.453290428413</v>
      </c>
    </row>
    <row r="895" spans="1:67" x14ac:dyDescent="0.25">
      <c r="A895" s="1">
        <v>893</v>
      </c>
      <c r="B895" t="s">
        <v>77</v>
      </c>
      <c r="C895" t="s">
        <v>86</v>
      </c>
      <c r="D895">
        <v>2</v>
      </c>
      <c r="E895">
        <v>4</v>
      </c>
      <c r="F895">
        <v>2</v>
      </c>
      <c r="G895">
        <v>60.050759999999997</v>
      </c>
      <c r="H895">
        <v>8</v>
      </c>
      <c r="I895" t="s">
        <v>89</v>
      </c>
      <c r="J895">
        <v>4</v>
      </c>
      <c r="K895">
        <v>20</v>
      </c>
      <c r="L895">
        <v>5</v>
      </c>
      <c r="N895" t="s">
        <v>90</v>
      </c>
      <c r="O895">
        <v>95</v>
      </c>
      <c r="P895">
        <v>0.48749999999999999</v>
      </c>
      <c r="Q895">
        <v>3.2500000000000001E-2</v>
      </c>
      <c r="R895">
        <v>77.5</v>
      </c>
      <c r="S895">
        <v>170</v>
      </c>
      <c r="T895">
        <v>50</v>
      </c>
      <c r="U895">
        <v>1812.1301775147931</v>
      </c>
      <c r="V895">
        <v>20</v>
      </c>
      <c r="W895">
        <v>0.95</v>
      </c>
      <c r="X895">
        <v>1</v>
      </c>
      <c r="Y895">
        <v>24894234.046263609</v>
      </c>
      <c r="Z895">
        <v>4978846809.2527227</v>
      </c>
      <c r="AA895">
        <v>19915387237.010891</v>
      </c>
      <c r="AB895">
        <v>19915387.237010889</v>
      </c>
      <c r="AC895">
        <v>0</v>
      </c>
      <c r="AD895">
        <v>51602.110492927823</v>
      </c>
      <c r="AE895">
        <v>23220949.72181752</v>
      </c>
      <c r="AF895">
        <v>1161047.4860908759</v>
      </c>
      <c r="AG895">
        <v>69.721783935846517</v>
      </c>
      <c r="AH895">
        <v>7971.241178606072</v>
      </c>
      <c r="AI895">
        <v>3985.620589303036</v>
      </c>
      <c r="AJ895">
        <v>647250.08520285401</v>
      </c>
      <c r="AK895">
        <v>854.70085470085473</v>
      </c>
      <c r="AL895" t="s">
        <v>93</v>
      </c>
      <c r="AM895">
        <v>617771.19134197058</v>
      </c>
      <c r="AN895">
        <v>277814.12268916267</v>
      </c>
      <c r="AO895">
        <v>677555.50018151617</v>
      </c>
      <c r="AP895">
        <v>1543690.1000886881</v>
      </c>
      <c r="AQ895">
        <v>866134.59990717191</v>
      </c>
      <c r="AR895">
        <v>0.55747081231111106</v>
      </c>
      <c r="AS895">
        <v>9283.3265109569147</v>
      </c>
      <c r="AT895">
        <v>8860.5190009252146</v>
      </c>
      <c r="AU895">
        <v>3984.6100745900189</v>
      </c>
      <c r="AV895">
        <v>9717.9885816599144</v>
      </c>
      <c r="AW895">
        <v>22140.71432120974</v>
      </c>
      <c r="AX895">
        <v>12422.725739549831</v>
      </c>
      <c r="AY895">
        <v>57.164638715646561</v>
      </c>
      <c r="AZ895" t="s">
        <v>133</v>
      </c>
      <c r="BA895" t="str">
        <f>VLOOKUP($AZ895,Sheet1!$A$2:$B$58,2)</f>
        <v>Isobutanol</v>
      </c>
      <c r="BB895" t="s">
        <v>183</v>
      </c>
      <c r="BC895">
        <v>86.130899999999997</v>
      </c>
      <c r="BD895">
        <v>5.6</v>
      </c>
      <c r="BE895">
        <v>108</v>
      </c>
      <c r="BF895" t="s">
        <v>213</v>
      </c>
      <c r="BG895">
        <v>2.0438657903261199</v>
      </c>
      <c r="BH895">
        <v>0.25</v>
      </c>
      <c r="BI895">
        <v>0.35856799107440201</v>
      </c>
      <c r="BJ895">
        <v>80</v>
      </c>
      <c r="BK895">
        <v>77184.50500443441</v>
      </c>
      <c r="BL895">
        <v>43306.729995358597</v>
      </c>
      <c r="BM895">
        <v>197.23716367482569</v>
      </c>
      <c r="BN895">
        <v>33530.317824720383</v>
      </c>
      <c r="BO895">
        <v>43654.187179714027</v>
      </c>
    </row>
    <row r="896" spans="1:67" x14ac:dyDescent="0.25">
      <c r="A896" s="1">
        <v>894</v>
      </c>
      <c r="B896" t="s">
        <v>77</v>
      </c>
      <c r="C896" t="s">
        <v>86</v>
      </c>
      <c r="D896">
        <v>2</v>
      </c>
      <c r="E896">
        <v>4</v>
      </c>
      <c r="F896">
        <v>2</v>
      </c>
      <c r="G896">
        <v>60.050759999999997</v>
      </c>
      <c r="H896">
        <v>8</v>
      </c>
      <c r="I896" t="s">
        <v>89</v>
      </c>
      <c r="J896">
        <v>4</v>
      </c>
      <c r="K896">
        <v>20</v>
      </c>
      <c r="L896">
        <v>5</v>
      </c>
      <c r="N896" t="s">
        <v>90</v>
      </c>
      <c r="O896">
        <v>95</v>
      </c>
      <c r="P896">
        <v>0.48749999999999999</v>
      </c>
      <c r="Q896">
        <v>3.2500000000000001E-2</v>
      </c>
      <c r="R896">
        <v>77.5</v>
      </c>
      <c r="S896">
        <v>170</v>
      </c>
      <c r="T896">
        <v>50</v>
      </c>
      <c r="U896">
        <v>1812.1301775147931</v>
      </c>
      <c r="V896">
        <v>20</v>
      </c>
      <c r="W896">
        <v>0.95</v>
      </c>
      <c r="X896">
        <v>1</v>
      </c>
      <c r="Y896">
        <v>20548011.365850881</v>
      </c>
      <c r="Z896">
        <v>4109602273.170176</v>
      </c>
      <c r="AA896">
        <v>16438409092.6807</v>
      </c>
      <c r="AB896">
        <v>16438409.0926807</v>
      </c>
      <c r="AC896">
        <v>0</v>
      </c>
      <c r="AD896">
        <v>42593.025796257331</v>
      </c>
      <c r="AE896">
        <v>19166861.608315799</v>
      </c>
      <c r="AF896">
        <v>958343.08041578997</v>
      </c>
      <c r="AG896">
        <v>57.549230319709302</v>
      </c>
      <c r="AH896">
        <v>6579.5619191794303</v>
      </c>
      <c r="AI896">
        <v>3289.7809595897152</v>
      </c>
      <c r="AJ896">
        <v>534248.29551212292</v>
      </c>
      <c r="AK896">
        <v>854.70085470085473</v>
      </c>
      <c r="AL896" t="s">
        <v>93</v>
      </c>
      <c r="AM896">
        <v>509916.04873640579</v>
      </c>
      <c r="AN896">
        <v>229311.24291681519</v>
      </c>
      <c r="AO896">
        <v>559262.76313025155</v>
      </c>
      <c r="AP896">
        <v>1274330.288020045</v>
      </c>
      <c r="AQ896">
        <v>715067.52488979325</v>
      </c>
      <c r="AR896">
        <v>0.55747081231111106</v>
      </c>
      <c r="AS896">
        <v>9283.3265109569147</v>
      </c>
      <c r="AT896">
        <v>8860.5190009252165</v>
      </c>
      <c r="AU896">
        <v>3984.6100745900198</v>
      </c>
      <c r="AV896">
        <v>9717.9885816599144</v>
      </c>
      <c r="AW896">
        <v>22143.307233487281</v>
      </c>
      <c r="AX896">
        <v>12425.318651827371</v>
      </c>
      <c r="AY896">
        <v>57.164638715646561</v>
      </c>
      <c r="AZ896" t="s">
        <v>134</v>
      </c>
      <c r="BA896" t="str">
        <f>VLOOKUP($AZ896,Sheet1!$A$2:$B$58,2)</f>
        <v>Isobutyrate</v>
      </c>
      <c r="BB896" t="s">
        <v>170</v>
      </c>
      <c r="BC896">
        <v>87.095680000000002</v>
      </c>
      <c r="BD896">
        <v>4.75</v>
      </c>
      <c r="BE896">
        <v>155</v>
      </c>
      <c r="BF896" t="s">
        <v>213</v>
      </c>
      <c r="BG896">
        <v>1.352839253221102</v>
      </c>
      <c r="BH896">
        <v>0.29952380952381003</v>
      </c>
      <c r="BI896">
        <v>0.43441067519261101</v>
      </c>
      <c r="BJ896">
        <v>80</v>
      </c>
      <c r="BK896">
        <v>63716.514401002241</v>
      </c>
      <c r="BL896">
        <v>35753.376244489657</v>
      </c>
      <c r="BM896">
        <v>163.1362087262647</v>
      </c>
      <c r="BN896">
        <v>27733.155483464991</v>
      </c>
      <c r="BO896">
        <v>35983.358917537247</v>
      </c>
    </row>
    <row r="897" spans="1:67" x14ac:dyDescent="0.25">
      <c r="A897" s="1">
        <v>895</v>
      </c>
      <c r="B897" t="s">
        <v>77</v>
      </c>
      <c r="C897" t="s">
        <v>86</v>
      </c>
      <c r="D897">
        <v>2</v>
      </c>
      <c r="E897">
        <v>4</v>
      </c>
      <c r="F897">
        <v>2</v>
      </c>
      <c r="G897">
        <v>60.050759999999997</v>
      </c>
      <c r="H897">
        <v>8</v>
      </c>
      <c r="I897" t="s">
        <v>89</v>
      </c>
      <c r="J897">
        <v>4</v>
      </c>
      <c r="K897">
        <v>20</v>
      </c>
      <c r="L897">
        <v>5</v>
      </c>
      <c r="N897" t="s">
        <v>90</v>
      </c>
      <c r="O897">
        <v>95</v>
      </c>
      <c r="P897">
        <v>0.48749999999999999</v>
      </c>
      <c r="Q897">
        <v>3.2500000000000001E-2</v>
      </c>
      <c r="R897">
        <v>77.5</v>
      </c>
      <c r="S897">
        <v>170</v>
      </c>
      <c r="T897">
        <v>50</v>
      </c>
      <c r="U897">
        <v>1812.1301775147931</v>
      </c>
      <c r="V897">
        <v>20</v>
      </c>
      <c r="W897">
        <v>0.95</v>
      </c>
      <c r="X897">
        <v>1</v>
      </c>
      <c r="Y897">
        <v>36787123.714398563</v>
      </c>
      <c r="Z897">
        <v>7357424742.8797102</v>
      </c>
      <c r="AA897">
        <v>29429698971.518841</v>
      </c>
      <c r="AB897">
        <v>29429698.971518841</v>
      </c>
      <c r="AC897">
        <v>66773.504273504266</v>
      </c>
      <c r="AD897">
        <v>76254.333397026712</v>
      </c>
      <c r="AE897">
        <v>34314450.028662018</v>
      </c>
      <c r="AF897">
        <v>1715722.501433101</v>
      </c>
      <c r="AG897">
        <v>103.0304401601588</v>
      </c>
      <c r="AH897">
        <v>11779.39577693904</v>
      </c>
      <c r="AI897">
        <v>5889.6978884695209</v>
      </c>
      <c r="AJ897">
        <v>956465.21657436236</v>
      </c>
      <c r="AK897">
        <v>2170.1388888888891</v>
      </c>
      <c r="AL897" t="s">
        <v>95</v>
      </c>
      <c r="AM897">
        <v>912903.17271277576</v>
      </c>
      <c r="AN897">
        <v>410536.12985161308</v>
      </c>
      <c r="AO897">
        <v>1001248.641039819</v>
      </c>
      <c r="AP897">
        <v>2282074.6580276401</v>
      </c>
      <c r="AQ897">
        <v>1280826.016987822</v>
      </c>
      <c r="AR897">
        <v>0.55747081231111117</v>
      </c>
      <c r="AS897">
        <v>9283.3265109569165</v>
      </c>
      <c r="AT897">
        <v>8860.5190009252183</v>
      </c>
      <c r="AU897">
        <v>3984.6100745900212</v>
      </c>
      <c r="AV897">
        <v>9717.9885816599162</v>
      </c>
      <c r="AW897">
        <v>22149.518671182999</v>
      </c>
      <c r="AX897">
        <v>12431.530089523079</v>
      </c>
      <c r="AY897">
        <v>57.164638715646568</v>
      </c>
      <c r="AZ897" t="s">
        <v>135</v>
      </c>
      <c r="BA897" t="str">
        <f>VLOOKUP($AZ897,Sheet1!$A$2:$B$58,2)</f>
        <v>Isoprene</v>
      </c>
      <c r="BB897" t="s">
        <v>184</v>
      </c>
      <c r="BC897">
        <v>68.116219999999998</v>
      </c>
      <c r="BD897">
        <v>5.6</v>
      </c>
      <c r="BE897">
        <v>34.07</v>
      </c>
      <c r="BF897" t="s">
        <v>213</v>
      </c>
      <c r="BG897">
        <v>2.8100829563150418</v>
      </c>
      <c r="BH897">
        <v>0.21392</v>
      </c>
      <c r="BI897">
        <v>0.242646735868914</v>
      </c>
      <c r="BJ897">
        <v>80</v>
      </c>
      <c r="BK897">
        <v>114103.732901382</v>
      </c>
      <c r="BL897">
        <v>64041.300849391067</v>
      </c>
      <c r="BM897">
        <v>291.67481146716102</v>
      </c>
      <c r="BN897">
        <v>49584.717949417383</v>
      </c>
      <c r="BO897">
        <v>64519.014951964607</v>
      </c>
    </row>
    <row r="898" spans="1:67" x14ac:dyDescent="0.25">
      <c r="A898" s="1">
        <v>896</v>
      </c>
      <c r="B898" t="s">
        <v>77</v>
      </c>
      <c r="C898" t="s">
        <v>86</v>
      </c>
      <c r="D898">
        <v>2</v>
      </c>
      <c r="E898">
        <v>4</v>
      </c>
      <c r="F898">
        <v>2</v>
      </c>
      <c r="G898">
        <v>60.050759999999997</v>
      </c>
      <c r="H898">
        <v>8</v>
      </c>
      <c r="I898" t="s">
        <v>89</v>
      </c>
      <c r="J898">
        <v>4</v>
      </c>
      <c r="K898">
        <v>20</v>
      </c>
      <c r="L898">
        <v>5</v>
      </c>
      <c r="N898" t="s">
        <v>90</v>
      </c>
      <c r="O898">
        <v>95</v>
      </c>
      <c r="P898">
        <v>0.48749999999999999</v>
      </c>
      <c r="Q898">
        <v>3.2500000000000001E-2</v>
      </c>
      <c r="R898">
        <v>77.5</v>
      </c>
      <c r="S898">
        <v>170</v>
      </c>
      <c r="T898">
        <v>50</v>
      </c>
      <c r="U898">
        <v>1812.1301775147931</v>
      </c>
      <c r="V898">
        <v>20</v>
      </c>
      <c r="W898">
        <v>0.95</v>
      </c>
      <c r="X898">
        <v>1</v>
      </c>
      <c r="Y898">
        <v>26954864.795410339</v>
      </c>
      <c r="Z898">
        <v>5390972959.0820684</v>
      </c>
      <c r="AA898">
        <v>21563891836.32827</v>
      </c>
      <c r="AB898">
        <v>21563891.836328279</v>
      </c>
      <c r="AC898">
        <v>0</v>
      </c>
      <c r="AD898">
        <v>55873.497007772348</v>
      </c>
      <c r="AE898">
        <v>25143073.653497562</v>
      </c>
      <c r="AF898">
        <v>1257153.682674878</v>
      </c>
      <c r="AG898">
        <v>75.49303408142525</v>
      </c>
      <c r="AH898">
        <v>8631.0640376253341</v>
      </c>
      <c r="AI898">
        <v>4315.532018812667</v>
      </c>
      <c r="AJ898">
        <v>700826.48468066903</v>
      </c>
      <c r="AK898">
        <v>854.70085470085473</v>
      </c>
      <c r="AL898" t="s">
        <v>93</v>
      </c>
      <c r="AM898">
        <v>668907.46291596338</v>
      </c>
      <c r="AN898">
        <v>300810.3041622148</v>
      </c>
      <c r="AO898">
        <v>733640.4431981534</v>
      </c>
      <c r="AP898">
        <v>1671398.9526135479</v>
      </c>
      <c r="AQ898">
        <v>937758.50941539451</v>
      </c>
      <c r="AR898">
        <v>0.55747081231111106</v>
      </c>
      <c r="AS898">
        <v>9283.3265109569147</v>
      </c>
      <c r="AT898">
        <v>8860.5190009252146</v>
      </c>
      <c r="AU898">
        <v>3984.6100745900189</v>
      </c>
      <c r="AV898">
        <v>9717.9885816599144</v>
      </c>
      <c r="AW898">
        <v>22139.777172166789</v>
      </c>
      <c r="AX898">
        <v>12421.788590506871</v>
      </c>
      <c r="AY898">
        <v>57.164638715646561</v>
      </c>
      <c r="AZ898" t="s">
        <v>136</v>
      </c>
      <c r="BA898" t="str">
        <f>VLOOKUP($AZ898,Sheet1!$A$2:$B$58,2)</f>
        <v>Isopropanol</v>
      </c>
      <c r="BB898" t="s">
        <v>156</v>
      </c>
      <c r="BC898">
        <v>60.093820000000001</v>
      </c>
      <c r="BD898">
        <v>6</v>
      </c>
      <c r="BE898">
        <v>82.5</v>
      </c>
      <c r="BF898" t="s">
        <v>213</v>
      </c>
      <c r="BG898">
        <v>2.2290307672059528</v>
      </c>
      <c r="BH898">
        <v>0.33092592592592601</v>
      </c>
      <c r="BI898">
        <v>0.33115638156807298</v>
      </c>
      <c r="BJ898">
        <v>80</v>
      </c>
      <c r="BK898">
        <v>83569.947630677387</v>
      </c>
      <c r="BL898">
        <v>46887.925470769733</v>
      </c>
      <c r="BM898">
        <v>213.5475701734274</v>
      </c>
      <c r="BN898">
        <v>36303.086929482663</v>
      </c>
      <c r="BO898">
        <v>47266.860701194732</v>
      </c>
    </row>
    <row r="899" spans="1:67" x14ac:dyDescent="0.25">
      <c r="A899" s="1">
        <v>897</v>
      </c>
      <c r="B899" t="s">
        <v>77</v>
      </c>
      <c r="C899" t="s">
        <v>86</v>
      </c>
      <c r="D899">
        <v>2</v>
      </c>
      <c r="E899">
        <v>4</v>
      </c>
      <c r="F899">
        <v>2</v>
      </c>
      <c r="G899">
        <v>60.050759999999997</v>
      </c>
      <c r="H899">
        <v>8</v>
      </c>
      <c r="I899" t="s">
        <v>89</v>
      </c>
      <c r="J899">
        <v>4</v>
      </c>
      <c r="K899">
        <v>20</v>
      </c>
      <c r="L899">
        <v>5</v>
      </c>
      <c r="N899" t="s">
        <v>90</v>
      </c>
      <c r="O899">
        <v>95</v>
      </c>
      <c r="P899">
        <v>0.48749999999999999</v>
      </c>
      <c r="Q899">
        <v>3.2500000000000001E-2</v>
      </c>
      <c r="R899">
        <v>77.5</v>
      </c>
      <c r="S899">
        <v>170</v>
      </c>
      <c r="T899">
        <v>50</v>
      </c>
      <c r="U899">
        <v>1812.1301775147931</v>
      </c>
      <c r="V899">
        <v>20</v>
      </c>
      <c r="W899">
        <v>0.95</v>
      </c>
      <c r="X899">
        <v>1</v>
      </c>
      <c r="Y899">
        <v>13583665.182740681</v>
      </c>
      <c r="Z899">
        <v>2716733036.5481362</v>
      </c>
      <c r="AA899">
        <v>10866932146.192539</v>
      </c>
      <c r="AB899">
        <v>10866932.146192551</v>
      </c>
      <c r="AC899">
        <v>0</v>
      </c>
      <c r="AD899">
        <v>28156.953548202309</v>
      </c>
      <c r="AE899">
        <v>12670629.09669104</v>
      </c>
      <c r="AF899">
        <v>633531.45483455202</v>
      </c>
      <c r="AG899">
        <v>38.044045346720523</v>
      </c>
      <c r="AH899">
        <v>4349.5482150539074</v>
      </c>
      <c r="AI899">
        <v>2174.7741075269541</v>
      </c>
      <c r="AJ899">
        <v>353175.29475125781</v>
      </c>
      <c r="AK899">
        <v>854.70085470085473</v>
      </c>
      <c r="AL899" t="s">
        <v>93</v>
      </c>
      <c r="AM899">
        <v>337089.98666667781</v>
      </c>
      <c r="AN899">
        <v>151590.6863667022</v>
      </c>
      <c r="AO899">
        <v>369711.5982795821</v>
      </c>
      <c r="AP899">
        <v>842710.66863933869</v>
      </c>
      <c r="AQ899">
        <v>472999.07035975659</v>
      </c>
      <c r="AR899">
        <v>0.55747081231111117</v>
      </c>
      <c r="AS899">
        <v>9283.3265109569165</v>
      </c>
      <c r="AT899">
        <v>8860.5190009252183</v>
      </c>
      <c r="AU899">
        <v>3984.6100745900212</v>
      </c>
      <c r="AV899">
        <v>9717.9885816599162</v>
      </c>
      <c r="AW899">
        <v>22150.921674053308</v>
      </c>
      <c r="AX899">
        <v>12432.933092393399</v>
      </c>
      <c r="AY899">
        <v>57.164638715646568</v>
      </c>
      <c r="AZ899" t="s">
        <v>137</v>
      </c>
      <c r="BA899" t="str">
        <f>VLOOKUP($AZ899,Sheet1!$A$2:$B$58,2)</f>
        <v>Itaconate</v>
      </c>
      <c r="BB899" t="s">
        <v>185</v>
      </c>
      <c r="BC899">
        <v>128.08086</v>
      </c>
      <c r="BD899">
        <v>3.2</v>
      </c>
      <c r="BE899">
        <v>381</v>
      </c>
      <c r="BF899" t="s">
        <v>213</v>
      </c>
      <c r="BG899">
        <v>0.51243619106716143</v>
      </c>
      <c r="BH899">
        <v>0.308103448275862</v>
      </c>
      <c r="BI899">
        <v>0.65713306174878305</v>
      </c>
      <c r="BJ899">
        <v>80</v>
      </c>
      <c r="BK899">
        <v>42135.533431966927</v>
      </c>
      <c r="BL899">
        <v>23649.953517987829</v>
      </c>
      <c r="BM899">
        <v>108.2262691852805</v>
      </c>
      <c r="BN899">
        <v>18398.46576149769</v>
      </c>
      <c r="BO899">
        <v>23737.067670469241</v>
      </c>
    </row>
    <row r="900" spans="1:67" x14ac:dyDescent="0.25">
      <c r="A900" s="1">
        <v>898</v>
      </c>
      <c r="B900" t="s">
        <v>77</v>
      </c>
      <c r="C900" t="s">
        <v>86</v>
      </c>
      <c r="D900">
        <v>2</v>
      </c>
      <c r="E900">
        <v>4</v>
      </c>
      <c r="F900">
        <v>2</v>
      </c>
      <c r="G900">
        <v>60.050759999999997</v>
      </c>
      <c r="H900">
        <v>8</v>
      </c>
      <c r="I900" t="s">
        <v>89</v>
      </c>
      <c r="J900">
        <v>4</v>
      </c>
      <c r="K900">
        <v>20</v>
      </c>
      <c r="L900">
        <v>5</v>
      </c>
      <c r="N900" t="s">
        <v>90</v>
      </c>
      <c r="O900">
        <v>95</v>
      </c>
      <c r="P900">
        <v>0.48749999999999999</v>
      </c>
      <c r="Q900">
        <v>3.2500000000000001E-2</v>
      </c>
      <c r="R900">
        <v>77.5</v>
      </c>
      <c r="S900">
        <v>170</v>
      </c>
      <c r="T900">
        <v>50</v>
      </c>
      <c r="U900">
        <v>1812.1301775147931</v>
      </c>
      <c r="V900">
        <v>20</v>
      </c>
      <c r="W900">
        <v>0.95</v>
      </c>
      <c r="X900">
        <v>1</v>
      </c>
      <c r="Y900">
        <v>36724340.356592663</v>
      </c>
      <c r="Z900">
        <v>7344868071.318531</v>
      </c>
      <c r="AA900">
        <v>29379472285.27412</v>
      </c>
      <c r="AB900">
        <v>29379472.285274129</v>
      </c>
      <c r="AC900">
        <v>0</v>
      </c>
      <c r="AD900">
        <v>76124.192668029151</v>
      </c>
      <c r="AE900">
        <v>34255886.700613119</v>
      </c>
      <c r="AF900">
        <v>1712794.3350306561</v>
      </c>
      <c r="AG900">
        <v>102.85460154228549</v>
      </c>
      <c r="AH900">
        <v>11759.29227481307</v>
      </c>
      <c r="AI900">
        <v>5879.6461374065339</v>
      </c>
      <c r="AJ900">
        <v>954832.8492714091</v>
      </c>
      <c r="AK900">
        <v>854.70085470085473</v>
      </c>
      <c r="AL900" t="s">
        <v>93</v>
      </c>
      <c r="AM900">
        <v>911345.1512980127</v>
      </c>
      <c r="AN900">
        <v>409835.48152333312</v>
      </c>
      <c r="AO900">
        <v>999539.84335911076</v>
      </c>
      <c r="AP900">
        <v>2276868.1829474559</v>
      </c>
      <c r="AQ900">
        <v>1277328.339588345</v>
      </c>
      <c r="AR900">
        <v>0.55747081231111106</v>
      </c>
      <c r="AS900">
        <v>9283.3265109569147</v>
      </c>
      <c r="AT900">
        <v>8860.5190009252146</v>
      </c>
      <c r="AU900">
        <v>3984.6100745900189</v>
      </c>
      <c r="AV900">
        <v>9717.9885816599144</v>
      </c>
      <c r="AW900">
        <v>22136.765383427119</v>
      </c>
      <c r="AX900">
        <v>12418.77680176721</v>
      </c>
      <c r="AY900">
        <v>57.164638715646547</v>
      </c>
      <c r="AZ900" t="s">
        <v>138</v>
      </c>
      <c r="BA900" t="str">
        <f>VLOOKUP($AZ900,Sheet1!$A$2:$B$58,2)</f>
        <v>Limonene</v>
      </c>
      <c r="BB900" t="s">
        <v>186</v>
      </c>
      <c r="BC900">
        <v>136.23244</v>
      </c>
      <c r="BD900">
        <v>5.6</v>
      </c>
      <c r="BE900">
        <v>176</v>
      </c>
      <c r="BF900" t="s">
        <v>213</v>
      </c>
      <c r="BG900">
        <v>2.7997736809235758</v>
      </c>
      <c r="BH900">
        <v>0.107142857142857</v>
      </c>
      <c r="BI900">
        <v>0.24306156093290601</v>
      </c>
      <c r="BJ900">
        <v>80</v>
      </c>
      <c r="BK900">
        <v>113843.4091473728</v>
      </c>
      <c r="BL900">
        <v>63866.416979417249</v>
      </c>
      <c r="BM900">
        <v>291.1825331894031</v>
      </c>
      <c r="BN900">
        <v>49501.03064219853</v>
      </c>
      <c r="BO900">
        <v>64342.378505174267</v>
      </c>
    </row>
    <row r="901" spans="1:67" x14ac:dyDescent="0.25">
      <c r="A901" s="1">
        <v>899</v>
      </c>
      <c r="B901" t="s">
        <v>77</v>
      </c>
      <c r="C901" t="s">
        <v>86</v>
      </c>
      <c r="D901">
        <v>2</v>
      </c>
      <c r="E901">
        <v>4</v>
      </c>
      <c r="F901">
        <v>2</v>
      </c>
      <c r="G901">
        <v>60.050759999999997</v>
      </c>
      <c r="H901">
        <v>8</v>
      </c>
      <c r="I901" t="s">
        <v>89</v>
      </c>
      <c r="J901">
        <v>4</v>
      </c>
      <c r="K901">
        <v>20</v>
      </c>
      <c r="L901">
        <v>5</v>
      </c>
      <c r="N901" t="s">
        <v>90</v>
      </c>
      <c r="O901">
        <v>95</v>
      </c>
      <c r="P901">
        <v>0.48749999999999999</v>
      </c>
      <c r="Q901">
        <v>3.2500000000000001E-2</v>
      </c>
      <c r="R901">
        <v>77.5</v>
      </c>
      <c r="S901">
        <v>170</v>
      </c>
      <c r="T901">
        <v>50</v>
      </c>
      <c r="U901">
        <v>1812.1301775147931</v>
      </c>
      <c r="V901">
        <v>20</v>
      </c>
      <c r="W901">
        <v>0.95</v>
      </c>
      <c r="X901">
        <v>1</v>
      </c>
      <c r="Y901">
        <v>17854285.16123113</v>
      </c>
      <c r="Z901">
        <v>3570857032.2462268</v>
      </c>
      <c r="AA901">
        <v>14283428128.984909</v>
      </c>
      <c r="AB901">
        <v>14283428.12898491</v>
      </c>
      <c r="AC901">
        <v>0</v>
      </c>
      <c r="AD901">
        <v>37009.324888241397</v>
      </c>
      <c r="AE901">
        <v>16654196.199708629</v>
      </c>
      <c r="AF901">
        <v>832709.80998543161</v>
      </c>
      <c r="AG901">
        <v>50.004856949080761</v>
      </c>
      <c r="AH901">
        <v>5717.0191630435793</v>
      </c>
      <c r="AI901">
        <v>2858.5095815217901</v>
      </c>
      <c r="AJ901">
        <v>464211.41419200948</v>
      </c>
      <c r="AK901">
        <v>854.70085470085473</v>
      </c>
      <c r="AL901" t="s">
        <v>93</v>
      </c>
      <c r="AM901">
        <v>443068.98513587739</v>
      </c>
      <c r="AN901">
        <v>199249.85677773989</v>
      </c>
      <c r="AO901">
        <v>485946.62885870418</v>
      </c>
      <c r="AP901">
        <v>1107384.9569603279</v>
      </c>
      <c r="AQ901">
        <v>621438.32810162345</v>
      </c>
      <c r="AR901">
        <v>0.55747081231111106</v>
      </c>
      <c r="AS901">
        <v>9283.3265109569147</v>
      </c>
      <c r="AT901">
        <v>8860.5190009252165</v>
      </c>
      <c r="AU901">
        <v>3984.6100745900198</v>
      </c>
      <c r="AV901">
        <v>9717.9885816599144</v>
      </c>
      <c r="AW901">
        <v>22145.547943232039</v>
      </c>
      <c r="AX901">
        <v>12427.559361572121</v>
      </c>
      <c r="AY901">
        <v>57.164638715646547</v>
      </c>
      <c r="AZ901" t="s">
        <v>139</v>
      </c>
      <c r="BA901" t="str">
        <f>VLOOKUP($AZ901,Sheet1!$A$2:$B$58,2)</f>
        <v>L-Lysine</v>
      </c>
      <c r="BB901" t="s">
        <v>187</v>
      </c>
      <c r="BC901">
        <v>147.19319999999999</v>
      </c>
      <c r="BD901">
        <v>4.833333333333333</v>
      </c>
      <c r="BF901" t="s">
        <v>213</v>
      </c>
      <c r="BG901">
        <v>1.137775417711385</v>
      </c>
      <c r="BH901">
        <v>0.20397058823529399</v>
      </c>
      <c r="BI901">
        <v>0.49995143522672503</v>
      </c>
      <c r="BJ901">
        <v>80</v>
      </c>
      <c r="BK901">
        <v>55369.247848016377</v>
      </c>
      <c r="BL901">
        <v>31071.916405081171</v>
      </c>
      <c r="BM901">
        <v>141.78770365837809</v>
      </c>
      <c r="BN901">
        <v>24103.909621924271</v>
      </c>
      <c r="BO901">
        <v>31265.33822609211</v>
      </c>
    </row>
    <row r="902" spans="1:67" x14ac:dyDescent="0.25">
      <c r="A902" s="1">
        <v>900</v>
      </c>
      <c r="B902" t="s">
        <v>77</v>
      </c>
      <c r="C902" t="s">
        <v>86</v>
      </c>
      <c r="D902">
        <v>2</v>
      </c>
      <c r="E902">
        <v>4</v>
      </c>
      <c r="F902">
        <v>2</v>
      </c>
      <c r="G902">
        <v>60.050759999999997</v>
      </c>
      <c r="H902">
        <v>8</v>
      </c>
      <c r="I902" t="s">
        <v>89</v>
      </c>
      <c r="J902">
        <v>4</v>
      </c>
      <c r="K902">
        <v>20</v>
      </c>
      <c r="L902">
        <v>5</v>
      </c>
      <c r="N902" t="s">
        <v>90</v>
      </c>
      <c r="O902">
        <v>95</v>
      </c>
      <c r="P902">
        <v>0.48749999999999999</v>
      </c>
      <c r="Q902">
        <v>3.2500000000000001E-2</v>
      </c>
      <c r="R902">
        <v>77.5</v>
      </c>
      <c r="S902">
        <v>170</v>
      </c>
      <c r="T902">
        <v>50</v>
      </c>
      <c r="U902">
        <v>1812.1301775147931</v>
      </c>
      <c r="V902">
        <v>20</v>
      </c>
      <c r="W902">
        <v>0.95</v>
      </c>
      <c r="X902">
        <v>1</v>
      </c>
      <c r="Y902">
        <v>8339974.9383460591</v>
      </c>
      <c r="Z902">
        <v>1667994987.6692121</v>
      </c>
      <c r="AA902">
        <v>6671979950.6768475</v>
      </c>
      <c r="AB902">
        <v>6671979.9506768463</v>
      </c>
      <c r="AC902">
        <v>0</v>
      </c>
      <c r="AD902">
        <v>17287.549698335672</v>
      </c>
      <c r="AE902">
        <v>7779397.364251053</v>
      </c>
      <c r="AF902">
        <v>388969.86821255268</v>
      </c>
      <c r="AG902">
        <v>23.35793620326363</v>
      </c>
      <c r="AH902">
        <v>2670.495968405372</v>
      </c>
      <c r="AI902">
        <v>1335.247984202686</v>
      </c>
      <c r="AJ902">
        <v>216839.34839699749</v>
      </c>
      <c r="AK902">
        <v>854.70085470085473</v>
      </c>
      <c r="AL902" t="s">
        <v>93</v>
      </c>
      <c r="AM902">
        <v>206963.4375514164</v>
      </c>
      <c r="AN902">
        <v>93072.267917155215</v>
      </c>
      <c r="AO902">
        <v>226992.15731445671</v>
      </c>
      <c r="AP902">
        <v>517729.75472026999</v>
      </c>
      <c r="AQ902">
        <v>290737.59740581329</v>
      </c>
      <c r="AR902">
        <v>0.55747081231111095</v>
      </c>
      <c r="AS902">
        <v>9283.3265109569129</v>
      </c>
      <c r="AT902">
        <v>8860.5190009252146</v>
      </c>
      <c r="AU902">
        <v>3984.6100745900198</v>
      </c>
      <c r="AV902">
        <v>9717.9885816599126</v>
      </c>
      <c r="AW902">
        <v>22165.047040754031</v>
      </c>
      <c r="AX902">
        <v>12447.05845909412</v>
      </c>
      <c r="AY902">
        <v>57.164638715646547</v>
      </c>
      <c r="AZ902" t="s">
        <v>140</v>
      </c>
      <c r="BA902" t="str">
        <f>VLOOKUP($AZ902,Sheet1!$A$2:$B$58,2)</f>
        <v>L-Malate</v>
      </c>
      <c r="BB902" t="s">
        <v>188</v>
      </c>
      <c r="BC902">
        <v>132.06916000000001</v>
      </c>
      <c r="BD902">
        <v>2.5</v>
      </c>
      <c r="BF902" t="s">
        <v>213</v>
      </c>
      <c r="BG902">
        <v>3.6518848901819133E-2</v>
      </c>
      <c r="BH902">
        <v>0.48666666666666702</v>
      </c>
      <c r="BI902">
        <v>1.07030003774507</v>
      </c>
      <c r="BJ902">
        <v>80</v>
      </c>
      <c r="BK902">
        <v>25886.4877360135</v>
      </c>
      <c r="BL902">
        <v>14536.879870290661</v>
      </c>
      <c r="BM902">
        <v>66.725880361232484</v>
      </c>
      <c r="BN902">
        <v>11343.399661409519</v>
      </c>
      <c r="BO902">
        <v>14543.088074603969</v>
      </c>
    </row>
    <row r="903" spans="1:67" x14ac:dyDescent="0.25">
      <c r="A903" s="1">
        <v>901</v>
      </c>
      <c r="B903" t="s">
        <v>77</v>
      </c>
      <c r="C903" t="s">
        <v>86</v>
      </c>
      <c r="D903">
        <v>2</v>
      </c>
      <c r="E903">
        <v>4</v>
      </c>
      <c r="F903">
        <v>2</v>
      </c>
      <c r="G903">
        <v>60.050759999999997</v>
      </c>
      <c r="H903">
        <v>8</v>
      </c>
      <c r="I903" t="s">
        <v>89</v>
      </c>
      <c r="J903">
        <v>4</v>
      </c>
      <c r="K903">
        <v>20</v>
      </c>
      <c r="L903">
        <v>5</v>
      </c>
      <c r="N903" t="s">
        <v>90</v>
      </c>
      <c r="O903">
        <v>95</v>
      </c>
      <c r="P903">
        <v>0.48749999999999999</v>
      </c>
      <c r="Q903">
        <v>3.2500000000000001E-2</v>
      </c>
      <c r="R903">
        <v>77.5</v>
      </c>
      <c r="S903">
        <v>170</v>
      </c>
      <c r="T903">
        <v>50</v>
      </c>
      <c r="U903">
        <v>1812.1301775147931</v>
      </c>
      <c r="V903">
        <v>20</v>
      </c>
      <c r="W903">
        <v>0.95</v>
      </c>
      <c r="X903">
        <v>1</v>
      </c>
      <c r="Y903">
        <v>8432057.947052056</v>
      </c>
      <c r="Z903">
        <v>1686411589.4104109</v>
      </c>
      <c r="AA903">
        <v>6745646357.6416435</v>
      </c>
      <c r="AB903">
        <v>6745646.3576416448</v>
      </c>
      <c r="AC903">
        <v>0</v>
      </c>
      <c r="AD903">
        <v>17478.424323396939</v>
      </c>
      <c r="AE903">
        <v>7865290.9455286246</v>
      </c>
      <c r="AF903">
        <v>393264.54727643123</v>
      </c>
      <c r="AG903">
        <v>23.615834945005631</v>
      </c>
      <c r="AH903">
        <v>2699.9813451991749</v>
      </c>
      <c r="AI903">
        <v>1349.990672599587</v>
      </c>
      <c r="AJ903">
        <v>219233.50662335349</v>
      </c>
      <c r="AK903">
        <v>854.70085470085473</v>
      </c>
      <c r="AL903" t="s">
        <v>93</v>
      </c>
      <c r="AM903">
        <v>209248.5542529361</v>
      </c>
      <c r="AN903">
        <v>94099.89384172445</v>
      </c>
      <c r="AO903">
        <v>229498.41434192989</v>
      </c>
      <c r="AP903">
        <v>523436.65557271481</v>
      </c>
      <c r="AQ903">
        <v>293938.24123078492</v>
      </c>
      <c r="AR903">
        <v>0.55747081231111106</v>
      </c>
      <c r="AS903">
        <v>9283.3265109569147</v>
      </c>
      <c r="AT903">
        <v>8860.5190009252165</v>
      </c>
      <c r="AU903">
        <v>3984.6100745900189</v>
      </c>
      <c r="AV903">
        <v>9717.9885816599144</v>
      </c>
      <c r="AW903">
        <v>22164.64744065352</v>
      </c>
      <c r="AX903">
        <v>12446.6588589936</v>
      </c>
      <c r="AY903">
        <v>57.164638715646547</v>
      </c>
      <c r="AZ903" t="s">
        <v>141</v>
      </c>
      <c r="BA903" t="str">
        <f>VLOOKUP($AZ903,Sheet1!$A$2:$B$58,2)</f>
        <v>Malonate</v>
      </c>
      <c r="BB903" t="s">
        <v>189</v>
      </c>
      <c r="BC903">
        <v>102.04378</v>
      </c>
      <c r="BD903">
        <v>2</v>
      </c>
      <c r="BE903">
        <v>199</v>
      </c>
      <c r="BF903" t="s">
        <v>213</v>
      </c>
      <c r="BG903">
        <v>9.0720806408204818E-2</v>
      </c>
      <c r="BH903">
        <v>0.62298507462686603</v>
      </c>
      <c r="BI903">
        <v>1.05861173480496</v>
      </c>
      <c r="BJ903">
        <v>80</v>
      </c>
      <c r="BK903">
        <v>26171.83277863574</v>
      </c>
      <c r="BL903">
        <v>14696.912061539249</v>
      </c>
      <c r="BM903">
        <v>67.408812823571168</v>
      </c>
      <c r="BN903">
        <v>11459.4981800071</v>
      </c>
      <c r="BO903">
        <v>14712.33459862864</v>
      </c>
    </row>
    <row r="904" spans="1:67" x14ac:dyDescent="0.25">
      <c r="A904" s="1">
        <v>902</v>
      </c>
      <c r="B904" t="s">
        <v>77</v>
      </c>
      <c r="C904" t="s">
        <v>86</v>
      </c>
      <c r="D904">
        <v>2</v>
      </c>
      <c r="E904">
        <v>4</v>
      </c>
      <c r="F904">
        <v>2</v>
      </c>
      <c r="G904">
        <v>60.050759999999997</v>
      </c>
      <c r="H904">
        <v>8</v>
      </c>
      <c r="I904" t="s">
        <v>89</v>
      </c>
      <c r="J904">
        <v>4</v>
      </c>
      <c r="K904">
        <v>20</v>
      </c>
      <c r="L904">
        <v>5</v>
      </c>
      <c r="N904" t="s">
        <v>90</v>
      </c>
      <c r="O904">
        <v>95</v>
      </c>
      <c r="P904">
        <v>0.48749999999999999</v>
      </c>
      <c r="Q904">
        <v>3.2500000000000001E-2</v>
      </c>
      <c r="R904">
        <v>77.5</v>
      </c>
      <c r="S904">
        <v>170</v>
      </c>
      <c r="T904">
        <v>50</v>
      </c>
      <c r="U904">
        <v>1812.1301775147931</v>
      </c>
      <c r="V904">
        <v>20</v>
      </c>
      <c r="W904">
        <v>0.95</v>
      </c>
      <c r="X904">
        <v>1</v>
      </c>
      <c r="Y904">
        <v>39009166.204708472</v>
      </c>
      <c r="Z904">
        <v>7801833240.9416943</v>
      </c>
      <c r="AA904">
        <v>31207332963.766781</v>
      </c>
      <c r="AB904">
        <v>31207332.96376678</v>
      </c>
      <c r="AC904">
        <v>0</v>
      </c>
      <c r="AD904">
        <v>80860.302871398337</v>
      </c>
      <c r="AE904">
        <v>36387136.292129248</v>
      </c>
      <c r="AF904">
        <v>1819356.8146064619</v>
      </c>
      <c r="AG904">
        <v>109.2537594282972</v>
      </c>
      <c r="AH904">
        <v>12490.90337208954</v>
      </c>
      <c r="AI904">
        <v>6245.451686044772</v>
      </c>
      <c r="AJ904">
        <v>1014238.32132242</v>
      </c>
      <c r="AK904">
        <v>854.70085470085473</v>
      </c>
      <c r="AL904" t="s">
        <v>93</v>
      </c>
      <c r="AM904">
        <v>968045.01133693964</v>
      </c>
      <c r="AN904">
        <v>435333.63050482742</v>
      </c>
      <c r="AO904">
        <v>1061726.7866276109</v>
      </c>
      <c r="AP904">
        <v>2418471.664018888</v>
      </c>
      <c r="AQ904">
        <v>1356744.8773912771</v>
      </c>
      <c r="AR904">
        <v>0.55747081231111117</v>
      </c>
      <c r="AS904">
        <v>9283.3265109569165</v>
      </c>
      <c r="AT904">
        <v>8860.5190009252165</v>
      </c>
      <c r="AU904">
        <v>3984.6100745900212</v>
      </c>
      <c r="AV904">
        <v>9717.9885816599162</v>
      </c>
      <c r="AW904">
        <v>22136.27866605471</v>
      </c>
      <c r="AX904">
        <v>12418.290084394799</v>
      </c>
      <c r="AY904">
        <v>57.164638715646568</v>
      </c>
      <c r="AZ904" t="s">
        <v>142</v>
      </c>
      <c r="BA904" t="str">
        <f>VLOOKUP($AZ904,Sheet1!$A$2:$B$58,2)</f>
        <v>Nonane</v>
      </c>
      <c r="BB904" t="s">
        <v>190</v>
      </c>
      <c r="BC904">
        <v>128.25309999999999</v>
      </c>
      <c r="BD904">
        <v>6.2222222222222223</v>
      </c>
      <c r="BE904">
        <v>151</v>
      </c>
      <c r="BF904" t="s">
        <v>213</v>
      </c>
      <c r="BG904">
        <v>3.3171128027314918</v>
      </c>
      <c r="BH904">
        <v>0.107142857142857</v>
      </c>
      <c r="BI904">
        <v>0.228825077789725</v>
      </c>
      <c r="BJ904">
        <v>80</v>
      </c>
      <c r="BK904">
        <v>120923.5832009444</v>
      </c>
      <c r="BL904">
        <v>67837.243869563856</v>
      </c>
      <c r="BM904">
        <v>308.95547149950721</v>
      </c>
      <c r="BN904">
        <v>52522.430154916219</v>
      </c>
      <c r="BO904">
        <v>68401.153046028208</v>
      </c>
    </row>
    <row r="905" spans="1:67" x14ac:dyDescent="0.25">
      <c r="A905" s="1">
        <v>903</v>
      </c>
      <c r="B905" t="s">
        <v>77</v>
      </c>
      <c r="C905" t="s">
        <v>86</v>
      </c>
      <c r="D905">
        <v>2</v>
      </c>
      <c r="E905">
        <v>4</v>
      </c>
      <c r="F905">
        <v>2</v>
      </c>
      <c r="G905">
        <v>60.050759999999997</v>
      </c>
      <c r="H905">
        <v>8</v>
      </c>
      <c r="I905" t="s">
        <v>89</v>
      </c>
      <c r="J905">
        <v>4</v>
      </c>
      <c r="K905">
        <v>20</v>
      </c>
      <c r="L905">
        <v>5</v>
      </c>
      <c r="N905" t="s">
        <v>90</v>
      </c>
      <c r="O905">
        <v>95</v>
      </c>
      <c r="P905">
        <v>0.48749999999999999</v>
      </c>
      <c r="Q905">
        <v>3.2500000000000001E-2</v>
      </c>
      <c r="R905">
        <v>77.5</v>
      </c>
      <c r="S905">
        <v>170</v>
      </c>
      <c r="T905">
        <v>50</v>
      </c>
      <c r="U905">
        <v>1812.1301775147931</v>
      </c>
      <c r="V905">
        <v>20</v>
      </c>
      <c r="W905">
        <v>0.95</v>
      </c>
      <c r="X905">
        <v>1</v>
      </c>
      <c r="Y905">
        <v>37884059.303228296</v>
      </c>
      <c r="Z905">
        <v>7576811860.6456575</v>
      </c>
      <c r="AA905">
        <v>30307247442.58263</v>
      </c>
      <c r="AB905">
        <v>30307247.44258263</v>
      </c>
      <c r="AC905">
        <v>0</v>
      </c>
      <c r="AD905">
        <v>78528.120626359567</v>
      </c>
      <c r="AE905">
        <v>35337654.281861797</v>
      </c>
      <c r="AF905">
        <v>1766882.71409309</v>
      </c>
      <c r="AG905">
        <v>106.1026498121528</v>
      </c>
      <c r="AH905">
        <v>12130.63928656896</v>
      </c>
      <c r="AI905">
        <v>6065.3196432844779</v>
      </c>
      <c r="AJ905">
        <v>984985.54188393557</v>
      </c>
      <c r="AK905">
        <v>854.70085470085473</v>
      </c>
      <c r="AL905" t="s">
        <v>93</v>
      </c>
      <c r="AM905">
        <v>940124.5447090941</v>
      </c>
      <c r="AN905">
        <v>422777.68738220079</v>
      </c>
      <c r="AO905">
        <v>1031104.339358361</v>
      </c>
      <c r="AP905">
        <v>2348742.4748299308</v>
      </c>
      <c r="AQ905">
        <v>1317638.1354715701</v>
      </c>
      <c r="AR905">
        <v>0.55747081231111106</v>
      </c>
      <c r="AS905">
        <v>9283.3265109569147</v>
      </c>
      <c r="AT905">
        <v>8860.5190009252165</v>
      </c>
      <c r="AU905">
        <v>3984.6100745900198</v>
      </c>
      <c r="AV905">
        <v>9717.9885816599144</v>
      </c>
      <c r="AW905">
        <v>22136.51100126353</v>
      </c>
      <c r="AX905">
        <v>12418.522419603611</v>
      </c>
      <c r="AY905">
        <v>57.164638715646561</v>
      </c>
      <c r="AZ905" t="s">
        <v>143</v>
      </c>
      <c r="BA905" t="str">
        <f>VLOOKUP($AZ905,Sheet1!$A$2:$B$58,2)</f>
        <v>Octane</v>
      </c>
      <c r="BB905" t="s">
        <v>191</v>
      </c>
      <c r="BC905">
        <v>114.22672</v>
      </c>
      <c r="BD905">
        <v>6.25</v>
      </c>
      <c r="BE905">
        <v>126</v>
      </c>
      <c r="BF905" t="s">
        <v>213</v>
      </c>
      <c r="BG905">
        <v>3.1384211284094872</v>
      </c>
      <c r="BH905">
        <v>0.123872113676731</v>
      </c>
      <c r="BI905">
        <v>0.235620882647707</v>
      </c>
      <c r="BJ905">
        <v>80</v>
      </c>
      <c r="BK905">
        <v>117437.1237414966</v>
      </c>
      <c r="BL905">
        <v>65881.906773578507</v>
      </c>
      <c r="BM905">
        <v>300.12756103581438</v>
      </c>
      <c r="BN905">
        <v>51021.685376088448</v>
      </c>
      <c r="BO905">
        <v>66415.438365408103</v>
      </c>
    </row>
    <row r="906" spans="1:67" x14ac:dyDescent="0.25">
      <c r="A906" s="1">
        <v>904</v>
      </c>
      <c r="B906" t="s">
        <v>77</v>
      </c>
      <c r="C906" t="s">
        <v>86</v>
      </c>
      <c r="D906">
        <v>2</v>
      </c>
      <c r="E906">
        <v>4</v>
      </c>
      <c r="F906">
        <v>2</v>
      </c>
      <c r="G906">
        <v>60.050759999999997</v>
      </c>
      <c r="H906">
        <v>8</v>
      </c>
      <c r="I906" t="s">
        <v>89</v>
      </c>
      <c r="J906">
        <v>4</v>
      </c>
      <c r="K906">
        <v>20</v>
      </c>
      <c r="L906">
        <v>5</v>
      </c>
      <c r="N906" t="s">
        <v>90</v>
      </c>
      <c r="O906">
        <v>95</v>
      </c>
      <c r="P906">
        <v>0.48749999999999999</v>
      </c>
      <c r="Q906">
        <v>3.2500000000000001E-2</v>
      </c>
      <c r="R906">
        <v>77.5</v>
      </c>
      <c r="S906">
        <v>170</v>
      </c>
      <c r="T906">
        <v>50</v>
      </c>
      <c r="U906">
        <v>1812.1301775147931</v>
      </c>
      <c r="V906">
        <v>20</v>
      </c>
      <c r="W906">
        <v>0.95</v>
      </c>
      <c r="X906">
        <v>1</v>
      </c>
      <c r="Y906">
        <v>40101067.393515207</v>
      </c>
      <c r="Z906">
        <v>8020213478.7030439</v>
      </c>
      <c r="AA906">
        <v>32080853914.81218</v>
      </c>
      <c r="AB906">
        <v>32080853.914812181</v>
      </c>
      <c r="AC906">
        <v>66773.504273504266</v>
      </c>
      <c r="AD906">
        <v>83123.654524936035</v>
      </c>
      <c r="AE906">
        <v>37405644.536221214</v>
      </c>
      <c r="AF906">
        <v>1870282.2268110609</v>
      </c>
      <c r="AG906">
        <v>112.3118691344966</v>
      </c>
      <c r="AH906">
        <v>12840.534845104939</v>
      </c>
      <c r="AI906">
        <v>6420.2674225524725</v>
      </c>
      <c r="AJ906">
        <v>1042627.752231396</v>
      </c>
      <c r="AK906">
        <v>2170.1388888888891</v>
      </c>
      <c r="AL906" t="s">
        <v>95</v>
      </c>
      <c r="AM906">
        <v>995141.45049563318</v>
      </c>
      <c r="AN906">
        <v>447519.00524935091</v>
      </c>
      <c r="AO906">
        <v>1091445.4618339201</v>
      </c>
      <c r="AP906">
        <v>2487458.3468652689</v>
      </c>
      <c r="AQ906">
        <v>1396012.885031349</v>
      </c>
      <c r="AR906">
        <v>0.55747081231111106</v>
      </c>
      <c r="AS906">
        <v>9283.3265109569147</v>
      </c>
      <c r="AT906">
        <v>8860.5190009252146</v>
      </c>
      <c r="AU906">
        <v>3984.610074590018</v>
      </c>
      <c r="AV906">
        <v>9717.9885816599144</v>
      </c>
      <c r="AW906">
        <v>22147.77802234302</v>
      </c>
      <c r="AX906">
        <v>12429.789440683109</v>
      </c>
      <c r="AY906">
        <v>57.164638715646547</v>
      </c>
      <c r="AZ906" t="s">
        <v>144</v>
      </c>
      <c r="BA906" t="str">
        <f>VLOOKUP($AZ906,Sheet1!$A$2:$B$58,2)</f>
        <v>Pentane</v>
      </c>
      <c r="BB906" t="s">
        <v>192</v>
      </c>
      <c r="BC906">
        <v>72.147580000000005</v>
      </c>
      <c r="BD906">
        <v>6.4</v>
      </c>
      <c r="BE906">
        <v>36.1</v>
      </c>
      <c r="BF906" t="s">
        <v>213</v>
      </c>
      <c r="BG906">
        <v>3.5347553436741799</v>
      </c>
      <c r="BH906">
        <v>0.18527638190954801</v>
      </c>
      <c r="BI906">
        <v>0.22259446123242599</v>
      </c>
      <c r="BJ906">
        <v>80</v>
      </c>
      <c r="BK906">
        <v>124372.9173432634</v>
      </c>
      <c r="BL906">
        <v>69800.644251567428</v>
      </c>
      <c r="BM906">
        <v>317.47861578394941</v>
      </c>
      <c r="BN906">
        <v>53971.3646832714</v>
      </c>
      <c r="BO906">
        <v>70401.552659992041</v>
      </c>
    </row>
    <row r="907" spans="1:67" x14ac:dyDescent="0.25">
      <c r="A907" s="1">
        <v>905</v>
      </c>
      <c r="B907" t="s">
        <v>77</v>
      </c>
      <c r="C907" t="s">
        <v>86</v>
      </c>
      <c r="D907">
        <v>2</v>
      </c>
      <c r="E907">
        <v>4</v>
      </c>
      <c r="F907">
        <v>2</v>
      </c>
      <c r="G907">
        <v>60.050759999999997</v>
      </c>
      <c r="H907">
        <v>8</v>
      </c>
      <c r="I907" t="s">
        <v>89</v>
      </c>
      <c r="J907">
        <v>4</v>
      </c>
      <c r="K907">
        <v>20</v>
      </c>
      <c r="L907">
        <v>5</v>
      </c>
      <c r="N907" t="s">
        <v>90</v>
      </c>
      <c r="O907">
        <v>95</v>
      </c>
      <c r="P907">
        <v>0.48749999999999999</v>
      </c>
      <c r="Q907">
        <v>3.2500000000000001E-2</v>
      </c>
      <c r="R907">
        <v>77.5</v>
      </c>
      <c r="S907">
        <v>170</v>
      </c>
      <c r="T907">
        <v>50</v>
      </c>
      <c r="U907">
        <v>1812.1301775147931</v>
      </c>
      <c r="V907">
        <v>20</v>
      </c>
      <c r="W907">
        <v>0.95</v>
      </c>
      <c r="X907">
        <v>1</v>
      </c>
      <c r="Y907">
        <v>28718194.62401272</v>
      </c>
      <c r="Z907">
        <v>5743638924.8025436</v>
      </c>
      <c r="AA907">
        <v>22974555699.210171</v>
      </c>
      <c r="AB907">
        <v>22974555.699210171</v>
      </c>
      <c r="AC907">
        <v>0</v>
      </c>
      <c r="AD907">
        <v>59528.622145662353</v>
      </c>
      <c r="AE907">
        <v>26787879.965548061</v>
      </c>
      <c r="AF907">
        <v>1339393.9982774029</v>
      </c>
      <c r="AG907">
        <v>80.431627535996739</v>
      </c>
      <c r="AH907">
        <v>9195.6898588134063</v>
      </c>
      <c r="AI907">
        <v>4597.8449294067032</v>
      </c>
      <c r="AJ907">
        <v>746673.06022433063</v>
      </c>
      <c r="AK907">
        <v>854.70085470085473</v>
      </c>
      <c r="AL907" t="s">
        <v>93</v>
      </c>
      <c r="AM907">
        <v>712665.96405803901</v>
      </c>
      <c r="AN907">
        <v>320488.67339560471</v>
      </c>
      <c r="AO907">
        <v>781633.63799913949</v>
      </c>
      <c r="AP907">
        <v>1780682.3985326751</v>
      </c>
      <c r="AQ907">
        <v>999048.76053353562</v>
      </c>
      <c r="AR907">
        <v>0.55747081231111095</v>
      </c>
      <c r="AS907">
        <v>9283.3265109569129</v>
      </c>
      <c r="AT907">
        <v>8860.5190009252165</v>
      </c>
      <c r="AU907">
        <v>3984.6100745900198</v>
      </c>
      <c r="AV907">
        <v>9717.9885816599162</v>
      </c>
      <c r="AW907">
        <v>22139.082013922201</v>
      </c>
      <c r="AX907">
        <v>12421.093432262291</v>
      </c>
      <c r="AY907">
        <v>57.164638715646561</v>
      </c>
      <c r="AZ907" t="s">
        <v>145</v>
      </c>
      <c r="BA907" t="str">
        <f>VLOOKUP($AZ907,Sheet1!$A$2:$B$58,2)</f>
        <v>Pentanol (PW1)</v>
      </c>
      <c r="BB907" t="s">
        <v>157</v>
      </c>
      <c r="BC907">
        <v>88.14658</v>
      </c>
      <c r="BD907">
        <v>6</v>
      </c>
      <c r="BE907">
        <v>138</v>
      </c>
      <c r="BF907" t="s">
        <v>213</v>
      </c>
      <c r="BG907">
        <v>2.219231057790835</v>
      </c>
      <c r="BH907">
        <v>0.21175572519083999</v>
      </c>
      <c r="BI907">
        <v>0.31082300291401399</v>
      </c>
      <c r="BJ907">
        <v>80</v>
      </c>
      <c r="BK907">
        <v>89034.119926633735</v>
      </c>
      <c r="BL907">
        <v>49952.438026676769</v>
      </c>
      <c r="BM907">
        <v>227.67301541254429</v>
      </c>
      <c r="BN907">
        <v>38704.412620132527</v>
      </c>
      <c r="BO907">
        <v>50329.707306501208</v>
      </c>
    </row>
    <row r="908" spans="1:67" x14ac:dyDescent="0.25">
      <c r="A908" s="1">
        <v>906</v>
      </c>
      <c r="B908" t="s">
        <v>77</v>
      </c>
      <c r="C908" t="s">
        <v>86</v>
      </c>
      <c r="D908">
        <v>2</v>
      </c>
      <c r="E908">
        <v>4</v>
      </c>
      <c r="F908">
        <v>2</v>
      </c>
      <c r="G908">
        <v>60.050759999999997</v>
      </c>
      <c r="H908">
        <v>8</v>
      </c>
      <c r="I908" t="s">
        <v>89</v>
      </c>
      <c r="J908">
        <v>4</v>
      </c>
      <c r="K908">
        <v>20</v>
      </c>
      <c r="L908">
        <v>5</v>
      </c>
      <c r="N908" t="s">
        <v>90</v>
      </c>
      <c r="O908">
        <v>95</v>
      </c>
      <c r="P908">
        <v>0.48749999999999999</v>
      </c>
      <c r="Q908">
        <v>3.2500000000000001E-2</v>
      </c>
      <c r="R908">
        <v>77.5</v>
      </c>
      <c r="S908">
        <v>170</v>
      </c>
      <c r="T908">
        <v>50</v>
      </c>
      <c r="U908">
        <v>1812.1301775147931</v>
      </c>
      <c r="V908">
        <v>20</v>
      </c>
      <c r="W908">
        <v>0.95</v>
      </c>
      <c r="X908">
        <v>1</v>
      </c>
      <c r="Y908">
        <v>33009540.37446053</v>
      </c>
      <c r="Z908">
        <v>6601908074.8921061</v>
      </c>
      <c r="AA908">
        <v>26407632299.56842</v>
      </c>
      <c r="AB908">
        <v>26407632.29956843</v>
      </c>
      <c r="AC908">
        <v>0</v>
      </c>
      <c r="AD908">
        <v>68423.954983235657</v>
      </c>
      <c r="AE908">
        <v>30790779.742456049</v>
      </c>
      <c r="AF908">
        <v>1539538.987122803</v>
      </c>
      <c r="AG908">
        <v>92.450486226354499</v>
      </c>
      <c r="AH908">
        <v>10569.797288430829</v>
      </c>
      <c r="AI908">
        <v>5284.8986442154128</v>
      </c>
      <c r="AJ908">
        <v>858248.04973597382</v>
      </c>
      <c r="AK908">
        <v>854.70085470085473</v>
      </c>
      <c r="AL908" t="s">
        <v>93</v>
      </c>
      <c r="AM908">
        <v>819159.28985338903</v>
      </c>
      <c r="AN908">
        <v>368379.13881827798</v>
      </c>
      <c r="AO908">
        <v>898432.7695166202</v>
      </c>
      <c r="AP908">
        <v>2046641.1792623419</v>
      </c>
      <c r="AQ908">
        <v>1148208.4097457221</v>
      </c>
      <c r="AR908">
        <v>0.55747081231111106</v>
      </c>
      <c r="AS908">
        <v>9283.3265109569147</v>
      </c>
      <c r="AT908">
        <v>8860.5190009252146</v>
      </c>
      <c r="AU908">
        <v>3984.6100745900189</v>
      </c>
      <c r="AV908">
        <v>9717.9885816599144</v>
      </c>
      <c r="AW908">
        <v>22137.70054439058</v>
      </c>
      <c r="AX908">
        <v>12419.71196273066</v>
      </c>
      <c r="AY908">
        <v>57.164638715646547</v>
      </c>
      <c r="AZ908" t="s">
        <v>146</v>
      </c>
      <c r="BA908" t="str">
        <f>VLOOKUP($AZ908,Sheet1!$A$2:$B$58,2)</f>
        <v>Pentanol (PW2)</v>
      </c>
      <c r="BB908" t="s">
        <v>157</v>
      </c>
      <c r="BC908">
        <v>88.14658</v>
      </c>
      <c r="BD908">
        <v>6</v>
      </c>
      <c r="BE908">
        <v>138</v>
      </c>
      <c r="BF908" t="s">
        <v>213</v>
      </c>
      <c r="BG908">
        <v>2.9238869839383721</v>
      </c>
      <c r="BH908">
        <v>0.18422680412371101</v>
      </c>
      <c r="BI908">
        <v>0.270415019114019</v>
      </c>
      <c r="BJ908">
        <v>80</v>
      </c>
      <c r="BK908">
        <v>102332.0589631171</v>
      </c>
      <c r="BL908">
        <v>57410.42048728605</v>
      </c>
      <c r="BM908">
        <v>261.32104522683233</v>
      </c>
      <c r="BN908">
        <v>44424.577688561483</v>
      </c>
      <c r="BO908">
        <v>57907.481274555583</v>
      </c>
    </row>
    <row r="909" spans="1:67" x14ac:dyDescent="0.25">
      <c r="A909" s="1">
        <v>907</v>
      </c>
      <c r="B909" t="s">
        <v>77</v>
      </c>
      <c r="C909" t="s">
        <v>86</v>
      </c>
      <c r="D909">
        <v>2</v>
      </c>
      <c r="E909">
        <v>4</v>
      </c>
      <c r="F909">
        <v>2</v>
      </c>
      <c r="G909">
        <v>60.050759999999997</v>
      </c>
      <c r="H909">
        <v>8</v>
      </c>
      <c r="I909" t="s">
        <v>89</v>
      </c>
      <c r="J909">
        <v>4</v>
      </c>
      <c r="K909">
        <v>20</v>
      </c>
      <c r="L909">
        <v>5</v>
      </c>
      <c r="N909" t="s">
        <v>90</v>
      </c>
      <c r="O909">
        <v>95</v>
      </c>
      <c r="P909">
        <v>0.48749999999999999</v>
      </c>
      <c r="Q909">
        <v>3.2500000000000001E-2</v>
      </c>
      <c r="R909">
        <v>77.5</v>
      </c>
      <c r="S909">
        <v>170</v>
      </c>
      <c r="T909">
        <v>50</v>
      </c>
      <c r="U909">
        <v>1812.1301775147931</v>
      </c>
      <c r="V909">
        <v>20</v>
      </c>
      <c r="W909">
        <v>0.95</v>
      </c>
      <c r="X909">
        <v>1</v>
      </c>
      <c r="Y909">
        <v>30046762.90771015</v>
      </c>
      <c r="Z909">
        <v>6009352581.5420303</v>
      </c>
      <c r="AA909">
        <v>24037410326.168121</v>
      </c>
      <c r="AB909">
        <v>24037410.32616812</v>
      </c>
      <c r="AC909">
        <v>0</v>
      </c>
      <c r="AD909">
        <v>62282.55011329324</v>
      </c>
      <c r="AE909">
        <v>28027147.550981961</v>
      </c>
      <c r="AF909">
        <v>1401357.3775490981</v>
      </c>
      <c r="AG909">
        <v>84.152575553430253</v>
      </c>
      <c r="AH909">
        <v>9621.103157005984</v>
      </c>
      <c r="AI909">
        <v>4810.551578502992</v>
      </c>
      <c r="AJ909">
        <v>781215.83560046391</v>
      </c>
      <c r="AK909">
        <v>854.70085470085473</v>
      </c>
      <c r="AL909" t="s">
        <v>93</v>
      </c>
      <c r="AM909">
        <v>745635.49466796371</v>
      </c>
      <c r="AN909">
        <v>335315.20035289589</v>
      </c>
      <c r="AO909">
        <v>817793.76834550861</v>
      </c>
      <c r="AP909">
        <v>1863021.231476024</v>
      </c>
      <c r="AQ909">
        <v>1045227.463130516</v>
      </c>
      <c r="AR909">
        <v>0.55747081231111106</v>
      </c>
      <c r="AS909">
        <v>9283.3265109569147</v>
      </c>
      <c r="AT909">
        <v>8860.5190009252165</v>
      </c>
      <c r="AU909">
        <v>3984.610074590018</v>
      </c>
      <c r="AV909">
        <v>9717.9885816599162</v>
      </c>
      <c r="AW909">
        <v>22138.61214851532</v>
      </c>
      <c r="AX909">
        <v>12420.6235668554</v>
      </c>
      <c r="AY909">
        <v>57.164638715646568</v>
      </c>
      <c r="AZ909" t="s">
        <v>147</v>
      </c>
      <c r="BA909" t="str">
        <f>VLOOKUP($AZ909,Sheet1!$A$2:$B$58,2)</f>
        <v>Phenol</v>
      </c>
      <c r="BB909" t="s">
        <v>193</v>
      </c>
      <c r="BC909">
        <v>94.11023999999999</v>
      </c>
      <c r="BD909">
        <v>4.666666666666667</v>
      </c>
      <c r="BE909">
        <v>181.7</v>
      </c>
      <c r="BF909" t="s">
        <v>213</v>
      </c>
      <c r="BG909">
        <v>2.1279388548729501</v>
      </c>
      <c r="BH909">
        <v>0.189567198177677</v>
      </c>
      <c r="BI909">
        <v>0.29707943976268403</v>
      </c>
      <c r="BJ909">
        <v>80</v>
      </c>
      <c r="BK909">
        <v>93151.061573801213</v>
      </c>
      <c r="BL909">
        <v>52261.373156525777</v>
      </c>
      <c r="BM909">
        <v>238.3996400702766</v>
      </c>
      <c r="BN909">
        <v>40527.938811947017</v>
      </c>
      <c r="BO909">
        <v>52623.122761854189</v>
      </c>
    </row>
    <row r="910" spans="1:67" x14ac:dyDescent="0.25">
      <c r="A910" s="1">
        <v>908</v>
      </c>
      <c r="B910" t="s">
        <v>77</v>
      </c>
      <c r="C910" t="s">
        <v>86</v>
      </c>
      <c r="D910">
        <v>2</v>
      </c>
      <c r="E910">
        <v>4</v>
      </c>
      <c r="F910">
        <v>2</v>
      </c>
      <c r="G910">
        <v>60.050759999999997</v>
      </c>
      <c r="H910">
        <v>8</v>
      </c>
      <c r="I910" t="s">
        <v>89</v>
      </c>
      <c r="J910">
        <v>4</v>
      </c>
      <c r="K910">
        <v>20</v>
      </c>
      <c r="L910">
        <v>5</v>
      </c>
      <c r="N910" t="s">
        <v>90</v>
      </c>
      <c r="O910">
        <v>95</v>
      </c>
      <c r="P910">
        <v>0.48749999999999999</v>
      </c>
      <c r="Q910">
        <v>3.2500000000000001E-2</v>
      </c>
      <c r="R910">
        <v>77.5</v>
      </c>
      <c r="S910">
        <v>170</v>
      </c>
      <c r="T910">
        <v>50</v>
      </c>
      <c r="U910">
        <v>1812.1301775147931</v>
      </c>
      <c r="V910">
        <v>20</v>
      </c>
      <c r="W910">
        <v>0.95</v>
      </c>
      <c r="X910">
        <v>1</v>
      </c>
      <c r="Y910">
        <v>42203359.194234267</v>
      </c>
      <c r="Z910">
        <v>8440671838.8468523</v>
      </c>
      <c r="AA910">
        <v>33762687355.387409</v>
      </c>
      <c r="AB910">
        <v>33762687.355387412</v>
      </c>
      <c r="AC910">
        <v>66773.504273504266</v>
      </c>
      <c r="AD910">
        <v>87481.398313617188</v>
      </c>
      <c r="AE910">
        <v>39366629.241127737</v>
      </c>
      <c r="AF910">
        <v>1968331.462056387</v>
      </c>
      <c r="AG910">
        <v>118.19980022839719</v>
      </c>
      <c r="AH910">
        <v>13513.69775263585</v>
      </c>
      <c r="AI910">
        <v>6756.8488763179239</v>
      </c>
      <c r="AJ910">
        <v>1097287.3390500911</v>
      </c>
      <c r="AK910">
        <v>2170.1388888888891</v>
      </c>
      <c r="AL910" t="s">
        <v>95</v>
      </c>
      <c r="AM910">
        <v>1047311.575829278</v>
      </c>
      <c r="AN910">
        <v>470980.11480459932</v>
      </c>
      <c r="AO910">
        <v>1148664.308974047</v>
      </c>
      <c r="AP910">
        <v>2617749.168572858</v>
      </c>
      <c r="AQ910">
        <v>1469084.859598811</v>
      </c>
      <c r="AR910">
        <v>0.55747081231111106</v>
      </c>
      <c r="AS910">
        <v>9283.3265109569147</v>
      </c>
      <c r="AT910">
        <v>8860.5190009252165</v>
      </c>
      <c r="AU910">
        <v>3984.6100745900198</v>
      </c>
      <c r="AV910">
        <v>9717.9885816599144</v>
      </c>
      <c r="AW910">
        <v>22146.815506579431</v>
      </c>
      <c r="AX910">
        <v>12428.826924919509</v>
      </c>
      <c r="AY910">
        <v>57.164638715646568</v>
      </c>
      <c r="AZ910" t="s">
        <v>148</v>
      </c>
      <c r="BA910" t="str">
        <f>VLOOKUP($AZ910,Sheet1!$A$2:$B$58,2)</f>
        <v>Propane (PW1)</v>
      </c>
      <c r="BB910" t="s">
        <v>194</v>
      </c>
      <c r="BC910">
        <v>44.094819999999999</v>
      </c>
      <c r="BD910">
        <v>6.666666666666667</v>
      </c>
      <c r="BE910">
        <v>-42</v>
      </c>
      <c r="BF910" t="s">
        <v>213</v>
      </c>
      <c r="BG910">
        <v>3.9357290593914729</v>
      </c>
      <c r="BH910">
        <v>0.28804687499999998</v>
      </c>
      <c r="BI910">
        <v>0.21150627963577401</v>
      </c>
      <c r="BJ910">
        <v>80</v>
      </c>
      <c r="BK910">
        <v>130887.4584286429</v>
      </c>
      <c r="BL910">
        <v>73454.242979940522</v>
      </c>
      <c r="BM910">
        <v>333.9067147565047</v>
      </c>
      <c r="BN910">
        <v>56764.141508605797</v>
      </c>
      <c r="BO910">
        <v>74123.316920037076</v>
      </c>
    </row>
    <row r="911" spans="1:67" x14ac:dyDescent="0.25">
      <c r="A911" s="1">
        <v>909</v>
      </c>
      <c r="B911" t="s">
        <v>77</v>
      </c>
      <c r="C911" t="s">
        <v>86</v>
      </c>
      <c r="D911">
        <v>2</v>
      </c>
      <c r="E911">
        <v>4</v>
      </c>
      <c r="F911">
        <v>2</v>
      </c>
      <c r="G911">
        <v>60.050759999999997</v>
      </c>
      <c r="H911">
        <v>8</v>
      </c>
      <c r="I911" t="s">
        <v>89</v>
      </c>
      <c r="J911">
        <v>4</v>
      </c>
      <c r="K911">
        <v>20</v>
      </c>
      <c r="L911">
        <v>5</v>
      </c>
      <c r="N911" t="s">
        <v>90</v>
      </c>
      <c r="O911">
        <v>95</v>
      </c>
      <c r="P911">
        <v>0.48749999999999999</v>
      </c>
      <c r="Q911">
        <v>3.2500000000000001E-2</v>
      </c>
      <c r="R911">
        <v>77.5</v>
      </c>
      <c r="S911">
        <v>170</v>
      </c>
      <c r="T911">
        <v>50</v>
      </c>
      <c r="U911">
        <v>1812.1301775147931</v>
      </c>
      <c r="V911">
        <v>20</v>
      </c>
      <c r="W911">
        <v>0.95</v>
      </c>
      <c r="X911">
        <v>1</v>
      </c>
      <c r="Y911">
        <v>50775916.530563183</v>
      </c>
      <c r="Z911">
        <v>10155183306.112631</v>
      </c>
      <c r="AA911">
        <v>40620733224.450539</v>
      </c>
      <c r="AB911">
        <v>40620733.224450544</v>
      </c>
      <c r="AC911">
        <v>66773.504273504266</v>
      </c>
      <c r="AD911">
        <v>105251.0573460708</v>
      </c>
      <c r="AE911">
        <v>47362975.805731878</v>
      </c>
      <c r="AF911">
        <v>2368148.7902865941</v>
      </c>
      <c r="AG911">
        <v>142.2091346497906</v>
      </c>
      <c r="AH911">
        <v>16258.667608640029</v>
      </c>
      <c r="AI911">
        <v>8129.3338043200129</v>
      </c>
      <c r="AJ911">
        <v>1320173.829794643</v>
      </c>
      <c r="AK911">
        <v>2170.1388888888891</v>
      </c>
      <c r="AL911" t="s">
        <v>95</v>
      </c>
      <c r="AM911">
        <v>1260046.7396696019</v>
      </c>
      <c r="AN911">
        <v>566647.95062428433</v>
      </c>
      <c r="AO911">
        <v>1381986.7467344019</v>
      </c>
      <c r="AP911">
        <v>3149038.6589774182</v>
      </c>
      <c r="AQ911">
        <v>1767051.9122430161</v>
      </c>
      <c r="AR911">
        <v>0.55747081231111106</v>
      </c>
      <c r="AS911">
        <v>9283.3265109569147</v>
      </c>
      <c r="AT911">
        <v>8860.5190009252146</v>
      </c>
      <c r="AU911">
        <v>3984.6100745900198</v>
      </c>
      <c r="AV911">
        <v>9717.9885816599144</v>
      </c>
      <c r="AW911">
        <v>22143.71577980807</v>
      </c>
      <c r="AX911">
        <v>12425.72719814815</v>
      </c>
      <c r="AY911">
        <v>57.164638715646547</v>
      </c>
      <c r="AZ911" t="s">
        <v>149</v>
      </c>
      <c r="BA911" t="str">
        <f>VLOOKUP($AZ911,Sheet1!$A$2:$B$58,2)</f>
        <v>Propane (PW2)</v>
      </c>
      <c r="BB911" t="s">
        <v>194</v>
      </c>
      <c r="BC911">
        <v>44.094819999999999</v>
      </c>
      <c r="BD911">
        <v>6.666666666666667</v>
      </c>
      <c r="BE911">
        <v>-42</v>
      </c>
      <c r="BF911" t="s">
        <v>213</v>
      </c>
      <c r="BG911">
        <v>5.3433768418274026</v>
      </c>
      <c r="BH911">
        <v>0.239415584415584</v>
      </c>
      <c r="BI911">
        <v>0.17579742722973399</v>
      </c>
      <c r="BJ911">
        <v>80</v>
      </c>
      <c r="BK911">
        <v>157451.9329488709</v>
      </c>
      <c r="BL911">
        <v>88352.595612150762</v>
      </c>
      <c r="BM911">
        <v>401.12331337417311</v>
      </c>
      <c r="BN911">
        <v>68190.963273609435</v>
      </c>
      <c r="BO911">
        <v>89260.96967526144</v>
      </c>
    </row>
    <row r="912" spans="1:67" x14ac:dyDescent="0.25">
      <c r="A912" s="1">
        <v>910</v>
      </c>
      <c r="B912" t="s">
        <v>77</v>
      </c>
      <c r="C912" t="s">
        <v>86</v>
      </c>
      <c r="D912">
        <v>2</v>
      </c>
      <c r="E912">
        <v>4</v>
      </c>
      <c r="F912">
        <v>2</v>
      </c>
      <c r="G912">
        <v>60.050759999999997</v>
      </c>
      <c r="H912">
        <v>8</v>
      </c>
      <c r="I912" t="s">
        <v>89</v>
      </c>
      <c r="J912">
        <v>4</v>
      </c>
      <c r="K912">
        <v>20</v>
      </c>
      <c r="L912">
        <v>5</v>
      </c>
      <c r="N912" t="s">
        <v>90</v>
      </c>
      <c r="O912">
        <v>95</v>
      </c>
      <c r="P912">
        <v>0.48749999999999999</v>
      </c>
      <c r="Q912">
        <v>3.2500000000000001E-2</v>
      </c>
      <c r="R912">
        <v>77.5</v>
      </c>
      <c r="S912">
        <v>170</v>
      </c>
      <c r="T912">
        <v>50</v>
      </c>
      <c r="U912">
        <v>1812.1301775147931</v>
      </c>
      <c r="V912">
        <v>20</v>
      </c>
      <c r="W912">
        <v>0.95</v>
      </c>
      <c r="X912">
        <v>1</v>
      </c>
      <c r="Y912">
        <v>14914624.98303636</v>
      </c>
      <c r="Z912">
        <v>2982924996.6072731</v>
      </c>
      <c r="AA912">
        <v>11931699986.42909</v>
      </c>
      <c r="AB912">
        <v>11931699.98642909</v>
      </c>
      <c r="AC912">
        <v>0</v>
      </c>
      <c r="AD912">
        <v>30915.83878037563</v>
      </c>
      <c r="AE912">
        <v>13912127.451169031</v>
      </c>
      <c r="AF912">
        <v>695606.37255845172</v>
      </c>
      <c r="AG912">
        <v>41.771691332978158</v>
      </c>
      <c r="AH912">
        <v>4775.7272871824034</v>
      </c>
      <c r="AI912">
        <v>2387.8636435912022</v>
      </c>
      <c r="AJ912">
        <v>387780.24955894542</v>
      </c>
      <c r="AK912">
        <v>854.70085470085473</v>
      </c>
      <c r="AL912" t="s">
        <v>93</v>
      </c>
      <c r="AM912">
        <v>370118.86475663632</v>
      </c>
      <c r="AN912">
        <v>166443.90211804939</v>
      </c>
      <c r="AO912">
        <v>405936.81941050431</v>
      </c>
      <c r="AP912">
        <v>925197.71728833206</v>
      </c>
      <c r="AQ912">
        <v>519260.89787782781</v>
      </c>
      <c r="AR912">
        <v>0.55747081231111106</v>
      </c>
      <c r="AS912">
        <v>9283.3265109569147</v>
      </c>
      <c r="AT912">
        <v>8860.5190009252165</v>
      </c>
      <c r="AU912">
        <v>3984.6100745900189</v>
      </c>
      <c r="AV912">
        <v>9717.9885816599162</v>
      </c>
      <c r="AW912">
        <v>22148.916832532021</v>
      </c>
      <c r="AX912">
        <v>12430.928250872101</v>
      </c>
      <c r="AY912">
        <v>57.164638715646568</v>
      </c>
      <c r="AZ912" t="s">
        <v>150</v>
      </c>
      <c r="BA912" t="str">
        <f>VLOOKUP($AZ912,Sheet1!$A$2:$B$58,2)</f>
        <v>Shikimate</v>
      </c>
      <c r="BB912" t="s">
        <v>195</v>
      </c>
      <c r="BC912">
        <v>173.14045999999999</v>
      </c>
      <c r="BD912">
        <v>3.8571428571428572</v>
      </c>
      <c r="BE912">
        <v>400.5</v>
      </c>
      <c r="BF912" t="s">
        <v>213</v>
      </c>
      <c r="BG912">
        <v>0.66973353327103347</v>
      </c>
      <c r="BH912">
        <v>0.20758064516128999</v>
      </c>
      <c r="BI912">
        <v>0.59849144725109205</v>
      </c>
      <c r="BJ912">
        <v>80</v>
      </c>
      <c r="BK912">
        <v>46259.885864416603</v>
      </c>
      <c r="BL912">
        <v>25963.04489389138</v>
      </c>
      <c r="BM912">
        <v>118.7234486462891</v>
      </c>
      <c r="BN912">
        <v>20182.98626986914</v>
      </c>
      <c r="BO912">
        <v>26076.89959454746</v>
      </c>
    </row>
    <row r="913" spans="1:67" x14ac:dyDescent="0.25">
      <c r="A913" s="1">
        <v>911</v>
      </c>
      <c r="B913" t="s">
        <v>77</v>
      </c>
      <c r="C913" t="s">
        <v>86</v>
      </c>
      <c r="D913">
        <v>2</v>
      </c>
      <c r="E913">
        <v>4</v>
      </c>
      <c r="F913">
        <v>2</v>
      </c>
      <c r="G913">
        <v>60.050759999999997</v>
      </c>
      <c r="H913">
        <v>8</v>
      </c>
      <c r="I913" t="s">
        <v>89</v>
      </c>
      <c r="J913">
        <v>4</v>
      </c>
      <c r="K913">
        <v>20</v>
      </c>
      <c r="L913">
        <v>5</v>
      </c>
      <c r="N913" t="s">
        <v>90</v>
      </c>
      <c r="O913">
        <v>95</v>
      </c>
      <c r="P913">
        <v>0.48749999999999999</v>
      </c>
      <c r="Q913">
        <v>3.2500000000000001E-2</v>
      </c>
      <c r="R913">
        <v>77.5</v>
      </c>
      <c r="S913">
        <v>170</v>
      </c>
      <c r="T913">
        <v>50</v>
      </c>
      <c r="U913">
        <v>1812.1301775147931</v>
      </c>
      <c r="V913">
        <v>20</v>
      </c>
      <c r="W913">
        <v>0.95</v>
      </c>
      <c r="X913">
        <v>1</v>
      </c>
      <c r="Y913">
        <v>35792330.903036587</v>
      </c>
      <c r="Z913">
        <v>7158466180.607316</v>
      </c>
      <c r="AA913">
        <v>28633864722.42926</v>
      </c>
      <c r="AB913">
        <v>28633864.722429261</v>
      </c>
      <c r="AC913">
        <v>0</v>
      </c>
      <c r="AD913">
        <v>74192.273223812619</v>
      </c>
      <c r="AE913">
        <v>33386522.95071568</v>
      </c>
      <c r="AF913">
        <v>1669326.1475357839</v>
      </c>
      <c r="AG913">
        <v>100.2443038473959</v>
      </c>
      <c r="AH913">
        <v>11460.858825475771</v>
      </c>
      <c r="AI913">
        <v>5730.4294127378871</v>
      </c>
      <c r="AJ913">
        <v>930600.60347895115</v>
      </c>
      <c r="AK913">
        <v>854.70085470085473</v>
      </c>
      <c r="AL913" t="s">
        <v>93</v>
      </c>
      <c r="AM913">
        <v>888216.55897437246</v>
      </c>
      <c r="AN913">
        <v>399434.46303059708</v>
      </c>
      <c r="AO913">
        <v>974173.00016544084</v>
      </c>
      <c r="AP913">
        <v>2219106.3263386218</v>
      </c>
      <c r="AQ913">
        <v>1244933.3261731809</v>
      </c>
      <c r="AR913">
        <v>0.55747081231111106</v>
      </c>
      <c r="AS913">
        <v>9283.3265109569147</v>
      </c>
      <c r="AT913">
        <v>8860.5190009252146</v>
      </c>
      <c r="AU913">
        <v>3984.6100745900212</v>
      </c>
      <c r="AV913">
        <v>9717.9885816599144</v>
      </c>
      <c r="AW913">
        <v>22136.981765236411</v>
      </c>
      <c r="AX913">
        <v>12418.993183576489</v>
      </c>
      <c r="AY913">
        <v>57.164638715646547</v>
      </c>
      <c r="AZ913" t="s">
        <v>151</v>
      </c>
      <c r="BA913" t="str">
        <f>VLOOKUP($AZ913,Sheet1!$A$2:$B$58,2)</f>
        <v>Styrene</v>
      </c>
      <c r="BB913" t="s">
        <v>196</v>
      </c>
      <c r="BC913">
        <v>104.14832</v>
      </c>
      <c r="BD913">
        <v>5</v>
      </c>
      <c r="BE913">
        <v>145</v>
      </c>
      <c r="BF913" t="s">
        <v>213</v>
      </c>
      <c r="BG913">
        <v>2.4966787280380092</v>
      </c>
      <c r="BH913">
        <v>0.14379888268156399</v>
      </c>
      <c r="BI913">
        <v>0.24939072885436001</v>
      </c>
      <c r="BJ913">
        <v>80</v>
      </c>
      <c r="BK913">
        <v>110955.3163169311</v>
      </c>
      <c r="BL913">
        <v>62246.666308659049</v>
      </c>
      <c r="BM913">
        <v>284.02479190885629</v>
      </c>
      <c r="BN913">
        <v>48284.21462450557</v>
      </c>
      <c r="BO913">
        <v>62671.101692425516</v>
      </c>
    </row>
    <row r="914" spans="1:67" x14ac:dyDescent="0.25">
      <c r="A914" s="1">
        <v>912</v>
      </c>
      <c r="B914" t="s">
        <v>77</v>
      </c>
      <c r="C914" t="s">
        <v>86</v>
      </c>
      <c r="D914">
        <v>2</v>
      </c>
      <c r="E914">
        <v>4</v>
      </c>
      <c r="F914">
        <v>2</v>
      </c>
      <c r="G914">
        <v>60.050759999999997</v>
      </c>
      <c r="H914">
        <v>8</v>
      </c>
      <c r="I914" t="s">
        <v>89</v>
      </c>
      <c r="J914">
        <v>4</v>
      </c>
      <c r="K914">
        <v>20</v>
      </c>
      <c r="L914">
        <v>5</v>
      </c>
      <c r="N914" t="s">
        <v>90</v>
      </c>
      <c r="O914">
        <v>95</v>
      </c>
      <c r="P914">
        <v>0.48749999999999999</v>
      </c>
      <c r="Q914">
        <v>3.2500000000000001E-2</v>
      </c>
      <c r="R914">
        <v>77.5</v>
      </c>
      <c r="S914">
        <v>170</v>
      </c>
      <c r="T914">
        <v>50</v>
      </c>
      <c r="U914">
        <v>1812.1301775147931</v>
      </c>
      <c r="V914">
        <v>20</v>
      </c>
      <c r="W914">
        <v>0.95</v>
      </c>
      <c r="X914">
        <v>1</v>
      </c>
      <c r="Y914">
        <v>10155482.390123671</v>
      </c>
      <c r="Z914">
        <v>2031096478.024734</v>
      </c>
      <c r="AA914">
        <v>8124385912.0989342</v>
      </c>
      <c r="AB914">
        <v>8124385.9120989339</v>
      </c>
      <c r="AC914">
        <v>0</v>
      </c>
      <c r="AD914">
        <v>21050.831426677221</v>
      </c>
      <c r="AE914">
        <v>9472874.1420047488</v>
      </c>
      <c r="AF914">
        <v>473643.70710023743</v>
      </c>
      <c r="AG914">
        <v>28.442664580586651</v>
      </c>
      <c r="AH914">
        <v>3251.8292897191068</v>
      </c>
      <c r="AI914">
        <v>1625.9146448595529</v>
      </c>
      <c r="AJ914">
        <v>264042.54214321543</v>
      </c>
      <c r="AK914">
        <v>854.70085470085473</v>
      </c>
      <c r="AL914" t="s">
        <v>93</v>
      </c>
      <c r="AM914">
        <v>252016.7699532308</v>
      </c>
      <c r="AN914">
        <v>113332.9278359903</v>
      </c>
      <c r="AO914">
        <v>276405.48962612409</v>
      </c>
      <c r="AP914">
        <v>630246.94078713737</v>
      </c>
      <c r="AQ914">
        <v>353841.45116101328</v>
      </c>
      <c r="AR914">
        <v>0.55747081231111117</v>
      </c>
      <c r="AS914">
        <v>9283.3265109569165</v>
      </c>
      <c r="AT914">
        <v>8860.5190009252183</v>
      </c>
      <c r="AU914">
        <v>3984.6100745900212</v>
      </c>
      <c r="AV914">
        <v>9717.9885816599181</v>
      </c>
      <c r="AW914">
        <v>22158.505543721389</v>
      </c>
      <c r="AX914">
        <v>12440.516962061471</v>
      </c>
      <c r="AY914">
        <v>57.164638715646568</v>
      </c>
      <c r="AZ914" t="s">
        <v>152</v>
      </c>
      <c r="BA914" t="str">
        <f>VLOOKUP($AZ914,Sheet1!$A$2:$B$58,2)</f>
        <v>Succinate</v>
      </c>
      <c r="BB914" t="s">
        <v>197</v>
      </c>
      <c r="BC914">
        <v>116.07016</v>
      </c>
      <c r="BD914">
        <v>3</v>
      </c>
      <c r="BE914">
        <v>235</v>
      </c>
      <c r="BF914" t="s">
        <v>213</v>
      </c>
      <c r="BG914">
        <v>0.15090144625297919</v>
      </c>
      <c r="BH914">
        <v>0.454754098360656</v>
      </c>
      <c r="BI914">
        <v>0.87896124954001598</v>
      </c>
      <c r="BJ914">
        <v>80</v>
      </c>
      <c r="BK914">
        <v>31512.347039356871</v>
      </c>
      <c r="BL914">
        <v>17692.072558050659</v>
      </c>
      <c r="BM914">
        <v>81.14483079672469</v>
      </c>
      <c r="BN914">
        <v>13794.621235443199</v>
      </c>
      <c r="BO914">
        <v>17717.725803913669</v>
      </c>
    </row>
    <row r="915" spans="1:67" x14ac:dyDescent="0.25">
      <c r="A915" s="1">
        <v>913</v>
      </c>
      <c r="B915" t="s">
        <v>77</v>
      </c>
      <c r="C915" t="s">
        <v>86</v>
      </c>
      <c r="D915">
        <v>2</v>
      </c>
      <c r="E915">
        <v>4</v>
      </c>
      <c r="F915">
        <v>2</v>
      </c>
      <c r="G915">
        <v>60.050759999999997</v>
      </c>
      <c r="H915">
        <v>8</v>
      </c>
      <c r="I915" t="s">
        <v>89</v>
      </c>
      <c r="J915">
        <v>4</v>
      </c>
      <c r="K915">
        <v>20</v>
      </c>
      <c r="L915">
        <v>5</v>
      </c>
      <c r="N915" t="s">
        <v>90</v>
      </c>
      <c r="O915">
        <v>95</v>
      </c>
      <c r="P915">
        <v>0.48749999999999999</v>
      </c>
      <c r="Q915">
        <v>3.2500000000000001E-2</v>
      </c>
      <c r="R915">
        <v>77.5</v>
      </c>
      <c r="S915">
        <v>170</v>
      </c>
      <c r="T915">
        <v>50</v>
      </c>
      <c r="U915">
        <v>1812.1301775147931</v>
      </c>
      <c r="V915">
        <v>20</v>
      </c>
      <c r="W915">
        <v>0.95</v>
      </c>
      <c r="X915">
        <v>1</v>
      </c>
      <c r="Y915">
        <v>17379162.480191581</v>
      </c>
      <c r="Z915">
        <v>3475832496.0383158</v>
      </c>
      <c r="AA915">
        <v>13903329984.153259</v>
      </c>
      <c r="AB915">
        <v>13903329.98415326</v>
      </c>
      <c r="AC915">
        <v>0</v>
      </c>
      <c r="AD915">
        <v>36024.464978949312</v>
      </c>
      <c r="AE915">
        <v>16211009.24052719</v>
      </c>
      <c r="AF915">
        <v>810550.46202635963</v>
      </c>
      <c r="AG915">
        <v>48.674171263034033</v>
      </c>
      <c r="AH915">
        <v>5564.8828300696923</v>
      </c>
      <c r="AI915">
        <v>2782.4414150348462</v>
      </c>
      <c r="AJ915">
        <v>451858.2244849811</v>
      </c>
      <c r="AK915">
        <v>854.70085470085473</v>
      </c>
      <c r="AL915" t="s">
        <v>93</v>
      </c>
      <c r="AM915">
        <v>431278.41933040117</v>
      </c>
      <c r="AN915">
        <v>193947.59318700549</v>
      </c>
      <c r="AO915">
        <v>473015.04055592383</v>
      </c>
      <c r="AP915">
        <v>1077938.9378570891</v>
      </c>
      <c r="AQ915">
        <v>604923.8973011648</v>
      </c>
      <c r="AR915">
        <v>0.55747081231111106</v>
      </c>
      <c r="AS915">
        <v>9283.3265109569147</v>
      </c>
      <c r="AT915">
        <v>8860.5190009252146</v>
      </c>
      <c r="AU915">
        <v>3984.6100745900212</v>
      </c>
      <c r="AV915">
        <v>9717.9885816599144</v>
      </c>
      <c r="AW915">
        <v>22146.015225034502</v>
      </c>
      <c r="AX915">
        <v>12428.026643374589</v>
      </c>
      <c r="AY915">
        <v>57.164638715646547</v>
      </c>
      <c r="AZ915" t="s">
        <v>96</v>
      </c>
      <c r="BA915" t="str">
        <f>VLOOKUP($AZ915,Sheet1!$A$2:$B$58,2)</f>
        <v>1,3-Butanediol (PW1)</v>
      </c>
      <c r="BB915" t="s">
        <v>153</v>
      </c>
      <c r="BC915">
        <v>90.119200000000006</v>
      </c>
      <c r="BD915">
        <v>5.5</v>
      </c>
      <c r="BE915">
        <v>207</v>
      </c>
      <c r="BF915" t="s">
        <v>214</v>
      </c>
      <c r="BG915">
        <v>0.9003143262754687</v>
      </c>
      <c r="BH915">
        <v>0.34225641025641101</v>
      </c>
      <c r="BI915">
        <v>0.51361942794877002</v>
      </c>
      <c r="BJ915">
        <v>80</v>
      </c>
      <c r="BK915">
        <v>53896.946892854423</v>
      </c>
      <c r="BL915">
        <v>30246.194865058231</v>
      </c>
      <c r="BM915">
        <v>138.22175642546679</v>
      </c>
      <c r="BN915">
        <v>23497.698592329361</v>
      </c>
      <c r="BO915">
        <v>30399.248300525051</v>
      </c>
    </row>
    <row r="916" spans="1:67" x14ac:dyDescent="0.25">
      <c r="A916" s="1">
        <v>914</v>
      </c>
      <c r="B916" t="s">
        <v>77</v>
      </c>
      <c r="C916" t="s">
        <v>86</v>
      </c>
      <c r="D916">
        <v>2</v>
      </c>
      <c r="E916">
        <v>4</v>
      </c>
      <c r="F916">
        <v>2</v>
      </c>
      <c r="G916">
        <v>60.050759999999997</v>
      </c>
      <c r="H916">
        <v>8</v>
      </c>
      <c r="I916" t="s">
        <v>89</v>
      </c>
      <c r="J916">
        <v>4</v>
      </c>
      <c r="K916">
        <v>20</v>
      </c>
      <c r="L916">
        <v>5</v>
      </c>
      <c r="N916" t="s">
        <v>90</v>
      </c>
      <c r="O916">
        <v>95</v>
      </c>
      <c r="P916">
        <v>0.48749999999999999</v>
      </c>
      <c r="Q916">
        <v>3.2500000000000001E-2</v>
      </c>
      <c r="R916">
        <v>77.5</v>
      </c>
      <c r="S916">
        <v>170</v>
      </c>
      <c r="T916">
        <v>50</v>
      </c>
      <c r="U916">
        <v>1812.1301775147931</v>
      </c>
      <c r="V916">
        <v>20</v>
      </c>
      <c r="W916">
        <v>0.95</v>
      </c>
      <c r="X916">
        <v>1</v>
      </c>
      <c r="Y916">
        <v>17379162.480191581</v>
      </c>
      <c r="Z916">
        <v>3475832496.0383158</v>
      </c>
      <c r="AA916">
        <v>13903329984.153259</v>
      </c>
      <c r="AB916">
        <v>13903329.98415326</v>
      </c>
      <c r="AC916">
        <v>0</v>
      </c>
      <c r="AD916">
        <v>36024.464978949312</v>
      </c>
      <c r="AE916">
        <v>16211009.24052719</v>
      </c>
      <c r="AF916">
        <v>810550.46202635963</v>
      </c>
      <c r="AG916">
        <v>48.674171263034033</v>
      </c>
      <c r="AH916">
        <v>5564.8828300696923</v>
      </c>
      <c r="AI916">
        <v>2782.4414150348462</v>
      </c>
      <c r="AJ916">
        <v>451858.2244849811</v>
      </c>
      <c r="AK916">
        <v>854.70085470085473</v>
      </c>
      <c r="AL916" t="s">
        <v>93</v>
      </c>
      <c r="AM916">
        <v>431278.41933040117</v>
      </c>
      <c r="AN916">
        <v>193947.59318700549</v>
      </c>
      <c r="AO916">
        <v>473015.04055592383</v>
      </c>
      <c r="AP916">
        <v>1077938.9378570891</v>
      </c>
      <c r="AQ916">
        <v>604923.8973011648</v>
      </c>
      <c r="AR916">
        <v>0.55747081231111106</v>
      </c>
      <c r="AS916">
        <v>9283.3265109569147</v>
      </c>
      <c r="AT916">
        <v>8860.5190009252146</v>
      </c>
      <c r="AU916">
        <v>3984.6100745900212</v>
      </c>
      <c r="AV916">
        <v>9717.9885816599144</v>
      </c>
      <c r="AW916">
        <v>22146.015225034502</v>
      </c>
      <c r="AX916">
        <v>12428.026643374589</v>
      </c>
      <c r="AY916">
        <v>57.164638715646547</v>
      </c>
      <c r="AZ916" t="s">
        <v>97</v>
      </c>
      <c r="BA916" t="str">
        <f>VLOOKUP($AZ916,Sheet1!$A$2:$B$58,2)</f>
        <v>1,3-Butanediol (PW2)</v>
      </c>
      <c r="BB916" t="s">
        <v>153</v>
      </c>
      <c r="BC916">
        <v>90.119200000000006</v>
      </c>
      <c r="BD916">
        <v>5.5</v>
      </c>
      <c r="BE916">
        <v>207</v>
      </c>
      <c r="BF916" t="s">
        <v>214</v>
      </c>
      <c r="BG916">
        <v>0.90031432627546992</v>
      </c>
      <c r="BH916">
        <v>0.34225641025641101</v>
      </c>
      <c r="BI916">
        <v>0.51361942794877002</v>
      </c>
      <c r="BJ916">
        <v>80</v>
      </c>
      <c r="BK916">
        <v>53896.946892854423</v>
      </c>
      <c r="BL916">
        <v>30246.194865058231</v>
      </c>
      <c r="BM916">
        <v>138.22175642546679</v>
      </c>
      <c r="BN916">
        <v>23497.698592329361</v>
      </c>
      <c r="BO916">
        <v>30399.248300525051</v>
      </c>
    </row>
    <row r="917" spans="1:67" x14ac:dyDescent="0.25">
      <c r="A917" s="1">
        <v>915</v>
      </c>
      <c r="B917" t="s">
        <v>77</v>
      </c>
      <c r="C917" t="s">
        <v>86</v>
      </c>
      <c r="D917">
        <v>2</v>
      </c>
      <c r="E917">
        <v>4</v>
      </c>
      <c r="F917">
        <v>2</v>
      </c>
      <c r="G917">
        <v>60.050759999999997</v>
      </c>
      <c r="H917">
        <v>8</v>
      </c>
      <c r="I917" t="s">
        <v>89</v>
      </c>
      <c r="J917">
        <v>4</v>
      </c>
      <c r="K917">
        <v>20</v>
      </c>
      <c r="L917">
        <v>5</v>
      </c>
      <c r="N917" t="s">
        <v>90</v>
      </c>
      <c r="O917">
        <v>95</v>
      </c>
      <c r="P917">
        <v>0.48749999999999999</v>
      </c>
      <c r="Q917">
        <v>3.2500000000000001E-2</v>
      </c>
      <c r="R917">
        <v>77.5</v>
      </c>
      <c r="S917">
        <v>170</v>
      </c>
      <c r="T917">
        <v>50</v>
      </c>
      <c r="U917">
        <v>1812.1301775147931</v>
      </c>
      <c r="V917">
        <v>20</v>
      </c>
      <c r="W917">
        <v>0.95</v>
      </c>
      <c r="X917">
        <v>1</v>
      </c>
      <c r="Y917">
        <v>17517738.578075301</v>
      </c>
      <c r="Z917">
        <v>3503547715.6150589</v>
      </c>
      <c r="AA917">
        <v>14014190862.460239</v>
      </c>
      <c r="AB917">
        <v>14014190.862460241</v>
      </c>
      <c r="AC917">
        <v>0</v>
      </c>
      <c r="AD917">
        <v>36311.712985912898</v>
      </c>
      <c r="AE917">
        <v>16340270.8436608</v>
      </c>
      <c r="AF917">
        <v>817013.54218304018</v>
      </c>
      <c r="AG917">
        <v>49.062284138383617</v>
      </c>
      <c r="AH917">
        <v>5609.2554946701939</v>
      </c>
      <c r="AI917">
        <v>2804.627747335097</v>
      </c>
      <c r="AJ917">
        <v>455461.20302995772</v>
      </c>
      <c r="AK917">
        <v>854.70085470085473</v>
      </c>
      <c r="AL917" t="s">
        <v>93</v>
      </c>
      <c r="AM917">
        <v>434717.30083694</v>
      </c>
      <c r="AN917">
        <v>195494.07166020159</v>
      </c>
      <c r="AO917">
        <v>476786.71704696649</v>
      </c>
      <c r="AP917">
        <v>1086527.2763818</v>
      </c>
      <c r="AQ917">
        <v>609740.55933483341</v>
      </c>
      <c r="AR917">
        <v>0.55747081231111117</v>
      </c>
      <c r="AS917">
        <v>9283.3265109569165</v>
      </c>
      <c r="AT917">
        <v>8860.5190009252183</v>
      </c>
      <c r="AU917">
        <v>3984.6100745900221</v>
      </c>
      <c r="AV917">
        <v>9717.9885816599181</v>
      </c>
      <c r="AW917">
        <v>22145.876317481951</v>
      </c>
      <c r="AX917">
        <v>12427.887735822031</v>
      </c>
      <c r="AY917">
        <v>57.164638715646568</v>
      </c>
      <c r="AZ917" t="s">
        <v>98</v>
      </c>
      <c r="BA917" t="str">
        <f>VLOOKUP($AZ917,Sheet1!$A$2:$B$58,2)</f>
        <v>1,3-Diaminopropane</v>
      </c>
      <c r="BB917" t="s">
        <v>154</v>
      </c>
      <c r="BC917">
        <v>76.139580000000009</v>
      </c>
      <c r="BD917">
        <v>6</v>
      </c>
      <c r="BE917">
        <v>139.30000000000001</v>
      </c>
      <c r="BF917" t="s">
        <v>214</v>
      </c>
      <c r="BG917">
        <v>1.1424297637849059</v>
      </c>
      <c r="BH917">
        <v>0.40189189189189201</v>
      </c>
      <c r="BI917">
        <v>0.50955638203646902</v>
      </c>
      <c r="BJ917">
        <v>80</v>
      </c>
      <c r="BK917">
        <v>54326.363819090009</v>
      </c>
      <c r="BL917">
        <v>30487.02796674168</v>
      </c>
      <c r="BM917">
        <v>139.08895760296991</v>
      </c>
      <c r="BN917">
        <v>23645.122792504892</v>
      </c>
      <c r="BO917">
        <v>30681.241026585121</v>
      </c>
    </row>
    <row r="918" spans="1:67" x14ac:dyDescent="0.25">
      <c r="A918" s="1">
        <v>916</v>
      </c>
      <c r="B918" t="s">
        <v>77</v>
      </c>
      <c r="C918" t="s">
        <v>86</v>
      </c>
      <c r="D918">
        <v>2</v>
      </c>
      <c r="E918">
        <v>4</v>
      </c>
      <c r="F918">
        <v>2</v>
      </c>
      <c r="G918">
        <v>60.050759999999997</v>
      </c>
      <c r="H918">
        <v>8</v>
      </c>
      <c r="I918" t="s">
        <v>89</v>
      </c>
      <c r="J918">
        <v>4</v>
      </c>
      <c r="K918">
        <v>20</v>
      </c>
      <c r="L918">
        <v>5</v>
      </c>
      <c r="N918" t="s">
        <v>90</v>
      </c>
      <c r="O918">
        <v>95</v>
      </c>
      <c r="P918">
        <v>0.48749999999999999</v>
      </c>
      <c r="Q918">
        <v>3.2500000000000001E-2</v>
      </c>
      <c r="R918">
        <v>77.5</v>
      </c>
      <c r="S918">
        <v>170</v>
      </c>
      <c r="T918">
        <v>50</v>
      </c>
      <c r="U918">
        <v>1812.1301775147931</v>
      </c>
      <c r="V918">
        <v>20</v>
      </c>
      <c r="W918">
        <v>0.95</v>
      </c>
      <c r="X918">
        <v>1</v>
      </c>
      <c r="Y918">
        <v>17268576.500346031</v>
      </c>
      <c r="Z918">
        <v>3453715300.0692062</v>
      </c>
      <c r="AA918">
        <v>13814861200.276819</v>
      </c>
      <c r="AB918">
        <v>13814861.200276829</v>
      </c>
      <c r="AC918">
        <v>0</v>
      </c>
      <c r="AD918">
        <v>35795.236397730318</v>
      </c>
      <c r="AE918">
        <v>16107856.37897864</v>
      </c>
      <c r="AF918">
        <v>805392.81894893211</v>
      </c>
      <c r="AG918">
        <v>48.364450876425771</v>
      </c>
      <c r="AH918">
        <v>5529.4727220630302</v>
      </c>
      <c r="AI918">
        <v>2764.7363610315151</v>
      </c>
      <c r="AJ918">
        <v>448982.98900899693</v>
      </c>
      <c r="AK918">
        <v>854.70085470085473</v>
      </c>
      <c r="AL918" t="s">
        <v>93</v>
      </c>
      <c r="AM918">
        <v>428534.13595988491</v>
      </c>
      <c r="AN918">
        <v>192713.47821422029</v>
      </c>
      <c r="AO918">
        <v>470005.18137535761</v>
      </c>
      <c r="AP918">
        <v>1071085.3040378031</v>
      </c>
      <c r="AQ918">
        <v>601080.12266244506</v>
      </c>
      <c r="AR918">
        <v>0.55747081231111117</v>
      </c>
      <c r="AS918">
        <v>9283.3265109569165</v>
      </c>
      <c r="AT918">
        <v>8860.5190009252165</v>
      </c>
      <c r="AU918">
        <v>3984.6100745900198</v>
      </c>
      <c r="AV918">
        <v>9717.9885816599162</v>
      </c>
      <c r="AW918">
        <v>22146.127674942349</v>
      </c>
      <c r="AX918">
        <v>12428.139093282431</v>
      </c>
      <c r="AY918">
        <v>57.164638715646568</v>
      </c>
      <c r="AZ918" t="s">
        <v>99</v>
      </c>
      <c r="BA918" t="str">
        <f>VLOOKUP($AZ918,Sheet1!$A$2:$B$58,2)</f>
        <v>1,3-Propanediol</v>
      </c>
      <c r="BB918" t="s">
        <v>155</v>
      </c>
      <c r="BC918">
        <v>76.092820000000003</v>
      </c>
      <c r="BD918">
        <v>5.333333333333333</v>
      </c>
      <c r="BE918">
        <v>213</v>
      </c>
      <c r="BF918" t="s">
        <v>214</v>
      </c>
      <c r="BG918">
        <v>1.100450769299097</v>
      </c>
      <c r="BH918">
        <v>0.40794117647058897</v>
      </c>
      <c r="BI918">
        <v>0.51690858775336002</v>
      </c>
      <c r="BJ918">
        <v>80</v>
      </c>
      <c r="BK918">
        <v>53554.265201890121</v>
      </c>
      <c r="BL918">
        <v>30054.00613312225</v>
      </c>
      <c r="BM918">
        <v>137.13636728227669</v>
      </c>
      <c r="BN918">
        <v>23313.18243798703</v>
      </c>
      <c r="BO918">
        <v>30241.08276390309</v>
      </c>
    </row>
    <row r="919" spans="1:67" x14ac:dyDescent="0.25">
      <c r="A919" s="1">
        <v>917</v>
      </c>
      <c r="B919" t="s">
        <v>77</v>
      </c>
      <c r="C919" t="s">
        <v>86</v>
      </c>
      <c r="D919">
        <v>2</v>
      </c>
      <c r="E919">
        <v>4</v>
      </c>
      <c r="F919">
        <v>2</v>
      </c>
      <c r="G919">
        <v>60.050759999999997</v>
      </c>
      <c r="H919">
        <v>8</v>
      </c>
      <c r="I919" t="s">
        <v>89</v>
      </c>
      <c r="J919">
        <v>4</v>
      </c>
      <c r="K919">
        <v>20</v>
      </c>
      <c r="L919">
        <v>5</v>
      </c>
      <c r="N919" t="s">
        <v>90</v>
      </c>
      <c r="O919">
        <v>95</v>
      </c>
      <c r="P919">
        <v>0.48749999999999999</v>
      </c>
      <c r="Q919">
        <v>3.2500000000000001E-2</v>
      </c>
      <c r="R919">
        <v>77.5</v>
      </c>
      <c r="S919">
        <v>170</v>
      </c>
      <c r="T919">
        <v>50</v>
      </c>
      <c r="U919">
        <v>1812.1301775147931</v>
      </c>
      <c r="V919">
        <v>20</v>
      </c>
      <c r="W919">
        <v>0.95</v>
      </c>
      <c r="X919">
        <v>1</v>
      </c>
      <c r="Y919">
        <v>18440488.813304331</v>
      </c>
      <c r="Z919">
        <v>3688097762.6608672</v>
      </c>
      <c r="AA919">
        <v>14752391050.643471</v>
      </c>
      <c r="AB919">
        <v>14752391.05064347</v>
      </c>
      <c r="AC919">
        <v>0</v>
      </c>
      <c r="AD919">
        <v>38224.439423174408</v>
      </c>
      <c r="AE919">
        <v>17200997.740428481</v>
      </c>
      <c r="AF919">
        <v>860049.88702142437</v>
      </c>
      <c r="AG919">
        <v>51.646649353550657</v>
      </c>
      <c r="AH919">
        <v>5904.7241023388087</v>
      </c>
      <c r="AI919">
        <v>2952.3620511694039</v>
      </c>
      <c r="AJ919">
        <v>479452.70914591273</v>
      </c>
      <c r="AK919">
        <v>854.70085470085473</v>
      </c>
      <c r="AL919" t="s">
        <v>93</v>
      </c>
      <c r="AM919">
        <v>457616.1179312577</v>
      </c>
      <c r="AN919">
        <v>205791.7593329761</v>
      </c>
      <c r="AO919">
        <v>501901.54869879881</v>
      </c>
      <c r="AP919">
        <v>1143715.287264847</v>
      </c>
      <c r="AQ919">
        <v>641813.73856604844</v>
      </c>
      <c r="AR919">
        <v>0.55747081231111095</v>
      </c>
      <c r="AS919">
        <v>9283.3265109569129</v>
      </c>
      <c r="AT919">
        <v>8860.5190009252146</v>
      </c>
      <c r="AU919">
        <v>3984.6100745900198</v>
      </c>
      <c r="AV919">
        <v>9717.9885816599144</v>
      </c>
      <c r="AW919">
        <v>22145.00459527328</v>
      </c>
      <c r="AX919">
        <v>12427.01601361336</v>
      </c>
      <c r="AY919">
        <v>57.164638715646547</v>
      </c>
      <c r="AZ919" t="s">
        <v>100</v>
      </c>
      <c r="BA919" t="str">
        <f>VLOOKUP($AZ919,Sheet1!$A$2:$B$58,2)</f>
        <v>1,4-Butanediol</v>
      </c>
      <c r="BB919" t="s">
        <v>153</v>
      </c>
      <c r="BC919">
        <v>90.119200000000006</v>
      </c>
      <c r="BD919">
        <v>5.5</v>
      </c>
      <c r="BE919">
        <v>230</v>
      </c>
      <c r="BF919" t="s">
        <v>214</v>
      </c>
      <c r="BG919">
        <v>1.0745883031803229</v>
      </c>
      <c r="BH919">
        <v>0.32255813953488299</v>
      </c>
      <c r="BI919">
        <v>0.48405850743309198</v>
      </c>
      <c r="BJ919">
        <v>80</v>
      </c>
      <c r="BK919">
        <v>57185.76436324235</v>
      </c>
      <c r="BL919">
        <v>32090.68692830241</v>
      </c>
      <c r="BM919">
        <v>146.54351425528989</v>
      </c>
      <c r="BN919">
        <v>24912.397423399281</v>
      </c>
      <c r="BO919">
        <v>32273.366939843068</v>
      </c>
    </row>
    <row r="920" spans="1:67" x14ac:dyDescent="0.25">
      <c r="A920" s="1">
        <v>918</v>
      </c>
      <c r="B920" t="s">
        <v>77</v>
      </c>
      <c r="C920" t="s">
        <v>86</v>
      </c>
      <c r="D920">
        <v>2</v>
      </c>
      <c r="E920">
        <v>4</v>
      </c>
      <c r="F920">
        <v>2</v>
      </c>
      <c r="G920">
        <v>60.050759999999997</v>
      </c>
      <c r="H920">
        <v>8</v>
      </c>
      <c r="I920" t="s">
        <v>89</v>
      </c>
      <c r="J920">
        <v>4</v>
      </c>
      <c r="K920">
        <v>20</v>
      </c>
      <c r="L920">
        <v>5</v>
      </c>
      <c r="N920" t="s">
        <v>90</v>
      </c>
      <c r="O920">
        <v>95</v>
      </c>
      <c r="P920">
        <v>0.48749999999999999</v>
      </c>
      <c r="Q920">
        <v>3.2500000000000001E-2</v>
      </c>
      <c r="R920">
        <v>77.5</v>
      </c>
      <c r="S920">
        <v>170</v>
      </c>
      <c r="T920">
        <v>50</v>
      </c>
      <c r="U920">
        <v>1812.1301775147931</v>
      </c>
      <c r="V920">
        <v>20</v>
      </c>
      <c r="W920">
        <v>0.95</v>
      </c>
      <c r="X920">
        <v>1</v>
      </c>
      <c r="Y920">
        <v>23898569.814838301</v>
      </c>
      <c r="Z920">
        <v>4779713962.96766</v>
      </c>
      <c r="AA920">
        <v>19118855851.87064</v>
      </c>
      <c r="AB920">
        <v>19118855.851870641</v>
      </c>
      <c r="AC920">
        <v>0</v>
      </c>
      <c r="AD920">
        <v>49538.243993224183</v>
      </c>
      <c r="AE920">
        <v>22292209.79695088</v>
      </c>
      <c r="AF920">
        <v>1114610.4898475441</v>
      </c>
      <c r="AG920">
        <v>66.933207019317308</v>
      </c>
      <c r="AH920">
        <v>7652.4251946777031</v>
      </c>
      <c r="AI920">
        <v>3826.212597338852</v>
      </c>
      <c r="AJ920">
        <v>621362.81518579589</v>
      </c>
      <c r="AK920">
        <v>854.70085470085473</v>
      </c>
      <c r="AL920" t="s">
        <v>93</v>
      </c>
      <c r="AM920">
        <v>593062.95258752198</v>
      </c>
      <c r="AN920">
        <v>266702.73101379123</v>
      </c>
      <c r="AO920">
        <v>650456.14154760481</v>
      </c>
      <c r="AP920">
        <v>1481983.19964181</v>
      </c>
      <c r="AQ920">
        <v>831527.05809420499</v>
      </c>
      <c r="AR920">
        <v>0.55747081231111106</v>
      </c>
      <c r="AS920">
        <v>9283.3265109569147</v>
      </c>
      <c r="AT920">
        <v>8860.5190009252146</v>
      </c>
      <c r="AU920">
        <v>3984.6100745900198</v>
      </c>
      <c r="AV920">
        <v>9717.9885816599144</v>
      </c>
      <c r="AW920">
        <v>22141.225045650372</v>
      </c>
      <c r="AX920">
        <v>12423.236463990461</v>
      </c>
      <c r="AY920">
        <v>57.164638715646547</v>
      </c>
      <c r="AZ920" t="s">
        <v>101</v>
      </c>
      <c r="BA920" t="str">
        <f>VLOOKUP($AZ920,Sheet1!$A$2:$B$58,2)</f>
        <v>1-Propanol (PW1)</v>
      </c>
      <c r="BB920" t="s">
        <v>156</v>
      </c>
      <c r="BC920">
        <v>60.093820000000001</v>
      </c>
      <c r="BD920">
        <v>6</v>
      </c>
      <c r="BE920">
        <v>97</v>
      </c>
      <c r="BF920" t="s">
        <v>214</v>
      </c>
      <c r="BG920">
        <v>1.7271750568171551</v>
      </c>
      <c r="BH920">
        <v>0.37324675324675599</v>
      </c>
      <c r="BI920">
        <v>0.37350668096308098</v>
      </c>
      <c r="BJ920">
        <v>80</v>
      </c>
      <c r="BK920">
        <v>74099.159982090467</v>
      </c>
      <c r="BL920">
        <v>41576.352904710227</v>
      </c>
      <c r="BM920">
        <v>189.5834548101254</v>
      </c>
      <c r="BN920">
        <v>32229.18731772132</v>
      </c>
      <c r="BO920">
        <v>41869.972664369147</v>
      </c>
    </row>
    <row r="921" spans="1:67" x14ac:dyDescent="0.25">
      <c r="A921" s="1">
        <v>919</v>
      </c>
      <c r="B921" t="s">
        <v>77</v>
      </c>
      <c r="C921" t="s">
        <v>86</v>
      </c>
      <c r="D921">
        <v>2</v>
      </c>
      <c r="E921">
        <v>4</v>
      </c>
      <c r="F921">
        <v>2</v>
      </c>
      <c r="G921">
        <v>60.050759999999997</v>
      </c>
      <c r="H921">
        <v>8</v>
      </c>
      <c r="I921" t="s">
        <v>89</v>
      </c>
      <c r="J921">
        <v>4</v>
      </c>
      <c r="K921">
        <v>20</v>
      </c>
      <c r="L921">
        <v>5</v>
      </c>
      <c r="N921" t="s">
        <v>90</v>
      </c>
      <c r="O921">
        <v>95</v>
      </c>
      <c r="P921">
        <v>0.48749999999999999</v>
      </c>
      <c r="Q921">
        <v>3.2500000000000001E-2</v>
      </c>
      <c r="R921">
        <v>77.5</v>
      </c>
      <c r="S921">
        <v>170</v>
      </c>
      <c r="T921">
        <v>50</v>
      </c>
      <c r="U921">
        <v>1812.1301775147931</v>
      </c>
      <c r="V921">
        <v>20</v>
      </c>
      <c r="W921">
        <v>0.95</v>
      </c>
      <c r="X921">
        <v>1</v>
      </c>
      <c r="Y921">
        <v>25494465.541475851</v>
      </c>
      <c r="Z921">
        <v>5098893108.2951698</v>
      </c>
      <c r="AA921">
        <v>20395572433.180679</v>
      </c>
      <c r="AB921">
        <v>20395572.433180679</v>
      </c>
      <c r="AC921">
        <v>0</v>
      </c>
      <c r="AD921">
        <v>52846.302697424493</v>
      </c>
      <c r="AE921">
        <v>23780836.213841021</v>
      </c>
      <c r="AF921">
        <v>1189041.810692051</v>
      </c>
      <c r="AG921">
        <v>71.402864403833789</v>
      </c>
      <c r="AH921">
        <v>8163.4378938149193</v>
      </c>
      <c r="AI921">
        <v>4081.7189469074601</v>
      </c>
      <c r="AJ921">
        <v>662856.10407837213</v>
      </c>
      <c r="AK921">
        <v>854.70085470085473</v>
      </c>
      <c r="AL921" t="s">
        <v>93</v>
      </c>
      <c r="AM921">
        <v>632666.43677065626</v>
      </c>
      <c r="AN921">
        <v>284512.57285810128</v>
      </c>
      <c r="AO921">
        <v>693892.22097426816</v>
      </c>
      <c r="AP921">
        <v>1580889.8145618299</v>
      </c>
      <c r="AQ921">
        <v>886997.59358756221</v>
      </c>
      <c r="AR921">
        <v>0.55747081231111106</v>
      </c>
      <c r="AS921">
        <v>9283.3265109569147</v>
      </c>
      <c r="AT921">
        <v>8860.5190009252183</v>
      </c>
      <c r="AU921">
        <v>3984.6100745900198</v>
      </c>
      <c r="AV921">
        <v>9717.9885816599162</v>
      </c>
      <c r="AW921">
        <v>22140.42570646435</v>
      </c>
      <c r="AX921">
        <v>12422.437124804441</v>
      </c>
      <c r="AY921">
        <v>57.164638715646568</v>
      </c>
      <c r="AZ921" t="s">
        <v>102</v>
      </c>
      <c r="BA921" t="str">
        <f>VLOOKUP($AZ921,Sheet1!$A$2:$B$58,2)</f>
        <v>1-Propanol (PW2)</v>
      </c>
      <c r="BB921" t="s">
        <v>156</v>
      </c>
      <c r="BC921">
        <v>60.093820000000001</v>
      </c>
      <c r="BD921">
        <v>6</v>
      </c>
      <c r="BE921">
        <v>97</v>
      </c>
      <c r="BF921" t="s">
        <v>214</v>
      </c>
      <c r="BG921">
        <v>1.989227440075072</v>
      </c>
      <c r="BH921">
        <v>0.34988235294117598</v>
      </c>
      <c r="BI921">
        <v>0.35012600977192299</v>
      </c>
      <c r="BJ921">
        <v>80</v>
      </c>
      <c r="BK921">
        <v>79044.490728091507</v>
      </c>
      <c r="BL921">
        <v>44349.8796793781</v>
      </c>
      <c r="BM921">
        <v>202.0967199052979</v>
      </c>
      <c r="BN921">
        <v>34356.442383900641</v>
      </c>
      <c r="BO921">
        <v>44688.048344190873</v>
      </c>
    </row>
    <row r="922" spans="1:67" x14ac:dyDescent="0.25">
      <c r="A922" s="1">
        <v>920</v>
      </c>
      <c r="B922" t="s">
        <v>77</v>
      </c>
      <c r="C922" t="s">
        <v>86</v>
      </c>
      <c r="D922">
        <v>2</v>
      </c>
      <c r="E922">
        <v>4</v>
      </c>
      <c r="F922">
        <v>2</v>
      </c>
      <c r="G922">
        <v>60.050759999999997</v>
      </c>
      <c r="H922">
        <v>8</v>
      </c>
      <c r="I922" t="s">
        <v>89</v>
      </c>
      <c r="J922">
        <v>4</v>
      </c>
      <c r="K922">
        <v>20</v>
      </c>
      <c r="L922">
        <v>5</v>
      </c>
      <c r="N922" t="s">
        <v>90</v>
      </c>
      <c r="O922">
        <v>95</v>
      </c>
      <c r="P922">
        <v>0.48749999999999999</v>
      </c>
      <c r="Q922">
        <v>3.2500000000000001E-2</v>
      </c>
      <c r="R922">
        <v>77.5</v>
      </c>
      <c r="S922">
        <v>170</v>
      </c>
      <c r="T922">
        <v>50</v>
      </c>
      <c r="U922">
        <v>1812.1301775147931</v>
      </c>
      <c r="V922">
        <v>20</v>
      </c>
      <c r="W922">
        <v>0.95</v>
      </c>
      <c r="X922">
        <v>1</v>
      </c>
      <c r="Y922">
        <v>17416294.122687928</v>
      </c>
      <c r="Z922">
        <v>3483258824.5375848</v>
      </c>
      <c r="AA922">
        <v>13933035298.150339</v>
      </c>
      <c r="AB922">
        <v>13933035.29815034</v>
      </c>
      <c r="AC922">
        <v>0</v>
      </c>
      <c r="AD922">
        <v>36101.433449452154</v>
      </c>
      <c r="AE922">
        <v>16245645.052253461</v>
      </c>
      <c r="AF922">
        <v>812282.25261267321</v>
      </c>
      <c r="AG922">
        <v>48.77816660390301</v>
      </c>
      <c r="AH922">
        <v>5576.7725422474641</v>
      </c>
      <c r="AI922">
        <v>2788.3862711237321</v>
      </c>
      <c r="AJ922">
        <v>452823.64718988608</v>
      </c>
      <c r="AK922">
        <v>854.70085470085473</v>
      </c>
      <c r="AL922" t="s">
        <v>93</v>
      </c>
      <c r="AM922">
        <v>432199.87202417839</v>
      </c>
      <c r="AN922">
        <v>194361.9740699424</v>
      </c>
      <c r="AO922">
        <v>474025.66609103442</v>
      </c>
      <c r="AP922">
        <v>1080240.1941387081</v>
      </c>
      <c r="AQ922">
        <v>606214.5280476734</v>
      </c>
      <c r="AR922">
        <v>0.55747081231111117</v>
      </c>
      <c r="AS922">
        <v>9283.3265109569165</v>
      </c>
      <c r="AT922">
        <v>8860.5190009252165</v>
      </c>
      <c r="AU922">
        <v>3984.6100745900198</v>
      </c>
      <c r="AV922">
        <v>9717.9885816599144</v>
      </c>
      <c r="AW922">
        <v>22145.977787780808</v>
      </c>
      <c r="AX922">
        <v>12427.98920612089</v>
      </c>
      <c r="AY922">
        <v>57.164638715646561</v>
      </c>
      <c r="AZ922" t="s">
        <v>103</v>
      </c>
      <c r="BA922" t="str">
        <f>VLOOKUP($AZ922,Sheet1!$A$2:$B$58,2)</f>
        <v>2,3-Butanediol</v>
      </c>
      <c r="BB922" t="s">
        <v>153</v>
      </c>
      <c r="BC922">
        <v>90.119200000000006</v>
      </c>
      <c r="BD922">
        <v>5.5</v>
      </c>
      <c r="BE922">
        <v>177</v>
      </c>
      <c r="BF922" t="s">
        <v>214</v>
      </c>
      <c r="BG922">
        <v>0.90641148867024945</v>
      </c>
      <c r="BH922">
        <v>0.341526717557252</v>
      </c>
      <c r="BI922">
        <v>0.51252438827825098</v>
      </c>
      <c r="BJ922">
        <v>80</v>
      </c>
      <c r="BK922">
        <v>54012.009706935372</v>
      </c>
      <c r="BL922">
        <v>30310.726402383661</v>
      </c>
      <c r="BM922">
        <v>138.51290206751639</v>
      </c>
      <c r="BN922">
        <v>23547.193351477781</v>
      </c>
      <c r="BO922">
        <v>30464.816355457591</v>
      </c>
    </row>
    <row r="923" spans="1:67" x14ac:dyDescent="0.25">
      <c r="A923" s="1">
        <v>921</v>
      </c>
      <c r="B923" t="s">
        <v>77</v>
      </c>
      <c r="C923" t="s">
        <v>86</v>
      </c>
      <c r="D923">
        <v>2</v>
      </c>
      <c r="E923">
        <v>4</v>
      </c>
      <c r="F923">
        <v>2</v>
      </c>
      <c r="G923">
        <v>60.050759999999997</v>
      </c>
      <c r="H923">
        <v>8</v>
      </c>
      <c r="I923" t="s">
        <v>89</v>
      </c>
      <c r="J923">
        <v>4</v>
      </c>
      <c r="K923">
        <v>20</v>
      </c>
      <c r="L923">
        <v>5</v>
      </c>
      <c r="N923" t="s">
        <v>90</v>
      </c>
      <c r="O923">
        <v>95</v>
      </c>
      <c r="P923">
        <v>0.48749999999999999</v>
      </c>
      <c r="Q923">
        <v>3.2500000000000001E-2</v>
      </c>
      <c r="R923">
        <v>77.5</v>
      </c>
      <c r="S923">
        <v>170</v>
      </c>
      <c r="T923">
        <v>50</v>
      </c>
      <c r="U923">
        <v>1812.1301775147931</v>
      </c>
      <c r="V923">
        <v>20</v>
      </c>
      <c r="W923">
        <v>0.95</v>
      </c>
      <c r="X923">
        <v>1</v>
      </c>
      <c r="Y923">
        <v>27400351.21911408</v>
      </c>
      <c r="Z923">
        <v>5480070243.8228159</v>
      </c>
      <c r="AA923">
        <v>21920280975.29126</v>
      </c>
      <c r="AB923">
        <v>21920280.97529126</v>
      </c>
      <c r="AC923">
        <v>0</v>
      </c>
      <c r="AD923">
        <v>56796.92528503279</v>
      </c>
      <c r="AE923">
        <v>25558616.378264759</v>
      </c>
      <c r="AF923">
        <v>1277930.8189132379</v>
      </c>
      <c r="AG923">
        <v>76.740716903162294</v>
      </c>
      <c r="AH923">
        <v>8773.7107130979693</v>
      </c>
      <c r="AI923">
        <v>4386.8553565489847</v>
      </c>
      <c r="AJ923">
        <v>712409.13169696613</v>
      </c>
      <c r="AK923">
        <v>854.70085470085473</v>
      </c>
      <c r="AL923" t="s">
        <v>93</v>
      </c>
      <c r="AM923">
        <v>679962.58026509266</v>
      </c>
      <c r="AN923">
        <v>305781.83370360121</v>
      </c>
      <c r="AO923">
        <v>745765.4106133274</v>
      </c>
      <c r="AP923">
        <v>1699008.2465203609</v>
      </c>
      <c r="AQ923">
        <v>953242.8359070333</v>
      </c>
      <c r="AR923">
        <v>0.55747081231111106</v>
      </c>
      <c r="AS923">
        <v>9283.3265109569147</v>
      </c>
      <c r="AT923">
        <v>8860.5190009252165</v>
      </c>
      <c r="AU923">
        <v>3984.6100745900189</v>
      </c>
      <c r="AV923">
        <v>9717.9885816599162</v>
      </c>
      <c r="AW923">
        <v>22139.593101069251</v>
      </c>
      <c r="AX923">
        <v>12421.604519409329</v>
      </c>
      <c r="AY923">
        <v>57.164638715646568</v>
      </c>
      <c r="AZ923" t="s">
        <v>104</v>
      </c>
      <c r="BA923" t="str">
        <f>VLOOKUP($AZ923,Sheet1!$A$2:$B$58,2)</f>
        <v>2-Methyl-1-Butanol</v>
      </c>
      <c r="BB923" t="s">
        <v>157</v>
      </c>
      <c r="BC923">
        <v>88.14658</v>
      </c>
      <c r="BD923">
        <v>6</v>
      </c>
      <c r="BE923">
        <v>129</v>
      </c>
      <c r="BF923" t="s">
        <v>214</v>
      </c>
      <c r="BG923">
        <v>2.0028359642704849</v>
      </c>
      <c r="BH923">
        <v>0.221940298507463</v>
      </c>
      <c r="BI923">
        <v>0.32577230196516199</v>
      </c>
      <c r="BJ923">
        <v>80</v>
      </c>
      <c r="BK923">
        <v>84950.41232601802</v>
      </c>
      <c r="BL923">
        <v>47662.141795351657</v>
      </c>
      <c r="BM923">
        <v>217.3399318631788</v>
      </c>
      <c r="BN923">
        <v>36947.788416740397</v>
      </c>
      <c r="BO923">
        <v>48002.623909277623</v>
      </c>
    </row>
    <row r="924" spans="1:67" x14ac:dyDescent="0.25">
      <c r="A924" s="1">
        <v>922</v>
      </c>
      <c r="B924" t="s">
        <v>77</v>
      </c>
      <c r="C924" t="s">
        <v>86</v>
      </c>
      <c r="D924">
        <v>2</v>
      </c>
      <c r="E924">
        <v>4</v>
      </c>
      <c r="F924">
        <v>2</v>
      </c>
      <c r="G924">
        <v>60.050759999999997</v>
      </c>
      <c r="H924">
        <v>8</v>
      </c>
      <c r="I924" t="s">
        <v>89</v>
      </c>
      <c r="J924">
        <v>4</v>
      </c>
      <c r="K924">
        <v>20</v>
      </c>
      <c r="L924">
        <v>5</v>
      </c>
      <c r="N924" t="s">
        <v>90</v>
      </c>
      <c r="O924">
        <v>95</v>
      </c>
      <c r="P924">
        <v>0.48749999999999999</v>
      </c>
      <c r="Q924">
        <v>3.2500000000000001E-2</v>
      </c>
      <c r="R924">
        <v>77.5</v>
      </c>
      <c r="S924">
        <v>170</v>
      </c>
      <c r="T924">
        <v>50</v>
      </c>
      <c r="U924">
        <v>1812.1301775147931</v>
      </c>
      <c r="V924">
        <v>20</v>
      </c>
      <c r="W924">
        <v>0.95</v>
      </c>
      <c r="X924">
        <v>1</v>
      </c>
      <c r="Y924">
        <v>11815261.79469212</v>
      </c>
      <c r="Z924">
        <v>2363052358.9384251</v>
      </c>
      <c r="AA924">
        <v>9452209435.7536983</v>
      </c>
      <c r="AB924">
        <v>9452209.4357536975</v>
      </c>
      <c r="AC924">
        <v>0</v>
      </c>
      <c r="AD924">
        <v>24491.311662753509</v>
      </c>
      <c r="AE924">
        <v>11021090.248239079</v>
      </c>
      <c r="AF924">
        <v>551054.512411954</v>
      </c>
      <c r="AG924">
        <v>33.091242271767271</v>
      </c>
      <c r="AH924">
        <v>3783.297818235013</v>
      </c>
      <c r="AI924">
        <v>1891.6489091175069</v>
      </c>
      <c r="AJ924">
        <v>307196.80666199519</v>
      </c>
      <c r="AK924">
        <v>1835.336538461539</v>
      </c>
      <c r="AL924" t="s">
        <v>94</v>
      </c>
      <c r="AM924">
        <v>293205.58091321349</v>
      </c>
      <c r="AN924">
        <v>131855.69733678299</v>
      </c>
      <c r="AO924">
        <v>321580.31454997609</v>
      </c>
      <c r="AP924">
        <v>734093.42145045311</v>
      </c>
      <c r="AQ924">
        <v>412513.10690047703</v>
      </c>
      <c r="AR924">
        <v>0.55747081231111095</v>
      </c>
      <c r="AS924">
        <v>9283.3265109569129</v>
      </c>
      <c r="AT924">
        <v>8860.5190009252146</v>
      </c>
      <c r="AU924">
        <v>3984.6100745900189</v>
      </c>
      <c r="AV924">
        <v>9717.9885816599126</v>
      </c>
      <c r="AW924">
        <v>22183.91849485704</v>
      </c>
      <c r="AX924">
        <v>12465.929913197129</v>
      </c>
      <c r="AY924">
        <v>57.164638715646539</v>
      </c>
      <c r="AZ924" t="s">
        <v>105</v>
      </c>
      <c r="BA924" t="str">
        <f>VLOOKUP($AZ924,Sheet1!$A$2:$B$58,2)</f>
        <v>2-Pyrone-4,6-Dicarboxylate</v>
      </c>
      <c r="BB924" t="s">
        <v>158</v>
      </c>
      <c r="BC924">
        <v>182.08457999999999</v>
      </c>
      <c r="BD924">
        <v>2.5714285714285721</v>
      </c>
      <c r="BE924">
        <v>355.5</v>
      </c>
      <c r="BF924" t="s">
        <v>214</v>
      </c>
      <c r="BG924">
        <v>0.24820662933568469</v>
      </c>
      <c r="BH924">
        <v>0.24916167664670699</v>
      </c>
      <c r="BI924">
        <v>0.75548689875959896</v>
      </c>
      <c r="BJ924">
        <v>80</v>
      </c>
      <c r="BK924">
        <v>36704.671072522651</v>
      </c>
      <c r="BL924">
        <v>20625.655345023839</v>
      </c>
      <c r="BM924">
        <v>94.334238826539632</v>
      </c>
      <c r="BN924">
        <v>16036.820600511741</v>
      </c>
      <c r="BO924">
        <v>20667.850472010909</v>
      </c>
    </row>
    <row r="925" spans="1:67" x14ac:dyDescent="0.25">
      <c r="A925" s="1">
        <v>923</v>
      </c>
      <c r="B925" t="s">
        <v>77</v>
      </c>
      <c r="C925" t="s">
        <v>86</v>
      </c>
      <c r="D925">
        <v>2</v>
      </c>
      <c r="E925">
        <v>4</v>
      </c>
      <c r="F925">
        <v>2</v>
      </c>
      <c r="G925">
        <v>60.050759999999997</v>
      </c>
      <c r="H925">
        <v>8</v>
      </c>
      <c r="I925" t="s">
        <v>89</v>
      </c>
      <c r="J925">
        <v>4</v>
      </c>
      <c r="K925">
        <v>20</v>
      </c>
      <c r="L925">
        <v>5</v>
      </c>
      <c r="N925" t="s">
        <v>90</v>
      </c>
      <c r="O925">
        <v>95</v>
      </c>
      <c r="P925">
        <v>0.48749999999999999</v>
      </c>
      <c r="Q925">
        <v>3.2500000000000001E-2</v>
      </c>
      <c r="R925">
        <v>77.5</v>
      </c>
      <c r="S925">
        <v>170</v>
      </c>
      <c r="T925">
        <v>50</v>
      </c>
      <c r="U925">
        <v>1812.1301775147931</v>
      </c>
      <c r="V925">
        <v>20</v>
      </c>
      <c r="W925">
        <v>0.95</v>
      </c>
      <c r="X925">
        <v>1</v>
      </c>
      <c r="Y925">
        <v>28225445.5028488</v>
      </c>
      <c r="Z925">
        <v>5645089100.5697594</v>
      </c>
      <c r="AA925">
        <v>22580356402.279041</v>
      </c>
      <c r="AB925">
        <v>22580356.402279042</v>
      </c>
      <c r="AC925">
        <v>0</v>
      </c>
      <c r="AD925">
        <v>58507.225200958594</v>
      </c>
      <c r="AE925">
        <v>26328251.34043137</v>
      </c>
      <c r="AF925">
        <v>1316412.5670215681</v>
      </c>
      <c r="AG925">
        <v>79.051575123196116</v>
      </c>
      <c r="AH925">
        <v>9037.9094636405989</v>
      </c>
      <c r="AI925">
        <v>4518.9547318202985</v>
      </c>
      <c r="AJ925">
        <v>733861.58307406877</v>
      </c>
      <c r="AK925">
        <v>854.70085470085473</v>
      </c>
      <c r="AL925" t="s">
        <v>93</v>
      </c>
      <c r="AM925">
        <v>700437.98343214637</v>
      </c>
      <c r="AN925">
        <v>314989.70264809713</v>
      </c>
      <c r="AO925">
        <v>768222.30440945085</v>
      </c>
      <c r="AP925">
        <v>1750143.9700090131</v>
      </c>
      <c r="AQ925">
        <v>981921.66559956223</v>
      </c>
      <c r="AR925">
        <v>0.55747081231111117</v>
      </c>
      <c r="AS925">
        <v>9283.3265109569165</v>
      </c>
      <c r="AT925">
        <v>8860.5190009252165</v>
      </c>
      <c r="AU925">
        <v>3984.6100745900212</v>
      </c>
      <c r="AV925">
        <v>9717.9885816599162</v>
      </c>
      <c r="AW925">
        <v>22139.267526061831</v>
      </c>
      <c r="AX925">
        <v>12421.27894440192</v>
      </c>
      <c r="AY925">
        <v>57.164638715646561</v>
      </c>
      <c r="AZ925" t="s">
        <v>106</v>
      </c>
      <c r="BA925" t="str">
        <f>VLOOKUP($AZ925,Sheet1!$A$2:$B$58,2)</f>
        <v>3-Methyl-1-Pentanol</v>
      </c>
      <c r="BB925" t="s">
        <v>159</v>
      </c>
      <c r="BC925">
        <v>102.17296</v>
      </c>
      <c r="BD925">
        <v>6</v>
      </c>
      <c r="BE925">
        <v>153</v>
      </c>
      <c r="BF925" t="s">
        <v>214</v>
      </c>
      <c r="BG925">
        <v>2.0502885344580131</v>
      </c>
      <c r="BH925">
        <v>0.18587500000000001</v>
      </c>
      <c r="BI925">
        <v>0.31624923299806901</v>
      </c>
      <c r="BJ925">
        <v>80</v>
      </c>
      <c r="BK925">
        <v>87507.198500450642</v>
      </c>
      <c r="BL925">
        <v>49096.083279978113</v>
      </c>
      <c r="BM925">
        <v>223.8974480565569</v>
      </c>
      <c r="BN925">
        <v>38062.566169614671</v>
      </c>
      <c r="BO925">
        <v>49444.632330835972</v>
      </c>
    </row>
    <row r="926" spans="1:67" x14ac:dyDescent="0.25">
      <c r="A926" s="1">
        <v>924</v>
      </c>
      <c r="B926" t="s">
        <v>77</v>
      </c>
      <c r="C926" t="s">
        <v>86</v>
      </c>
      <c r="D926">
        <v>2</v>
      </c>
      <c r="E926">
        <v>4</v>
      </c>
      <c r="F926">
        <v>2</v>
      </c>
      <c r="G926">
        <v>60.050759999999997</v>
      </c>
      <c r="H926">
        <v>8</v>
      </c>
      <c r="I926" t="s">
        <v>89</v>
      </c>
      <c r="J926">
        <v>4</v>
      </c>
      <c r="K926">
        <v>20</v>
      </c>
      <c r="L926">
        <v>5</v>
      </c>
      <c r="N926" t="s">
        <v>90</v>
      </c>
      <c r="O926">
        <v>95</v>
      </c>
      <c r="P926">
        <v>0.48749999999999999</v>
      </c>
      <c r="Q926">
        <v>3.2500000000000001E-2</v>
      </c>
      <c r="R926">
        <v>77.5</v>
      </c>
      <c r="S926">
        <v>170</v>
      </c>
      <c r="T926">
        <v>50</v>
      </c>
      <c r="U926">
        <v>1812.1301775147931</v>
      </c>
      <c r="V926">
        <v>20</v>
      </c>
      <c r="W926">
        <v>0.95</v>
      </c>
      <c r="X926">
        <v>1</v>
      </c>
      <c r="Y926">
        <v>28303352.915666562</v>
      </c>
      <c r="Z926">
        <v>5660670583.1333113</v>
      </c>
      <c r="AA926">
        <v>22642682332.533249</v>
      </c>
      <c r="AB926">
        <v>22642682.33253324</v>
      </c>
      <c r="AC926">
        <v>0</v>
      </c>
      <c r="AD926">
        <v>58668.715886591621</v>
      </c>
      <c r="AE926">
        <v>26400922.14896623</v>
      </c>
      <c r="AF926">
        <v>1320046.107448312</v>
      </c>
      <c r="AG926">
        <v>79.269771987312765</v>
      </c>
      <c r="AH926">
        <v>9062.8557534528318</v>
      </c>
      <c r="AI926">
        <v>4531.4278767264159</v>
      </c>
      <c r="AJ926">
        <v>735887.17580733041</v>
      </c>
      <c r="AK926">
        <v>854.70085470085473</v>
      </c>
      <c r="AL926" t="s">
        <v>93</v>
      </c>
      <c r="AM926">
        <v>702371.32089259441</v>
      </c>
      <c r="AN926">
        <v>315859.13207110018</v>
      </c>
      <c r="AO926">
        <v>770342.73904349073</v>
      </c>
      <c r="AP926">
        <v>1754972.329625726</v>
      </c>
      <c r="AQ926">
        <v>984629.59058223502</v>
      </c>
      <c r="AR926">
        <v>0.55747081231111106</v>
      </c>
      <c r="AS926">
        <v>9283.3265109569147</v>
      </c>
      <c r="AT926">
        <v>8860.5190009252183</v>
      </c>
      <c r="AU926">
        <v>3984.6100745900198</v>
      </c>
      <c r="AV926">
        <v>9717.9885816599181</v>
      </c>
      <c r="AW926">
        <v>22139.23776526835</v>
      </c>
      <c r="AX926">
        <v>12421.24918360843</v>
      </c>
      <c r="AY926">
        <v>57.164638715646568</v>
      </c>
      <c r="AZ926" t="s">
        <v>107</v>
      </c>
      <c r="BA926" t="str">
        <f>VLOOKUP($AZ926,Sheet1!$A$2:$B$58,2)</f>
        <v>4-Hydroxystyrene</v>
      </c>
      <c r="BB926" t="s">
        <v>160</v>
      </c>
      <c r="BC926">
        <v>120.14731999999999</v>
      </c>
      <c r="BD926">
        <v>4.75</v>
      </c>
      <c r="BE926">
        <v>229</v>
      </c>
      <c r="BF926" t="s">
        <v>214</v>
      </c>
      <c r="BG926">
        <v>1.717119924895719</v>
      </c>
      <c r="BH926">
        <v>0.15763250883392199</v>
      </c>
      <c r="BI926">
        <v>0.315378729788718</v>
      </c>
      <c r="BJ926">
        <v>80</v>
      </c>
      <c r="BK926">
        <v>87748.61648128627</v>
      </c>
      <c r="BL926">
        <v>49231.479529111748</v>
      </c>
      <c r="BM926">
        <v>224.854273911425</v>
      </c>
      <c r="BN926">
        <v>38225.226564942262</v>
      </c>
      <c r="BO926">
        <v>49523.389916344007</v>
      </c>
    </row>
    <row r="927" spans="1:67" x14ac:dyDescent="0.25">
      <c r="A927" s="1">
        <v>925</v>
      </c>
      <c r="B927" t="s">
        <v>77</v>
      </c>
      <c r="C927" t="s">
        <v>86</v>
      </c>
      <c r="D927">
        <v>2</v>
      </c>
      <c r="E927">
        <v>4</v>
      </c>
      <c r="F927">
        <v>2</v>
      </c>
      <c r="G927">
        <v>60.050759999999997</v>
      </c>
      <c r="H927">
        <v>8</v>
      </c>
      <c r="I927" t="s">
        <v>89</v>
      </c>
      <c r="J927">
        <v>4</v>
      </c>
      <c r="K927">
        <v>20</v>
      </c>
      <c r="L927">
        <v>5</v>
      </c>
      <c r="N927" t="s">
        <v>90</v>
      </c>
      <c r="O927">
        <v>95</v>
      </c>
      <c r="P927">
        <v>0.48749999999999999</v>
      </c>
      <c r="Q927">
        <v>3.2500000000000001E-2</v>
      </c>
      <c r="R927">
        <v>77.5</v>
      </c>
      <c r="S927">
        <v>170</v>
      </c>
      <c r="T927">
        <v>50</v>
      </c>
      <c r="U927">
        <v>1812.1301775147931</v>
      </c>
      <c r="V927">
        <v>20</v>
      </c>
      <c r="W927">
        <v>0.95</v>
      </c>
      <c r="X927">
        <v>1</v>
      </c>
      <c r="Y927">
        <v>19694505.78683719</v>
      </c>
      <c r="Z927">
        <v>3938901157.3674378</v>
      </c>
      <c r="AA927">
        <v>15755604629.469749</v>
      </c>
      <c r="AB927">
        <v>15755604.62946975</v>
      </c>
      <c r="AC927">
        <v>0</v>
      </c>
      <c r="AD927">
        <v>40823.833415694608</v>
      </c>
      <c r="AE927">
        <v>18370725.03706257</v>
      </c>
      <c r="AF927">
        <v>918536.25185312878</v>
      </c>
      <c r="AG927">
        <v>55.158800011331792</v>
      </c>
      <c r="AH927">
        <v>6306.265749272764</v>
      </c>
      <c r="AI927">
        <v>3153.132874636382</v>
      </c>
      <c r="AJ927">
        <v>512057.1504577669</v>
      </c>
      <c r="AK927">
        <v>854.70085470085473</v>
      </c>
      <c r="AL927" t="s">
        <v>93</v>
      </c>
      <c r="AM927">
        <v>488735.59556863923</v>
      </c>
      <c r="AN927">
        <v>219786.31022744879</v>
      </c>
      <c r="AO927">
        <v>536032.58868818497</v>
      </c>
      <c r="AP927">
        <v>1221433.7571085561</v>
      </c>
      <c r="AQ927">
        <v>685401.16842037067</v>
      </c>
      <c r="AR927">
        <v>0.55747081231111095</v>
      </c>
      <c r="AS927">
        <v>9283.3265109569129</v>
      </c>
      <c r="AT927">
        <v>8860.5190009252146</v>
      </c>
      <c r="AU927">
        <v>3984.6100745900198</v>
      </c>
      <c r="AV927">
        <v>9717.9885816599126</v>
      </c>
      <c r="AW927">
        <v>22143.950862919879</v>
      </c>
      <c r="AX927">
        <v>12425.96228125997</v>
      </c>
      <c r="AY927">
        <v>57.164638715646539</v>
      </c>
      <c r="AZ927" t="s">
        <v>108</v>
      </c>
      <c r="BA927" t="str">
        <f>VLOOKUP($AZ927,Sheet1!$A$2:$B$58,2)</f>
        <v>5-Aminopentanoate</v>
      </c>
      <c r="BB927" t="s">
        <v>161</v>
      </c>
      <c r="BC927">
        <v>117.14444</v>
      </c>
      <c r="BD927">
        <v>4.8</v>
      </c>
      <c r="BE927">
        <v>247.5</v>
      </c>
      <c r="BF927" t="s">
        <v>214</v>
      </c>
      <c r="BG927">
        <v>1.3554654299914659</v>
      </c>
      <c r="BH927">
        <v>0.23234374999999999</v>
      </c>
      <c r="BI927">
        <v>0.45323683609621701</v>
      </c>
      <c r="BJ927">
        <v>80</v>
      </c>
      <c r="BK927">
        <v>61071.687855427779</v>
      </c>
      <c r="BL927">
        <v>34270.058421018533</v>
      </c>
      <c r="BM927">
        <v>156.3011783018276</v>
      </c>
      <c r="BN927">
        <v>26571.200311310698</v>
      </c>
      <c r="BO927">
        <v>34500.487544117081</v>
      </c>
    </row>
    <row r="928" spans="1:67" x14ac:dyDescent="0.25">
      <c r="A928" s="1">
        <v>926</v>
      </c>
      <c r="B928" t="s">
        <v>77</v>
      </c>
      <c r="C928" t="s">
        <v>86</v>
      </c>
      <c r="D928">
        <v>2</v>
      </c>
      <c r="E928">
        <v>4</v>
      </c>
      <c r="F928">
        <v>2</v>
      </c>
      <c r="G928">
        <v>60.050759999999997</v>
      </c>
      <c r="H928">
        <v>8</v>
      </c>
      <c r="I928" t="s">
        <v>89</v>
      </c>
      <c r="J928">
        <v>4</v>
      </c>
      <c r="K928">
        <v>20</v>
      </c>
      <c r="L928">
        <v>5</v>
      </c>
      <c r="N928" t="s">
        <v>90</v>
      </c>
      <c r="O928">
        <v>95</v>
      </c>
      <c r="P928">
        <v>0.48749999999999999</v>
      </c>
      <c r="Q928">
        <v>3.2500000000000001E-2</v>
      </c>
      <c r="R928">
        <v>77.5</v>
      </c>
      <c r="S928">
        <v>170</v>
      </c>
      <c r="T928">
        <v>50</v>
      </c>
      <c r="U928">
        <v>1812.1301775147931</v>
      </c>
      <c r="V928">
        <v>20</v>
      </c>
      <c r="W928">
        <v>0.95</v>
      </c>
      <c r="X928">
        <v>1</v>
      </c>
      <c r="Y928">
        <v>18459292.801175501</v>
      </c>
      <c r="Z928">
        <v>3691858560.2350998</v>
      </c>
      <c r="AA928">
        <v>14767434240.940399</v>
      </c>
      <c r="AB928">
        <v>14767434.240940399</v>
      </c>
      <c r="AC928">
        <v>0</v>
      </c>
      <c r="AD928">
        <v>38263.417343042624</v>
      </c>
      <c r="AE928">
        <v>17218537.804369181</v>
      </c>
      <c r="AF928">
        <v>860926.89021845895</v>
      </c>
      <c r="AG928">
        <v>51.699314062055016</v>
      </c>
      <c r="AH928">
        <v>5910.7452204082419</v>
      </c>
      <c r="AI928">
        <v>2955.372610204121</v>
      </c>
      <c r="AJ928">
        <v>479941.61283056298</v>
      </c>
      <c r="AK928">
        <v>854.70085470085473</v>
      </c>
      <c r="AL928" t="s">
        <v>93</v>
      </c>
      <c r="AM928">
        <v>458082.75458163873</v>
      </c>
      <c r="AN928">
        <v>206001.6076610579</v>
      </c>
      <c r="AO928">
        <v>502413.34373470058</v>
      </c>
      <c r="AP928">
        <v>1144880.675927961</v>
      </c>
      <c r="AQ928">
        <v>642467.33219325996</v>
      </c>
      <c r="AR928">
        <v>0.55747081231111106</v>
      </c>
      <c r="AS928">
        <v>9283.3265109569147</v>
      </c>
      <c r="AT928">
        <v>8860.5190009252146</v>
      </c>
      <c r="AU928">
        <v>3984.6100745900198</v>
      </c>
      <c r="AV928">
        <v>9717.9885816599144</v>
      </c>
      <c r="AW928">
        <v>22144.98773724063</v>
      </c>
      <c r="AX928">
        <v>12426.99915558071</v>
      </c>
      <c r="AY928">
        <v>57.164638715646547</v>
      </c>
      <c r="AZ928" t="s">
        <v>109</v>
      </c>
      <c r="BA928" t="str">
        <f>VLOOKUP($AZ928,Sheet1!$A$2:$B$58,2)</f>
        <v>Acetone</v>
      </c>
      <c r="BB928" t="s">
        <v>162</v>
      </c>
      <c r="BC928">
        <v>58.078139999999998</v>
      </c>
      <c r="BD928">
        <v>5.333333333333333</v>
      </c>
      <c r="BE928">
        <v>56</v>
      </c>
      <c r="BF928" t="s">
        <v>214</v>
      </c>
      <c r="BG928">
        <v>0.75777220138248214</v>
      </c>
      <c r="BH928">
        <v>0.5</v>
      </c>
      <c r="BI928">
        <v>0.483565409978019</v>
      </c>
      <c r="BJ928">
        <v>80</v>
      </c>
      <c r="BK928">
        <v>57244.033796398013</v>
      </c>
      <c r="BL928">
        <v>32123.36660966299</v>
      </c>
      <c r="BM928">
        <v>147.01085830882349</v>
      </c>
      <c r="BN928">
        <v>24991.845912500001</v>
      </c>
      <c r="BO928">
        <v>32252.187883898008</v>
      </c>
    </row>
    <row r="929" spans="1:67" x14ac:dyDescent="0.25">
      <c r="A929" s="1">
        <v>927</v>
      </c>
      <c r="B929" t="s">
        <v>77</v>
      </c>
      <c r="C929" t="s">
        <v>86</v>
      </c>
      <c r="D929">
        <v>2</v>
      </c>
      <c r="E929">
        <v>4</v>
      </c>
      <c r="F929">
        <v>2</v>
      </c>
      <c r="G929">
        <v>60.050759999999997</v>
      </c>
      <c r="H929">
        <v>8</v>
      </c>
      <c r="I929" t="s">
        <v>89</v>
      </c>
      <c r="J929">
        <v>4</v>
      </c>
      <c r="K929">
        <v>20</v>
      </c>
      <c r="L929">
        <v>5</v>
      </c>
      <c r="N929" t="s">
        <v>90</v>
      </c>
      <c r="O929">
        <v>95</v>
      </c>
      <c r="P929">
        <v>0.48749999999999999</v>
      </c>
      <c r="Q929">
        <v>3.2500000000000001E-2</v>
      </c>
      <c r="R929">
        <v>77.5</v>
      </c>
      <c r="S929">
        <v>170</v>
      </c>
      <c r="T929">
        <v>50</v>
      </c>
      <c r="U929">
        <v>1812.1301775147931</v>
      </c>
      <c r="V929">
        <v>20</v>
      </c>
      <c r="W929">
        <v>0.95</v>
      </c>
      <c r="X929">
        <v>1</v>
      </c>
      <c r="Y929">
        <v>16488606.195610549</v>
      </c>
      <c r="Z929">
        <v>3297721239.1221099</v>
      </c>
      <c r="AA929">
        <v>13190884956.48844</v>
      </c>
      <c r="AB929">
        <v>13190884.95648844</v>
      </c>
      <c r="AC929">
        <v>0</v>
      </c>
      <c r="AD929">
        <v>34178.471898313888</v>
      </c>
      <c r="AE929">
        <v>15380312.35424125</v>
      </c>
      <c r="AF929">
        <v>769015.61771206255</v>
      </c>
      <c r="AG929">
        <v>46.179972295478812</v>
      </c>
      <c r="AH929">
        <v>5279.7228643392273</v>
      </c>
      <c r="AI929">
        <v>2639.8614321696141</v>
      </c>
      <c r="AJ929">
        <v>428703.76108587428</v>
      </c>
      <c r="AK929">
        <v>854.70085470085473</v>
      </c>
      <c r="AL929" t="s">
        <v>93</v>
      </c>
      <c r="AM929">
        <v>409178.52198629011</v>
      </c>
      <c r="AN929">
        <v>184009.18285285289</v>
      </c>
      <c r="AO929">
        <v>448776.44346883427</v>
      </c>
      <c r="AP929">
        <v>1022746.166779718</v>
      </c>
      <c r="AQ929">
        <v>573969.72331088386</v>
      </c>
      <c r="AR929">
        <v>0.55747081231111106</v>
      </c>
      <c r="AS929">
        <v>9283.3265109569147</v>
      </c>
      <c r="AT929">
        <v>8860.5190009252146</v>
      </c>
      <c r="AU929">
        <v>3984.6100745900189</v>
      </c>
      <c r="AV929">
        <v>9717.9885816599144</v>
      </c>
      <c r="AW929">
        <v>22146.96362821008</v>
      </c>
      <c r="AX929">
        <v>12428.97504655016</v>
      </c>
      <c r="AY929">
        <v>57.164638715646561</v>
      </c>
      <c r="AZ929" t="s">
        <v>110</v>
      </c>
      <c r="BA929" t="str">
        <f>VLOOKUP($AZ929,Sheet1!$A$2:$B$58,2)</f>
        <v>Acrylate (PW1)</v>
      </c>
      <c r="BB929" t="s">
        <v>163</v>
      </c>
      <c r="BC929">
        <v>71.053619999999995</v>
      </c>
      <c r="BD929">
        <v>3.666666666666667</v>
      </c>
      <c r="BE929">
        <v>80</v>
      </c>
      <c r="BF929" t="s">
        <v>214</v>
      </c>
      <c r="BG929">
        <v>0.84932012852374728</v>
      </c>
      <c r="BH929">
        <v>0.45753846153846101</v>
      </c>
      <c r="BI929">
        <v>0.54136022083425095</v>
      </c>
      <c r="BJ929">
        <v>80</v>
      </c>
      <c r="BK929">
        <v>51137.308338985909</v>
      </c>
      <c r="BL929">
        <v>28698.486165544189</v>
      </c>
      <c r="BM929">
        <v>131.1437514799569</v>
      </c>
      <c r="BN929">
        <v>22294.437751592679</v>
      </c>
      <c r="BO929">
        <v>28842.87058739323</v>
      </c>
    </row>
    <row r="930" spans="1:67" x14ac:dyDescent="0.25">
      <c r="A930" s="1">
        <v>928</v>
      </c>
      <c r="B930" t="s">
        <v>77</v>
      </c>
      <c r="C930" t="s">
        <v>86</v>
      </c>
      <c r="D930">
        <v>2</v>
      </c>
      <c r="E930">
        <v>4</v>
      </c>
      <c r="F930">
        <v>2</v>
      </c>
      <c r="G930">
        <v>60.050759999999997</v>
      </c>
      <c r="H930">
        <v>8</v>
      </c>
      <c r="I930" t="s">
        <v>89</v>
      </c>
      <c r="J930">
        <v>4</v>
      </c>
      <c r="K930">
        <v>20</v>
      </c>
      <c r="L930">
        <v>5</v>
      </c>
      <c r="N930" t="s">
        <v>90</v>
      </c>
      <c r="O930">
        <v>95</v>
      </c>
      <c r="P930">
        <v>0.48749999999999999</v>
      </c>
      <c r="Q930">
        <v>3.2500000000000001E-2</v>
      </c>
      <c r="R930">
        <v>77.5</v>
      </c>
      <c r="S930">
        <v>170</v>
      </c>
      <c r="T930">
        <v>50</v>
      </c>
      <c r="U930">
        <v>1812.1301775147931</v>
      </c>
      <c r="V930">
        <v>20</v>
      </c>
      <c r="W930">
        <v>0.95</v>
      </c>
      <c r="X930">
        <v>1</v>
      </c>
      <c r="Y930">
        <v>12937214.091940571</v>
      </c>
      <c r="Z930">
        <v>2587442818.388114</v>
      </c>
      <c r="AA930">
        <v>10349771273.55246</v>
      </c>
      <c r="AB930">
        <v>10349771.273552461</v>
      </c>
      <c r="AC930">
        <v>0</v>
      </c>
      <c r="AD930">
        <v>26816.954874061641</v>
      </c>
      <c r="AE930">
        <v>12067629.69332774</v>
      </c>
      <c r="AF930">
        <v>603381.48466638685</v>
      </c>
      <c r="AG930">
        <v>36.233516724144877</v>
      </c>
      <c r="AH930">
        <v>4142.5517858661588</v>
      </c>
      <c r="AI930">
        <v>2071.2758929330789</v>
      </c>
      <c r="AJ930">
        <v>336367.56639045489</v>
      </c>
      <c r="AK930">
        <v>854.70085470085473</v>
      </c>
      <c r="AL930" t="s">
        <v>93</v>
      </c>
      <c r="AM930">
        <v>321047.76340462727</v>
      </c>
      <c r="AN930">
        <v>144376.4357768537</v>
      </c>
      <c r="AO930">
        <v>352116.9017986235</v>
      </c>
      <c r="AP930">
        <v>802646.46642663691</v>
      </c>
      <c r="AQ930">
        <v>450529.56462801341</v>
      </c>
      <c r="AR930">
        <v>0.55747081231111117</v>
      </c>
      <c r="AS930">
        <v>9283.3265109569165</v>
      </c>
      <c r="AT930">
        <v>8860.5190009252183</v>
      </c>
      <c r="AU930">
        <v>3984.6100745900198</v>
      </c>
      <c r="AV930">
        <v>9717.9885816599162</v>
      </c>
      <c r="AW930">
        <v>22152.04426711853</v>
      </c>
      <c r="AX930">
        <v>12434.05568545861</v>
      </c>
      <c r="AY930">
        <v>57.164638715646561</v>
      </c>
      <c r="AZ930" t="s">
        <v>111</v>
      </c>
      <c r="BA930" t="str">
        <f>VLOOKUP($AZ930,Sheet1!$A$2:$B$58,2)</f>
        <v>Acrylate (PW2)</v>
      </c>
      <c r="BB930" t="s">
        <v>163</v>
      </c>
      <c r="BC930">
        <v>71.053619999999995</v>
      </c>
      <c r="BD930">
        <v>3.666666666666667</v>
      </c>
      <c r="BE930">
        <v>80</v>
      </c>
      <c r="BF930" t="s">
        <v>214</v>
      </c>
      <c r="BG930">
        <v>0.26616751453000242</v>
      </c>
      <c r="BH930">
        <v>0.583137254901961</v>
      </c>
      <c r="BI930">
        <v>0.68996890890639895</v>
      </c>
      <c r="BJ930">
        <v>80</v>
      </c>
      <c r="BK930">
        <v>40132.323321331853</v>
      </c>
      <c r="BL930">
        <v>22526.47823140067</v>
      </c>
      <c r="BM930">
        <v>103.29762713212401</v>
      </c>
      <c r="BN930">
        <v>17560.596612461071</v>
      </c>
      <c r="BO930">
        <v>22571.72670887077</v>
      </c>
    </row>
    <row r="931" spans="1:67" x14ac:dyDescent="0.25">
      <c r="A931" s="1">
        <v>929</v>
      </c>
      <c r="B931" t="s">
        <v>77</v>
      </c>
      <c r="C931" t="s">
        <v>86</v>
      </c>
      <c r="D931">
        <v>2</v>
      </c>
      <c r="E931">
        <v>4</v>
      </c>
      <c r="F931">
        <v>2</v>
      </c>
      <c r="G931">
        <v>60.050759999999997</v>
      </c>
      <c r="H931">
        <v>8</v>
      </c>
      <c r="I931" t="s">
        <v>89</v>
      </c>
      <c r="J931">
        <v>4</v>
      </c>
      <c r="K931">
        <v>20</v>
      </c>
      <c r="L931">
        <v>5</v>
      </c>
      <c r="N931" t="s">
        <v>90</v>
      </c>
      <c r="O931">
        <v>95</v>
      </c>
      <c r="P931">
        <v>0.48749999999999999</v>
      </c>
      <c r="Q931">
        <v>3.2500000000000001E-2</v>
      </c>
      <c r="R931">
        <v>77.5</v>
      </c>
      <c r="S931">
        <v>170</v>
      </c>
      <c r="T931">
        <v>50</v>
      </c>
      <c r="U931">
        <v>1812.1301775147931</v>
      </c>
      <c r="V931">
        <v>20</v>
      </c>
      <c r="W931">
        <v>0.95</v>
      </c>
      <c r="X931">
        <v>1</v>
      </c>
      <c r="Y931">
        <v>17743018.484993521</v>
      </c>
      <c r="Z931">
        <v>3548603696.9987049</v>
      </c>
      <c r="AA931">
        <v>14194414787.99482</v>
      </c>
      <c r="AB931">
        <v>14194414.787994821</v>
      </c>
      <c r="AC931">
        <v>0</v>
      </c>
      <c r="AD931">
        <v>36778.685322841491</v>
      </c>
      <c r="AE931">
        <v>16550408.39527867</v>
      </c>
      <c r="AF931">
        <v>827520.41976393363</v>
      </c>
      <c r="AG931">
        <v>49.693230122343238</v>
      </c>
      <c r="AH931">
        <v>5681.3910931144701</v>
      </c>
      <c r="AI931">
        <v>2840.695546557235</v>
      </c>
      <c r="AJ931">
        <v>461318.48060983157</v>
      </c>
      <c r="AK931">
        <v>854.70085470085473</v>
      </c>
      <c r="AL931" t="s">
        <v>93</v>
      </c>
      <c r="AM931">
        <v>440307.80971637141</v>
      </c>
      <c r="AN931">
        <v>198008.14538440909</v>
      </c>
      <c r="AO931">
        <v>482918.24291472998</v>
      </c>
      <c r="AP931">
        <v>1100489.136565313</v>
      </c>
      <c r="AQ931">
        <v>617570.89365058276</v>
      </c>
      <c r="AR931">
        <v>0.55747081231111095</v>
      </c>
      <c r="AS931">
        <v>9283.3265109569129</v>
      </c>
      <c r="AT931">
        <v>8860.5190009252146</v>
      </c>
      <c r="AU931">
        <v>3984.6100745900189</v>
      </c>
      <c r="AV931">
        <v>9717.9885816599126</v>
      </c>
      <c r="AW931">
        <v>22145.655129600989</v>
      </c>
      <c r="AX931">
        <v>12427.666547941069</v>
      </c>
      <c r="AY931">
        <v>57.164638715646539</v>
      </c>
      <c r="AZ931" t="s">
        <v>112</v>
      </c>
      <c r="BA931" t="str">
        <f>VLOOKUP($AZ931,Sheet1!$A$2:$B$58,2)</f>
        <v>Adipate</v>
      </c>
      <c r="BB931" t="s">
        <v>164</v>
      </c>
      <c r="BC931">
        <v>144.12291999999999</v>
      </c>
      <c r="BD931">
        <v>4</v>
      </c>
      <c r="BE931">
        <v>337.5</v>
      </c>
      <c r="BF931" t="s">
        <v>214</v>
      </c>
      <c r="BG931">
        <v>1.081287707359615</v>
      </c>
      <c r="BH931">
        <v>0.20962216624685101</v>
      </c>
      <c r="BI931">
        <v>0.50308663651871199</v>
      </c>
      <c r="BJ931">
        <v>80</v>
      </c>
      <c r="BK931">
        <v>55024.456828265633</v>
      </c>
      <c r="BL931">
        <v>30878.544682529129</v>
      </c>
      <c r="BM931">
        <v>140.9534896205021</v>
      </c>
      <c r="BN931">
        <v>23962.093235485361</v>
      </c>
      <c r="BO931">
        <v>31062.363592780261</v>
      </c>
    </row>
    <row r="932" spans="1:67" x14ac:dyDescent="0.25">
      <c r="A932" s="1">
        <v>930</v>
      </c>
      <c r="B932" t="s">
        <v>77</v>
      </c>
      <c r="C932" t="s">
        <v>86</v>
      </c>
      <c r="D932">
        <v>2</v>
      </c>
      <c r="E932">
        <v>4</v>
      </c>
      <c r="F932">
        <v>2</v>
      </c>
      <c r="G932">
        <v>60.050759999999997</v>
      </c>
      <c r="H932">
        <v>8</v>
      </c>
      <c r="I932" t="s">
        <v>89</v>
      </c>
      <c r="J932">
        <v>4</v>
      </c>
      <c r="K932">
        <v>20</v>
      </c>
      <c r="L932">
        <v>5</v>
      </c>
      <c r="N932" t="s">
        <v>90</v>
      </c>
      <c r="O932">
        <v>95</v>
      </c>
      <c r="P932">
        <v>0.48749999999999999</v>
      </c>
      <c r="Q932">
        <v>3.2500000000000001E-2</v>
      </c>
      <c r="R932">
        <v>77.5</v>
      </c>
      <c r="S932">
        <v>170</v>
      </c>
      <c r="T932">
        <v>50</v>
      </c>
      <c r="U932">
        <v>1812.1301775147931</v>
      </c>
      <c r="V932">
        <v>20</v>
      </c>
      <c r="W932">
        <v>0.95</v>
      </c>
      <c r="X932">
        <v>1</v>
      </c>
      <c r="Y932">
        <v>24208497.22076077</v>
      </c>
      <c r="Z932">
        <v>4841699444.152153</v>
      </c>
      <c r="AA932">
        <v>19366797776.608608</v>
      </c>
      <c r="AB932">
        <v>19366797.776608609</v>
      </c>
      <c r="AC932">
        <v>0</v>
      </c>
      <c r="AD932">
        <v>50180.678229821948</v>
      </c>
      <c r="AE932">
        <v>22581305.203419879</v>
      </c>
      <c r="AF932">
        <v>1129065.2601709941</v>
      </c>
      <c r="AG932">
        <v>67.801226962865897</v>
      </c>
      <c r="AH932">
        <v>7751.6652876195667</v>
      </c>
      <c r="AI932">
        <v>3875.8326438097829</v>
      </c>
      <c r="AJ932">
        <v>629420.92773977993</v>
      </c>
      <c r="AK932">
        <v>854.70085470085473</v>
      </c>
      <c r="AL932" t="s">
        <v>93</v>
      </c>
      <c r="AM932">
        <v>600754.05979051639</v>
      </c>
      <c r="AN932">
        <v>270161.45202580013</v>
      </c>
      <c r="AO932">
        <v>658891.54944766313</v>
      </c>
      <c r="AP932">
        <v>1501191.140410797</v>
      </c>
      <c r="AQ932">
        <v>842299.59096313384</v>
      </c>
      <c r="AR932">
        <v>0.55747081231111106</v>
      </c>
      <c r="AS932">
        <v>9283.3265109569147</v>
      </c>
      <c r="AT932">
        <v>8860.5190009252146</v>
      </c>
      <c r="AU932">
        <v>3984.6100745900212</v>
      </c>
      <c r="AV932">
        <v>9717.9885816599126</v>
      </c>
      <c r="AW932">
        <v>22141.061565640772</v>
      </c>
      <c r="AX932">
        <v>12423.072983980859</v>
      </c>
      <c r="AY932">
        <v>57.164638715646561</v>
      </c>
      <c r="AZ932" t="s">
        <v>113</v>
      </c>
      <c r="BA932" t="str">
        <f>VLOOKUP($AZ932,Sheet1!$A$2:$B$58,2)</f>
        <v>Benzoate (PW1)</v>
      </c>
      <c r="BB932" t="s">
        <v>165</v>
      </c>
      <c r="BC932">
        <v>121.1121</v>
      </c>
      <c r="BD932">
        <v>4.1428571428571432</v>
      </c>
      <c r="BE932">
        <v>249.2</v>
      </c>
      <c r="BF932" t="s">
        <v>214</v>
      </c>
      <c r="BG932">
        <v>1.431454406509596</v>
      </c>
      <c r="BH932">
        <v>0.182827868852459</v>
      </c>
      <c r="BI932">
        <v>0.36872489068217401</v>
      </c>
      <c r="BJ932">
        <v>80</v>
      </c>
      <c r="BK932">
        <v>75059.55702053984</v>
      </c>
      <c r="BL932">
        <v>42114.979548156683</v>
      </c>
      <c r="BM932">
        <v>192.36017778397959</v>
      </c>
      <c r="BN932">
        <v>32701.230223276529</v>
      </c>
      <c r="BO932">
        <v>42358.326797263318</v>
      </c>
    </row>
    <row r="933" spans="1:67" x14ac:dyDescent="0.25">
      <c r="A933" s="1">
        <v>931</v>
      </c>
      <c r="B933" t="s">
        <v>77</v>
      </c>
      <c r="C933" t="s">
        <v>86</v>
      </c>
      <c r="D933">
        <v>2</v>
      </c>
      <c r="E933">
        <v>4</v>
      </c>
      <c r="F933">
        <v>2</v>
      </c>
      <c r="G933">
        <v>60.050759999999997</v>
      </c>
      <c r="H933">
        <v>8</v>
      </c>
      <c r="I933" t="s">
        <v>89</v>
      </c>
      <c r="J933">
        <v>4</v>
      </c>
      <c r="K933">
        <v>20</v>
      </c>
      <c r="L933">
        <v>5</v>
      </c>
      <c r="N933" t="s">
        <v>90</v>
      </c>
      <c r="O933">
        <v>95</v>
      </c>
      <c r="P933">
        <v>0.48749999999999999</v>
      </c>
      <c r="Q933">
        <v>3.2500000000000001E-2</v>
      </c>
      <c r="R933">
        <v>77.5</v>
      </c>
      <c r="S933">
        <v>170</v>
      </c>
      <c r="T933">
        <v>50</v>
      </c>
      <c r="U933">
        <v>1812.1301775147931</v>
      </c>
      <c r="V933">
        <v>20</v>
      </c>
      <c r="W933">
        <v>0.95</v>
      </c>
      <c r="X933">
        <v>1</v>
      </c>
      <c r="Y933">
        <v>24208497.22076077</v>
      </c>
      <c r="Z933">
        <v>4841699444.152153</v>
      </c>
      <c r="AA933">
        <v>19366797776.608608</v>
      </c>
      <c r="AB933">
        <v>19366797.776608609</v>
      </c>
      <c r="AC933">
        <v>0</v>
      </c>
      <c r="AD933">
        <v>50180.678229821948</v>
      </c>
      <c r="AE933">
        <v>22581305.203419879</v>
      </c>
      <c r="AF933">
        <v>1129065.2601709941</v>
      </c>
      <c r="AG933">
        <v>67.801226962865897</v>
      </c>
      <c r="AH933">
        <v>7751.6652876195667</v>
      </c>
      <c r="AI933">
        <v>3875.8326438097829</v>
      </c>
      <c r="AJ933">
        <v>629420.92773977993</v>
      </c>
      <c r="AK933">
        <v>854.70085470085473</v>
      </c>
      <c r="AL933" t="s">
        <v>93</v>
      </c>
      <c r="AM933">
        <v>600754.05979051639</v>
      </c>
      <c r="AN933">
        <v>270161.45202580013</v>
      </c>
      <c r="AO933">
        <v>658891.54944766313</v>
      </c>
      <c r="AP933">
        <v>1501191.140410797</v>
      </c>
      <c r="AQ933">
        <v>842299.59096313384</v>
      </c>
      <c r="AR933">
        <v>0.55747081231111106</v>
      </c>
      <c r="AS933">
        <v>9283.3265109569147</v>
      </c>
      <c r="AT933">
        <v>8860.5190009252146</v>
      </c>
      <c r="AU933">
        <v>3984.6100745900212</v>
      </c>
      <c r="AV933">
        <v>9717.9885816599126</v>
      </c>
      <c r="AW933">
        <v>22141.061565640772</v>
      </c>
      <c r="AX933">
        <v>12423.072983980859</v>
      </c>
      <c r="AY933">
        <v>57.164638715646561</v>
      </c>
      <c r="AZ933" t="s">
        <v>114</v>
      </c>
      <c r="BA933" t="str">
        <f>VLOOKUP($AZ933,Sheet1!$A$2:$B$58,2)</f>
        <v>Benzoate (PW2)</v>
      </c>
      <c r="BB933" t="s">
        <v>165</v>
      </c>
      <c r="BC933">
        <v>121.1121</v>
      </c>
      <c r="BD933">
        <v>4.1428571428571432</v>
      </c>
      <c r="BE933">
        <v>249.2</v>
      </c>
      <c r="BF933" t="s">
        <v>214</v>
      </c>
      <c r="BG933">
        <v>1.431454406509596</v>
      </c>
      <c r="BH933">
        <v>0.182827868852459</v>
      </c>
      <c r="BI933">
        <v>0.36872489068217401</v>
      </c>
      <c r="BJ933">
        <v>80</v>
      </c>
      <c r="BK933">
        <v>75059.55702053984</v>
      </c>
      <c r="BL933">
        <v>42114.979548156683</v>
      </c>
      <c r="BM933">
        <v>192.36017778397959</v>
      </c>
      <c r="BN933">
        <v>32701.230223276529</v>
      </c>
      <c r="BO933">
        <v>42358.326797263318</v>
      </c>
    </row>
    <row r="934" spans="1:67" x14ac:dyDescent="0.25">
      <c r="A934" s="1">
        <v>932</v>
      </c>
      <c r="B934" t="s">
        <v>77</v>
      </c>
      <c r="C934" t="s">
        <v>86</v>
      </c>
      <c r="D934">
        <v>2</v>
      </c>
      <c r="E934">
        <v>4</v>
      </c>
      <c r="F934">
        <v>2</v>
      </c>
      <c r="G934">
        <v>60.050759999999997</v>
      </c>
      <c r="H934">
        <v>8</v>
      </c>
      <c r="I934" t="s">
        <v>89</v>
      </c>
      <c r="J934">
        <v>4</v>
      </c>
      <c r="K934">
        <v>20</v>
      </c>
      <c r="L934">
        <v>5</v>
      </c>
      <c r="N934" t="s">
        <v>90</v>
      </c>
      <c r="O934">
        <v>95</v>
      </c>
      <c r="P934">
        <v>0.48749999999999999</v>
      </c>
      <c r="Q934">
        <v>3.2500000000000001E-2</v>
      </c>
      <c r="R934">
        <v>77.5</v>
      </c>
      <c r="S934">
        <v>170</v>
      </c>
      <c r="T934">
        <v>50</v>
      </c>
      <c r="U934">
        <v>1812.1301775147931</v>
      </c>
      <c r="V934">
        <v>20</v>
      </c>
      <c r="W934">
        <v>0.95</v>
      </c>
      <c r="X934">
        <v>1</v>
      </c>
      <c r="Y934">
        <v>31113636.928935058</v>
      </c>
      <c r="Z934">
        <v>6222727385.7870111</v>
      </c>
      <c r="AA934">
        <v>24890909543.148041</v>
      </c>
      <c r="AB934">
        <v>24890909.543148041</v>
      </c>
      <c r="AC934">
        <v>0</v>
      </c>
      <c r="AD934">
        <v>64494.024104538403</v>
      </c>
      <c r="AE934">
        <v>29022310.847042281</v>
      </c>
      <c r="AF934">
        <v>1451115.5423521141</v>
      </c>
      <c r="AG934">
        <v>87.140591166056623</v>
      </c>
      <c r="AH934">
        <v>9962.7208229509779</v>
      </c>
      <c r="AI934">
        <v>4981.3604114754889</v>
      </c>
      <c r="AJ934">
        <v>808954.56015231146</v>
      </c>
      <c r="AK934">
        <v>854.70085470085473</v>
      </c>
      <c r="AL934" t="s">
        <v>93</v>
      </c>
      <c r="AM934">
        <v>772110.86377870082</v>
      </c>
      <c r="AN934">
        <v>347221.27746599942</v>
      </c>
      <c r="AO934">
        <v>846831.26995083317</v>
      </c>
      <c r="AP934">
        <v>1929141.402251713</v>
      </c>
      <c r="AQ934">
        <v>1082310.1323008791</v>
      </c>
      <c r="AR934">
        <v>0.55747081231111106</v>
      </c>
      <c r="AS934">
        <v>9283.3265109569147</v>
      </c>
      <c r="AT934">
        <v>8860.5190009252165</v>
      </c>
      <c r="AU934">
        <v>3984.6100745900212</v>
      </c>
      <c r="AV934">
        <v>9717.9885816599162</v>
      </c>
      <c r="AW934">
        <v>22138.26388411237</v>
      </c>
      <c r="AX934">
        <v>12420.27530245245</v>
      </c>
      <c r="AY934">
        <v>57.164638715646561</v>
      </c>
      <c r="AZ934" t="s">
        <v>115</v>
      </c>
      <c r="BA934" t="str">
        <f>VLOOKUP($AZ934,Sheet1!$A$2:$B$58,2)</f>
        <v>Benzyl Alcohol</v>
      </c>
      <c r="BB934" t="s">
        <v>166</v>
      </c>
      <c r="BC934">
        <v>108.13661999999999</v>
      </c>
      <c r="BD934">
        <v>4.8571428571428568</v>
      </c>
      <c r="BE934">
        <v>205</v>
      </c>
      <c r="BF934" t="s">
        <v>214</v>
      </c>
      <c r="BG934">
        <v>2.2600859587582369</v>
      </c>
      <c r="BH934">
        <v>0.159321428571429</v>
      </c>
      <c r="BI934">
        <v>0.286892705976249</v>
      </c>
      <c r="BJ934">
        <v>80</v>
      </c>
      <c r="BK934">
        <v>96457.070112585614</v>
      </c>
      <c r="BL934">
        <v>54115.506615043967</v>
      </c>
      <c r="BM934">
        <v>246.80793461501619</v>
      </c>
      <c r="BN934">
        <v>41957.348884552761</v>
      </c>
      <c r="BO934">
        <v>54499.721228032853</v>
      </c>
    </row>
    <row r="935" spans="1:67" x14ac:dyDescent="0.25">
      <c r="A935" s="1">
        <v>933</v>
      </c>
      <c r="B935" t="s">
        <v>77</v>
      </c>
      <c r="C935" t="s">
        <v>86</v>
      </c>
      <c r="D935">
        <v>2</v>
      </c>
      <c r="E935">
        <v>4</v>
      </c>
      <c r="F935">
        <v>2</v>
      </c>
      <c r="G935">
        <v>60.050759999999997</v>
      </c>
      <c r="H935">
        <v>8</v>
      </c>
      <c r="I935" t="s">
        <v>89</v>
      </c>
      <c r="J935">
        <v>4</v>
      </c>
      <c r="K935">
        <v>20</v>
      </c>
      <c r="L935">
        <v>5</v>
      </c>
      <c r="N935" t="s">
        <v>90</v>
      </c>
      <c r="O935">
        <v>95</v>
      </c>
      <c r="P935">
        <v>0.48749999999999999</v>
      </c>
      <c r="Q935">
        <v>3.2500000000000001E-2</v>
      </c>
      <c r="R935">
        <v>77.5</v>
      </c>
      <c r="S935">
        <v>170</v>
      </c>
      <c r="T935">
        <v>50</v>
      </c>
      <c r="U935">
        <v>1812.1301775147931</v>
      </c>
      <c r="V935">
        <v>20</v>
      </c>
      <c r="W935">
        <v>0.95</v>
      </c>
      <c r="X935">
        <v>1</v>
      </c>
      <c r="Y935">
        <v>32250211.946282029</v>
      </c>
      <c r="Z935">
        <v>6450042389.2564058</v>
      </c>
      <c r="AA935">
        <v>25800169557.02562</v>
      </c>
      <c r="AB935">
        <v>25800169.557025619</v>
      </c>
      <c r="AC935">
        <v>0</v>
      </c>
      <c r="AD935">
        <v>66849.978078444357</v>
      </c>
      <c r="AE935">
        <v>30082490.135299958</v>
      </c>
      <c r="AF935">
        <v>1504124.506764998</v>
      </c>
      <c r="AG935">
        <v>90.323819765863263</v>
      </c>
      <c r="AH935">
        <v>10326.6570486655</v>
      </c>
      <c r="AI935">
        <v>5163.3285243327491</v>
      </c>
      <c r="AJ935">
        <v>838505.51060333278</v>
      </c>
      <c r="AK935">
        <v>854.70085470085473</v>
      </c>
      <c r="AL935" t="s">
        <v>93</v>
      </c>
      <c r="AM935">
        <v>800315.92127157608</v>
      </c>
      <c r="AN935">
        <v>359905.20221451198</v>
      </c>
      <c r="AO935">
        <v>877765.84913656733</v>
      </c>
      <c r="AP935">
        <v>1999581.334944122</v>
      </c>
      <c r="AQ935">
        <v>1121815.4858075541</v>
      </c>
      <c r="AR935">
        <v>0.55747081231111117</v>
      </c>
      <c r="AS935">
        <v>9283.3265109569165</v>
      </c>
      <c r="AT935">
        <v>8860.5190009252165</v>
      </c>
      <c r="AU935">
        <v>3984.6100745900198</v>
      </c>
      <c r="AV935">
        <v>9717.9885816599144</v>
      </c>
      <c r="AW935">
        <v>22137.918216118651</v>
      </c>
      <c r="AX935">
        <v>12419.929634458729</v>
      </c>
      <c r="AY935">
        <v>57.164638715646561</v>
      </c>
      <c r="AZ935" t="s">
        <v>116</v>
      </c>
      <c r="BA935" t="str">
        <f>VLOOKUP($AZ935,Sheet1!$A$2:$B$58,2)</f>
        <v>Beta Carotene</v>
      </c>
      <c r="BB935" t="s">
        <v>167</v>
      </c>
      <c r="BC935">
        <v>536.86703999999997</v>
      </c>
      <c r="BD935">
        <v>5.4</v>
      </c>
      <c r="BE935">
        <v>633</v>
      </c>
      <c r="BF935" t="s">
        <v>214</v>
      </c>
      <c r="BG935">
        <v>2.0165880437162711</v>
      </c>
      <c r="BH935">
        <v>3.0959821428571399E-2</v>
      </c>
      <c r="BI935">
        <v>0.27678191715988998</v>
      </c>
      <c r="BJ935">
        <v>80</v>
      </c>
      <c r="BK935">
        <v>99979.066747206103</v>
      </c>
      <c r="BL935">
        <v>56090.774290377733</v>
      </c>
      <c r="BM935">
        <v>256.14983817292119</v>
      </c>
      <c r="BN935">
        <v>43545.472489396598</v>
      </c>
      <c r="BO935">
        <v>56433.594257809498</v>
      </c>
    </row>
    <row r="936" spans="1:67" x14ac:dyDescent="0.25">
      <c r="A936" s="1">
        <v>934</v>
      </c>
      <c r="B936" t="s">
        <v>77</v>
      </c>
      <c r="C936" t="s">
        <v>86</v>
      </c>
      <c r="D936">
        <v>2</v>
      </c>
      <c r="E936">
        <v>4</v>
      </c>
      <c r="F936">
        <v>2</v>
      </c>
      <c r="G936">
        <v>60.050759999999997</v>
      </c>
      <c r="H936">
        <v>8</v>
      </c>
      <c r="I936" t="s">
        <v>89</v>
      </c>
      <c r="J936">
        <v>4</v>
      </c>
      <c r="K936">
        <v>20</v>
      </c>
      <c r="L936">
        <v>5</v>
      </c>
      <c r="N936" t="s">
        <v>90</v>
      </c>
      <c r="O936">
        <v>95</v>
      </c>
      <c r="P936">
        <v>0.48749999999999999</v>
      </c>
      <c r="Q936">
        <v>3.2500000000000001E-2</v>
      </c>
      <c r="R936">
        <v>77.5</v>
      </c>
      <c r="S936">
        <v>170</v>
      </c>
      <c r="T936">
        <v>50</v>
      </c>
      <c r="U936">
        <v>1812.1301775147931</v>
      </c>
      <c r="V936">
        <v>20</v>
      </c>
      <c r="W936">
        <v>0.95</v>
      </c>
      <c r="X936">
        <v>1</v>
      </c>
      <c r="Y936">
        <v>34732836.211938702</v>
      </c>
      <c r="Z936">
        <v>6946567242.3877411</v>
      </c>
      <c r="AA936">
        <v>27786268969.550961</v>
      </c>
      <c r="AB936">
        <v>27786268.96955096</v>
      </c>
      <c r="AC936">
        <v>66773.504273504266</v>
      </c>
      <c r="AD936">
        <v>71996.095505908146</v>
      </c>
      <c r="AE936">
        <v>32398242.977658659</v>
      </c>
      <c r="AF936">
        <v>1619912.148882933</v>
      </c>
      <c r="AG936">
        <v>97.276955673653291</v>
      </c>
      <c r="AH936">
        <v>11121.60405288471</v>
      </c>
      <c r="AI936">
        <v>5560.8020264423558</v>
      </c>
      <c r="AJ936">
        <v>903053.74151040637</v>
      </c>
      <c r="AK936">
        <v>2170.1388888888891</v>
      </c>
      <c r="AL936" t="s">
        <v>95</v>
      </c>
      <c r="AM936">
        <v>861924.31409856514</v>
      </c>
      <c r="AN936">
        <v>387610.73760268581</v>
      </c>
      <c r="AO936">
        <v>945336.34449520044</v>
      </c>
      <c r="AP936">
        <v>2154758.9321005461</v>
      </c>
      <c r="AQ936">
        <v>1209422.587605346</v>
      </c>
      <c r="AR936">
        <v>0.55747081231111117</v>
      </c>
      <c r="AS936">
        <v>9283.3265109569165</v>
      </c>
      <c r="AT936">
        <v>8860.5190009252183</v>
      </c>
      <c r="AU936">
        <v>3984.6100745900198</v>
      </c>
      <c r="AV936">
        <v>9717.9885816599162</v>
      </c>
      <c r="AW936">
        <v>22150.764455760469</v>
      </c>
      <c r="AX936">
        <v>12432.77587410056</v>
      </c>
      <c r="AY936">
        <v>57.164638715646568</v>
      </c>
      <c r="AZ936" t="s">
        <v>117</v>
      </c>
      <c r="BA936" t="str">
        <f>VLOOKUP($AZ936,Sheet1!$A$2:$B$58,2)</f>
        <v>Butane</v>
      </c>
      <c r="BB936" t="s">
        <v>168</v>
      </c>
      <c r="BC936">
        <v>58.121200000000002</v>
      </c>
      <c r="BD936">
        <v>6.5</v>
      </c>
      <c r="BE936">
        <v>-1</v>
      </c>
      <c r="BF936" t="s">
        <v>214</v>
      </c>
      <c r="BG936">
        <v>2.674425749876912</v>
      </c>
      <c r="BH936">
        <v>0.26553571428571399</v>
      </c>
      <c r="BI936">
        <v>0.25699817420140603</v>
      </c>
      <c r="BJ936">
        <v>80</v>
      </c>
      <c r="BK936">
        <v>107737.9466050273</v>
      </c>
      <c r="BL936">
        <v>60471.129380267288</v>
      </c>
      <c r="BM936">
        <v>275.36567557224089</v>
      </c>
      <c r="BN936">
        <v>46812.164847280947</v>
      </c>
      <c r="BO936">
        <v>60925.781757746357</v>
      </c>
    </row>
    <row r="937" spans="1:67" x14ac:dyDescent="0.25">
      <c r="A937" s="1">
        <v>935</v>
      </c>
      <c r="B937" t="s">
        <v>77</v>
      </c>
      <c r="C937" t="s">
        <v>86</v>
      </c>
      <c r="D937">
        <v>2</v>
      </c>
      <c r="E937">
        <v>4</v>
      </c>
      <c r="F937">
        <v>2</v>
      </c>
      <c r="G937">
        <v>60.050759999999997</v>
      </c>
      <c r="H937">
        <v>8</v>
      </c>
      <c r="I937" t="s">
        <v>89</v>
      </c>
      <c r="J937">
        <v>4</v>
      </c>
      <c r="K937">
        <v>20</v>
      </c>
      <c r="L937">
        <v>5</v>
      </c>
      <c r="N937" t="s">
        <v>90</v>
      </c>
      <c r="O937">
        <v>95</v>
      </c>
      <c r="P937">
        <v>0.48749999999999999</v>
      </c>
      <c r="Q937">
        <v>3.2500000000000001E-2</v>
      </c>
      <c r="R937">
        <v>77.5</v>
      </c>
      <c r="S937">
        <v>170</v>
      </c>
      <c r="T937">
        <v>50</v>
      </c>
      <c r="U937">
        <v>1812.1301775147931</v>
      </c>
      <c r="V937">
        <v>20</v>
      </c>
      <c r="W937">
        <v>0.95</v>
      </c>
      <c r="X937">
        <v>1</v>
      </c>
      <c r="Y937">
        <v>23297720.851608381</v>
      </c>
      <c r="Z937">
        <v>4659544170.3216753</v>
      </c>
      <c r="AA937">
        <v>18638176681.286701</v>
      </c>
      <c r="AB937">
        <v>18638176.6812867</v>
      </c>
      <c r="AC937">
        <v>0</v>
      </c>
      <c r="AD937">
        <v>48292.771867729913</v>
      </c>
      <c r="AE937">
        <v>21731747.340478461</v>
      </c>
      <c r="AF937">
        <v>1086587.367023923</v>
      </c>
      <c r="AG937">
        <v>65.250397196185517</v>
      </c>
      <c r="AH937">
        <v>7460.0307635447643</v>
      </c>
      <c r="AI937">
        <v>3730.0153817723822</v>
      </c>
      <c r="AJ937">
        <v>605740.74214181781</v>
      </c>
      <c r="AK937">
        <v>854.70085470085473</v>
      </c>
      <c r="AL937" t="s">
        <v>93</v>
      </c>
      <c r="AM937">
        <v>578152.38417471922</v>
      </c>
      <c r="AN937">
        <v>259997.39003892121</v>
      </c>
      <c r="AO937">
        <v>634102.61490130494</v>
      </c>
      <c r="AP937">
        <v>1444745.2172101589</v>
      </c>
      <c r="AQ937">
        <v>810642.60230885423</v>
      </c>
      <c r="AR937">
        <v>0.55747081231111106</v>
      </c>
      <c r="AS937">
        <v>9283.3265109569147</v>
      </c>
      <c r="AT937">
        <v>8860.5190009252146</v>
      </c>
      <c r="AU937">
        <v>3984.6100745900198</v>
      </c>
      <c r="AV937">
        <v>9717.9885816599144</v>
      </c>
      <c r="AW937">
        <v>22141.554370409529</v>
      </c>
      <c r="AX937">
        <v>12423.565788749611</v>
      </c>
      <c r="AY937">
        <v>57.164638715646547</v>
      </c>
      <c r="AZ937" t="s">
        <v>118</v>
      </c>
      <c r="BA937" t="str">
        <f>VLOOKUP($AZ937,Sheet1!$A$2:$B$58,2)</f>
        <v>Butanol (PW1)</v>
      </c>
      <c r="BB937" t="s">
        <v>169</v>
      </c>
      <c r="BC937">
        <v>74.120199999999997</v>
      </c>
      <c r="BD937">
        <v>6</v>
      </c>
      <c r="BE937">
        <v>117.7</v>
      </c>
      <c r="BF937" t="s">
        <v>214</v>
      </c>
      <c r="BG937">
        <v>1.450516757221868</v>
      </c>
      <c r="BH937">
        <v>0.310418604651163</v>
      </c>
      <c r="BI937">
        <v>0.38313943016827301</v>
      </c>
      <c r="BJ937">
        <v>80</v>
      </c>
      <c r="BK937">
        <v>72237.260860507944</v>
      </c>
      <c r="BL937">
        <v>40532.130115442698</v>
      </c>
      <c r="BM937">
        <v>185.05025233139719</v>
      </c>
      <c r="BN937">
        <v>31458.542896337531</v>
      </c>
      <c r="BO937">
        <v>40778.717964170413</v>
      </c>
    </row>
    <row r="938" spans="1:67" x14ac:dyDescent="0.25">
      <c r="A938" s="1">
        <v>936</v>
      </c>
      <c r="B938" t="s">
        <v>77</v>
      </c>
      <c r="C938" t="s">
        <v>86</v>
      </c>
      <c r="D938">
        <v>2</v>
      </c>
      <c r="E938">
        <v>4</v>
      </c>
      <c r="F938">
        <v>2</v>
      </c>
      <c r="G938">
        <v>60.050759999999997</v>
      </c>
      <c r="H938">
        <v>8</v>
      </c>
      <c r="I938" t="s">
        <v>89</v>
      </c>
      <c r="J938">
        <v>4</v>
      </c>
      <c r="K938">
        <v>20</v>
      </c>
      <c r="L938">
        <v>5</v>
      </c>
      <c r="N938" t="s">
        <v>90</v>
      </c>
      <c r="O938">
        <v>95</v>
      </c>
      <c r="P938">
        <v>0.48749999999999999</v>
      </c>
      <c r="Q938">
        <v>3.2500000000000001E-2</v>
      </c>
      <c r="R938">
        <v>77.5</v>
      </c>
      <c r="S938">
        <v>170</v>
      </c>
      <c r="T938">
        <v>50</v>
      </c>
      <c r="U938">
        <v>1812.1301775147931</v>
      </c>
      <c r="V938">
        <v>20</v>
      </c>
      <c r="W938">
        <v>0.95</v>
      </c>
      <c r="X938">
        <v>1</v>
      </c>
      <c r="Y938">
        <v>26506153.79339724</v>
      </c>
      <c r="Z938">
        <v>5301230758.6794491</v>
      </c>
      <c r="AA938">
        <v>21204923034.7178</v>
      </c>
      <c r="AB938">
        <v>21204923.034717791</v>
      </c>
      <c r="AC938">
        <v>0</v>
      </c>
      <c r="AD938">
        <v>54943.384650740532</v>
      </c>
      <c r="AE938">
        <v>24724523.09283324</v>
      </c>
      <c r="AF938">
        <v>1236226.154641662</v>
      </c>
      <c r="AG938">
        <v>74.236320118109319</v>
      </c>
      <c r="AH938">
        <v>8487.3848382616052</v>
      </c>
      <c r="AI938">
        <v>4243.6924191308026</v>
      </c>
      <c r="AJ938">
        <v>689159.99862832832</v>
      </c>
      <c r="AK938">
        <v>854.70085470085473</v>
      </c>
      <c r="AL938" t="s">
        <v>93</v>
      </c>
      <c r="AM938">
        <v>657772.32496527443</v>
      </c>
      <c r="AN938">
        <v>295802.78904310818</v>
      </c>
      <c r="AO938">
        <v>721427.71125223639</v>
      </c>
      <c r="AP938">
        <v>1643589.813491412</v>
      </c>
      <c r="AQ938">
        <v>922162.10223917535</v>
      </c>
      <c r="AR938">
        <v>0.55747081231111095</v>
      </c>
      <c r="AS938">
        <v>9283.3265109569129</v>
      </c>
      <c r="AT938">
        <v>8860.5190009252146</v>
      </c>
      <c r="AU938">
        <v>3984.6100745900198</v>
      </c>
      <c r="AV938">
        <v>9717.9885816599126</v>
      </c>
      <c r="AW938">
        <v>22139.96883030402</v>
      </c>
      <c r="AX938">
        <v>12421.980248644109</v>
      </c>
      <c r="AY938">
        <v>57.164638715646547</v>
      </c>
      <c r="AZ938" t="s">
        <v>119</v>
      </c>
      <c r="BA938" t="str">
        <f>VLOOKUP($AZ938,Sheet1!$A$2:$B$58,2)</f>
        <v>Butanol (PW2)</v>
      </c>
      <c r="BB938" t="s">
        <v>169</v>
      </c>
      <c r="BC938">
        <v>74.120199999999997</v>
      </c>
      <c r="BD938">
        <v>6</v>
      </c>
      <c r="BE938">
        <v>117.7</v>
      </c>
      <c r="BF938" t="s">
        <v>214</v>
      </c>
      <c r="BG938">
        <v>1.9773541218976389</v>
      </c>
      <c r="BH938">
        <v>0.27284403669724799</v>
      </c>
      <c r="BI938">
        <v>0.33676238208231801</v>
      </c>
      <c r="BJ938">
        <v>80</v>
      </c>
      <c r="BK938">
        <v>82179.490674570581</v>
      </c>
      <c r="BL938">
        <v>46108.105111958757</v>
      </c>
      <c r="BM938">
        <v>210.2072668346425</v>
      </c>
      <c r="BN938">
        <v>35735.235361889223</v>
      </c>
      <c r="BO938">
        <v>46444.255312681358</v>
      </c>
    </row>
    <row r="939" spans="1:67" x14ac:dyDescent="0.25">
      <c r="A939" s="1">
        <v>937</v>
      </c>
      <c r="B939" t="s">
        <v>77</v>
      </c>
      <c r="C939" t="s">
        <v>86</v>
      </c>
      <c r="D939">
        <v>2</v>
      </c>
      <c r="E939">
        <v>4</v>
      </c>
      <c r="F939">
        <v>2</v>
      </c>
      <c r="G939">
        <v>60.050759999999997</v>
      </c>
      <c r="H939">
        <v>8</v>
      </c>
      <c r="I939" t="s">
        <v>89</v>
      </c>
      <c r="J939">
        <v>4</v>
      </c>
      <c r="K939">
        <v>20</v>
      </c>
      <c r="L939">
        <v>5</v>
      </c>
      <c r="N939" t="s">
        <v>90</v>
      </c>
      <c r="O939">
        <v>95</v>
      </c>
      <c r="P939">
        <v>0.48749999999999999</v>
      </c>
      <c r="Q939">
        <v>3.2500000000000001E-2</v>
      </c>
      <c r="R939">
        <v>77.5</v>
      </c>
      <c r="S939">
        <v>170</v>
      </c>
      <c r="T939">
        <v>50</v>
      </c>
      <c r="U939">
        <v>1812.1301775147931</v>
      </c>
      <c r="V939">
        <v>20</v>
      </c>
      <c r="W939">
        <v>0.95</v>
      </c>
      <c r="X939">
        <v>1</v>
      </c>
      <c r="Y939">
        <v>15861468.48216014</v>
      </c>
      <c r="Z939">
        <v>3172293696.4320288</v>
      </c>
      <c r="AA939">
        <v>12689174785.728121</v>
      </c>
      <c r="AB939">
        <v>12689174.785728119</v>
      </c>
      <c r="AC939">
        <v>0</v>
      </c>
      <c r="AD939">
        <v>32878.507034016038</v>
      </c>
      <c r="AE939">
        <v>14795328.16530722</v>
      </c>
      <c r="AF939">
        <v>739766.40826536086</v>
      </c>
      <c r="AG939">
        <v>44.423535038805198</v>
      </c>
      <c r="AH939">
        <v>5078.9106619303302</v>
      </c>
      <c r="AI939">
        <v>2539.4553309651651</v>
      </c>
      <c r="AJ939">
        <v>412398.1805361638</v>
      </c>
      <c r="AK939">
        <v>854.70085470085473</v>
      </c>
      <c r="AL939" t="s">
        <v>93</v>
      </c>
      <c r="AM939">
        <v>393615.57629960059</v>
      </c>
      <c r="AN939">
        <v>177010.4652645259</v>
      </c>
      <c r="AO939">
        <v>431707.40626407799</v>
      </c>
      <c r="AP939">
        <v>983878.92295499123</v>
      </c>
      <c r="AQ939">
        <v>552171.51669091312</v>
      </c>
      <c r="AR939">
        <v>0.55747081231111117</v>
      </c>
      <c r="AS939">
        <v>9283.3265109569165</v>
      </c>
      <c r="AT939">
        <v>8860.5190009252165</v>
      </c>
      <c r="AU939">
        <v>3984.6100745900189</v>
      </c>
      <c r="AV939">
        <v>9717.9885816599144</v>
      </c>
      <c r="AW939">
        <v>22147.695407300329</v>
      </c>
      <c r="AX939">
        <v>12429.70682564042</v>
      </c>
      <c r="AY939">
        <v>57.164638715646561</v>
      </c>
      <c r="AZ939" t="s">
        <v>120</v>
      </c>
      <c r="BA939" t="str">
        <f>VLOOKUP($AZ939,Sheet1!$A$2:$B$58,2)</f>
        <v>Butyrate</v>
      </c>
      <c r="BB939" t="s">
        <v>170</v>
      </c>
      <c r="BC939">
        <v>87.095680000000002</v>
      </c>
      <c r="BD939">
        <v>4.75</v>
      </c>
      <c r="BE939">
        <v>163.5</v>
      </c>
      <c r="BF939" t="s">
        <v>214</v>
      </c>
      <c r="BG939">
        <v>0.58329039648015979</v>
      </c>
      <c r="BH939">
        <v>0.38802325581395403</v>
      </c>
      <c r="BI939">
        <v>0.56276475922417701</v>
      </c>
      <c r="BJ939">
        <v>80</v>
      </c>
      <c r="BK939">
        <v>49193.946147749557</v>
      </c>
      <c r="BL939">
        <v>27608.57583454566</v>
      </c>
      <c r="BM939">
        <v>126.3894761517781</v>
      </c>
      <c r="BN939">
        <v>21486.210945802279</v>
      </c>
      <c r="BO939">
        <v>27707.735201947289</v>
      </c>
    </row>
    <row r="940" spans="1:67" x14ac:dyDescent="0.25">
      <c r="A940" s="1">
        <v>938</v>
      </c>
      <c r="B940" t="s">
        <v>77</v>
      </c>
      <c r="C940" t="s">
        <v>86</v>
      </c>
      <c r="D940">
        <v>2</v>
      </c>
      <c r="E940">
        <v>4</v>
      </c>
      <c r="F940">
        <v>2</v>
      </c>
      <c r="G940">
        <v>60.050759999999997</v>
      </c>
      <c r="H940">
        <v>8</v>
      </c>
      <c r="I940" t="s">
        <v>89</v>
      </c>
      <c r="J940">
        <v>4</v>
      </c>
      <c r="K940">
        <v>20</v>
      </c>
      <c r="L940">
        <v>5</v>
      </c>
      <c r="N940" t="s">
        <v>90</v>
      </c>
      <c r="O940">
        <v>95</v>
      </c>
      <c r="P940">
        <v>0.48749999999999999</v>
      </c>
      <c r="Q940">
        <v>3.2500000000000001E-2</v>
      </c>
      <c r="R940">
        <v>77.5</v>
      </c>
      <c r="S940">
        <v>170</v>
      </c>
      <c r="T940">
        <v>50</v>
      </c>
      <c r="U940">
        <v>1812.1301775147931</v>
      </c>
      <c r="V940">
        <v>20</v>
      </c>
      <c r="W940">
        <v>0.95</v>
      </c>
      <c r="X940">
        <v>1</v>
      </c>
      <c r="Y940">
        <v>20570892.209484689</v>
      </c>
      <c r="Z940">
        <v>4114178441.8969369</v>
      </c>
      <c r="AA940">
        <v>16456713767.587749</v>
      </c>
      <c r="AB940">
        <v>16456713.767587749</v>
      </c>
      <c r="AC940">
        <v>0</v>
      </c>
      <c r="AD940">
        <v>42640.454442552247</v>
      </c>
      <c r="AE940">
        <v>19188204.49914851</v>
      </c>
      <c r="AF940">
        <v>959410.2249574255</v>
      </c>
      <c r="AG940">
        <v>57.613313160464372</v>
      </c>
      <c r="AH940">
        <v>6586.8884640587012</v>
      </c>
      <c r="AI940">
        <v>3293.444232029351</v>
      </c>
      <c r="AJ940">
        <v>534843.19744660181</v>
      </c>
      <c r="AK940">
        <v>854.70085470085473</v>
      </c>
      <c r="AL940" t="s">
        <v>93</v>
      </c>
      <c r="AM940">
        <v>510483.85596454941</v>
      </c>
      <c r="AN940">
        <v>229566.58804969609</v>
      </c>
      <c r="AO940">
        <v>559885.51944498962</v>
      </c>
      <c r="AP940">
        <v>1275748.3423155481</v>
      </c>
      <c r="AQ940">
        <v>715862.82287055848</v>
      </c>
      <c r="AR940">
        <v>0.55747081231111106</v>
      </c>
      <c r="AS940">
        <v>9283.3265109569147</v>
      </c>
      <c r="AT940">
        <v>8860.5190009252165</v>
      </c>
      <c r="AU940">
        <v>3984.6100745900198</v>
      </c>
      <c r="AV940">
        <v>9717.9885816599144</v>
      </c>
      <c r="AW940">
        <v>22143.290714115661</v>
      </c>
      <c r="AX940">
        <v>12425.30213245575</v>
      </c>
      <c r="AY940">
        <v>57.164638715646547</v>
      </c>
      <c r="AZ940" t="s">
        <v>121</v>
      </c>
      <c r="BA940" t="str">
        <f>VLOOKUP($AZ940,Sheet1!$A$2:$B$58,2)</f>
        <v>Catechol</v>
      </c>
      <c r="BB940" t="s">
        <v>171</v>
      </c>
      <c r="BC940">
        <v>110.10924</v>
      </c>
      <c r="BD940">
        <v>4.333333333333333</v>
      </c>
      <c r="BE940">
        <v>245</v>
      </c>
      <c r="BF940" t="s">
        <v>214</v>
      </c>
      <c r="BG940">
        <v>0.97965791090366061</v>
      </c>
      <c r="BH940">
        <v>0.23665782493368701</v>
      </c>
      <c r="BI940">
        <v>0.43392748357259198</v>
      </c>
      <c r="BJ940">
        <v>80</v>
      </c>
      <c r="BK940">
        <v>63787.417115777411</v>
      </c>
      <c r="BL940">
        <v>35793.14114352793</v>
      </c>
      <c r="BM940">
        <v>163.6925536905639</v>
      </c>
      <c r="BN940">
        <v>27827.734127395859</v>
      </c>
      <c r="BO940">
        <v>35959.682988381552</v>
      </c>
    </row>
    <row r="941" spans="1:67" x14ac:dyDescent="0.25">
      <c r="A941" s="1">
        <v>939</v>
      </c>
      <c r="B941" t="s">
        <v>77</v>
      </c>
      <c r="C941" t="s">
        <v>86</v>
      </c>
      <c r="D941">
        <v>2</v>
      </c>
      <c r="E941">
        <v>4</v>
      </c>
      <c r="F941">
        <v>2</v>
      </c>
      <c r="G941">
        <v>60.050759999999997</v>
      </c>
      <c r="H941">
        <v>8</v>
      </c>
      <c r="I941" t="s">
        <v>89</v>
      </c>
      <c r="J941">
        <v>4</v>
      </c>
      <c r="K941">
        <v>20</v>
      </c>
      <c r="L941">
        <v>5</v>
      </c>
      <c r="N941" t="s">
        <v>90</v>
      </c>
      <c r="O941">
        <v>95</v>
      </c>
      <c r="P941">
        <v>0.48749999999999999</v>
      </c>
      <c r="Q941">
        <v>3.2500000000000001E-2</v>
      </c>
      <c r="R941">
        <v>77.5</v>
      </c>
      <c r="S941">
        <v>170</v>
      </c>
      <c r="T941">
        <v>50</v>
      </c>
      <c r="U941">
        <v>1812.1301775147931</v>
      </c>
      <c r="V941">
        <v>20</v>
      </c>
      <c r="W941">
        <v>0.95</v>
      </c>
      <c r="X941">
        <v>1</v>
      </c>
      <c r="Y941">
        <v>16425641.728435241</v>
      </c>
      <c r="Z941">
        <v>3285128345.6870489</v>
      </c>
      <c r="AA941">
        <v>13140513382.748199</v>
      </c>
      <c r="AB941">
        <v>13140513.3827482</v>
      </c>
      <c r="AC941">
        <v>0</v>
      </c>
      <c r="AD941">
        <v>34047.955756050971</v>
      </c>
      <c r="AE941">
        <v>15321580.09022294</v>
      </c>
      <c r="AF941">
        <v>766079.00451114681</v>
      </c>
      <c r="AG941">
        <v>46.003626440937794</v>
      </c>
      <c r="AH941">
        <v>5259.5613702115497</v>
      </c>
      <c r="AI941">
        <v>2629.7806851057749</v>
      </c>
      <c r="AJ941">
        <v>427066.68493931642</v>
      </c>
      <c r="AK941">
        <v>854.70085470085473</v>
      </c>
      <c r="AL941" t="s">
        <v>93</v>
      </c>
      <c r="AM941">
        <v>407616.00619139511</v>
      </c>
      <c r="AN941">
        <v>183306.5133842366</v>
      </c>
      <c r="AO941">
        <v>447062.71646798181</v>
      </c>
      <c r="AP941">
        <v>1018843.9053696489</v>
      </c>
      <c r="AQ941">
        <v>571781.18890166725</v>
      </c>
      <c r="AR941">
        <v>0.55747081231111106</v>
      </c>
      <c r="AS941">
        <v>9283.3265109569147</v>
      </c>
      <c r="AT941">
        <v>8860.5190009252183</v>
      </c>
      <c r="AU941">
        <v>3984.6100745900198</v>
      </c>
      <c r="AV941">
        <v>9717.9885816599181</v>
      </c>
      <c r="AW941">
        <v>22147.034575148151</v>
      </c>
      <c r="AX941">
        <v>12429.045993488229</v>
      </c>
      <c r="AY941">
        <v>57.164638715646568</v>
      </c>
      <c r="AZ941" t="s">
        <v>122</v>
      </c>
      <c r="BA941" t="str">
        <f>VLOOKUP($AZ941,Sheet1!$A$2:$B$58,2)</f>
        <v>cis,cis-Muconate</v>
      </c>
      <c r="BB941" t="s">
        <v>172</v>
      </c>
      <c r="BC941">
        <v>140.09155999999999</v>
      </c>
      <c r="BD941">
        <v>3.333333333333333</v>
      </c>
      <c r="BE941">
        <v>345.4</v>
      </c>
      <c r="BF941" t="s">
        <v>214</v>
      </c>
      <c r="BG941">
        <v>0.8122451390707297</v>
      </c>
      <c r="BH941">
        <v>0.23295039164490799</v>
      </c>
      <c r="BI941">
        <v>0.54343541877283297</v>
      </c>
      <c r="BJ941">
        <v>80</v>
      </c>
      <c r="BK941">
        <v>50942.195268482443</v>
      </c>
      <c r="BL941">
        <v>28589.05944508336</v>
      </c>
      <c r="BM941">
        <v>130.676789116218</v>
      </c>
      <c r="BN941">
        <v>22215.054149757059</v>
      </c>
      <c r="BO941">
        <v>28727.14111872538</v>
      </c>
    </row>
    <row r="942" spans="1:67" x14ac:dyDescent="0.25">
      <c r="A942" s="1">
        <v>940</v>
      </c>
      <c r="B942" t="s">
        <v>77</v>
      </c>
      <c r="C942" t="s">
        <v>86</v>
      </c>
      <c r="D942">
        <v>2</v>
      </c>
      <c r="E942">
        <v>4</v>
      </c>
      <c r="F942">
        <v>2</v>
      </c>
      <c r="G942">
        <v>60.050759999999997</v>
      </c>
      <c r="H942">
        <v>8</v>
      </c>
      <c r="I942" t="s">
        <v>89</v>
      </c>
      <c r="J942">
        <v>4</v>
      </c>
      <c r="K942">
        <v>20</v>
      </c>
      <c r="L942">
        <v>5</v>
      </c>
      <c r="N942" t="s">
        <v>90</v>
      </c>
      <c r="O942">
        <v>95</v>
      </c>
      <c r="P942">
        <v>0.48749999999999999</v>
      </c>
      <c r="Q942">
        <v>3.2500000000000001E-2</v>
      </c>
      <c r="R942">
        <v>77.5</v>
      </c>
      <c r="S942">
        <v>170</v>
      </c>
      <c r="T942">
        <v>50</v>
      </c>
      <c r="U942">
        <v>1812.1301775147931</v>
      </c>
      <c r="V942">
        <v>20</v>
      </c>
      <c r="W942">
        <v>0.95</v>
      </c>
      <c r="X942">
        <v>1</v>
      </c>
      <c r="Y942">
        <v>7645586.6637002872</v>
      </c>
      <c r="Z942">
        <v>1529117332.740057</v>
      </c>
      <c r="AA942">
        <v>6116469330.9602299</v>
      </c>
      <c r="AB942">
        <v>6116469.33096023</v>
      </c>
      <c r="AC942">
        <v>0</v>
      </c>
      <c r="AD942">
        <v>15848.184245007231</v>
      </c>
      <c r="AE942">
        <v>7131682.9102532519</v>
      </c>
      <c r="AF942">
        <v>356584.1455126626</v>
      </c>
      <c r="AG942">
        <v>21.41314894198598</v>
      </c>
      <c r="AH942">
        <v>2448.1498460659159</v>
      </c>
      <c r="AI942">
        <v>1224.0749230329579</v>
      </c>
      <c r="AJ942">
        <v>198785.25325620751</v>
      </c>
      <c r="AK942">
        <v>854.70085470085473</v>
      </c>
      <c r="AL942" t="s">
        <v>93</v>
      </c>
      <c r="AM942">
        <v>189731.61307010849</v>
      </c>
      <c r="AN942">
        <v>85323.049002933971</v>
      </c>
      <c r="AO942">
        <v>208092.73691560281</v>
      </c>
      <c r="AP942">
        <v>474694.6161839508</v>
      </c>
      <c r="AQ942">
        <v>266601.87926834798</v>
      </c>
      <c r="AR942">
        <v>0.55747081231111117</v>
      </c>
      <c r="AS942">
        <v>9283.3265109569165</v>
      </c>
      <c r="AT942">
        <v>8860.5190009252183</v>
      </c>
      <c r="AU942">
        <v>3984.6100745900198</v>
      </c>
      <c r="AV942">
        <v>9717.9885816599162</v>
      </c>
      <c r="AW942">
        <v>22168.370353656399</v>
      </c>
      <c r="AX942">
        <v>12450.381771996481</v>
      </c>
      <c r="AY942">
        <v>57.164638715646568</v>
      </c>
      <c r="AZ942" t="s">
        <v>123</v>
      </c>
      <c r="BA942" t="str">
        <f>VLOOKUP($AZ942,Sheet1!$A$2:$B$58,2)</f>
        <v>Citrate</v>
      </c>
      <c r="BB942" t="s">
        <v>173</v>
      </c>
      <c r="BC942">
        <v>189.09639999999999</v>
      </c>
      <c r="BD942">
        <v>2.5</v>
      </c>
      <c r="BF942" t="s">
        <v>214</v>
      </c>
      <c r="BG942">
        <v>-0.14099506786505389</v>
      </c>
      <c r="BH942">
        <v>0.37076923076923102</v>
      </c>
      <c r="BI942">
        <v>1.1675069401390601</v>
      </c>
      <c r="BJ942">
        <v>80</v>
      </c>
      <c r="BK942">
        <v>23734.730809197539</v>
      </c>
      <c r="BL942">
        <v>13330.093963417399</v>
      </c>
      <c r="BM942">
        <v>61.344741219512947</v>
      </c>
      <c r="BN942">
        <v>10428.606007317199</v>
      </c>
      <c r="BO942">
        <v>13306.12480188034</v>
      </c>
    </row>
    <row r="943" spans="1:67" x14ac:dyDescent="0.25">
      <c r="A943" s="1">
        <v>941</v>
      </c>
      <c r="B943" t="s">
        <v>77</v>
      </c>
      <c r="C943" t="s">
        <v>86</v>
      </c>
      <c r="D943">
        <v>2</v>
      </c>
      <c r="E943">
        <v>4</v>
      </c>
      <c r="F943">
        <v>2</v>
      </c>
      <c r="G943">
        <v>60.050759999999997</v>
      </c>
      <c r="H943">
        <v>8</v>
      </c>
      <c r="I943" t="s">
        <v>89</v>
      </c>
      <c r="J943">
        <v>4</v>
      </c>
      <c r="K943">
        <v>20</v>
      </c>
      <c r="L943">
        <v>5</v>
      </c>
      <c r="N943" t="s">
        <v>90</v>
      </c>
      <c r="O943">
        <v>95</v>
      </c>
      <c r="P943">
        <v>0.48749999999999999</v>
      </c>
      <c r="Q943">
        <v>3.2500000000000001E-2</v>
      </c>
      <c r="R943">
        <v>77.5</v>
      </c>
      <c r="S943">
        <v>170</v>
      </c>
      <c r="T943">
        <v>50</v>
      </c>
      <c r="U943">
        <v>1812.1301775147931</v>
      </c>
      <c r="V943">
        <v>20</v>
      </c>
      <c r="W943">
        <v>0.95</v>
      </c>
      <c r="X943">
        <v>1</v>
      </c>
      <c r="Y943">
        <v>20953934.227437809</v>
      </c>
      <c r="Z943">
        <v>4190786845.4875612</v>
      </c>
      <c r="AA943">
        <v>16763147381.950239</v>
      </c>
      <c r="AB943">
        <v>16763147.381950241</v>
      </c>
      <c r="AC943">
        <v>0</v>
      </c>
      <c r="AD943">
        <v>43434.444588909762</v>
      </c>
      <c r="AE943">
        <v>19545500.065009389</v>
      </c>
      <c r="AF943">
        <v>977275.00325046945</v>
      </c>
      <c r="AG943">
        <v>58.686106674193162</v>
      </c>
      <c r="AH943">
        <v>6709.5401713162919</v>
      </c>
      <c r="AI943">
        <v>3354.7700856581459</v>
      </c>
      <c r="AJ943">
        <v>544802.28991338296</v>
      </c>
      <c r="AK943">
        <v>854.70085470085473</v>
      </c>
      <c r="AL943" t="s">
        <v>93</v>
      </c>
      <c r="AM943">
        <v>519989.3632770126</v>
      </c>
      <c r="AN943">
        <v>233841.25189245469</v>
      </c>
      <c r="AO943">
        <v>570310.91456188483</v>
      </c>
      <c r="AP943">
        <v>1299487.605937551</v>
      </c>
      <c r="AQ943">
        <v>729176.69137566618</v>
      </c>
      <c r="AR943">
        <v>0.55747081231111106</v>
      </c>
      <c r="AS943">
        <v>9283.3265109569147</v>
      </c>
      <c r="AT943">
        <v>8860.5190009252146</v>
      </c>
      <c r="AU943">
        <v>3984.6100745900198</v>
      </c>
      <c r="AV943">
        <v>9717.9885816599144</v>
      </c>
      <c r="AW943">
        <v>22143.019525079391</v>
      </c>
      <c r="AX943">
        <v>12425.030943419481</v>
      </c>
      <c r="AY943">
        <v>57.164638715646547</v>
      </c>
      <c r="AZ943" t="s">
        <v>124</v>
      </c>
      <c r="BA943" t="str">
        <f>VLOOKUP($AZ943,Sheet1!$A$2:$B$58,2)</f>
        <v>Coumaric Acid</v>
      </c>
      <c r="BB943" t="s">
        <v>174</v>
      </c>
      <c r="BC943">
        <v>163.14818</v>
      </c>
      <c r="BD943">
        <v>4.1111111111111107</v>
      </c>
      <c r="BE943">
        <v>346</v>
      </c>
      <c r="BF943" t="s">
        <v>214</v>
      </c>
      <c r="BG943">
        <v>1.012925840775208</v>
      </c>
      <c r="BH943">
        <v>0.15680140597539499</v>
      </c>
      <c r="BI943">
        <v>0.42599520426175402</v>
      </c>
      <c r="BJ943">
        <v>80</v>
      </c>
      <c r="BK943">
        <v>64974.380296877549</v>
      </c>
      <c r="BL943">
        <v>36458.834568783313</v>
      </c>
      <c r="BM943">
        <v>166.7255784421321</v>
      </c>
      <c r="BN943">
        <v>28343.348335162449</v>
      </c>
      <c r="BO943">
        <v>36631.031961715104</v>
      </c>
    </row>
    <row r="944" spans="1:67" x14ac:dyDescent="0.25">
      <c r="A944" s="1">
        <v>942</v>
      </c>
      <c r="B944" t="s">
        <v>77</v>
      </c>
      <c r="C944" t="s">
        <v>86</v>
      </c>
      <c r="D944">
        <v>2</v>
      </c>
      <c r="E944">
        <v>4</v>
      </c>
      <c r="F944">
        <v>2</v>
      </c>
      <c r="G944">
        <v>60.050759999999997</v>
      </c>
      <c r="H944">
        <v>8</v>
      </c>
      <c r="I944" t="s">
        <v>89</v>
      </c>
      <c r="J944">
        <v>4</v>
      </c>
      <c r="K944">
        <v>20</v>
      </c>
      <c r="L944">
        <v>5</v>
      </c>
      <c r="N944" t="s">
        <v>90</v>
      </c>
      <c r="O944">
        <v>95</v>
      </c>
      <c r="P944">
        <v>0.48749999999999999</v>
      </c>
      <c r="Q944">
        <v>3.2500000000000001E-2</v>
      </c>
      <c r="R944">
        <v>77.5</v>
      </c>
      <c r="S944">
        <v>170</v>
      </c>
      <c r="T944">
        <v>50</v>
      </c>
      <c r="U944">
        <v>1812.1301775147931</v>
      </c>
      <c r="V944">
        <v>20</v>
      </c>
      <c r="W944">
        <v>0.95</v>
      </c>
      <c r="X944">
        <v>1</v>
      </c>
      <c r="Y944">
        <v>15953513.65875487</v>
      </c>
      <c r="Z944">
        <v>3190702731.7509742</v>
      </c>
      <c r="AA944">
        <v>12762810927.003889</v>
      </c>
      <c r="AB944">
        <v>12762810.92700389</v>
      </c>
      <c r="AC944">
        <v>0</v>
      </c>
      <c r="AD944">
        <v>33069.30323863736</v>
      </c>
      <c r="AE944">
        <v>14881186.45738681</v>
      </c>
      <c r="AF944">
        <v>744059.32286934054</v>
      </c>
      <c r="AG944">
        <v>44.681327823389267</v>
      </c>
      <c r="AH944">
        <v>5108.3839247188298</v>
      </c>
      <c r="AI944">
        <v>2554.1919623594149</v>
      </c>
      <c r="AJ944">
        <v>414791.35512762662</v>
      </c>
      <c r="AK944">
        <v>854.70085470085473</v>
      </c>
      <c r="AL944" t="s">
        <v>93</v>
      </c>
      <c r="AM944">
        <v>395899.75416570931</v>
      </c>
      <c r="AN944">
        <v>178037.66899113631</v>
      </c>
      <c r="AO944">
        <v>434212.63360110048</v>
      </c>
      <c r="AP944">
        <v>989583.47913917305</v>
      </c>
      <c r="AQ944">
        <v>555370.84553807252</v>
      </c>
      <c r="AR944">
        <v>0.55747081231111106</v>
      </c>
      <c r="AS944">
        <v>9283.3265109569147</v>
      </c>
      <c r="AT944">
        <v>8860.5190009252165</v>
      </c>
      <c r="AU944">
        <v>3984.6100745900212</v>
      </c>
      <c r="AV944">
        <v>9717.9885816599162</v>
      </c>
      <c r="AW944">
        <v>22147.584401490349</v>
      </c>
      <c r="AX944">
        <v>12429.595819830431</v>
      </c>
      <c r="AY944">
        <v>57.164638715646568</v>
      </c>
      <c r="AZ944" t="s">
        <v>125</v>
      </c>
      <c r="BA944" t="str">
        <f>VLOOKUP($AZ944,Sheet1!$A$2:$B$58,2)</f>
        <v>Ethyl Acetate</v>
      </c>
      <c r="BB944" t="s">
        <v>175</v>
      </c>
      <c r="BC944">
        <v>88.103520000000003</v>
      </c>
      <c r="BD944">
        <v>5</v>
      </c>
      <c r="BE944">
        <v>77.099999999999994</v>
      </c>
      <c r="BF944" t="s">
        <v>214</v>
      </c>
      <c r="BG944">
        <v>0.62152592219166725</v>
      </c>
      <c r="BH944">
        <v>0.38137142857142903</v>
      </c>
      <c r="BI944">
        <v>0.55951783928214605</v>
      </c>
      <c r="BJ944">
        <v>80</v>
      </c>
      <c r="BK944">
        <v>49479.173956958643</v>
      </c>
      <c r="BL944">
        <v>27768.542276903619</v>
      </c>
      <c r="BM944">
        <v>127.08807219577911</v>
      </c>
      <c r="BN944">
        <v>21604.972273282441</v>
      </c>
      <c r="BO944">
        <v>27874.20168367619</v>
      </c>
    </row>
    <row r="945" spans="1:67" x14ac:dyDescent="0.25">
      <c r="A945" s="1">
        <v>943</v>
      </c>
      <c r="B945" t="s">
        <v>77</v>
      </c>
      <c r="C945" t="s">
        <v>86</v>
      </c>
      <c r="D945">
        <v>2</v>
      </c>
      <c r="E945">
        <v>4</v>
      </c>
      <c r="F945">
        <v>2</v>
      </c>
      <c r="G945">
        <v>60.050759999999997</v>
      </c>
      <c r="H945">
        <v>8</v>
      </c>
      <c r="I945" t="s">
        <v>89</v>
      </c>
      <c r="J945">
        <v>4</v>
      </c>
      <c r="K945">
        <v>20</v>
      </c>
      <c r="L945">
        <v>5</v>
      </c>
      <c r="N945" t="s">
        <v>90</v>
      </c>
      <c r="O945">
        <v>95</v>
      </c>
      <c r="P945">
        <v>0.48749999999999999</v>
      </c>
      <c r="Q945">
        <v>3.2500000000000001E-2</v>
      </c>
      <c r="R945">
        <v>77.5</v>
      </c>
      <c r="S945">
        <v>170</v>
      </c>
      <c r="T945">
        <v>50</v>
      </c>
      <c r="U945">
        <v>1812.1301775147931</v>
      </c>
      <c r="V945">
        <v>20</v>
      </c>
      <c r="W945">
        <v>0.95</v>
      </c>
      <c r="X945">
        <v>1</v>
      </c>
      <c r="Y945">
        <v>31400387.085567739</v>
      </c>
      <c r="Z945">
        <v>6280077417.1135473</v>
      </c>
      <c r="AA945">
        <v>25120309668.454189</v>
      </c>
      <c r="AB945">
        <v>25120309.668454189</v>
      </c>
      <c r="AC945">
        <v>0</v>
      </c>
      <c r="AD945">
        <v>65088.415289216959</v>
      </c>
      <c r="AE945">
        <v>29289786.880147628</v>
      </c>
      <c r="AF945">
        <v>1464489.3440073819</v>
      </c>
      <c r="AG945">
        <v>87.94369811954472</v>
      </c>
      <c r="AH945">
        <v>10054.53946064332</v>
      </c>
      <c r="AI945">
        <v>5027.2697303216592</v>
      </c>
      <c r="AJ945">
        <v>816410.06422476121</v>
      </c>
      <c r="AK945">
        <v>1835.336538461539</v>
      </c>
      <c r="AL945" t="s">
        <v>94</v>
      </c>
      <c r="AM945">
        <v>779226.80819985713</v>
      </c>
      <c r="AN945">
        <v>350421.34552384121</v>
      </c>
      <c r="AO945">
        <v>854635.85415468202</v>
      </c>
      <c r="AP945">
        <v>1947893.5544869211</v>
      </c>
      <c r="AQ945">
        <v>1093257.700332239</v>
      </c>
      <c r="AR945">
        <v>0.55747081231111106</v>
      </c>
      <c r="AS945">
        <v>9283.3265109569147</v>
      </c>
      <c r="AT945">
        <v>8860.5190009252146</v>
      </c>
      <c r="AU945">
        <v>3984.6100745900189</v>
      </c>
      <c r="AV945">
        <v>9717.9885816599144</v>
      </c>
      <c r="AW945">
        <v>22149.32503565049</v>
      </c>
      <c r="AX945">
        <v>12431.33645399058</v>
      </c>
      <c r="AY945">
        <v>57.164638715646547</v>
      </c>
      <c r="AZ945" t="s">
        <v>126</v>
      </c>
      <c r="BA945" t="str">
        <f>VLOOKUP($AZ945,Sheet1!$A$2:$B$58,2)</f>
        <v>Farnesene</v>
      </c>
      <c r="BB945" t="s">
        <v>176</v>
      </c>
      <c r="BC945">
        <v>204.34866</v>
      </c>
      <c r="BD945">
        <v>5.6</v>
      </c>
      <c r="BE945" t="s">
        <v>198</v>
      </c>
      <c r="BF945" t="s">
        <v>214</v>
      </c>
      <c r="BG945">
        <v>1.925559520349641</v>
      </c>
      <c r="BH945">
        <v>8.3539325842696799E-2</v>
      </c>
      <c r="BI945">
        <v>0.28427278514051901</v>
      </c>
      <c r="BJ945">
        <v>80</v>
      </c>
      <c r="BK945">
        <v>97394.677724346053</v>
      </c>
      <c r="BL945">
        <v>54662.885016611937</v>
      </c>
      <c r="BM945">
        <v>249.43792699573331</v>
      </c>
      <c r="BN945">
        <v>42404.447589274663</v>
      </c>
      <c r="BO945">
        <v>54990.23013507139</v>
      </c>
    </row>
    <row r="946" spans="1:67" x14ac:dyDescent="0.25">
      <c r="A946" s="1">
        <v>944</v>
      </c>
      <c r="B946" t="s">
        <v>77</v>
      </c>
      <c r="C946" t="s">
        <v>86</v>
      </c>
      <c r="D946">
        <v>2</v>
      </c>
      <c r="E946">
        <v>4</v>
      </c>
      <c r="F946">
        <v>2</v>
      </c>
      <c r="G946">
        <v>60.050759999999997</v>
      </c>
      <c r="H946">
        <v>8</v>
      </c>
      <c r="I946" t="s">
        <v>89</v>
      </c>
      <c r="J946">
        <v>4</v>
      </c>
      <c r="K946">
        <v>20</v>
      </c>
      <c r="L946">
        <v>5</v>
      </c>
      <c r="N946" t="s">
        <v>90</v>
      </c>
      <c r="O946">
        <v>95</v>
      </c>
      <c r="P946">
        <v>0.48749999999999999</v>
      </c>
      <c r="Q946">
        <v>3.2500000000000001E-2</v>
      </c>
      <c r="R946">
        <v>77.5</v>
      </c>
      <c r="S946">
        <v>170</v>
      </c>
      <c r="T946">
        <v>50</v>
      </c>
      <c r="U946">
        <v>1812.1301775147931</v>
      </c>
      <c r="V946">
        <v>20</v>
      </c>
      <c r="W946">
        <v>0.95</v>
      </c>
      <c r="X946">
        <v>1</v>
      </c>
      <c r="Y946">
        <v>16478903.65711356</v>
      </c>
      <c r="Z946">
        <v>3295780731.4227109</v>
      </c>
      <c r="AA946">
        <v>13183122925.690849</v>
      </c>
      <c r="AB946">
        <v>13183122.925690841</v>
      </c>
      <c r="AC946">
        <v>0</v>
      </c>
      <c r="AD946">
        <v>34158.359953409163</v>
      </c>
      <c r="AE946">
        <v>15371261.97903412</v>
      </c>
      <c r="AF946">
        <v>768563.0989517062</v>
      </c>
      <c r="AG946">
        <v>46.152798200005158</v>
      </c>
      <c r="AH946">
        <v>5276.6160696388752</v>
      </c>
      <c r="AI946">
        <v>2638.308034819438</v>
      </c>
      <c r="AJ946">
        <v>428451.49508495239</v>
      </c>
      <c r="AK946">
        <v>1835.336538461539</v>
      </c>
      <c r="AL946" t="s">
        <v>94</v>
      </c>
      <c r="AM946">
        <v>408937.7453970128</v>
      </c>
      <c r="AN946">
        <v>183900.9046782607</v>
      </c>
      <c r="AO946">
        <v>448512.36591930437</v>
      </c>
      <c r="AP946">
        <v>1023125.481698687</v>
      </c>
      <c r="AQ946">
        <v>574613.11577938311</v>
      </c>
      <c r="AR946">
        <v>0.55747081231111106</v>
      </c>
      <c r="AS946">
        <v>9283.3265109569147</v>
      </c>
      <c r="AT946">
        <v>8860.5190009252146</v>
      </c>
      <c r="AU946">
        <v>3984.6100745900212</v>
      </c>
      <c r="AV946">
        <v>9717.9885816599144</v>
      </c>
      <c r="AW946">
        <v>22168.222114397671</v>
      </c>
      <c r="AX946">
        <v>12450.23353273776</v>
      </c>
      <c r="AY946">
        <v>57.164638715646547</v>
      </c>
      <c r="AZ946" t="s">
        <v>127</v>
      </c>
      <c r="BA946" t="str">
        <f>VLOOKUP($AZ946,Sheet1!$A$2:$B$58,2)</f>
        <v>Gamma Butyrolactone</v>
      </c>
      <c r="BB946" t="s">
        <v>177</v>
      </c>
      <c r="BC946">
        <v>86.08784</v>
      </c>
      <c r="BD946">
        <v>4.5</v>
      </c>
      <c r="BE946">
        <v>204</v>
      </c>
      <c r="BF946" t="s">
        <v>214</v>
      </c>
      <c r="BG946">
        <v>0.6610129791166911</v>
      </c>
      <c r="BH946">
        <v>0.377857142857142</v>
      </c>
      <c r="BI946">
        <v>0.54167896584864506</v>
      </c>
      <c r="BJ946">
        <v>80</v>
      </c>
      <c r="BK946">
        <v>51156.274084934383</v>
      </c>
      <c r="BL946">
        <v>28730.65578896915</v>
      </c>
      <c r="BM946">
        <v>131.25438876185521</v>
      </c>
      <c r="BN946">
        <v>22313.246089515371</v>
      </c>
      <c r="BO946">
        <v>28843.027995419001</v>
      </c>
    </row>
    <row r="947" spans="1:67" x14ac:dyDescent="0.25">
      <c r="A947" s="1">
        <v>945</v>
      </c>
      <c r="B947" t="s">
        <v>77</v>
      </c>
      <c r="C947" t="s">
        <v>86</v>
      </c>
      <c r="D947">
        <v>2</v>
      </c>
      <c r="E947">
        <v>4</v>
      </c>
      <c r="F947">
        <v>2</v>
      </c>
      <c r="G947">
        <v>60.050759999999997</v>
      </c>
      <c r="H947">
        <v>8</v>
      </c>
      <c r="I947" t="s">
        <v>89</v>
      </c>
      <c r="J947">
        <v>4</v>
      </c>
      <c r="K947">
        <v>20</v>
      </c>
      <c r="L947">
        <v>5</v>
      </c>
      <c r="N947" t="s">
        <v>90</v>
      </c>
      <c r="O947">
        <v>95</v>
      </c>
      <c r="P947">
        <v>0.48749999999999999</v>
      </c>
      <c r="Q947">
        <v>3.2500000000000001E-2</v>
      </c>
      <c r="R947">
        <v>77.5</v>
      </c>
      <c r="S947">
        <v>170</v>
      </c>
      <c r="T947">
        <v>50</v>
      </c>
      <c r="U947">
        <v>1812.1301775147931</v>
      </c>
      <c r="V947">
        <v>20</v>
      </c>
      <c r="W947">
        <v>0.95</v>
      </c>
      <c r="X947">
        <v>1</v>
      </c>
      <c r="Y947">
        <v>9568170.4327948764</v>
      </c>
      <c r="Z947">
        <v>1913634086.558975</v>
      </c>
      <c r="AA947">
        <v>7654536346.2359009</v>
      </c>
      <c r="AB947">
        <v>7654536.3462359011</v>
      </c>
      <c r="AC947">
        <v>0</v>
      </c>
      <c r="AD947">
        <v>19833.419536856629</v>
      </c>
      <c r="AE947">
        <v>8925038.7915854808</v>
      </c>
      <c r="AF947">
        <v>446251.9395792741</v>
      </c>
      <c r="AG947">
        <v>26.79776812320949</v>
      </c>
      <c r="AH947">
        <v>3063.7694662978811</v>
      </c>
      <c r="AI947">
        <v>1531.8847331489401</v>
      </c>
      <c r="AJ947">
        <v>248772.43125266681</v>
      </c>
      <c r="AK947">
        <v>854.70085470085473</v>
      </c>
      <c r="AL947" t="s">
        <v>93</v>
      </c>
      <c r="AM947">
        <v>237442.13363808571</v>
      </c>
      <c r="AN947">
        <v>106778.6568402679</v>
      </c>
      <c r="AO947">
        <v>260420.40463531989</v>
      </c>
      <c r="AP947">
        <v>593847.92258572124</v>
      </c>
      <c r="AQ947">
        <v>333427.51795040141</v>
      </c>
      <c r="AR947">
        <v>0.55747081231111106</v>
      </c>
      <c r="AS947">
        <v>9283.3265109569147</v>
      </c>
      <c r="AT947">
        <v>8860.5190009252146</v>
      </c>
      <c r="AU947">
        <v>3984.6100745900212</v>
      </c>
      <c r="AV947">
        <v>9717.9885816599144</v>
      </c>
      <c r="AW947">
        <v>22160.350065548591</v>
      </c>
      <c r="AX947">
        <v>12442.36148388867</v>
      </c>
      <c r="AY947">
        <v>57.164638715646561</v>
      </c>
      <c r="AZ947" t="s">
        <v>128</v>
      </c>
      <c r="BA947" t="str">
        <f>VLOOKUP($AZ947,Sheet1!$A$2:$B$58,2)</f>
        <v>L-Glutamate</v>
      </c>
      <c r="BB947" t="s">
        <v>178</v>
      </c>
      <c r="BC947">
        <v>146.11892</v>
      </c>
      <c r="BD947">
        <v>3.4</v>
      </c>
      <c r="BE947">
        <v>333.8</v>
      </c>
      <c r="BF947" t="s">
        <v>214</v>
      </c>
      <c r="BG947">
        <v>6.516624499863663E-2</v>
      </c>
      <c r="BH947">
        <v>0.38340909090909098</v>
      </c>
      <c r="BI947">
        <v>0.93291351298571601</v>
      </c>
      <c r="BJ947">
        <v>80</v>
      </c>
      <c r="BK947">
        <v>29692.396129286059</v>
      </c>
      <c r="BL947">
        <v>16671.375897520069</v>
      </c>
      <c r="BM947">
        <v>76.529070412448377</v>
      </c>
      <c r="BN947">
        <v>13009.941970116221</v>
      </c>
      <c r="BO947">
        <v>16682.45415916984</v>
      </c>
    </row>
    <row r="948" spans="1:67" x14ac:dyDescent="0.25">
      <c r="A948" s="1">
        <v>946</v>
      </c>
      <c r="B948" t="s">
        <v>77</v>
      </c>
      <c r="C948" t="s">
        <v>86</v>
      </c>
      <c r="D948">
        <v>2</v>
      </c>
      <c r="E948">
        <v>4</v>
      </c>
      <c r="F948">
        <v>2</v>
      </c>
      <c r="G948">
        <v>60.050759999999997</v>
      </c>
      <c r="H948">
        <v>8</v>
      </c>
      <c r="I948" t="s">
        <v>89</v>
      </c>
      <c r="J948">
        <v>4</v>
      </c>
      <c r="K948">
        <v>20</v>
      </c>
      <c r="L948">
        <v>5</v>
      </c>
      <c r="N948" t="s">
        <v>90</v>
      </c>
      <c r="O948">
        <v>95</v>
      </c>
      <c r="P948">
        <v>0.48749999999999999</v>
      </c>
      <c r="Q948">
        <v>3.2500000000000001E-2</v>
      </c>
      <c r="R948">
        <v>77.5</v>
      </c>
      <c r="S948">
        <v>170</v>
      </c>
      <c r="T948">
        <v>50</v>
      </c>
      <c r="U948">
        <v>1812.1301775147931</v>
      </c>
      <c r="V948">
        <v>20</v>
      </c>
      <c r="W948">
        <v>0.95</v>
      </c>
      <c r="X948">
        <v>1</v>
      </c>
      <c r="Y948">
        <v>15794137.08059134</v>
      </c>
      <c r="Z948">
        <v>3158827416.118268</v>
      </c>
      <c r="AA948">
        <v>12635309664.47307</v>
      </c>
      <c r="AB948">
        <v>12635309.66447307</v>
      </c>
      <c r="AC948">
        <v>0</v>
      </c>
      <c r="AD948">
        <v>32738.938874700911</v>
      </c>
      <c r="AE948">
        <v>14732522.493615409</v>
      </c>
      <c r="AF948">
        <v>736626.12468077044</v>
      </c>
      <c r="AG948">
        <v>44.234958622935018</v>
      </c>
      <c r="AH948">
        <v>5057.3508565633101</v>
      </c>
      <c r="AI948">
        <v>2528.6754282816551</v>
      </c>
      <c r="AJ948">
        <v>410647.56409537478</v>
      </c>
      <c r="AK948">
        <v>854.70085470085473</v>
      </c>
      <c r="AL948" t="s">
        <v>93</v>
      </c>
      <c r="AM948">
        <v>391944.69138365652</v>
      </c>
      <c r="AN948">
        <v>176259.06177801959</v>
      </c>
      <c r="AO948">
        <v>429874.82280788128</v>
      </c>
      <c r="AP948">
        <v>979706.01811175176</v>
      </c>
      <c r="AQ948">
        <v>549831.19530387037</v>
      </c>
      <c r="AR948">
        <v>0.55747081231111106</v>
      </c>
      <c r="AS948">
        <v>9283.3265109569147</v>
      </c>
      <c r="AT948">
        <v>8860.5190009252165</v>
      </c>
      <c r="AU948">
        <v>3984.6100745900198</v>
      </c>
      <c r="AV948">
        <v>9717.9885816599162</v>
      </c>
      <c r="AW948">
        <v>22147.777427868819</v>
      </c>
      <c r="AX948">
        <v>12429.78884620891</v>
      </c>
      <c r="AY948">
        <v>57.164638715646568</v>
      </c>
      <c r="AZ948" t="s">
        <v>129</v>
      </c>
      <c r="BA948" t="str">
        <f>VLOOKUP($AZ948,Sheet1!$A$2:$B$58,2)</f>
        <v>Glutarate</v>
      </c>
      <c r="BB948" t="s">
        <v>179</v>
      </c>
      <c r="BC948">
        <v>130.09654</v>
      </c>
      <c r="BD948">
        <v>3.6</v>
      </c>
      <c r="BE948">
        <v>200</v>
      </c>
      <c r="BF948" t="s">
        <v>214</v>
      </c>
      <c r="BG948">
        <v>0.90202348578210578</v>
      </c>
      <c r="BH948">
        <v>0.26087719298245698</v>
      </c>
      <c r="BI948">
        <v>0.56516386085275905</v>
      </c>
      <c r="BJ948">
        <v>80</v>
      </c>
      <c r="BK948">
        <v>48985.300905587566</v>
      </c>
      <c r="BL948">
        <v>27491.55976519351</v>
      </c>
      <c r="BM948">
        <v>125.5317479283007</v>
      </c>
      <c r="BN948">
        <v>21340.397147811109</v>
      </c>
      <c r="BO948">
        <v>27644.903757776461</v>
      </c>
    </row>
    <row r="949" spans="1:67" x14ac:dyDescent="0.25">
      <c r="A949" s="1">
        <v>947</v>
      </c>
      <c r="B949" t="s">
        <v>77</v>
      </c>
      <c r="C949" t="s">
        <v>86</v>
      </c>
      <c r="D949">
        <v>2</v>
      </c>
      <c r="E949">
        <v>4</v>
      </c>
      <c r="F949">
        <v>2</v>
      </c>
      <c r="G949">
        <v>60.050759999999997</v>
      </c>
      <c r="H949">
        <v>8</v>
      </c>
      <c r="I949" t="s">
        <v>89</v>
      </c>
      <c r="J949">
        <v>4</v>
      </c>
      <c r="K949">
        <v>20</v>
      </c>
      <c r="L949">
        <v>5</v>
      </c>
      <c r="N949" t="s">
        <v>90</v>
      </c>
      <c r="O949">
        <v>95</v>
      </c>
      <c r="P949">
        <v>0.48749999999999999</v>
      </c>
      <c r="Q949">
        <v>3.2500000000000001E-2</v>
      </c>
      <c r="R949">
        <v>77.5</v>
      </c>
      <c r="S949">
        <v>170</v>
      </c>
      <c r="T949">
        <v>50</v>
      </c>
      <c r="U949">
        <v>1812.1301775147931</v>
      </c>
      <c r="V949">
        <v>20</v>
      </c>
      <c r="W949">
        <v>0.95</v>
      </c>
      <c r="X949">
        <v>1</v>
      </c>
      <c r="Y949">
        <v>6420586.0322307209</v>
      </c>
      <c r="Z949">
        <v>1284117206.4461441</v>
      </c>
      <c r="AA949">
        <v>5136468825.7845774</v>
      </c>
      <c r="AB949">
        <v>5136468.8257845771</v>
      </c>
      <c r="AC949">
        <v>0</v>
      </c>
      <c r="AD949">
        <v>13308.93689071932</v>
      </c>
      <c r="AE949">
        <v>5989021.600823693</v>
      </c>
      <c r="AF949">
        <v>299451.08004118467</v>
      </c>
      <c r="AG949">
        <v>17.98226493929397</v>
      </c>
      <c r="AH949">
        <v>2055.8993570875559</v>
      </c>
      <c r="AI949">
        <v>1027.949678543778</v>
      </c>
      <c r="AJ949">
        <v>166935.23683799879</v>
      </c>
      <c r="AK949">
        <v>854.70085470085473</v>
      </c>
      <c r="AL949" t="s">
        <v>93</v>
      </c>
      <c r="AM949">
        <v>159332.20017428559</v>
      </c>
      <c r="AN949">
        <v>71652.31404105766</v>
      </c>
      <c r="AO949">
        <v>174751.44535244221</v>
      </c>
      <c r="AP949">
        <v>398774.45190804289</v>
      </c>
      <c r="AQ949">
        <v>224023.00655560059</v>
      </c>
      <c r="AR949">
        <v>0.55747081231111106</v>
      </c>
      <c r="AS949">
        <v>9283.3265109569147</v>
      </c>
      <c r="AT949">
        <v>8860.5190009252183</v>
      </c>
      <c r="AU949">
        <v>3984.6100745900198</v>
      </c>
      <c r="AV949">
        <v>9717.9885816599162</v>
      </c>
      <c r="AW949">
        <v>22175.985797910271</v>
      </c>
      <c r="AX949">
        <v>12457.997216250351</v>
      </c>
      <c r="AY949">
        <v>57.164638715646568</v>
      </c>
      <c r="AZ949" t="s">
        <v>130</v>
      </c>
      <c r="BA949" t="str">
        <f>VLOOKUP($AZ949,Sheet1!$A$2:$B$58,2)</f>
        <v>Glycolate</v>
      </c>
      <c r="BB949" t="s">
        <v>180</v>
      </c>
      <c r="BC949">
        <v>75.041920000000005</v>
      </c>
      <c r="BD949">
        <v>2.5</v>
      </c>
      <c r="BE949">
        <v>112</v>
      </c>
      <c r="BF949" t="s">
        <v>214</v>
      </c>
      <c r="BG949">
        <v>-0.1186588098177816</v>
      </c>
      <c r="BH949">
        <v>1.11254901960784</v>
      </c>
      <c r="BI949">
        <v>1.3902586845648801</v>
      </c>
      <c r="BJ949">
        <v>80</v>
      </c>
      <c r="BK949">
        <v>19938.722595402149</v>
      </c>
      <c r="BL949">
        <v>11201.150327780029</v>
      </c>
      <c r="BM949">
        <v>51.516142737006682</v>
      </c>
      <c r="BN949">
        <v>8757.7442652911359</v>
      </c>
      <c r="BO949">
        <v>11180.978330111009</v>
      </c>
    </row>
    <row r="950" spans="1:67" x14ac:dyDescent="0.25">
      <c r="A950" s="1">
        <v>948</v>
      </c>
      <c r="B950" t="s">
        <v>77</v>
      </c>
      <c r="C950" t="s">
        <v>86</v>
      </c>
      <c r="D950">
        <v>2</v>
      </c>
      <c r="E950">
        <v>4</v>
      </c>
      <c r="F950">
        <v>2</v>
      </c>
      <c r="G950">
        <v>60.050759999999997</v>
      </c>
      <c r="H950">
        <v>8</v>
      </c>
      <c r="I950" t="s">
        <v>89</v>
      </c>
      <c r="J950">
        <v>4</v>
      </c>
      <c r="K950">
        <v>20</v>
      </c>
      <c r="L950">
        <v>5</v>
      </c>
      <c r="N950" t="s">
        <v>90</v>
      </c>
      <c r="O950">
        <v>95</v>
      </c>
      <c r="P950">
        <v>0.48749999999999999</v>
      </c>
      <c r="Q950">
        <v>3.2500000000000001E-2</v>
      </c>
      <c r="R950">
        <v>77.5</v>
      </c>
      <c r="S950">
        <v>170</v>
      </c>
      <c r="T950">
        <v>50</v>
      </c>
      <c r="U950">
        <v>1812.1301775147931</v>
      </c>
      <c r="V950">
        <v>20</v>
      </c>
      <c r="W950">
        <v>0.95</v>
      </c>
      <c r="X950">
        <v>1</v>
      </c>
      <c r="Y950">
        <v>32543810.195795368</v>
      </c>
      <c r="Z950">
        <v>6508762039.1590748</v>
      </c>
      <c r="AA950">
        <v>26035048156.636299</v>
      </c>
      <c r="AB950">
        <v>26035048.156636301</v>
      </c>
      <c r="AC950">
        <v>0</v>
      </c>
      <c r="AD950">
        <v>67458.564359257914</v>
      </c>
      <c r="AE950">
        <v>30356353.961666059</v>
      </c>
      <c r="AF950">
        <v>1517817.6980833029</v>
      </c>
      <c r="AG950">
        <v>91.146106311352895</v>
      </c>
      <c r="AH950">
        <v>10420.6684752528</v>
      </c>
      <c r="AI950">
        <v>5210.3342376264</v>
      </c>
      <c r="AJ950">
        <v>846139.06509067968</v>
      </c>
      <c r="AK950">
        <v>854.70085470085473</v>
      </c>
      <c r="AL950" t="s">
        <v>93</v>
      </c>
      <c r="AM950">
        <v>807601.806832092</v>
      </c>
      <c r="AN950">
        <v>363181.69346786977</v>
      </c>
      <c r="AO950">
        <v>885756.82039648795</v>
      </c>
      <c r="AP950">
        <v>2017777.2662453421</v>
      </c>
      <c r="AQ950">
        <v>1132020.445848854</v>
      </c>
      <c r="AR950">
        <v>0.55747081231111106</v>
      </c>
      <c r="AS950">
        <v>9283.3265109569147</v>
      </c>
      <c r="AT950">
        <v>8860.5190009252146</v>
      </c>
      <c r="AU950">
        <v>3984.6100745900198</v>
      </c>
      <c r="AV950">
        <v>9717.9885816599126</v>
      </c>
      <c r="AW950">
        <v>22137.832847764919</v>
      </c>
      <c r="AX950">
        <v>12419.84426610501</v>
      </c>
      <c r="AY950">
        <v>57.164638715646547</v>
      </c>
      <c r="AZ950" t="s">
        <v>131</v>
      </c>
      <c r="BA950" t="str">
        <f>VLOOKUP($AZ950,Sheet1!$A$2:$B$58,2)</f>
        <v>Heptane</v>
      </c>
      <c r="BB950" t="s">
        <v>181</v>
      </c>
      <c r="BC950">
        <v>100.20034</v>
      </c>
      <c r="BD950">
        <v>6.2857142857142856</v>
      </c>
      <c r="BE950">
        <v>98</v>
      </c>
      <c r="BF950" t="s">
        <v>214</v>
      </c>
      <c r="BG950">
        <v>2.2692817401407068</v>
      </c>
      <c r="BH950">
        <v>0.16438423645320199</v>
      </c>
      <c r="BI950">
        <v>0.27428489281374901</v>
      </c>
      <c r="BJ950">
        <v>80</v>
      </c>
      <c r="BK950">
        <v>100888.8633122671</v>
      </c>
      <c r="BL950">
        <v>56601.022292442693</v>
      </c>
      <c r="BM950">
        <v>258.24743014117928</v>
      </c>
      <c r="BN950">
        <v>43902.063124000488</v>
      </c>
      <c r="BO950">
        <v>56986.800188266599</v>
      </c>
    </row>
    <row r="951" spans="1:67" x14ac:dyDescent="0.25">
      <c r="A951" s="1">
        <v>949</v>
      </c>
      <c r="B951" t="s">
        <v>77</v>
      </c>
      <c r="C951" t="s">
        <v>86</v>
      </c>
      <c r="D951">
        <v>2</v>
      </c>
      <c r="E951">
        <v>4</v>
      </c>
      <c r="F951">
        <v>2</v>
      </c>
      <c r="G951">
        <v>60.050759999999997</v>
      </c>
      <c r="H951">
        <v>8</v>
      </c>
      <c r="I951" t="s">
        <v>89</v>
      </c>
      <c r="J951">
        <v>4</v>
      </c>
      <c r="K951">
        <v>20</v>
      </c>
      <c r="L951">
        <v>5</v>
      </c>
      <c r="N951" t="s">
        <v>90</v>
      </c>
      <c r="O951">
        <v>95</v>
      </c>
      <c r="P951">
        <v>0.48749999999999999</v>
      </c>
      <c r="Q951">
        <v>3.2500000000000001E-2</v>
      </c>
      <c r="R951">
        <v>77.5</v>
      </c>
      <c r="S951">
        <v>170</v>
      </c>
      <c r="T951">
        <v>50</v>
      </c>
      <c r="U951">
        <v>1812.1301775147931</v>
      </c>
      <c r="V951">
        <v>20</v>
      </c>
      <c r="W951">
        <v>0.95</v>
      </c>
      <c r="X951">
        <v>1</v>
      </c>
      <c r="Y951">
        <v>32621471.955202799</v>
      </c>
      <c r="Z951">
        <v>6524294391.0405588</v>
      </c>
      <c r="AA951">
        <v>26097177564.162239</v>
      </c>
      <c r="AB951">
        <v>26097177.564162239</v>
      </c>
      <c r="AC951">
        <v>0</v>
      </c>
      <c r="AD951">
        <v>67619.545841257699</v>
      </c>
      <c r="AE951">
        <v>30428795.628565971</v>
      </c>
      <c r="AF951">
        <v>1521439.781428298</v>
      </c>
      <c r="AG951">
        <v>91.363615169003197</v>
      </c>
      <c r="AH951">
        <v>10445.53610578286</v>
      </c>
      <c r="AI951">
        <v>5222.7680528914316</v>
      </c>
      <c r="AJ951">
        <v>848158.27083527273</v>
      </c>
      <c r="AK951">
        <v>854.70085470085473</v>
      </c>
      <c r="AL951" t="s">
        <v>93</v>
      </c>
      <c r="AM951">
        <v>809529.04819817201</v>
      </c>
      <c r="AN951">
        <v>364048.38145337568</v>
      </c>
      <c r="AO951">
        <v>887870.56899154349</v>
      </c>
      <c r="AP951">
        <v>2022590.4013415209</v>
      </c>
      <c r="AQ951">
        <v>1134719.8323499779</v>
      </c>
      <c r="AR951">
        <v>0.55747081231111106</v>
      </c>
      <c r="AS951">
        <v>9283.3265109569147</v>
      </c>
      <c r="AT951">
        <v>8860.5190009252146</v>
      </c>
      <c r="AU951">
        <v>3984.6100745900198</v>
      </c>
      <c r="AV951">
        <v>9717.9885816599126</v>
      </c>
      <c r="AW951">
        <v>22137.81052337039</v>
      </c>
      <c r="AX951">
        <v>12419.82194171047</v>
      </c>
      <c r="AY951">
        <v>57.164638715646547</v>
      </c>
      <c r="AZ951" t="s">
        <v>132</v>
      </c>
      <c r="BA951" t="str">
        <f>VLOOKUP($AZ951,Sheet1!$A$2:$B$58,2)</f>
        <v>Hexane</v>
      </c>
      <c r="BB951" t="s">
        <v>182</v>
      </c>
      <c r="BC951">
        <v>86.173959999999994</v>
      </c>
      <c r="BD951">
        <v>6.333333333333333</v>
      </c>
      <c r="BE951">
        <v>69</v>
      </c>
      <c r="BF951" t="s">
        <v>214</v>
      </c>
      <c r="BG951">
        <v>2.2923078274766979</v>
      </c>
      <c r="BH951">
        <v>0.19068571428571399</v>
      </c>
      <c r="BI951">
        <v>0.27363190427343898</v>
      </c>
      <c r="BJ951">
        <v>80</v>
      </c>
      <c r="BK951">
        <v>101129.5200670761</v>
      </c>
      <c r="BL951">
        <v>56735.991617498883</v>
      </c>
      <c r="BM951">
        <v>258.84609481709492</v>
      </c>
      <c r="BN951">
        <v>44003.83611890614</v>
      </c>
      <c r="BO951">
        <v>57125.683948169913</v>
      </c>
    </row>
    <row r="952" spans="1:67" x14ac:dyDescent="0.25">
      <c r="A952" s="1">
        <v>950</v>
      </c>
      <c r="B952" t="s">
        <v>77</v>
      </c>
      <c r="C952" t="s">
        <v>86</v>
      </c>
      <c r="D952">
        <v>2</v>
      </c>
      <c r="E952">
        <v>4</v>
      </c>
      <c r="F952">
        <v>2</v>
      </c>
      <c r="G952">
        <v>60.050759999999997</v>
      </c>
      <c r="H952">
        <v>8</v>
      </c>
      <c r="I952" t="s">
        <v>89</v>
      </c>
      <c r="J952">
        <v>4</v>
      </c>
      <c r="K952">
        <v>20</v>
      </c>
      <c r="L952">
        <v>5</v>
      </c>
      <c r="N952" t="s">
        <v>90</v>
      </c>
      <c r="O952">
        <v>95</v>
      </c>
      <c r="P952">
        <v>0.48749999999999999</v>
      </c>
      <c r="Q952">
        <v>3.2500000000000001E-2</v>
      </c>
      <c r="R952">
        <v>77.5</v>
      </c>
      <c r="S952">
        <v>170</v>
      </c>
      <c r="T952">
        <v>50</v>
      </c>
      <c r="U952">
        <v>1812.1301775147931</v>
      </c>
      <c r="V952">
        <v>20</v>
      </c>
      <c r="W952">
        <v>0.95</v>
      </c>
      <c r="X952">
        <v>1</v>
      </c>
      <c r="Y952">
        <v>20170227.630242649</v>
      </c>
      <c r="Z952">
        <v>4034045526.0485291</v>
      </c>
      <c r="AA952">
        <v>16136182104.19412</v>
      </c>
      <c r="AB952">
        <v>16136182.10419412</v>
      </c>
      <c r="AC952">
        <v>0</v>
      </c>
      <c r="AD952">
        <v>41809.935301042307</v>
      </c>
      <c r="AE952">
        <v>18814470.885469042</v>
      </c>
      <c r="AF952">
        <v>940723.54427345213</v>
      </c>
      <c r="AG952">
        <v>56.491163783514438</v>
      </c>
      <c r="AH952">
        <v>6458.5939366220418</v>
      </c>
      <c r="AI952">
        <v>3229.2969683110209</v>
      </c>
      <c r="AJ952">
        <v>524425.91838630883</v>
      </c>
      <c r="AK952">
        <v>854.70085470085473</v>
      </c>
      <c r="AL952" t="s">
        <v>93</v>
      </c>
      <c r="AM952">
        <v>500541.03008820832</v>
      </c>
      <c r="AN952">
        <v>225095.26033710659</v>
      </c>
      <c r="AO952">
        <v>548980.48461287352</v>
      </c>
      <c r="AP952">
        <v>1250916.909666324</v>
      </c>
      <c r="AQ952">
        <v>701936.42505345098</v>
      </c>
      <c r="AR952">
        <v>0.55747081231111106</v>
      </c>
      <c r="AS952">
        <v>9283.3265109569147</v>
      </c>
      <c r="AT952">
        <v>8860.5190009252165</v>
      </c>
      <c r="AU952">
        <v>3984.6100745900198</v>
      </c>
      <c r="AV952">
        <v>9717.9885816599162</v>
      </c>
      <c r="AW952">
        <v>22143.585401428281</v>
      </c>
      <c r="AX952">
        <v>12425.596819768371</v>
      </c>
      <c r="AY952">
        <v>57.164638715646568</v>
      </c>
      <c r="AZ952" t="s">
        <v>133</v>
      </c>
      <c r="BA952" t="str">
        <f>VLOOKUP($AZ952,Sheet1!$A$2:$B$58,2)</f>
        <v>Isobutanol</v>
      </c>
      <c r="BB952" t="s">
        <v>183</v>
      </c>
      <c r="BC952">
        <v>86.130899999999997</v>
      </c>
      <c r="BD952">
        <v>5.6</v>
      </c>
      <c r="BE952">
        <v>108</v>
      </c>
      <c r="BF952" t="s">
        <v>214</v>
      </c>
      <c r="BG952">
        <v>1.268165273568465</v>
      </c>
      <c r="BH952">
        <v>0.30855172413793103</v>
      </c>
      <c r="BI952">
        <v>0.442547087466724</v>
      </c>
      <c r="BJ952">
        <v>80</v>
      </c>
      <c r="BK952">
        <v>62545.84548331624</v>
      </c>
      <c r="BL952">
        <v>35096.821252672547</v>
      </c>
      <c r="BM952">
        <v>160.19668314198259</v>
      </c>
      <c r="BN952">
        <v>27233.43613413705</v>
      </c>
      <c r="BO952">
        <v>35312.409349179186</v>
      </c>
    </row>
    <row r="953" spans="1:67" x14ac:dyDescent="0.25">
      <c r="A953" s="1">
        <v>951</v>
      </c>
      <c r="B953" t="s">
        <v>77</v>
      </c>
      <c r="C953" t="s">
        <v>86</v>
      </c>
      <c r="D953">
        <v>2</v>
      </c>
      <c r="E953">
        <v>4</v>
      </c>
      <c r="F953">
        <v>2</v>
      </c>
      <c r="G953">
        <v>60.050759999999997</v>
      </c>
      <c r="H953">
        <v>8</v>
      </c>
      <c r="I953" t="s">
        <v>89</v>
      </c>
      <c r="J953">
        <v>4</v>
      </c>
      <c r="K953">
        <v>20</v>
      </c>
      <c r="L953">
        <v>5</v>
      </c>
      <c r="N953" t="s">
        <v>90</v>
      </c>
      <c r="O953">
        <v>95</v>
      </c>
      <c r="P953">
        <v>0.48749999999999999</v>
      </c>
      <c r="Q953">
        <v>3.2500000000000001E-2</v>
      </c>
      <c r="R953">
        <v>77.5</v>
      </c>
      <c r="S953">
        <v>170</v>
      </c>
      <c r="T953">
        <v>50</v>
      </c>
      <c r="U953">
        <v>1812.1301775147931</v>
      </c>
      <c r="V953">
        <v>20</v>
      </c>
      <c r="W953">
        <v>0.95</v>
      </c>
      <c r="X953">
        <v>1</v>
      </c>
      <c r="Y953">
        <v>16555799.979658891</v>
      </c>
      <c r="Z953">
        <v>3311159995.931778</v>
      </c>
      <c r="AA953">
        <v>13244639983.72711</v>
      </c>
      <c r="AB953">
        <v>13244639.983727111</v>
      </c>
      <c r="AC953">
        <v>0</v>
      </c>
      <c r="AD953">
        <v>34317.754796613022</v>
      </c>
      <c r="AE953">
        <v>15442989.658475859</v>
      </c>
      <c r="AF953">
        <v>772149.48292379291</v>
      </c>
      <c r="AG953">
        <v>46.368163283180778</v>
      </c>
      <c r="AH953">
        <v>5301.238603982275</v>
      </c>
      <c r="AI953">
        <v>2650.619301991137</v>
      </c>
      <c r="AJ953">
        <v>430450.79947113118</v>
      </c>
      <c r="AK953">
        <v>854.70085470085473</v>
      </c>
      <c r="AL953" t="s">
        <v>93</v>
      </c>
      <c r="AM953">
        <v>410845.99180862628</v>
      </c>
      <c r="AN953">
        <v>184759.0505583972</v>
      </c>
      <c r="AO953">
        <v>450605.2813384934</v>
      </c>
      <c r="AP953">
        <v>1026910.542692856</v>
      </c>
      <c r="AQ953">
        <v>576305.26135436236</v>
      </c>
      <c r="AR953">
        <v>0.55747081231111106</v>
      </c>
      <c r="AS953">
        <v>9283.3265109569147</v>
      </c>
      <c r="AT953">
        <v>8860.5190009252165</v>
      </c>
      <c r="AU953">
        <v>3984.6100745900198</v>
      </c>
      <c r="AV953">
        <v>9717.9885816599162</v>
      </c>
      <c r="AW953">
        <v>22146.888511008779</v>
      </c>
      <c r="AX953">
        <v>12428.89992934886</v>
      </c>
      <c r="AY953">
        <v>57.164638715646568</v>
      </c>
      <c r="AZ953" t="s">
        <v>134</v>
      </c>
      <c r="BA953" t="str">
        <f>VLOOKUP($AZ953,Sheet1!$A$2:$B$58,2)</f>
        <v>Isobutyrate</v>
      </c>
      <c r="BB953" t="s">
        <v>170</v>
      </c>
      <c r="BC953">
        <v>87.095680000000002</v>
      </c>
      <c r="BD953">
        <v>4.75</v>
      </c>
      <c r="BE953">
        <v>155</v>
      </c>
      <c r="BF953" t="s">
        <v>214</v>
      </c>
      <c r="BG953">
        <v>0.69730237148178498</v>
      </c>
      <c r="BH953">
        <v>0.37175000000000002</v>
      </c>
      <c r="BI953">
        <v>0.53916304269632997</v>
      </c>
      <c r="BJ953">
        <v>80</v>
      </c>
      <c r="BK953">
        <v>51345.527134642783</v>
      </c>
      <c r="BL953">
        <v>28815.263067718111</v>
      </c>
      <c r="BM953">
        <v>131.8336627280751</v>
      </c>
      <c r="BN953">
        <v>22411.722663772769</v>
      </c>
      <c r="BO953">
        <v>28933.80447087</v>
      </c>
    </row>
    <row r="954" spans="1:67" x14ac:dyDescent="0.25">
      <c r="A954" s="1">
        <v>952</v>
      </c>
      <c r="B954" t="s">
        <v>77</v>
      </c>
      <c r="C954" t="s">
        <v>86</v>
      </c>
      <c r="D954">
        <v>2</v>
      </c>
      <c r="E954">
        <v>4</v>
      </c>
      <c r="F954">
        <v>2</v>
      </c>
      <c r="G954">
        <v>60.050759999999997</v>
      </c>
      <c r="H954">
        <v>8</v>
      </c>
      <c r="I954" t="s">
        <v>89</v>
      </c>
      <c r="J954">
        <v>4</v>
      </c>
      <c r="K954">
        <v>20</v>
      </c>
      <c r="L954">
        <v>5</v>
      </c>
      <c r="N954" t="s">
        <v>90</v>
      </c>
      <c r="O954">
        <v>95</v>
      </c>
      <c r="P954">
        <v>0.48749999999999999</v>
      </c>
      <c r="Q954">
        <v>3.2500000000000001E-2</v>
      </c>
      <c r="R954">
        <v>77.5</v>
      </c>
      <c r="S954">
        <v>170</v>
      </c>
      <c r="T954">
        <v>50</v>
      </c>
      <c r="U954">
        <v>1812.1301775147931</v>
      </c>
      <c r="V954">
        <v>20</v>
      </c>
      <c r="W954">
        <v>0.95</v>
      </c>
      <c r="X954">
        <v>1</v>
      </c>
      <c r="Y954">
        <v>31488590.42007776</v>
      </c>
      <c r="Z954">
        <v>6297718084.0155516</v>
      </c>
      <c r="AA954">
        <v>25190872336.06221</v>
      </c>
      <c r="AB954">
        <v>25190872.336062212</v>
      </c>
      <c r="AC954">
        <v>66773.504273504266</v>
      </c>
      <c r="AD954">
        <v>65271.247916433858</v>
      </c>
      <c r="AE954">
        <v>29372061.562395241</v>
      </c>
      <c r="AF954">
        <v>1468603.078119762</v>
      </c>
      <c r="AG954">
        <v>88.190730979431081</v>
      </c>
      <c r="AH954">
        <v>10082.78254901591</v>
      </c>
      <c r="AI954">
        <v>5041.3912745079551</v>
      </c>
      <c r="AJ954">
        <v>818703.35092202178</v>
      </c>
      <c r="AK954">
        <v>2170.1388888888891</v>
      </c>
      <c r="AL954" t="s">
        <v>95</v>
      </c>
      <c r="AM954">
        <v>781415.64754873305</v>
      </c>
      <c r="AN954">
        <v>351405.67514609912</v>
      </c>
      <c r="AO954">
        <v>857036.5166663524</v>
      </c>
      <c r="AP954">
        <v>1953694.812505743</v>
      </c>
      <c r="AQ954">
        <v>1096658.295839391</v>
      </c>
      <c r="AR954">
        <v>0.55747081231111106</v>
      </c>
      <c r="AS954">
        <v>9283.3265109569147</v>
      </c>
      <c r="AT954">
        <v>8860.5190009252146</v>
      </c>
      <c r="AU954">
        <v>3984.610074590018</v>
      </c>
      <c r="AV954">
        <v>9717.9885816599144</v>
      </c>
      <c r="AW954">
        <v>22153.06292178719</v>
      </c>
      <c r="AX954">
        <v>12435.07434012727</v>
      </c>
      <c r="AY954">
        <v>57.164638715646547</v>
      </c>
      <c r="AZ954" t="s">
        <v>135</v>
      </c>
      <c r="BA954" t="str">
        <f>VLOOKUP($AZ954,Sheet1!$A$2:$B$58,2)</f>
        <v>Isoprene</v>
      </c>
      <c r="BB954" t="s">
        <v>184</v>
      </c>
      <c r="BC954">
        <v>68.116219999999998</v>
      </c>
      <c r="BD954">
        <v>5.6</v>
      </c>
      <c r="BE954">
        <v>34.07</v>
      </c>
      <c r="BF954" t="s">
        <v>214</v>
      </c>
      <c r="BG954">
        <v>1.940042856343243</v>
      </c>
      <c r="BH954">
        <v>0.249915966386555</v>
      </c>
      <c r="BI954">
        <v>0.283476502829201</v>
      </c>
      <c r="BJ954">
        <v>80</v>
      </c>
      <c r="BK954">
        <v>97684.740625287159</v>
      </c>
      <c r="BL954">
        <v>54832.914791969532</v>
      </c>
      <c r="BM954">
        <v>250.12952086905449</v>
      </c>
      <c r="BN954">
        <v>42522.018547739273</v>
      </c>
      <c r="BO954">
        <v>55162.722077547893</v>
      </c>
    </row>
    <row r="955" spans="1:67" x14ac:dyDescent="0.25">
      <c r="A955" s="1">
        <v>953</v>
      </c>
      <c r="B955" t="s">
        <v>77</v>
      </c>
      <c r="C955" t="s">
        <v>86</v>
      </c>
      <c r="D955">
        <v>2</v>
      </c>
      <c r="E955">
        <v>4</v>
      </c>
      <c r="F955">
        <v>2</v>
      </c>
      <c r="G955">
        <v>60.050759999999997</v>
      </c>
      <c r="H955">
        <v>8</v>
      </c>
      <c r="I955" t="s">
        <v>89</v>
      </c>
      <c r="J955">
        <v>4</v>
      </c>
      <c r="K955">
        <v>20</v>
      </c>
      <c r="L955">
        <v>5</v>
      </c>
      <c r="N955" t="s">
        <v>90</v>
      </c>
      <c r="O955">
        <v>95</v>
      </c>
      <c r="P955">
        <v>0.48749999999999999</v>
      </c>
      <c r="Q955">
        <v>3.2500000000000001E-2</v>
      </c>
      <c r="R955">
        <v>77.5</v>
      </c>
      <c r="S955">
        <v>170</v>
      </c>
      <c r="T955">
        <v>50</v>
      </c>
      <c r="U955">
        <v>1812.1301775147931</v>
      </c>
      <c r="V955">
        <v>20</v>
      </c>
      <c r="W955">
        <v>0.95</v>
      </c>
      <c r="X955">
        <v>1</v>
      </c>
      <c r="Y955">
        <v>20181744.114249669</v>
      </c>
      <c r="Z955">
        <v>4036348822.8499341</v>
      </c>
      <c r="AA955">
        <v>16145395291.39974</v>
      </c>
      <c r="AB955">
        <v>16145395.29139974</v>
      </c>
      <c r="AC955">
        <v>0</v>
      </c>
      <c r="AD955">
        <v>41833.807289998324</v>
      </c>
      <c r="AE955">
        <v>18825213.280499239</v>
      </c>
      <c r="AF955">
        <v>941260.66402496211</v>
      </c>
      <c r="AG955">
        <v>56.523418232803628</v>
      </c>
      <c r="AH955">
        <v>6462.2815645032188</v>
      </c>
      <c r="AI955">
        <v>3231.1407822516089</v>
      </c>
      <c r="AJ955">
        <v>524725.34697049146</v>
      </c>
      <c r="AK955">
        <v>854.70085470085473</v>
      </c>
      <c r="AL955" t="s">
        <v>93</v>
      </c>
      <c r="AM955">
        <v>500826.82124899939</v>
      </c>
      <c r="AN955">
        <v>225223.7817406946</v>
      </c>
      <c r="AO955">
        <v>549293.93298277364</v>
      </c>
      <c r="AP955">
        <v>1251630.650814886</v>
      </c>
      <c r="AQ955">
        <v>702336.71783211257</v>
      </c>
      <c r="AR955">
        <v>0.55747081231111106</v>
      </c>
      <c r="AS955">
        <v>9283.3265109569147</v>
      </c>
      <c r="AT955">
        <v>8860.5190009252165</v>
      </c>
      <c r="AU955">
        <v>3984.6100745900198</v>
      </c>
      <c r="AV955">
        <v>9717.9885816599162</v>
      </c>
      <c r="AW955">
        <v>22143.576767770501</v>
      </c>
      <c r="AX955">
        <v>12425.588186110581</v>
      </c>
      <c r="AY955">
        <v>57.164638715646568</v>
      </c>
      <c r="AZ955" t="s">
        <v>136</v>
      </c>
      <c r="BA955" t="str">
        <f>VLOOKUP($AZ955,Sheet1!$A$2:$B$58,2)</f>
        <v>Isopropanol</v>
      </c>
      <c r="BB955" t="s">
        <v>156</v>
      </c>
      <c r="BC955">
        <v>60.093820000000001</v>
      </c>
      <c r="BD955">
        <v>6</v>
      </c>
      <c r="BE955">
        <v>82.5</v>
      </c>
      <c r="BF955" t="s">
        <v>214</v>
      </c>
      <c r="BG955">
        <v>1.1168575926268189</v>
      </c>
      <c r="BH955">
        <v>0.441986754966888</v>
      </c>
      <c r="BI955">
        <v>0.44229455297682502</v>
      </c>
      <c r="BJ955">
        <v>80</v>
      </c>
      <c r="BK955">
        <v>62581.532540744287</v>
      </c>
      <c r="BL955">
        <v>35116.83589160561</v>
      </c>
      <c r="BM955">
        <v>160.44018151995371</v>
      </c>
      <c r="BN955">
        <v>27274.830858392121</v>
      </c>
      <c r="BO955">
        <v>35306.70168235217</v>
      </c>
    </row>
    <row r="956" spans="1:67" x14ac:dyDescent="0.25">
      <c r="A956" s="1">
        <v>954</v>
      </c>
      <c r="B956" t="s">
        <v>77</v>
      </c>
      <c r="C956" t="s">
        <v>86</v>
      </c>
      <c r="D956">
        <v>2</v>
      </c>
      <c r="E956">
        <v>4</v>
      </c>
      <c r="F956">
        <v>2</v>
      </c>
      <c r="G956">
        <v>60.050759999999997</v>
      </c>
      <c r="H956">
        <v>8</v>
      </c>
      <c r="I956" t="s">
        <v>89</v>
      </c>
      <c r="J956">
        <v>4</v>
      </c>
      <c r="K956">
        <v>20</v>
      </c>
      <c r="L956">
        <v>5</v>
      </c>
      <c r="N956" t="s">
        <v>90</v>
      </c>
      <c r="O956">
        <v>95</v>
      </c>
      <c r="P956">
        <v>0.48749999999999999</v>
      </c>
      <c r="Q956">
        <v>3.2500000000000001E-2</v>
      </c>
      <c r="R956">
        <v>77.5</v>
      </c>
      <c r="S956">
        <v>170</v>
      </c>
      <c r="T956">
        <v>50</v>
      </c>
      <c r="U956">
        <v>1812.1301775147931</v>
      </c>
      <c r="V956">
        <v>20</v>
      </c>
      <c r="W956">
        <v>0.95</v>
      </c>
      <c r="X956">
        <v>1</v>
      </c>
      <c r="Y956">
        <v>10915688.183354801</v>
      </c>
      <c r="Z956">
        <v>2183137636.6709599</v>
      </c>
      <c r="AA956">
        <v>8732550546.6838398</v>
      </c>
      <c r="AB956">
        <v>8732550.5466838405</v>
      </c>
      <c r="AC956">
        <v>0</v>
      </c>
      <c r="AD956">
        <v>22626.62698105237</v>
      </c>
      <c r="AE956">
        <v>10181982.141473571</v>
      </c>
      <c r="AF956">
        <v>509099.1070736784</v>
      </c>
      <c r="AG956">
        <v>30.571788295095761</v>
      </c>
      <c r="AH956">
        <v>3495.2504655607631</v>
      </c>
      <c r="AI956">
        <v>1747.6252327803811</v>
      </c>
      <c r="AJ956">
        <v>283807.89276722481</v>
      </c>
      <c r="AK956">
        <v>854.70085470085473</v>
      </c>
      <c r="AL956" t="s">
        <v>93</v>
      </c>
      <c r="AM956">
        <v>270881.91108095908</v>
      </c>
      <c r="AN956">
        <v>121816.6556388718</v>
      </c>
      <c r="AO956">
        <v>297096.28957266483</v>
      </c>
      <c r="AP956">
        <v>677361.16034175665</v>
      </c>
      <c r="AQ956">
        <v>380264.87076909182</v>
      </c>
      <c r="AR956">
        <v>0.55747081231111106</v>
      </c>
      <c r="AS956">
        <v>9283.3265109569147</v>
      </c>
      <c r="AT956">
        <v>8860.5190009252165</v>
      </c>
      <c r="AU956">
        <v>3984.6100745900198</v>
      </c>
      <c r="AV956">
        <v>9717.9885816599144</v>
      </c>
      <c r="AW956">
        <v>22156.412762102529</v>
      </c>
      <c r="AX956">
        <v>12438.42418044262</v>
      </c>
      <c r="AY956">
        <v>57.164638715646547</v>
      </c>
      <c r="AZ956" t="s">
        <v>137</v>
      </c>
      <c r="BA956" t="str">
        <f>VLOOKUP($AZ956,Sheet1!$A$2:$B$58,2)</f>
        <v>Itaconate</v>
      </c>
      <c r="BB956" t="s">
        <v>185</v>
      </c>
      <c r="BC956">
        <v>128.08086</v>
      </c>
      <c r="BD956">
        <v>3.2</v>
      </c>
      <c r="BE956">
        <v>381</v>
      </c>
      <c r="BF956" t="s">
        <v>214</v>
      </c>
      <c r="BG956">
        <v>7.4343827326395107E-2</v>
      </c>
      <c r="BH956">
        <v>0.38340909090909098</v>
      </c>
      <c r="BI956">
        <v>0.81774738718867901</v>
      </c>
      <c r="BJ956">
        <v>80</v>
      </c>
      <c r="BK956">
        <v>33868.058017087817</v>
      </c>
      <c r="BL956">
        <v>19013.24353845459</v>
      </c>
      <c r="BM956">
        <v>87.306917811692671</v>
      </c>
      <c r="BN956">
        <v>14842.176027987751</v>
      </c>
      <c r="BO956">
        <v>19025.881989100071</v>
      </c>
    </row>
    <row r="957" spans="1:67" x14ac:dyDescent="0.25">
      <c r="A957" s="1">
        <v>955</v>
      </c>
      <c r="B957" t="s">
        <v>77</v>
      </c>
      <c r="C957" t="s">
        <v>86</v>
      </c>
      <c r="D957">
        <v>2</v>
      </c>
      <c r="E957">
        <v>4</v>
      </c>
      <c r="F957">
        <v>2</v>
      </c>
      <c r="G957">
        <v>60.050759999999997</v>
      </c>
      <c r="H957">
        <v>8</v>
      </c>
      <c r="I957" t="s">
        <v>89</v>
      </c>
      <c r="J957">
        <v>4</v>
      </c>
      <c r="K957">
        <v>20</v>
      </c>
      <c r="L957">
        <v>5</v>
      </c>
      <c r="N957" t="s">
        <v>90</v>
      </c>
      <c r="O957">
        <v>95</v>
      </c>
      <c r="P957">
        <v>0.48749999999999999</v>
      </c>
      <c r="Q957">
        <v>3.2500000000000001E-2</v>
      </c>
      <c r="R957">
        <v>77.5</v>
      </c>
      <c r="S957">
        <v>170</v>
      </c>
      <c r="T957">
        <v>50</v>
      </c>
      <c r="U957">
        <v>1812.1301775147931</v>
      </c>
      <c r="V957">
        <v>20</v>
      </c>
      <c r="W957">
        <v>0.95</v>
      </c>
      <c r="X957">
        <v>1</v>
      </c>
      <c r="Y957">
        <v>31356285.418312721</v>
      </c>
      <c r="Z957">
        <v>6271257083.6625452</v>
      </c>
      <c r="AA957">
        <v>25085028334.650181</v>
      </c>
      <c r="AB957">
        <v>25085028.334650181</v>
      </c>
      <c r="AC957">
        <v>0</v>
      </c>
      <c r="AD957">
        <v>64996.998975608512</v>
      </c>
      <c r="AE957">
        <v>29248649.539023831</v>
      </c>
      <c r="AF957">
        <v>1462432.476951191</v>
      </c>
      <c r="AG957">
        <v>87.820181689601526</v>
      </c>
      <c r="AH957">
        <v>10040.41791645702</v>
      </c>
      <c r="AI957">
        <v>5020.2089582285107</v>
      </c>
      <c r="AJ957">
        <v>815263.42087613093</v>
      </c>
      <c r="AK957">
        <v>854.70085470085473</v>
      </c>
      <c r="AL957" t="s">
        <v>93</v>
      </c>
      <c r="AM957">
        <v>778132.38852541917</v>
      </c>
      <c r="AN957">
        <v>349929.18071271229</v>
      </c>
      <c r="AO957">
        <v>853435.52289884677</v>
      </c>
      <c r="AP957">
        <v>1944179.6909689631</v>
      </c>
      <c r="AQ957">
        <v>1090744.1680701161</v>
      </c>
      <c r="AR957">
        <v>0.55747081231111106</v>
      </c>
      <c r="AS957">
        <v>9283.3265109569147</v>
      </c>
      <c r="AT957">
        <v>8860.5190009252165</v>
      </c>
      <c r="AU957">
        <v>3984.6100745900198</v>
      </c>
      <c r="AV957">
        <v>9717.9885816599144</v>
      </c>
      <c r="AW957">
        <v>22138.187983265889</v>
      </c>
      <c r="AX957">
        <v>12420.199401605971</v>
      </c>
      <c r="AY957">
        <v>57.164638715646561</v>
      </c>
      <c r="AZ957" t="s">
        <v>138</v>
      </c>
      <c r="BA957" t="str">
        <f>VLOOKUP($AZ957,Sheet1!$A$2:$B$58,2)</f>
        <v>Limonene</v>
      </c>
      <c r="BB957" t="s">
        <v>186</v>
      </c>
      <c r="BC957">
        <v>136.23244</v>
      </c>
      <c r="BD957">
        <v>5.6</v>
      </c>
      <c r="BE957">
        <v>176</v>
      </c>
      <c r="BF957" t="s">
        <v>214</v>
      </c>
      <c r="BG957">
        <v>1.9183178523528339</v>
      </c>
      <c r="BH957">
        <v>0.125485232067511</v>
      </c>
      <c r="BI957">
        <v>0.28467260621666601</v>
      </c>
      <c r="BJ957">
        <v>80</v>
      </c>
      <c r="BK957">
        <v>97208.984548448163</v>
      </c>
      <c r="BL957">
        <v>54537.208403505829</v>
      </c>
      <c r="BM957">
        <v>249.0921300590727</v>
      </c>
      <c r="BN957">
        <v>42345.662110042373</v>
      </c>
      <c r="BO957">
        <v>54863.322438405798</v>
      </c>
    </row>
    <row r="958" spans="1:67" x14ac:dyDescent="0.25">
      <c r="A958" s="1">
        <v>956</v>
      </c>
      <c r="B958" t="s">
        <v>77</v>
      </c>
      <c r="C958" t="s">
        <v>86</v>
      </c>
      <c r="D958">
        <v>2</v>
      </c>
      <c r="E958">
        <v>4</v>
      </c>
      <c r="F958">
        <v>2</v>
      </c>
      <c r="G958">
        <v>60.050759999999997</v>
      </c>
      <c r="H958">
        <v>8</v>
      </c>
      <c r="I958" t="s">
        <v>89</v>
      </c>
      <c r="J958">
        <v>4</v>
      </c>
      <c r="K958">
        <v>20</v>
      </c>
      <c r="L958">
        <v>5</v>
      </c>
      <c r="N958" t="s">
        <v>90</v>
      </c>
      <c r="O958">
        <v>95</v>
      </c>
      <c r="P958">
        <v>0.48749999999999999</v>
      </c>
      <c r="Q958">
        <v>3.2500000000000001E-2</v>
      </c>
      <c r="R958">
        <v>77.5</v>
      </c>
      <c r="S958">
        <v>170</v>
      </c>
      <c r="T958">
        <v>50</v>
      </c>
      <c r="U958">
        <v>1812.1301775147931</v>
      </c>
      <c r="V958">
        <v>20</v>
      </c>
      <c r="W958">
        <v>0.95</v>
      </c>
      <c r="X958">
        <v>1</v>
      </c>
      <c r="Y958">
        <v>15918876.129502701</v>
      </c>
      <c r="Z958">
        <v>3183775225.9005399</v>
      </c>
      <c r="AA958">
        <v>12735100903.60216</v>
      </c>
      <c r="AB958">
        <v>12735100.903602161</v>
      </c>
      <c r="AC958">
        <v>0</v>
      </c>
      <c r="AD958">
        <v>32997.504700536098</v>
      </c>
      <c r="AE958">
        <v>14848877.115241241</v>
      </c>
      <c r="AF958">
        <v>742443.85576206225</v>
      </c>
      <c r="AG958">
        <v>44.584317795842217</v>
      </c>
      <c r="AH958">
        <v>5097.2928383657827</v>
      </c>
      <c r="AI958">
        <v>2548.6464191828909</v>
      </c>
      <c r="AJ958">
        <v>413890.77936707018</v>
      </c>
      <c r="AK958">
        <v>854.70085470085473</v>
      </c>
      <c r="AL958" t="s">
        <v>93</v>
      </c>
      <c r="AM958">
        <v>395040.19497334817</v>
      </c>
      <c r="AN958">
        <v>177651.121858036</v>
      </c>
      <c r="AO958">
        <v>433269.89126109151</v>
      </c>
      <c r="AP958">
        <v>987436.79705315514</v>
      </c>
      <c r="AQ958">
        <v>554166.90579206357</v>
      </c>
      <c r="AR958">
        <v>0.55747081231111106</v>
      </c>
      <c r="AS958">
        <v>9283.3265109569147</v>
      </c>
      <c r="AT958">
        <v>8860.5190009252146</v>
      </c>
      <c r="AU958">
        <v>3984.6100745900189</v>
      </c>
      <c r="AV958">
        <v>9717.9885816599126</v>
      </c>
      <c r="AW958">
        <v>22147.626023454381</v>
      </c>
      <c r="AX958">
        <v>12429.637441794461</v>
      </c>
      <c r="AY958">
        <v>57.164638715646547</v>
      </c>
      <c r="AZ958" t="s">
        <v>139</v>
      </c>
      <c r="BA958" t="str">
        <f>VLOOKUP($AZ958,Sheet1!$A$2:$B$58,2)</f>
        <v>L-Lysine</v>
      </c>
      <c r="BB958" t="s">
        <v>187</v>
      </c>
      <c r="BC958">
        <v>147.19319999999999</v>
      </c>
      <c r="BD958">
        <v>4.833333333333333</v>
      </c>
      <c r="BF958" t="s">
        <v>214</v>
      </c>
      <c r="BG958">
        <v>0.81997360843405087</v>
      </c>
      <c r="BH958">
        <v>0.228769230769231</v>
      </c>
      <c r="BI958">
        <v>0.56073528173019205</v>
      </c>
      <c r="BJ958">
        <v>80</v>
      </c>
      <c r="BK958">
        <v>49371.839852657758</v>
      </c>
      <c r="BL958">
        <v>27708.345289603181</v>
      </c>
      <c r="BM958">
        <v>126.61234735071049</v>
      </c>
      <c r="BN958">
        <v>21524.099049620789</v>
      </c>
      <c r="BO958">
        <v>27847.74080303697</v>
      </c>
    </row>
    <row r="959" spans="1:67" x14ac:dyDescent="0.25">
      <c r="A959" s="1">
        <v>957</v>
      </c>
      <c r="B959" t="s">
        <v>77</v>
      </c>
      <c r="C959" t="s">
        <v>86</v>
      </c>
      <c r="D959">
        <v>2</v>
      </c>
      <c r="E959">
        <v>4</v>
      </c>
      <c r="F959">
        <v>2</v>
      </c>
      <c r="G959">
        <v>60.050759999999997</v>
      </c>
      <c r="H959">
        <v>8</v>
      </c>
      <c r="I959" t="s">
        <v>89</v>
      </c>
      <c r="J959">
        <v>4</v>
      </c>
      <c r="K959">
        <v>20</v>
      </c>
      <c r="L959">
        <v>5</v>
      </c>
      <c r="N959" t="s">
        <v>90</v>
      </c>
      <c r="O959">
        <v>95</v>
      </c>
      <c r="P959">
        <v>0.48749999999999999</v>
      </c>
      <c r="Q959">
        <v>3.2500000000000001E-2</v>
      </c>
      <c r="R959">
        <v>77.5</v>
      </c>
      <c r="S959">
        <v>170</v>
      </c>
      <c r="T959">
        <v>50</v>
      </c>
      <c r="U959">
        <v>1812.1301775147931</v>
      </c>
      <c r="V959">
        <v>20</v>
      </c>
      <c r="W959">
        <v>0.95</v>
      </c>
      <c r="X959">
        <v>1</v>
      </c>
      <c r="Y959">
        <v>7458353.4026782289</v>
      </c>
      <c r="Z959">
        <v>1491670680.535646</v>
      </c>
      <c r="AA959">
        <v>5966682722.1425829</v>
      </c>
      <c r="AB959">
        <v>5966682.7221425828</v>
      </c>
      <c r="AC959">
        <v>0</v>
      </c>
      <c r="AD959">
        <v>15460.07704696064</v>
      </c>
      <c r="AE959">
        <v>6957034.6711322861</v>
      </c>
      <c r="AF959">
        <v>347851.73355661432</v>
      </c>
      <c r="AG959">
        <v>20.888760967392191</v>
      </c>
      <c r="AH959">
        <v>2388.1969478369479</v>
      </c>
      <c r="AI959">
        <v>1194.0984739184739</v>
      </c>
      <c r="AJ959">
        <v>193917.18846963401</v>
      </c>
      <c r="AK959">
        <v>854.70085470085473</v>
      </c>
      <c r="AL959" t="s">
        <v>93</v>
      </c>
      <c r="AM959">
        <v>185085.2634573635</v>
      </c>
      <c r="AN959">
        <v>83233.567396373721</v>
      </c>
      <c r="AO959">
        <v>202996.74056614059</v>
      </c>
      <c r="AP959">
        <v>463090.72017807199</v>
      </c>
      <c r="AQ959">
        <v>260093.97961193151</v>
      </c>
      <c r="AR959">
        <v>0.55747081231111106</v>
      </c>
      <c r="AS959">
        <v>9283.3265109569147</v>
      </c>
      <c r="AT959">
        <v>8860.5190009252146</v>
      </c>
      <c r="AU959">
        <v>3984.6100745900212</v>
      </c>
      <c r="AV959">
        <v>9717.9885816599126</v>
      </c>
      <c r="AW959">
        <v>22169.372367320721</v>
      </c>
      <c r="AX959">
        <v>12451.383785660801</v>
      </c>
      <c r="AY959">
        <v>57.164638715646547</v>
      </c>
      <c r="AZ959" t="s">
        <v>140</v>
      </c>
      <c r="BA959" t="str">
        <f>VLOOKUP($AZ959,Sheet1!$A$2:$B$58,2)</f>
        <v>L-Malate</v>
      </c>
      <c r="BB959" t="s">
        <v>188</v>
      </c>
      <c r="BC959">
        <v>132.06916000000001</v>
      </c>
      <c r="BD959">
        <v>2.5</v>
      </c>
      <c r="BF959" t="s">
        <v>214</v>
      </c>
      <c r="BG959">
        <v>-0.1082468902984854</v>
      </c>
      <c r="BH959">
        <v>0.54419354838709699</v>
      </c>
      <c r="BI959">
        <v>1.19681583982054</v>
      </c>
      <c r="BJ959">
        <v>80</v>
      </c>
      <c r="BK959">
        <v>23154.5360089036</v>
      </c>
      <c r="BL959">
        <v>13004.69898059657</v>
      </c>
      <c r="BM959">
        <v>59.813170586222199</v>
      </c>
      <c r="BN959">
        <v>10168.238999657769</v>
      </c>
      <c r="BO959">
        <v>12986.297009245831</v>
      </c>
    </row>
    <row r="960" spans="1:67" x14ac:dyDescent="0.25">
      <c r="A960" s="1">
        <v>958</v>
      </c>
      <c r="B960" t="s">
        <v>77</v>
      </c>
      <c r="C960" t="s">
        <v>86</v>
      </c>
      <c r="D960">
        <v>2</v>
      </c>
      <c r="E960">
        <v>4</v>
      </c>
      <c r="F960">
        <v>2</v>
      </c>
      <c r="G960">
        <v>60.050759999999997</v>
      </c>
      <c r="H960">
        <v>8</v>
      </c>
      <c r="I960" t="s">
        <v>89</v>
      </c>
      <c r="J960">
        <v>4</v>
      </c>
      <c r="K960">
        <v>20</v>
      </c>
      <c r="L960">
        <v>5</v>
      </c>
      <c r="N960" t="s">
        <v>90</v>
      </c>
      <c r="O960">
        <v>95</v>
      </c>
      <c r="P960">
        <v>0.48749999999999999</v>
      </c>
      <c r="Q960">
        <v>3.2500000000000001E-2</v>
      </c>
      <c r="R960">
        <v>77.5</v>
      </c>
      <c r="S960">
        <v>170</v>
      </c>
      <c r="T960">
        <v>50</v>
      </c>
      <c r="U960">
        <v>1812.1301775147931</v>
      </c>
      <c r="V960">
        <v>20</v>
      </c>
      <c r="W960">
        <v>0.95</v>
      </c>
      <c r="X960">
        <v>1</v>
      </c>
      <c r="Y960">
        <v>6951100.8971296782</v>
      </c>
      <c r="Z960">
        <v>1390220179.425936</v>
      </c>
      <c r="AA960">
        <v>5560880717.703743</v>
      </c>
      <c r="AB960">
        <v>5560880.7177037429</v>
      </c>
      <c r="AC960">
        <v>0</v>
      </c>
      <c r="AD960">
        <v>14408.61670516075</v>
      </c>
      <c r="AE960">
        <v>6483877.5173223363</v>
      </c>
      <c r="AF960">
        <v>324193.87586611678</v>
      </c>
      <c r="AG960">
        <v>19.468088633105971</v>
      </c>
      <c r="AH960">
        <v>2225.7725063913772</v>
      </c>
      <c r="AI960">
        <v>1112.8862531956891</v>
      </c>
      <c r="AJ960">
        <v>180728.62332537159</v>
      </c>
      <c r="AK960">
        <v>854.70085470085473</v>
      </c>
      <c r="AL960" t="s">
        <v>93</v>
      </c>
      <c r="AM960">
        <v>172497.36924533171</v>
      </c>
      <c r="AN960">
        <v>77572.742100485513</v>
      </c>
      <c r="AO960">
        <v>189190.66304326709</v>
      </c>
      <c r="AP960">
        <v>431653.43552588968</v>
      </c>
      <c r="AQ960">
        <v>242462.77248262271</v>
      </c>
      <c r="AR960">
        <v>0.55747081231111106</v>
      </c>
      <c r="AS960">
        <v>9283.3265109569147</v>
      </c>
      <c r="AT960">
        <v>8860.5190009252165</v>
      </c>
      <c r="AU960">
        <v>3984.6100745900198</v>
      </c>
      <c r="AV960">
        <v>9717.9885816599162</v>
      </c>
      <c r="AW960">
        <v>22172.358245372488</v>
      </c>
      <c r="AX960">
        <v>12454.369663712579</v>
      </c>
      <c r="AY960">
        <v>57.164638715646561</v>
      </c>
      <c r="AZ960" t="s">
        <v>141</v>
      </c>
      <c r="BA960" t="str">
        <f>VLOOKUP($AZ960,Sheet1!$A$2:$B$58,2)</f>
        <v>Malonate</v>
      </c>
      <c r="BB960" t="s">
        <v>189</v>
      </c>
      <c r="BC960">
        <v>102.04378</v>
      </c>
      <c r="BD960">
        <v>2</v>
      </c>
      <c r="BE960">
        <v>199</v>
      </c>
      <c r="BF960" t="s">
        <v>214</v>
      </c>
      <c r="BG960">
        <v>-0.15245819204207781</v>
      </c>
      <c r="BH960">
        <v>0.75571428571428401</v>
      </c>
      <c r="BI960">
        <v>1.28415277283497</v>
      </c>
      <c r="BJ960">
        <v>80</v>
      </c>
      <c r="BK960">
        <v>21582.67177629449</v>
      </c>
      <c r="BL960">
        <v>12123.13862413113</v>
      </c>
      <c r="BM960">
        <v>55.796770851826508</v>
      </c>
      <c r="BN960">
        <v>9485.4510448105066</v>
      </c>
      <c r="BO960">
        <v>12097.22073148398</v>
      </c>
    </row>
    <row r="961" spans="1:67" x14ac:dyDescent="0.25">
      <c r="A961" s="1">
        <v>959</v>
      </c>
      <c r="B961" t="s">
        <v>77</v>
      </c>
      <c r="C961" t="s">
        <v>86</v>
      </c>
      <c r="D961">
        <v>2</v>
      </c>
      <c r="E961">
        <v>4</v>
      </c>
      <c r="F961">
        <v>2</v>
      </c>
      <c r="G961">
        <v>60.050759999999997</v>
      </c>
      <c r="H961">
        <v>8</v>
      </c>
      <c r="I961" t="s">
        <v>89</v>
      </c>
      <c r="J961">
        <v>4</v>
      </c>
      <c r="K961">
        <v>20</v>
      </c>
      <c r="L961">
        <v>5</v>
      </c>
      <c r="N961" t="s">
        <v>90</v>
      </c>
      <c r="O961">
        <v>95</v>
      </c>
      <c r="P961">
        <v>0.48749999999999999</v>
      </c>
      <c r="Q961">
        <v>3.2500000000000001E-2</v>
      </c>
      <c r="R961">
        <v>77.5</v>
      </c>
      <c r="S961">
        <v>170</v>
      </c>
      <c r="T961">
        <v>50</v>
      </c>
      <c r="U961">
        <v>1812.1301775147931</v>
      </c>
      <c r="V961">
        <v>20</v>
      </c>
      <c r="W961">
        <v>0.95</v>
      </c>
      <c r="X961">
        <v>1</v>
      </c>
      <c r="Y961">
        <v>32188949.809313651</v>
      </c>
      <c r="Z961">
        <v>6437789961.86273</v>
      </c>
      <c r="AA961">
        <v>25751159847.45092</v>
      </c>
      <c r="AB961">
        <v>25751159.847450919</v>
      </c>
      <c r="AC961">
        <v>0</v>
      </c>
      <c r="AD961">
        <v>66722.990618014752</v>
      </c>
      <c r="AE961">
        <v>30025345.778106641</v>
      </c>
      <c r="AF961">
        <v>1501267.2889053321</v>
      </c>
      <c r="AG961">
        <v>90.152241661904753</v>
      </c>
      <c r="AH961">
        <v>10307.040648016889</v>
      </c>
      <c r="AI961">
        <v>5153.5203240084456</v>
      </c>
      <c r="AJ961">
        <v>836912.69504215487</v>
      </c>
      <c r="AK961">
        <v>854.70085470085473</v>
      </c>
      <c r="AL961" t="s">
        <v>93</v>
      </c>
      <c r="AM961">
        <v>798795.65022130904</v>
      </c>
      <c r="AN961">
        <v>359221.53037289978</v>
      </c>
      <c r="AO961">
        <v>876098.45508143574</v>
      </c>
      <c r="AP961">
        <v>1995784.5764910639</v>
      </c>
      <c r="AQ961">
        <v>1119686.121409629</v>
      </c>
      <c r="AR961">
        <v>0.55747081231111106</v>
      </c>
      <c r="AS961">
        <v>9283.3265109569147</v>
      </c>
      <c r="AT961">
        <v>8860.5190009252165</v>
      </c>
      <c r="AU961">
        <v>3984.6100745900189</v>
      </c>
      <c r="AV961">
        <v>9717.9885816599162</v>
      </c>
      <c r="AW961">
        <v>22137.936225432921</v>
      </c>
      <c r="AX961">
        <v>12419.94764377301</v>
      </c>
      <c r="AY961">
        <v>57.164638715646568</v>
      </c>
      <c r="AZ961" t="s">
        <v>142</v>
      </c>
      <c r="BA961" t="str">
        <f>VLOOKUP($AZ961,Sheet1!$A$2:$B$58,2)</f>
        <v>Nonane</v>
      </c>
      <c r="BB961" t="s">
        <v>190</v>
      </c>
      <c r="BC961">
        <v>128.25309999999999</v>
      </c>
      <c r="BD961">
        <v>6.2222222222222223</v>
      </c>
      <c r="BE961">
        <v>151</v>
      </c>
      <c r="BF961" t="s">
        <v>214</v>
      </c>
      <c r="BG961">
        <v>2.1972063258128771</v>
      </c>
      <c r="BH961">
        <v>0.129844357976654</v>
      </c>
      <c r="BI961">
        <v>0.27730868960260302</v>
      </c>
      <c r="BJ961">
        <v>80</v>
      </c>
      <c r="BK961">
        <v>99789.228824553225</v>
      </c>
      <c r="BL961">
        <v>55984.306070481427</v>
      </c>
      <c r="BM961">
        <v>255.4788098746094</v>
      </c>
      <c r="BN961">
        <v>43431.397678683599</v>
      </c>
      <c r="BO961">
        <v>56357.831145869633</v>
      </c>
    </row>
    <row r="962" spans="1:67" x14ac:dyDescent="0.25">
      <c r="A962" s="1">
        <v>960</v>
      </c>
      <c r="B962" t="s">
        <v>77</v>
      </c>
      <c r="C962" t="s">
        <v>86</v>
      </c>
      <c r="D962">
        <v>2</v>
      </c>
      <c r="E962">
        <v>4</v>
      </c>
      <c r="F962">
        <v>2</v>
      </c>
      <c r="G962">
        <v>60.050759999999997</v>
      </c>
      <c r="H962">
        <v>8</v>
      </c>
      <c r="I962" t="s">
        <v>89</v>
      </c>
      <c r="J962">
        <v>4</v>
      </c>
      <c r="K962">
        <v>20</v>
      </c>
      <c r="L962">
        <v>5</v>
      </c>
      <c r="N962" t="s">
        <v>90</v>
      </c>
      <c r="O962">
        <v>95</v>
      </c>
      <c r="P962">
        <v>0.48749999999999999</v>
      </c>
      <c r="Q962">
        <v>3.2500000000000001E-2</v>
      </c>
      <c r="R962">
        <v>77.5</v>
      </c>
      <c r="S962">
        <v>170</v>
      </c>
      <c r="T962">
        <v>50</v>
      </c>
      <c r="U962">
        <v>1812.1301775147931</v>
      </c>
      <c r="V962">
        <v>20</v>
      </c>
      <c r="W962">
        <v>0.95</v>
      </c>
      <c r="X962">
        <v>1</v>
      </c>
      <c r="Y962">
        <v>32203963.938415341</v>
      </c>
      <c r="Z962">
        <v>6440792787.6830673</v>
      </c>
      <c r="AA962">
        <v>25763171150.732269</v>
      </c>
      <c r="AB962">
        <v>25763171.150732271</v>
      </c>
      <c r="AC962">
        <v>0</v>
      </c>
      <c r="AD962">
        <v>66754.112714296993</v>
      </c>
      <c r="AE962">
        <v>30039350.721433651</v>
      </c>
      <c r="AF962">
        <v>1501967.5360716821</v>
      </c>
      <c r="AG962">
        <v>90.194292036431932</v>
      </c>
      <c r="AH962">
        <v>10311.848236952301</v>
      </c>
      <c r="AI962">
        <v>5155.9241184761486</v>
      </c>
      <c r="AJ962">
        <v>837303.06239879876</v>
      </c>
      <c r="AK962">
        <v>854.70085470085473</v>
      </c>
      <c r="AL962" t="s">
        <v>93</v>
      </c>
      <c r="AM962">
        <v>799168.23836380313</v>
      </c>
      <c r="AN962">
        <v>359389.08471888112</v>
      </c>
      <c r="AO962">
        <v>876507.1001409454</v>
      </c>
      <c r="AP962">
        <v>1996715.0863361841</v>
      </c>
      <c r="AQ962">
        <v>1120207.9861952381</v>
      </c>
      <c r="AR962">
        <v>0.55747081231111106</v>
      </c>
      <c r="AS962">
        <v>9283.3265109569147</v>
      </c>
      <c r="AT962">
        <v>8860.5190009252165</v>
      </c>
      <c r="AU962">
        <v>3984.6100745900198</v>
      </c>
      <c r="AV962">
        <v>9717.9885816599162</v>
      </c>
      <c r="AW962">
        <v>22137.931805370299</v>
      </c>
      <c r="AX962">
        <v>12419.94322371039</v>
      </c>
      <c r="AY962">
        <v>57.164638715646568</v>
      </c>
      <c r="AZ962" t="s">
        <v>143</v>
      </c>
      <c r="BA962" t="str">
        <f>VLOOKUP($AZ962,Sheet1!$A$2:$B$58,2)</f>
        <v>Octane</v>
      </c>
      <c r="BB962" t="s">
        <v>191</v>
      </c>
      <c r="BC962">
        <v>114.22672</v>
      </c>
      <c r="BD962">
        <v>6.25</v>
      </c>
      <c r="BE962">
        <v>126</v>
      </c>
      <c r="BF962" t="s">
        <v>214</v>
      </c>
      <c r="BG962">
        <v>2.2057270290163848</v>
      </c>
      <c r="BH962">
        <v>0.14572052401746699</v>
      </c>
      <c r="BI962">
        <v>0.27717940277087399</v>
      </c>
      <c r="BJ962">
        <v>80</v>
      </c>
      <c r="BK962">
        <v>99835.754316809194</v>
      </c>
      <c r="BL962">
        <v>56010.399309761917</v>
      </c>
      <c r="BM962">
        <v>255.59047889479109</v>
      </c>
      <c r="BN962">
        <v>43450.381412114482</v>
      </c>
      <c r="BO962">
        <v>56385.372904694712</v>
      </c>
    </row>
    <row r="963" spans="1:67" x14ac:dyDescent="0.25">
      <c r="A963" s="1">
        <v>961</v>
      </c>
      <c r="B963" t="s">
        <v>77</v>
      </c>
      <c r="C963" t="s">
        <v>86</v>
      </c>
      <c r="D963">
        <v>2</v>
      </c>
      <c r="E963">
        <v>4</v>
      </c>
      <c r="F963">
        <v>2</v>
      </c>
      <c r="G963">
        <v>60.050759999999997</v>
      </c>
      <c r="H963">
        <v>8</v>
      </c>
      <c r="I963" t="s">
        <v>89</v>
      </c>
      <c r="J963">
        <v>4</v>
      </c>
      <c r="K963">
        <v>20</v>
      </c>
      <c r="L963">
        <v>5</v>
      </c>
      <c r="N963" t="s">
        <v>90</v>
      </c>
      <c r="O963">
        <v>95</v>
      </c>
      <c r="P963">
        <v>0.48749999999999999</v>
      </c>
      <c r="Q963">
        <v>3.2500000000000001E-2</v>
      </c>
      <c r="R963">
        <v>77.5</v>
      </c>
      <c r="S963">
        <v>170</v>
      </c>
      <c r="T963">
        <v>50</v>
      </c>
      <c r="U963">
        <v>1812.1301775147931</v>
      </c>
      <c r="V963">
        <v>20</v>
      </c>
      <c r="W963">
        <v>0.95</v>
      </c>
      <c r="X963">
        <v>1</v>
      </c>
      <c r="Y963">
        <v>33285951.791085571</v>
      </c>
      <c r="Z963">
        <v>6657190358.2171144</v>
      </c>
      <c r="AA963">
        <v>26628761432.868462</v>
      </c>
      <c r="AB963">
        <v>26628761.432868458</v>
      </c>
      <c r="AC963">
        <v>66773.504273504266</v>
      </c>
      <c r="AD963">
        <v>68996.915470217704</v>
      </c>
      <c r="AE963">
        <v>31048611.961597972</v>
      </c>
      <c r="AF963">
        <v>1552430.5980798979</v>
      </c>
      <c r="AG963">
        <v>93.224637261952424</v>
      </c>
      <c r="AH963">
        <v>10658.30541695343</v>
      </c>
      <c r="AI963">
        <v>5329.1527084767131</v>
      </c>
      <c r="AJ963">
        <v>865434.74656822497</v>
      </c>
      <c r="AK963">
        <v>2170.1388888888891</v>
      </c>
      <c r="AL963" t="s">
        <v>95</v>
      </c>
      <c r="AM963">
        <v>826018.66981389048</v>
      </c>
      <c r="AN963">
        <v>371463.82883397577</v>
      </c>
      <c r="AO963">
        <v>905955.96044104127</v>
      </c>
      <c r="AP963">
        <v>2065087.3841049799</v>
      </c>
      <c r="AQ963">
        <v>1159131.4236639389</v>
      </c>
      <c r="AR963">
        <v>0.55747081231111106</v>
      </c>
      <c r="AS963">
        <v>9283.3265109569147</v>
      </c>
      <c r="AT963">
        <v>8860.5190009252165</v>
      </c>
      <c r="AU963">
        <v>3984.6100745900189</v>
      </c>
      <c r="AV963">
        <v>9717.9885816599162</v>
      </c>
      <c r="AW963">
        <v>22151.734184840851</v>
      </c>
      <c r="AX963">
        <v>12433.74560318094</v>
      </c>
      <c r="AY963">
        <v>57.164638715646568</v>
      </c>
      <c r="AZ963" t="s">
        <v>144</v>
      </c>
      <c r="BA963" t="str">
        <f>VLOOKUP($AZ963,Sheet1!$A$2:$B$58,2)</f>
        <v>Pentane</v>
      </c>
      <c r="BB963" t="s">
        <v>192</v>
      </c>
      <c r="BC963">
        <v>72.147580000000005</v>
      </c>
      <c r="BD963">
        <v>6.4</v>
      </c>
      <c r="BE963">
        <v>36.1</v>
      </c>
      <c r="BF963" t="s">
        <v>214</v>
      </c>
      <c r="BG963">
        <v>2.4156864371123201</v>
      </c>
      <c r="BH963">
        <v>0.22321070234113699</v>
      </c>
      <c r="BI963">
        <v>0.26816945320744301</v>
      </c>
      <c r="BJ963">
        <v>80</v>
      </c>
      <c r="BK963">
        <v>103254.36920524899</v>
      </c>
      <c r="BL963">
        <v>57956.571183196938</v>
      </c>
      <c r="BM963">
        <v>264.04194898672341</v>
      </c>
      <c r="BN963">
        <v>44887.131327742973</v>
      </c>
      <c r="BO963">
        <v>58367.237877506021</v>
      </c>
    </row>
    <row r="964" spans="1:67" x14ac:dyDescent="0.25">
      <c r="A964" s="1">
        <v>962</v>
      </c>
      <c r="B964" t="s">
        <v>77</v>
      </c>
      <c r="C964" t="s">
        <v>86</v>
      </c>
      <c r="D964">
        <v>2</v>
      </c>
      <c r="E964">
        <v>4</v>
      </c>
      <c r="F964">
        <v>2</v>
      </c>
      <c r="G964">
        <v>60.050759999999997</v>
      </c>
      <c r="H964">
        <v>8</v>
      </c>
      <c r="I964" t="s">
        <v>89</v>
      </c>
      <c r="J964">
        <v>4</v>
      </c>
      <c r="K964">
        <v>20</v>
      </c>
      <c r="L964">
        <v>5</v>
      </c>
      <c r="N964" t="s">
        <v>90</v>
      </c>
      <c r="O964">
        <v>95</v>
      </c>
      <c r="P964">
        <v>0.48749999999999999</v>
      </c>
      <c r="Q964">
        <v>3.2500000000000001E-2</v>
      </c>
      <c r="R964">
        <v>77.5</v>
      </c>
      <c r="S964">
        <v>170</v>
      </c>
      <c r="T964">
        <v>50</v>
      </c>
      <c r="U964">
        <v>1812.1301775147931</v>
      </c>
      <c r="V964">
        <v>20</v>
      </c>
      <c r="W964">
        <v>0.95</v>
      </c>
      <c r="X964">
        <v>1</v>
      </c>
      <c r="Y964">
        <v>25210628.86840817</v>
      </c>
      <c r="Z964">
        <v>5042125773.6816339</v>
      </c>
      <c r="AA964">
        <v>20168503094.72654</v>
      </c>
      <c r="AB964">
        <v>20168503.09472654</v>
      </c>
      <c r="AC964">
        <v>0</v>
      </c>
      <c r="AD964">
        <v>52257.950738558669</v>
      </c>
      <c r="AE964">
        <v>23516077.832351401</v>
      </c>
      <c r="AF964">
        <v>1175803.8916175701</v>
      </c>
      <c r="AG964">
        <v>70.60791730259271</v>
      </c>
      <c r="AH964">
        <v>8072.5521661339226</v>
      </c>
      <c r="AI964">
        <v>4036.2760830669622</v>
      </c>
      <c r="AJ964">
        <v>655476.35057861242</v>
      </c>
      <c r="AK964">
        <v>854.70085470085473</v>
      </c>
      <c r="AL964" t="s">
        <v>93</v>
      </c>
      <c r="AM964">
        <v>625622.79287537909</v>
      </c>
      <c r="AN964">
        <v>281345.01862972992</v>
      </c>
      <c r="AO964">
        <v>686166.93412138347</v>
      </c>
      <c r="AP964">
        <v>1563298.862938422</v>
      </c>
      <c r="AQ964">
        <v>877131.92881703877</v>
      </c>
      <c r="AR964">
        <v>0.55747081231111106</v>
      </c>
      <c r="AS964">
        <v>9283.3265109569147</v>
      </c>
      <c r="AT964">
        <v>8860.5190009252165</v>
      </c>
      <c r="AU964">
        <v>3984.6100745900198</v>
      </c>
      <c r="AV964">
        <v>9717.9885816599144</v>
      </c>
      <c r="AW964">
        <v>22140.560473393511</v>
      </c>
      <c r="AX964">
        <v>12422.5718917336</v>
      </c>
      <c r="AY964">
        <v>57.164638715646561</v>
      </c>
      <c r="AZ964" t="s">
        <v>145</v>
      </c>
      <c r="BA964" t="str">
        <f>VLOOKUP($AZ964,Sheet1!$A$2:$B$58,2)</f>
        <v>Pentanol (PW1)</v>
      </c>
      <c r="BB964" t="s">
        <v>157</v>
      </c>
      <c r="BC964">
        <v>88.14658</v>
      </c>
      <c r="BD964">
        <v>6</v>
      </c>
      <c r="BE964">
        <v>138</v>
      </c>
      <c r="BF964" t="s">
        <v>214</v>
      </c>
      <c r="BG964">
        <v>1.6432749032952401</v>
      </c>
      <c r="BH964">
        <v>0.24121739130434799</v>
      </c>
      <c r="BI964">
        <v>0.35406794244987599</v>
      </c>
      <c r="BJ964">
        <v>80</v>
      </c>
      <c r="BK964">
        <v>78164.943146921112</v>
      </c>
      <c r="BL964">
        <v>43856.596440851943</v>
      </c>
      <c r="BM964">
        <v>200.17052925005291</v>
      </c>
      <c r="BN964">
        <v>34028.989972508993</v>
      </c>
      <c r="BO964">
        <v>44135.95317441212</v>
      </c>
    </row>
    <row r="965" spans="1:67" x14ac:dyDescent="0.25">
      <c r="A965" s="1">
        <v>963</v>
      </c>
      <c r="B965" t="s">
        <v>77</v>
      </c>
      <c r="C965" t="s">
        <v>86</v>
      </c>
      <c r="D965">
        <v>2</v>
      </c>
      <c r="E965">
        <v>4</v>
      </c>
      <c r="F965">
        <v>2</v>
      </c>
      <c r="G965">
        <v>60.050759999999997</v>
      </c>
      <c r="H965">
        <v>8</v>
      </c>
      <c r="I965" t="s">
        <v>89</v>
      </c>
      <c r="J965">
        <v>4</v>
      </c>
      <c r="K965">
        <v>20</v>
      </c>
      <c r="L965">
        <v>5</v>
      </c>
      <c r="N965" t="s">
        <v>90</v>
      </c>
      <c r="O965">
        <v>95</v>
      </c>
      <c r="P965">
        <v>0.48749999999999999</v>
      </c>
      <c r="Q965">
        <v>3.2500000000000001E-2</v>
      </c>
      <c r="R965">
        <v>77.5</v>
      </c>
      <c r="S965">
        <v>170</v>
      </c>
      <c r="T965">
        <v>50</v>
      </c>
      <c r="U965">
        <v>1812.1301775147931</v>
      </c>
      <c r="V965">
        <v>20</v>
      </c>
      <c r="W965">
        <v>0.95</v>
      </c>
      <c r="X965">
        <v>1</v>
      </c>
      <c r="Y965">
        <v>27195870.986135561</v>
      </c>
      <c r="Z965">
        <v>5439174197.2271128</v>
      </c>
      <c r="AA965">
        <v>21756696788.908451</v>
      </c>
      <c r="AB965">
        <v>21756696.788908452</v>
      </c>
      <c r="AC965">
        <v>0</v>
      </c>
      <c r="AD965">
        <v>56373.067633651837</v>
      </c>
      <c r="AE965">
        <v>25367880.435143329</v>
      </c>
      <c r="AF965">
        <v>1268394.0217571659</v>
      </c>
      <c r="AG965">
        <v>76.16802498597437</v>
      </c>
      <c r="AH965">
        <v>8708.2352600151316</v>
      </c>
      <c r="AI965">
        <v>4354.1176300075658</v>
      </c>
      <c r="AJ965">
        <v>707092.64563952468</v>
      </c>
      <c r="AK965">
        <v>854.70085470085473</v>
      </c>
      <c r="AL965" t="s">
        <v>93</v>
      </c>
      <c r="AM965">
        <v>674888.23265117267</v>
      </c>
      <c r="AN965">
        <v>303499.87972073792</v>
      </c>
      <c r="AO965">
        <v>740199.99710128619</v>
      </c>
      <c r="AP965">
        <v>1686335.4588661359</v>
      </c>
      <c r="AQ965">
        <v>946135.46176484996</v>
      </c>
      <c r="AR965">
        <v>0.55747081231111106</v>
      </c>
      <c r="AS965">
        <v>9283.3265109569147</v>
      </c>
      <c r="AT965">
        <v>8860.5190009252165</v>
      </c>
      <c r="AU965">
        <v>3984.6100745900198</v>
      </c>
      <c r="AV965">
        <v>9717.9885816599162</v>
      </c>
      <c r="AW965">
        <v>22139.676841780511</v>
      </c>
      <c r="AX965">
        <v>12421.688260120591</v>
      </c>
      <c r="AY965">
        <v>57.164638715646568</v>
      </c>
      <c r="AZ965" t="s">
        <v>146</v>
      </c>
      <c r="BA965" t="str">
        <f>VLOOKUP($AZ965,Sheet1!$A$2:$B$58,2)</f>
        <v>Pentanol (PW2)</v>
      </c>
      <c r="BB965" t="s">
        <v>157</v>
      </c>
      <c r="BC965">
        <v>88.14658</v>
      </c>
      <c r="BD965">
        <v>6</v>
      </c>
      <c r="BE965">
        <v>138</v>
      </c>
      <c r="BF965" t="s">
        <v>214</v>
      </c>
      <c r="BG965">
        <v>1.9692595021703969</v>
      </c>
      <c r="BH965">
        <v>0.22360902255639101</v>
      </c>
      <c r="BI965">
        <v>0.328221717769412</v>
      </c>
      <c r="BJ965">
        <v>80</v>
      </c>
      <c r="BK965">
        <v>84316.772943306802</v>
      </c>
      <c r="BL965">
        <v>47306.773088242488</v>
      </c>
      <c r="BM965">
        <v>215.73662199820791</v>
      </c>
      <c r="BN965">
        <v>36675.225739695343</v>
      </c>
      <c r="BO965">
        <v>47641.547203611473</v>
      </c>
    </row>
    <row r="966" spans="1:67" x14ac:dyDescent="0.25">
      <c r="A966" s="1">
        <v>964</v>
      </c>
      <c r="B966" t="s">
        <v>77</v>
      </c>
      <c r="C966" t="s">
        <v>86</v>
      </c>
      <c r="D966">
        <v>2</v>
      </c>
      <c r="E966">
        <v>4</v>
      </c>
      <c r="F966">
        <v>2</v>
      </c>
      <c r="G966">
        <v>60.050759999999997</v>
      </c>
      <c r="H966">
        <v>8</v>
      </c>
      <c r="I966" t="s">
        <v>89</v>
      </c>
      <c r="J966">
        <v>4</v>
      </c>
      <c r="K966">
        <v>20</v>
      </c>
      <c r="L966">
        <v>5</v>
      </c>
      <c r="N966" t="s">
        <v>90</v>
      </c>
      <c r="O966">
        <v>95</v>
      </c>
      <c r="P966">
        <v>0.48749999999999999</v>
      </c>
      <c r="Q966">
        <v>3.2500000000000001E-2</v>
      </c>
      <c r="R966">
        <v>77.5</v>
      </c>
      <c r="S966">
        <v>170</v>
      </c>
      <c r="T966">
        <v>50</v>
      </c>
      <c r="U966">
        <v>1812.1301775147931</v>
      </c>
      <c r="V966">
        <v>20</v>
      </c>
      <c r="W966">
        <v>0.95</v>
      </c>
      <c r="X966">
        <v>1</v>
      </c>
      <c r="Y966">
        <v>28473019.208593398</v>
      </c>
      <c r="Z966">
        <v>5694603841.7186804</v>
      </c>
      <c r="AA966">
        <v>22778415366.874722</v>
      </c>
      <c r="AB966">
        <v>22778415.366874721</v>
      </c>
      <c r="AC966">
        <v>0</v>
      </c>
      <c r="AD966">
        <v>59020.409326054993</v>
      </c>
      <c r="AE966">
        <v>26559184.19672475</v>
      </c>
      <c r="AF966">
        <v>1327959.2098362369</v>
      </c>
      <c r="AG966">
        <v>79.744959799665523</v>
      </c>
      <c r="AH966">
        <v>9117.1836326832763</v>
      </c>
      <c r="AI966">
        <v>4558.5918163416382</v>
      </c>
      <c r="AJ966">
        <v>740298.49942342844</v>
      </c>
      <c r="AK966">
        <v>854.70085470085473</v>
      </c>
      <c r="AL966" t="s">
        <v>93</v>
      </c>
      <c r="AM966">
        <v>706581.73153295391</v>
      </c>
      <c r="AN966">
        <v>317752.57021552348</v>
      </c>
      <c r="AO966">
        <v>774960.60877807846</v>
      </c>
      <c r="AP966">
        <v>1765487.502026607</v>
      </c>
      <c r="AQ966">
        <v>990526.89324852813</v>
      </c>
      <c r="AR966">
        <v>0.55747081231111106</v>
      </c>
      <c r="AS966">
        <v>9283.3265109569147</v>
      </c>
      <c r="AT966">
        <v>8860.5190009252146</v>
      </c>
      <c r="AU966">
        <v>3984.6100745900212</v>
      </c>
      <c r="AV966">
        <v>9717.9885816599144</v>
      </c>
      <c r="AW966">
        <v>22139.1735159419</v>
      </c>
      <c r="AX966">
        <v>12421.18493428199</v>
      </c>
      <c r="AY966">
        <v>57.164638715646561</v>
      </c>
      <c r="AZ966" t="s">
        <v>147</v>
      </c>
      <c r="BA966" t="str">
        <f>VLOOKUP($AZ966,Sheet1!$A$2:$B$58,2)</f>
        <v>Phenol</v>
      </c>
      <c r="BB966" t="s">
        <v>193</v>
      </c>
      <c r="BC966">
        <v>94.11023999999999</v>
      </c>
      <c r="BD966">
        <v>4.666666666666667</v>
      </c>
      <c r="BE966">
        <v>181.7</v>
      </c>
      <c r="BF966" t="s">
        <v>214</v>
      </c>
      <c r="BG966">
        <v>1.86952392205049</v>
      </c>
      <c r="BH966">
        <v>0.20004484304932699</v>
      </c>
      <c r="BI966">
        <v>0.31349943699018401</v>
      </c>
      <c r="BJ966">
        <v>80</v>
      </c>
      <c r="BK966">
        <v>88274.375101330326</v>
      </c>
      <c r="BL966">
        <v>49526.344662426403</v>
      </c>
      <c r="BM966">
        <v>226.06006689503141</v>
      </c>
      <c r="BN966">
        <v>38430.21137215534</v>
      </c>
      <c r="BO966">
        <v>49844.163729174987</v>
      </c>
    </row>
    <row r="967" spans="1:67" x14ac:dyDescent="0.25">
      <c r="A967" s="1">
        <v>965</v>
      </c>
      <c r="B967" t="s">
        <v>77</v>
      </c>
      <c r="C967" t="s">
        <v>86</v>
      </c>
      <c r="D967">
        <v>2</v>
      </c>
      <c r="E967">
        <v>4</v>
      </c>
      <c r="F967">
        <v>2</v>
      </c>
      <c r="G967">
        <v>60.050759999999997</v>
      </c>
      <c r="H967">
        <v>8</v>
      </c>
      <c r="I967" t="s">
        <v>89</v>
      </c>
      <c r="J967">
        <v>4</v>
      </c>
      <c r="K967">
        <v>20</v>
      </c>
      <c r="L967">
        <v>5</v>
      </c>
      <c r="N967" t="s">
        <v>90</v>
      </c>
      <c r="O967">
        <v>95</v>
      </c>
      <c r="P967">
        <v>0.48749999999999999</v>
      </c>
      <c r="Q967">
        <v>3.2500000000000001E-2</v>
      </c>
      <c r="R967">
        <v>77.5</v>
      </c>
      <c r="S967">
        <v>170</v>
      </c>
      <c r="T967">
        <v>50</v>
      </c>
      <c r="U967">
        <v>1812.1301775147931</v>
      </c>
      <c r="V967">
        <v>20</v>
      </c>
      <c r="W967">
        <v>0.95</v>
      </c>
      <c r="X967">
        <v>1</v>
      </c>
      <c r="Y967">
        <v>34790234.259914987</v>
      </c>
      <c r="Z967">
        <v>6958046851.9829979</v>
      </c>
      <c r="AA967">
        <v>27832187407.931992</v>
      </c>
      <c r="AB967">
        <v>27832187.407931991</v>
      </c>
      <c r="AC967">
        <v>66773.504273504266</v>
      </c>
      <c r="AD967">
        <v>72115.07327434425</v>
      </c>
      <c r="AE967">
        <v>32451782.973454911</v>
      </c>
      <c r="AF967">
        <v>1622589.148672746</v>
      </c>
      <c r="AG967">
        <v>97.437711545551366</v>
      </c>
      <c r="AH967">
        <v>11139.98315556166</v>
      </c>
      <c r="AI967">
        <v>5569.9915777808283</v>
      </c>
      <c r="AJ967">
        <v>904546.09075778979</v>
      </c>
      <c r="AK967">
        <v>2170.1388888888891</v>
      </c>
      <c r="AL967" t="s">
        <v>95</v>
      </c>
      <c r="AM967">
        <v>863348.69455602835</v>
      </c>
      <c r="AN967">
        <v>388251.28706940042</v>
      </c>
      <c r="AO967">
        <v>946898.56822274078</v>
      </c>
      <c r="AP967">
        <v>2158316.211272107</v>
      </c>
      <c r="AQ967">
        <v>1211417.643049367</v>
      </c>
      <c r="AR967">
        <v>0.55747081231111117</v>
      </c>
      <c r="AS967">
        <v>9283.3265109569165</v>
      </c>
      <c r="AT967">
        <v>8860.5190009252183</v>
      </c>
      <c r="AU967">
        <v>3984.6100745900212</v>
      </c>
      <c r="AV967">
        <v>9717.9885816599181</v>
      </c>
      <c r="AW967">
        <v>22150.727649870059</v>
      </c>
      <c r="AX967">
        <v>12432.73906821014</v>
      </c>
      <c r="AY967">
        <v>57.164638715646568</v>
      </c>
      <c r="AZ967" t="s">
        <v>148</v>
      </c>
      <c r="BA967" t="str">
        <f>VLOOKUP($AZ967,Sheet1!$A$2:$B$58,2)</f>
        <v>Propane (PW1)</v>
      </c>
      <c r="BB967" t="s">
        <v>194</v>
      </c>
      <c r="BC967">
        <v>44.094819999999999</v>
      </c>
      <c r="BD967">
        <v>6.666666666666667</v>
      </c>
      <c r="BE967">
        <v>-42</v>
      </c>
      <c r="BF967" t="s">
        <v>214</v>
      </c>
      <c r="BG967">
        <v>2.718464657963314</v>
      </c>
      <c r="BH967">
        <v>0.34942408376963302</v>
      </c>
      <c r="BI967">
        <v>0.25657417034381702</v>
      </c>
      <c r="BJ967">
        <v>80</v>
      </c>
      <c r="BK967">
        <v>107915.8105636054</v>
      </c>
      <c r="BL967">
        <v>60570.882152468323</v>
      </c>
      <c r="BM967">
        <v>275.78111423107811</v>
      </c>
      <c r="BN967">
        <v>46882.789419283283</v>
      </c>
      <c r="BO967">
        <v>61033.021144322083</v>
      </c>
    </row>
    <row r="968" spans="1:67" x14ac:dyDescent="0.25">
      <c r="A968" s="1">
        <v>966</v>
      </c>
      <c r="B968" t="s">
        <v>77</v>
      </c>
      <c r="C968" t="s">
        <v>86</v>
      </c>
      <c r="D968">
        <v>2</v>
      </c>
      <c r="E968">
        <v>4</v>
      </c>
      <c r="F968">
        <v>2</v>
      </c>
      <c r="G968">
        <v>60.050759999999997</v>
      </c>
      <c r="H968">
        <v>8</v>
      </c>
      <c r="I968" t="s">
        <v>89</v>
      </c>
      <c r="J968">
        <v>4</v>
      </c>
      <c r="K968">
        <v>20</v>
      </c>
      <c r="L968">
        <v>5</v>
      </c>
      <c r="N968" t="s">
        <v>90</v>
      </c>
      <c r="O968">
        <v>95</v>
      </c>
      <c r="P968">
        <v>0.48749999999999999</v>
      </c>
      <c r="Q968">
        <v>3.2500000000000001E-2</v>
      </c>
      <c r="R968">
        <v>77.5</v>
      </c>
      <c r="S968">
        <v>170</v>
      </c>
      <c r="T968">
        <v>50</v>
      </c>
      <c r="U968">
        <v>1812.1301775147931</v>
      </c>
      <c r="V968">
        <v>20</v>
      </c>
      <c r="W968">
        <v>0.95</v>
      </c>
      <c r="X968">
        <v>1</v>
      </c>
      <c r="Y968">
        <v>42659313.358807892</v>
      </c>
      <c r="Z968">
        <v>8531862671.7615786</v>
      </c>
      <c r="AA968">
        <v>34127450687.04631</v>
      </c>
      <c r="AB968">
        <v>34127450.687046312</v>
      </c>
      <c r="AC968">
        <v>66773.504273504266</v>
      </c>
      <c r="AD968">
        <v>88426.524688516452</v>
      </c>
      <c r="AE968">
        <v>39791936.109832413</v>
      </c>
      <c r="AF968">
        <v>1989596.80549162</v>
      </c>
      <c r="AG968">
        <v>119.476800263344</v>
      </c>
      <c r="AH968">
        <v>13659.69624391105</v>
      </c>
      <c r="AI968">
        <v>6829.8481219555233</v>
      </c>
      <c r="AJ968">
        <v>1109142.1473290049</v>
      </c>
      <c r="AK968">
        <v>2170.1388888888891</v>
      </c>
      <c r="AL968" t="s">
        <v>95</v>
      </c>
      <c r="AM968">
        <v>1058626.4589031059</v>
      </c>
      <c r="AN968">
        <v>476068.46200910001</v>
      </c>
      <c r="AO968">
        <v>1161074.180732439</v>
      </c>
      <c r="AP968">
        <v>2646007.2071301001</v>
      </c>
      <c r="AQ968">
        <v>1484933.0263976611</v>
      </c>
      <c r="AR968">
        <v>0.55747081231111106</v>
      </c>
      <c r="AS968">
        <v>9283.3265109569147</v>
      </c>
      <c r="AT968">
        <v>8860.5190009252146</v>
      </c>
      <c r="AU968">
        <v>3984.6100745900198</v>
      </c>
      <c r="AV968">
        <v>9717.9885816599144</v>
      </c>
      <c r="AW968">
        <v>22146.619270836862</v>
      </c>
      <c r="AX968">
        <v>12428.63068917694</v>
      </c>
      <c r="AY968">
        <v>57.164638715646547</v>
      </c>
      <c r="AZ968" t="s">
        <v>149</v>
      </c>
      <c r="BA968" t="str">
        <f>VLOOKUP($AZ968,Sheet1!$A$2:$B$58,2)</f>
        <v>Propane (PW2)</v>
      </c>
      <c r="BB968" t="s">
        <v>194</v>
      </c>
      <c r="BC968">
        <v>44.094819999999999</v>
      </c>
      <c r="BD968">
        <v>6.666666666666667</v>
      </c>
      <c r="BE968">
        <v>-42</v>
      </c>
      <c r="BF968" t="s">
        <v>214</v>
      </c>
      <c r="BG968">
        <v>4.010598534563659</v>
      </c>
      <c r="BH968">
        <v>0.284968152866242</v>
      </c>
      <c r="BI968">
        <v>0.20924564388146</v>
      </c>
      <c r="BJ968">
        <v>80</v>
      </c>
      <c r="BK968">
        <v>132300.360356505</v>
      </c>
      <c r="BL968">
        <v>74246.651319883051</v>
      </c>
      <c r="BM968">
        <v>337.4818075632125</v>
      </c>
      <c r="BN968">
        <v>57371.907285746121</v>
      </c>
      <c r="BO968">
        <v>74928.453070758842</v>
      </c>
    </row>
    <row r="969" spans="1:67" x14ac:dyDescent="0.25">
      <c r="A969" s="1">
        <v>967</v>
      </c>
      <c r="B969" t="s">
        <v>77</v>
      </c>
      <c r="C969" t="s">
        <v>86</v>
      </c>
      <c r="D969">
        <v>2</v>
      </c>
      <c r="E969">
        <v>4</v>
      </c>
      <c r="F969">
        <v>2</v>
      </c>
      <c r="G969">
        <v>60.050759999999997</v>
      </c>
      <c r="H969">
        <v>8</v>
      </c>
      <c r="I969" t="s">
        <v>89</v>
      </c>
      <c r="J969">
        <v>4</v>
      </c>
      <c r="K969">
        <v>20</v>
      </c>
      <c r="L969">
        <v>5</v>
      </c>
      <c r="N969" t="s">
        <v>90</v>
      </c>
      <c r="O969">
        <v>95</v>
      </c>
      <c r="P969">
        <v>0.48749999999999999</v>
      </c>
      <c r="Q969">
        <v>3.2500000000000001E-2</v>
      </c>
      <c r="R969">
        <v>77.5</v>
      </c>
      <c r="S969">
        <v>170</v>
      </c>
      <c r="T969">
        <v>50</v>
      </c>
      <c r="U969">
        <v>1812.1301775147931</v>
      </c>
      <c r="V969">
        <v>20</v>
      </c>
      <c r="W969">
        <v>0.95</v>
      </c>
      <c r="X969">
        <v>1</v>
      </c>
      <c r="Y969">
        <v>14123143.945989409</v>
      </c>
      <c r="Z969">
        <v>2824628789.1978822</v>
      </c>
      <c r="AA969">
        <v>11298515156.791531</v>
      </c>
      <c r="AB969">
        <v>11298515.156791531</v>
      </c>
      <c r="AC969">
        <v>0</v>
      </c>
      <c r="AD969">
        <v>29275.21421442784</v>
      </c>
      <c r="AE969">
        <v>13173846.39649253</v>
      </c>
      <c r="AF969">
        <v>658692.31982462644</v>
      </c>
      <c r="AG969">
        <v>39.554974411631882</v>
      </c>
      <c r="AH969">
        <v>4522.2916432951624</v>
      </c>
      <c r="AI969">
        <v>2261.1458216475812</v>
      </c>
      <c r="AJ969">
        <v>367201.7425957247</v>
      </c>
      <c r="AK969">
        <v>854.70085470085473</v>
      </c>
      <c r="AL969" t="s">
        <v>93</v>
      </c>
      <c r="AM969">
        <v>350477.60235537501</v>
      </c>
      <c r="AN969">
        <v>157611.1495407389</v>
      </c>
      <c r="AO969">
        <v>384394.78968008881</v>
      </c>
      <c r="AP969">
        <v>876145.19534653949</v>
      </c>
      <c r="AQ969">
        <v>491750.40566645068</v>
      </c>
      <c r="AR969">
        <v>0.55747081231111117</v>
      </c>
      <c r="AS969">
        <v>9283.3265109569165</v>
      </c>
      <c r="AT969">
        <v>8860.5190009252146</v>
      </c>
      <c r="AU969">
        <v>3984.6100745900212</v>
      </c>
      <c r="AV969">
        <v>9717.9885816599144</v>
      </c>
      <c r="AW969">
        <v>22150.063509809599</v>
      </c>
      <c r="AX969">
        <v>12432.074928149679</v>
      </c>
      <c r="AY969">
        <v>57.164638715646547</v>
      </c>
      <c r="AZ969" t="s">
        <v>150</v>
      </c>
      <c r="BA969" t="str">
        <f>VLOOKUP($AZ969,Sheet1!$A$2:$B$58,2)</f>
        <v>Shikimate</v>
      </c>
      <c r="BB969" t="s">
        <v>195</v>
      </c>
      <c r="BC969">
        <v>173.14045999999999</v>
      </c>
      <c r="BD969">
        <v>3.8571428571428572</v>
      </c>
      <c r="BE969">
        <v>400.5</v>
      </c>
      <c r="BF969" t="s">
        <v>214</v>
      </c>
      <c r="BG969">
        <v>0.53976922006454908</v>
      </c>
      <c r="BH969">
        <v>0.21921375921375899</v>
      </c>
      <c r="BI969">
        <v>0.63203175762005503</v>
      </c>
      <c r="BJ969">
        <v>80</v>
      </c>
      <c r="BK969">
        <v>43807.259767326977</v>
      </c>
      <c r="BL969">
        <v>24587.520283322541</v>
      </c>
      <c r="BM969">
        <v>112.5175218623145</v>
      </c>
      <c r="BN969">
        <v>19127.978716593461</v>
      </c>
      <c r="BO969">
        <v>24679.281050733509</v>
      </c>
    </row>
    <row r="970" spans="1:67" x14ac:dyDescent="0.25">
      <c r="A970" s="1">
        <v>968</v>
      </c>
      <c r="B970" t="s">
        <v>77</v>
      </c>
      <c r="C970" t="s">
        <v>86</v>
      </c>
      <c r="D970">
        <v>2</v>
      </c>
      <c r="E970">
        <v>4</v>
      </c>
      <c r="F970">
        <v>2</v>
      </c>
      <c r="G970">
        <v>60.050759999999997</v>
      </c>
      <c r="H970">
        <v>8</v>
      </c>
      <c r="I970" t="s">
        <v>89</v>
      </c>
      <c r="J970">
        <v>4</v>
      </c>
      <c r="K970">
        <v>20</v>
      </c>
      <c r="L970">
        <v>5</v>
      </c>
      <c r="N970" t="s">
        <v>90</v>
      </c>
      <c r="O970">
        <v>95</v>
      </c>
      <c r="P970">
        <v>0.48749999999999999</v>
      </c>
      <c r="Q970">
        <v>3.2500000000000001E-2</v>
      </c>
      <c r="R970">
        <v>77.5</v>
      </c>
      <c r="S970">
        <v>170</v>
      </c>
      <c r="T970">
        <v>50</v>
      </c>
      <c r="U970">
        <v>1812.1301775147931</v>
      </c>
      <c r="V970">
        <v>20</v>
      </c>
      <c r="W970">
        <v>0.95</v>
      </c>
      <c r="X970">
        <v>1</v>
      </c>
      <c r="Y970">
        <v>33862683.837186277</v>
      </c>
      <c r="Z970">
        <v>6772536767.4372559</v>
      </c>
      <c r="AA970">
        <v>27090147069.74902</v>
      </c>
      <c r="AB970">
        <v>27090147.06974902</v>
      </c>
      <c r="AC970">
        <v>0</v>
      </c>
      <c r="AD970">
        <v>70192.396749633393</v>
      </c>
      <c r="AE970">
        <v>31586578.537335031</v>
      </c>
      <c r="AF970">
        <v>1579328.9268667509</v>
      </c>
      <c r="AG970">
        <v>94.839902348332842</v>
      </c>
      <c r="AH970">
        <v>10842.977507139291</v>
      </c>
      <c r="AI970">
        <v>5421.4887535696462</v>
      </c>
      <c r="AJ970">
        <v>880429.7797668433</v>
      </c>
      <c r="AK970">
        <v>854.70085470085473</v>
      </c>
      <c r="AL970" t="s">
        <v>93</v>
      </c>
      <c r="AM970">
        <v>840330.75680329511</v>
      </c>
      <c r="AN970">
        <v>377900.03037030081</v>
      </c>
      <c r="AO970">
        <v>921653.0881068398</v>
      </c>
      <c r="AP970">
        <v>2099515.2677951399</v>
      </c>
      <c r="AQ970">
        <v>1177862.1796883</v>
      </c>
      <c r="AR970">
        <v>0.55747081231111106</v>
      </c>
      <c r="AS970">
        <v>9283.3265109569147</v>
      </c>
      <c r="AT970">
        <v>8860.5190009252146</v>
      </c>
      <c r="AU970">
        <v>3984.6100745900198</v>
      </c>
      <c r="AV970">
        <v>9717.9885816599144</v>
      </c>
      <c r="AW970">
        <v>22137.467625008019</v>
      </c>
      <c r="AX970">
        <v>12419.479043348099</v>
      </c>
      <c r="AY970">
        <v>57.164638715646547</v>
      </c>
      <c r="AZ970" t="s">
        <v>151</v>
      </c>
      <c r="BA970" t="str">
        <f>VLOOKUP($AZ970,Sheet1!$A$2:$B$58,2)</f>
        <v>Styrene</v>
      </c>
      <c r="BB970" t="s">
        <v>196</v>
      </c>
      <c r="BC970">
        <v>104.14832</v>
      </c>
      <c r="BD970">
        <v>5</v>
      </c>
      <c r="BE970">
        <v>145</v>
      </c>
      <c r="BF970" t="s">
        <v>214</v>
      </c>
      <c r="BG970">
        <v>2.1798230563218</v>
      </c>
      <c r="BH970">
        <v>0.15199318568994899</v>
      </c>
      <c r="BI970">
        <v>0.26360212717405301</v>
      </c>
      <c r="BJ970">
        <v>80</v>
      </c>
      <c r="BK970">
        <v>104975.763389757</v>
      </c>
      <c r="BL970">
        <v>58893.10898441499</v>
      </c>
      <c r="BM970">
        <v>268.89461462216047</v>
      </c>
      <c r="BN970">
        <v>45712.084485767278</v>
      </c>
      <c r="BO970">
        <v>59263.678903989712</v>
      </c>
    </row>
    <row r="971" spans="1:67" x14ac:dyDescent="0.25">
      <c r="A971" s="1">
        <v>969</v>
      </c>
      <c r="B971" t="s">
        <v>77</v>
      </c>
      <c r="C971" t="s">
        <v>86</v>
      </c>
      <c r="D971">
        <v>2</v>
      </c>
      <c r="E971">
        <v>4</v>
      </c>
      <c r="F971">
        <v>2</v>
      </c>
      <c r="G971">
        <v>60.050759999999997</v>
      </c>
      <c r="H971">
        <v>8</v>
      </c>
      <c r="I971" t="s">
        <v>89</v>
      </c>
      <c r="J971">
        <v>4</v>
      </c>
      <c r="K971">
        <v>20</v>
      </c>
      <c r="L971">
        <v>5</v>
      </c>
      <c r="N971" t="s">
        <v>90</v>
      </c>
      <c r="O971">
        <v>95</v>
      </c>
      <c r="P971">
        <v>0.48749999999999999</v>
      </c>
      <c r="Q971">
        <v>3.2500000000000001E-2</v>
      </c>
      <c r="R971">
        <v>77.5</v>
      </c>
      <c r="S971">
        <v>170</v>
      </c>
      <c r="T971">
        <v>50</v>
      </c>
      <c r="U971">
        <v>1812.1301775147931</v>
      </c>
      <c r="V971">
        <v>20</v>
      </c>
      <c r="W971">
        <v>0.95</v>
      </c>
      <c r="X971">
        <v>1</v>
      </c>
      <c r="Y971">
        <v>9033915.7584683336</v>
      </c>
      <c r="Z971">
        <v>1806783151.6936669</v>
      </c>
      <c r="AA971">
        <v>7227132606.7746668</v>
      </c>
      <c r="AB971">
        <v>7227132.6067746663</v>
      </c>
      <c r="AC971">
        <v>0</v>
      </c>
      <c r="AD971">
        <v>18725.987643803499</v>
      </c>
      <c r="AE971">
        <v>8426694.4397115726</v>
      </c>
      <c r="AF971">
        <v>421334.72198557871</v>
      </c>
      <c r="AG971">
        <v>25.301470269622701</v>
      </c>
      <c r="AH971">
        <v>2892.698813875309</v>
      </c>
      <c r="AI971">
        <v>1446.349406937655</v>
      </c>
      <c r="AJ971">
        <v>234881.80972017671</v>
      </c>
      <c r="AK971">
        <v>854.70085470085473</v>
      </c>
      <c r="AL971" t="s">
        <v>93</v>
      </c>
      <c r="AM971">
        <v>224184.15807533651</v>
      </c>
      <c r="AN971">
        <v>100816.49333827849</v>
      </c>
      <c r="AO971">
        <v>245879.39917940131</v>
      </c>
      <c r="AP971">
        <v>560737.16198849247</v>
      </c>
      <c r="AQ971">
        <v>314857.76280909119</v>
      </c>
      <c r="AR971">
        <v>0.55747081231111095</v>
      </c>
      <c r="AS971">
        <v>9283.3265109569129</v>
      </c>
      <c r="AT971">
        <v>8860.5190009252165</v>
      </c>
      <c r="AU971">
        <v>3984.6100745900198</v>
      </c>
      <c r="AV971">
        <v>9717.9885816599144</v>
      </c>
      <c r="AW971">
        <v>22162.23626583951</v>
      </c>
      <c r="AX971">
        <v>12444.247684179591</v>
      </c>
      <c r="AY971">
        <v>57.164638715646561</v>
      </c>
      <c r="AZ971" t="s">
        <v>152</v>
      </c>
      <c r="BA971" t="str">
        <f>VLOOKUP($AZ971,Sheet1!$A$2:$B$58,2)</f>
        <v>Succinate</v>
      </c>
      <c r="BB971" t="s">
        <v>197</v>
      </c>
      <c r="BC971">
        <v>116.07016</v>
      </c>
      <c r="BD971">
        <v>3</v>
      </c>
      <c r="BE971">
        <v>235</v>
      </c>
      <c r="BF971" t="s">
        <v>214</v>
      </c>
      <c r="BG971">
        <v>-3.3264225665389377E-2</v>
      </c>
      <c r="BH971">
        <v>0.51121212121212101</v>
      </c>
      <c r="BI971">
        <v>0.98808487149520896</v>
      </c>
      <c r="BJ971">
        <v>80</v>
      </c>
      <c r="BK971">
        <v>28036.858099424619</v>
      </c>
      <c r="BL971">
        <v>15742.888140454559</v>
      </c>
      <c r="BM971">
        <v>72.35073457254812</v>
      </c>
      <c r="BN971">
        <v>12299.624877333181</v>
      </c>
      <c r="BO971">
        <v>15737.23322209144</v>
      </c>
    </row>
    <row r="972" spans="1:67" x14ac:dyDescent="0.25">
      <c r="A972" s="1">
        <v>970</v>
      </c>
      <c r="B972" t="s">
        <v>78</v>
      </c>
      <c r="C972" t="s">
        <v>87</v>
      </c>
      <c r="D972">
        <v>1</v>
      </c>
      <c r="E972">
        <v>4</v>
      </c>
      <c r="F972">
        <v>1</v>
      </c>
      <c r="G972">
        <v>32.041060000000002</v>
      </c>
      <c r="H972">
        <v>6</v>
      </c>
      <c r="I972" t="s">
        <v>89</v>
      </c>
      <c r="J972">
        <v>2.5</v>
      </c>
      <c r="K972">
        <v>200</v>
      </c>
      <c r="L972">
        <v>50</v>
      </c>
      <c r="N972" t="s">
        <v>90</v>
      </c>
      <c r="O972">
        <v>50</v>
      </c>
      <c r="P972">
        <v>0.3125</v>
      </c>
      <c r="Q972">
        <v>3.2500000000000001E-2</v>
      </c>
      <c r="R972">
        <v>77.5</v>
      </c>
      <c r="S972">
        <v>170</v>
      </c>
      <c r="T972">
        <v>50</v>
      </c>
      <c r="U972">
        <v>1812.1301775147931</v>
      </c>
      <c r="V972">
        <v>20</v>
      </c>
      <c r="W972">
        <v>0.95</v>
      </c>
      <c r="X972">
        <v>1</v>
      </c>
      <c r="Y972">
        <v>192000.2240913584</v>
      </c>
      <c r="Z972">
        <v>384000448.18271673</v>
      </c>
      <c r="AA972">
        <v>960001120.45679188</v>
      </c>
      <c r="AB972">
        <v>960001.12045679183</v>
      </c>
      <c r="AC972">
        <v>0</v>
      </c>
      <c r="AD972">
        <v>3979.8841610538379</v>
      </c>
      <c r="AE972">
        <v>2387930.4966323031</v>
      </c>
      <c r="AF972">
        <v>1193965.2483161511</v>
      </c>
      <c r="AG972">
        <v>38.255912159212713</v>
      </c>
      <c r="AH972">
        <v>394.09807933795361</v>
      </c>
      <c r="AI972">
        <v>197.0490396689768</v>
      </c>
      <c r="AJ972">
        <v>31200.03641484573</v>
      </c>
      <c r="AK972">
        <v>854.70085470085473</v>
      </c>
      <c r="AL972" t="s">
        <v>93</v>
      </c>
      <c r="AM972">
        <v>30542.601148691399</v>
      </c>
      <c r="AN972">
        <v>2142.6798556217982</v>
      </c>
      <c r="AO972">
        <v>33498.336743726053</v>
      </c>
      <c r="AP972">
        <v>64740.018273859787</v>
      </c>
      <c r="AQ972">
        <v>31241.68153013373</v>
      </c>
      <c r="AR972">
        <v>2.6131444327083329E-2</v>
      </c>
      <c r="AS972">
        <v>815.56116829728273</v>
      </c>
      <c r="AT972">
        <v>798.37597445278016</v>
      </c>
      <c r="AU972">
        <v>56.009116883801767</v>
      </c>
      <c r="AV972">
        <v>875.63816552885555</v>
      </c>
      <c r="AW972">
        <v>1692.2879267504079</v>
      </c>
      <c r="AX972">
        <v>816.64976122155235</v>
      </c>
      <c r="AY972">
        <v>5.1508127384050333</v>
      </c>
      <c r="AZ972" t="s">
        <v>96</v>
      </c>
      <c r="BA972" t="str">
        <f>VLOOKUP($AZ972,Sheet1!$A$2:$B$58,2)</f>
        <v>1,3-Butanediol (PW1)</v>
      </c>
      <c r="BB972" t="s">
        <v>153</v>
      </c>
      <c r="BC972">
        <v>90.119200000000006</v>
      </c>
      <c r="BD972">
        <v>5.5</v>
      </c>
      <c r="BE972">
        <v>207</v>
      </c>
      <c r="BF972" t="s">
        <v>215</v>
      </c>
      <c r="BG972">
        <v>0.14844360988395849</v>
      </c>
      <c r="BH972">
        <v>0.23234374999999899</v>
      </c>
      <c r="BI972">
        <v>0.65349376315889396</v>
      </c>
      <c r="BJ972">
        <v>80</v>
      </c>
      <c r="BK972">
        <v>3237.0009136929889</v>
      </c>
      <c r="BL972">
        <v>1562.0840765066871</v>
      </c>
      <c r="BM972">
        <v>9.7040083735648821</v>
      </c>
      <c r="BN972">
        <v>1649.6814235060299</v>
      </c>
      <c r="BO972">
        <v>1587.319490186959</v>
      </c>
    </row>
    <row r="973" spans="1:67" x14ac:dyDescent="0.25">
      <c r="A973" s="1">
        <v>971</v>
      </c>
      <c r="B973" t="s">
        <v>78</v>
      </c>
      <c r="C973" t="s">
        <v>87</v>
      </c>
      <c r="D973">
        <v>1</v>
      </c>
      <c r="E973">
        <v>4</v>
      </c>
      <c r="F973">
        <v>1</v>
      </c>
      <c r="G973">
        <v>32.041060000000002</v>
      </c>
      <c r="H973">
        <v>6</v>
      </c>
      <c r="I973" t="s">
        <v>89</v>
      </c>
      <c r="J973">
        <v>2.5</v>
      </c>
      <c r="K973">
        <v>200</v>
      </c>
      <c r="L973">
        <v>50</v>
      </c>
      <c r="N973" t="s">
        <v>90</v>
      </c>
      <c r="O973">
        <v>50</v>
      </c>
      <c r="P973">
        <v>0.3125</v>
      </c>
      <c r="Q973">
        <v>3.2500000000000001E-2</v>
      </c>
      <c r="R973">
        <v>77.5</v>
      </c>
      <c r="S973">
        <v>170</v>
      </c>
      <c r="T973">
        <v>50</v>
      </c>
      <c r="U973">
        <v>1812.1301775147931</v>
      </c>
      <c r="V973">
        <v>20</v>
      </c>
      <c r="W973">
        <v>0.95</v>
      </c>
      <c r="X973">
        <v>1</v>
      </c>
      <c r="Y973">
        <v>189000.2205899297</v>
      </c>
      <c r="Z973">
        <v>378000441.1798594</v>
      </c>
      <c r="AA973">
        <v>945001102.9496485</v>
      </c>
      <c r="AB973">
        <v>945001.10294964851</v>
      </c>
      <c r="AC973">
        <v>0</v>
      </c>
      <c r="AD973">
        <v>3917.6984710373472</v>
      </c>
      <c r="AE973">
        <v>2350619.0826224079</v>
      </c>
      <c r="AF973">
        <v>1175309.541311204</v>
      </c>
      <c r="AG973">
        <v>37.658163531724767</v>
      </c>
      <c r="AH973">
        <v>387.9402968482957</v>
      </c>
      <c r="AI973">
        <v>193.97014842414791</v>
      </c>
      <c r="AJ973">
        <v>30712.535845863578</v>
      </c>
      <c r="AK973">
        <v>854.70085470085473</v>
      </c>
      <c r="AL973" t="s">
        <v>93</v>
      </c>
      <c r="AM973">
        <v>30065.37300574292</v>
      </c>
      <c r="AN973">
        <v>2109.200482877694</v>
      </c>
      <c r="AO973">
        <v>32974.925232105132</v>
      </c>
      <c r="AP973">
        <v>63741.810189185038</v>
      </c>
      <c r="AQ973">
        <v>30766.88495707991</v>
      </c>
      <c r="AR973">
        <v>2.6131444327083329E-2</v>
      </c>
      <c r="AS973">
        <v>815.56116829728262</v>
      </c>
      <c r="AT973">
        <v>798.37597445278016</v>
      </c>
      <c r="AU973">
        <v>56.009116883801759</v>
      </c>
      <c r="AV973">
        <v>875.63816552885555</v>
      </c>
      <c r="AW973">
        <v>1692.642556387179</v>
      </c>
      <c r="AX973">
        <v>817.00439085832295</v>
      </c>
      <c r="AY973">
        <v>5.1508127384050333</v>
      </c>
      <c r="AZ973" t="s">
        <v>97</v>
      </c>
      <c r="BA973" t="str">
        <f>VLOOKUP($AZ973,Sheet1!$A$2:$B$58,2)</f>
        <v>1,3-Butanediol (PW2)</v>
      </c>
      <c r="BB973" t="s">
        <v>153</v>
      </c>
      <c r="BC973">
        <v>90.119200000000006</v>
      </c>
      <c r="BD973">
        <v>5.5</v>
      </c>
      <c r="BE973">
        <v>207</v>
      </c>
      <c r="BF973" t="s">
        <v>215</v>
      </c>
      <c r="BG973">
        <v>0.115602103272468</v>
      </c>
      <c r="BH973">
        <v>0.23603174603174601</v>
      </c>
      <c r="BI973">
        <v>0.66386668003443605</v>
      </c>
      <c r="BJ973">
        <v>80</v>
      </c>
      <c r="BK973">
        <v>3187.0905094592522</v>
      </c>
      <c r="BL973">
        <v>1538.344247853996</v>
      </c>
      <c r="BM973">
        <v>9.5829053179349248</v>
      </c>
      <c r="BN973">
        <v>1629.093904048937</v>
      </c>
      <c r="BO973">
        <v>1557.9966054103149</v>
      </c>
    </row>
    <row r="974" spans="1:67" x14ac:dyDescent="0.25">
      <c r="A974" s="1">
        <v>972</v>
      </c>
      <c r="B974" t="s">
        <v>78</v>
      </c>
      <c r="C974" t="s">
        <v>87</v>
      </c>
      <c r="D974">
        <v>1</v>
      </c>
      <c r="E974">
        <v>4</v>
      </c>
      <c r="F974">
        <v>1</v>
      </c>
      <c r="G974">
        <v>32.041060000000002</v>
      </c>
      <c r="H974">
        <v>6</v>
      </c>
      <c r="I974" t="s">
        <v>89</v>
      </c>
      <c r="J974">
        <v>2.5</v>
      </c>
      <c r="K974">
        <v>200</v>
      </c>
      <c r="L974">
        <v>50</v>
      </c>
      <c r="N974" t="s">
        <v>90</v>
      </c>
      <c r="O974">
        <v>50</v>
      </c>
      <c r="P974">
        <v>0.3125</v>
      </c>
      <c r="Q974">
        <v>3.2500000000000001E-2</v>
      </c>
      <c r="R974">
        <v>77.5</v>
      </c>
      <c r="S974">
        <v>170</v>
      </c>
      <c r="T974">
        <v>50</v>
      </c>
      <c r="U974">
        <v>1812.1301775147931</v>
      </c>
      <c r="V974">
        <v>20</v>
      </c>
      <c r="W974">
        <v>0.95</v>
      </c>
      <c r="X974">
        <v>1</v>
      </c>
      <c r="Y974">
        <v>171257.49671827961</v>
      </c>
      <c r="Z974">
        <v>342514993.43655908</v>
      </c>
      <c r="AA974">
        <v>856287483.59139788</v>
      </c>
      <c r="AB974">
        <v>856287.48359139787</v>
      </c>
      <c r="AC974">
        <v>0</v>
      </c>
      <c r="AD974">
        <v>3549.9177247131529</v>
      </c>
      <c r="AE974">
        <v>2129950.6348278918</v>
      </c>
      <c r="AF974">
        <v>1064975.3174139459</v>
      </c>
      <c r="AG974">
        <v>34.122938043779293</v>
      </c>
      <c r="AH974">
        <v>351.52172789540822</v>
      </c>
      <c r="AI974">
        <v>175.76086394770411</v>
      </c>
      <c r="AJ974">
        <v>27829.34321672043</v>
      </c>
      <c r="AK974">
        <v>854.70085470085473</v>
      </c>
      <c r="AL974" t="s">
        <v>93</v>
      </c>
      <c r="AM974">
        <v>27242.933911894139</v>
      </c>
      <c r="AN974">
        <v>1911.1956253127601</v>
      </c>
      <c r="AO974">
        <v>29879.346871109701</v>
      </c>
      <c r="AP974">
        <v>57838.173608628182</v>
      </c>
      <c r="AQ974">
        <v>27958.826737518481</v>
      </c>
      <c r="AR974">
        <v>2.613144432708334E-2</v>
      </c>
      <c r="AS974">
        <v>815.56116829728285</v>
      </c>
      <c r="AT974">
        <v>798.37597445278027</v>
      </c>
      <c r="AU974">
        <v>56.009116883801767</v>
      </c>
      <c r="AV974">
        <v>875.63816552885578</v>
      </c>
      <c r="AW974">
        <v>1694.993951998581</v>
      </c>
      <c r="AX974">
        <v>819.35578646972522</v>
      </c>
      <c r="AY974">
        <v>5.1508127384050333</v>
      </c>
      <c r="AZ974" t="s">
        <v>98</v>
      </c>
      <c r="BA974" t="str">
        <f>VLOOKUP($AZ974,Sheet1!$A$2:$B$58,2)</f>
        <v>1,3-Diaminopropane</v>
      </c>
      <c r="BB974" t="s">
        <v>154</v>
      </c>
      <c r="BC974">
        <v>76.139580000000009</v>
      </c>
      <c r="BD974">
        <v>6</v>
      </c>
      <c r="BE974">
        <v>139.30000000000001</v>
      </c>
      <c r="BF974" t="s">
        <v>215</v>
      </c>
      <c r="BG974">
        <v>0.1407304302847075</v>
      </c>
      <c r="BH974">
        <v>0.30831168831168798</v>
      </c>
      <c r="BI974">
        <v>0.73264500166794899</v>
      </c>
      <c r="BJ974">
        <v>80</v>
      </c>
      <c r="BK974">
        <v>2891.9086804314088</v>
      </c>
      <c r="BL974">
        <v>1397.941336875924</v>
      </c>
      <c r="BM974">
        <v>8.6473127671004981</v>
      </c>
      <c r="BN974">
        <v>1470.043170407085</v>
      </c>
      <c r="BO974">
        <v>1421.865510024325</v>
      </c>
    </row>
    <row r="975" spans="1:67" x14ac:dyDescent="0.25">
      <c r="A975" s="1">
        <v>973</v>
      </c>
      <c r="B975" t="s">
        <v>78</v>
      </c>
      <c r="C975" t="s">
        <v>87</v>
      </c>
      <c r="D975">
        <v>1</v>
      </c>
      <c r="E975">
        <v>4</v>
      </c>
      <c r="F975">
        <v>1</v>
      </c>
      <c r="G975">
        <v>32.041060000000002</v>
      </c>
      <c r="H975">
        <v>6</v>
      </c>
      <c r="I975" t="s">
        <v>89</v>
      </c>
      <c r="J975">
        <v>2.5</v>
      </c>
      <c r="K975">
        <v>200</v>
      </c>
      <c r="L975">
        <v>50</v>
      </c>
      <c r="N975" t="s">
        <v>90</v>
      </c>
      <c r="O975">
        <v>50</v>
      </c>
      <c r="P975">
        <v>0.3125</v>
      </c>
      <c r="Q975">
        <v>3.2500000000000001E-2</v>
      </c>
      <c r="R975">
        <v>77.5</v>
      </c>
      <c r="S975">
        <v>170</v>
      </c>
      <c r="T975">
        <v>50</v>
      </c>
      <c r="U975">
        <v>1812.1301775147931</v>
      </c>
      <c r="V975">
        <v>20</v>
      </c>
      <c r="W975">
        <v>0.95</v>
      </c>
      <c r="X975">
        <v>1</v>
      </c>
      <c r="Y975">
        <v>151166.93862020379</v>
      </c>
      <c r="Z975">
        <v>302333877.24040759</v>
      </c>
      <c r="AA975">
        <v>755834693.10101891</v>
      </c>
      <c r="AB975">
        <v>755834.6931010189</v>
      </c>
      <c r="AC975">
        <v>0</v>
      </c>
      <c r="AD975">
        <v>3133.4698047189681</v>
      </c>
      <c r="AE975">
        <v>1880081.8828313809</v>
      </c>
      <c r="AF975">
        <v>940040.94141569058</v>
      </c>
      <c r="AG975">
        <v>30.11990820635663</v>
      </c>
      <c r="AH975">
        <v>310.28401373778399</v>
      </c>
      <c r="AI975">
        <v>155.142006868892</v>
      </c>
      <c r="AJ975">
        <v>24564.627525783111</v>
      </c>
      <c r="AK975">
        <v>854.70085470085473</v>
      </c>
      <c r="AL975" t="s">
        <v>93</v>
      </c>
      <c r="AM975">
        <v>24047.01106467826</v>
      </c>
      <c r="AN975">
        <v>1686.9894592592079</v>
      </c>
      <c r="AO975">
        <v>26374.141167711641</v>
      </c>
      <c r="AP975">
        <v>51153.328904421433</v>
      </c>
      <c r="AQ975">
        <v>24779.187736709791</v>
      </c>
      <c r="AR975">
        <v>2.6131444327083319E-2</v>
      </c>
      <c r="AS975">
        <v>815.56116829728239</v>
      </c>
      <c r="AT975">
        <v>798.37597445278004</v>
      </c>
      <c r="AU975">
        <v>56.009116883801752</v>
      </c>
      <c r="AV975">
        <v>875.63816552885555</v>
      </c>
      <c r="AW975">
        <v>1698.322868514779</v>
      </c>
      <c r="AX975">
        <v>822.68470298592388</v>
      </c>
      <c r="AY975">
        <v>5.1508127384050324</v>
      </c>
      <c r="AZ975" t="s">
        <v>99</v>
      </c>
      <c r="BA975" t="str">
        <f>VLOOKUP($AZ975,Sheet1!$A$2:$B$58,2)</f>
        <v>1,3-Propanediol</v>
      </c>
      <c r="BB975" t="s">
        <v>155</v>
      </c>
      <c r="BC975">
        <v>76.092820000000003</v>
      </c>
      <c r="BD975">
        <v>5.333333333333333</v>
      </c>
      <c r="BE975">
        <v>213</v>
      </c>
      <c r="BF975" t="s">
        <v>215</v>
      </c>
      <c r="BG975">
        <v>-8.026964217461853E-2</v>
      </c>
      <c r="BH975">
        <v>0.34950191570881201</v>
      </c>
      <c r="BI975">
        <v>0.83001580976677403</v>
      </c>
      <c r="BJ975">
        <v>80</v>
      </c>
      <c r="BK975">
        <v>2557.6664452210721</v>
      </c>
      <c r="BL975">
        <v>1238.95938683549</v>
      </c>
      <c r="BM975">
        <v>7.8373699856192189</v>
      </c>
      <c r="BN975">
        <v>1332.352897555267</v>
      </c>
      <c r="BO975">
        <v>1225.313547665804</v>
      </c>
    </row>
    <row r="976" spans="1:67" x14ac:dyDescent="0.25">
      <c r="A976" s="1">
        <v>974</v>
      </c>
      <c r="B976" t="s">
        <v>78</v>
      </c>
      <c r="C976" t="s">
        <v>87</v>
      </c>
      <c r="D976">
        <v>1</v>
      </c>
      <c r="E976">
        <v>4</v>
      </c>
      <c r="F976">
        <v>1</v>
      </c>
      <c r="G976">
        <v>32.041060000000002</v>
      </c>
      <c r="H976">
        <v>6</v>
      </c>
      <c r="I976" t="s">
        <v>89</v>
      </c>
      <c r="J976">
        <v>2.5</v>
      </c>
      <c r="K976">
        <v>200</v>
      </c>
      <c r="L976">
        <v>50</v>
      </c>
      <c r="N976" t="s">
        <v>90</v>
      </c>
      <c r="O976">
        <v>50</v>
      </c>
      <c r="P976">
        <v>0.3125</v>
      </c>
      <c r="Q976">
        <v>3.2500000000000001E-2</v>
      </c>
      <c r="R976">
        <v>77.5</v>
      </c>
      <c r="S976">
        <v>170</v>
      </c>
      <c r="T976">
        <v>50</v>
      </c>
      <c r="U976">
        <v>1812.1301775147931</v>
      </c>
      <c r="V976">
        <v>20</v>
      </c>
      <c r="W976">
        <v>0.95</v>
      </c>
      <c r="X976">
        <v>1</v>
      </c>
      <c r="Y976">
        <v>179218.2097958019</v>
      </c>
      <c r="Z976">
        <v>358436419.59160382</v>
      </c>
      <c r="AA976">
        <v>896091048.97900939</v>
      </c>
      <c r="AB976">
        <v>896091.04897900939</v>
      </c>
      <c r="AC976">
        <v>0</v>
      </c>
      <c r="AD976">
        <v>3714.9316773679679</v>
      </c>
      <c r="AE976">
        <v>2228959.0064207809</v>
      </c>
      <c r="AF976">
        <v>1114479.50321039</v>
      </c>
      <c r="AG976">
        <v>35.709104631134323</v>
      </c>
      <c r="AH976">
        <v>367.86182202216958</v>
      </c>
      <c r="AI976">
        <v>183.93091101108479</v>
      </c>
      <c r="AJ976">
        <v>29122.959091817811</v>
      </c>
      <c r="AK976">
        <v>854.70085470085473</v>
      </c>
      <c r="AL976" t="s">
        <v>93</v>
      </c>
      <c r="AM976">
        <v>28509.291206718139</v>
      </c>
      <c r="AN976">
        <v>2000.035415101109</v>
      </c>
      <c r="AO976">
        <v>31268.254871884419</v>
      </c>
      <c r="AP976">
        <v>60486.98656833791</v>
      </c>
      <c r="AQ976">
        <v>29218.731696453491</v>
      </c>
      <c r="AR976">
        <v>2.6131444327083329E-2</v>
      </c>
      <c r="AS976">
        <v>815.56116829728273</v>
      </c>
      <c r="AT976">
        <v>798.37597445278016</v>
      </c>
      <c r="AU976">
        <v>56.009116883801767</v>
      </c>
      <c r="AV976">
        <v>875.63816552885567</v>
      </c>
      <c r="AW976">
        <v>1693.881355837751</v>
      </c>
      <c r="AX976">
        <v>818.24319030889558</v>
      </c>
      <c r="AY976">
        <v>5.1508127384050333</v>
      </c>
      <c r="AZ976" t="s">
        <v>100</v>
      </c>
      <c r="BA976" t="str">
        <f>VLOOKUP($AZ976,Sheet1!$A$2:$B$58,2)</f>
        <v>1,4-Butanediol</v>
      </c>
      <c r="BB976" t="s">
        <v>153</v>
      </c>
      <c r="BC976">
        <v>90.119200000000006</v>
      </c>
      <c r="BD976">
        <v>5.5</v>
      </c>
      <c r="BE976">
        <v>230</v>
      </c>
      <c r="BF976" t="s">
        <v>215</v>
      </c>
      <c r="BG976">
        <v>8.5169041997895135E-3</v>
      </c>
      <c r="BH976">
        <v>0.24891472868216999</v>
      </c>
      <c r="BI976">
        <v>0.70010156396368495</v>
      </c>
      <c r="BJ976">
        <v>80</v>
      </c>
      <c r="BK976">
        <v>3024.3493284168958</v>
      </c>
      <c r="BL976">
        <v>1460.9365848226751</v>
      </c>
      <c r="BM976">
        <v>9.1880286463544518</v>
      </c>
      <c r="BN976">
        <v>1561.9648698802571</v>
      </c>
      <c r="BO976">
        <v>1462.3844585366389</v>
      </c>
    </row>
    <row r="977" spans="1:67" x14ac:dyDescent="0.25">
      <c r="A977" s="1">
        <v>975</v>
      </c>
      <c r="B977" t="s">
        <v>78</v>
      </c>
      <c r="C977" t="s">
        <v>87</v>
      </c>
      <c r="D977">
        <v>1</v>
      </c>
      <c r="E977">
        <v>4</v>
      </c>
      <c r="F977">
        <v>1</v>
      </c>
      <c r="G977">
        <v>32.041060000000002</v>
      </c>
      <c r="H977">
        <v>6</v>
      </c>
      <c r="I977" t="s">
        <v>89</v>
      </c>
      <c r="J977">
        <v>2.5</v>
      </c>
      <c r="K977">
        <v>200</v>
      </c>
      <c r="L977">
        <v>50</v>
      </c>
      <c r="N977" t="s">
        <v>90</v>
      </c>
      <c r="O977">
        <v>50</v>
      </c>
      <c r="P977">
        <v>0.3125</v>
      </c>
      <c r="Q977">
        <v>3.2500000000000001E-2</v>
      </c>
      <c r="R977">
        <v>77.5</v>
      </c>
      <c r="S977">
        <v>170</v>
      </c>
      <c r="T977">
        <v>50</v>
      </c>
      <c r="U977">
        <v>1812.1301775147931</v>
      </c>
      <c r="V977">
        <v>20</v>
      </c>
      <c r="W977">
        <v>0.95</v>
      </c>
      <c r="X977">
        <v>1</v>
      </c>
      <c r="Y977">
        <v>221560.9419149172</v>
      </c>
      <c r="Z977">
        <v>443121883.82983452</v>
      </c>
      <c r="AA977">
        <v>1107804709.5745859</v>
      </c>
      <c r="AB977">
        <v>1107804.709574586</v>
      </c>
      <c r="AC977">
        <v>0</v>
      </c>
      <c r="AD977">
        <v>4592.6346576333844</v>
      </c>
      <c r="AE977">
        <v>2755580.7945800298</v>
      </c>
      <c r="AF977">
        <v>1377790.3972900149</v>
      </c>
      <c r="AG977">
        <v>44.145864786993222</v>
      </c>
      <c r="AH977">
        <v>454.77416538550182</v>
      </c>
      <c r="AI977">
        <v>227.38708269275091</v>
      </c>
      <c r="AJ977">
        <v>36003.65306117406</v>
      </c>
      <c r="AK977">
        <v>854.70085470085473</v>
      </c>
      <c r="AL977" t="s">
        <v>93</v>
      </c>
      <c r="AM977">
        <v>35244.997817376388</v>
      </c>
      <c r="AN977">
        <v>2472.570900791211</v>
      </c>
      <c r="AO977">
        <v>38655.804057767651</v>
      </c>
      <c r="AP977">
        <v>74575.922634042523</v>
      </c>
      <c r="AQ977">
        <v>35920.118576274872</v>
      </c>
      <c r="AR977">
        <v>2.613144432708334E-2</v>
      </c>
      <c r="AS977">
        <v>815.56116829728285</v>
      </c>
      <c r="AT977">
        <v>798.37597445278027</v>
      </c>
      <c r="AU977">
        <v>56.009116883801752</v>
      </c>
      <c r="AV977">
        <v>875.63816552885578</v>
      </c>
      <c r="AW977">
        <v>1689.3070957806899</v>
      </c>
      <c r="AX977">
        <v>813.6689302518339</v>
      </c>
      <c r="AY977">
        <v>5.1508127384050342</v>
      </c>
      <c r="AZ977" t="s">
        <v>101</v>
      </c>
      <c r="BA977" t="str">
        <f>VLOOKUP($AZ977,Sheet1!$A$2:$B$58,2)</f>
        <v>1-Propanol (PW1)</v>
      </c>
      <c r="BB977" t="s">
        <v>156</v>
      </c>
      <c r="BC977">
        <v>60.093820000000001</v>
      </c>
      <c r="BD977">
        <v>6</v>
      </c>
      <c r="BE977">
        <v>97</v>
      </c>
      <c r="BF977" t="s">
        <v>215</v>
      </c>
      <c r="BG977">
        <v>0.22839769194916271</v>
      </c>
      <c r="BH977">
        <v>0.30194444444444402</v>
      </c>
      <c r="BI977">
        <v>0.56630445729462298</v>
      </c>
      <c r="BJ977">
        <v>80</v>
      </c>
      <c r="BK977">
        <v>3728.7961317021259</v>
      </c>
      <c r="BL977">
        <v>1796.0059288137429</v>
      </c>
      <c r="BM977">
        <v>11.140956442688379</v>
      </c>
      <c r="BN977">
        <v>1893.962595257025</v>
      </c>
      <c r="BO977">
        <v>1834.8335364451009</v>
      </c>
    </row>
    <row r="978" spans="1:67" x14ac:dyDescent="0.25">
      <c r="A978" s="1">
        <v>976</v>
      </c>
      <c r="B978" t="s">
        <v>78</v>
      </c>
      <c r="C978" t="s">
        <v>87</v>
      </c>
      <c r="D978">
        <v>1</v>
      </c>
      <c r="E978">
        <v>4</v>
      </c>
      <c r="F978">
        <v>1</v>
      </c>
      <c r="G978">
        <v>32.041060000000002</v>
      </c>
      <c r="H978">
        <v>6</v>
      </c>
      <c r="I978" t="s">
        <v>89</v>
      </c>
      <c r="J978">
        <v>2.5</v>
      </c>
      <c r="K978">
        <v>200</v>
      </c>
      <c r="L978">
        <v>50</v>
      </c>
      <c r="N978" t="s">
        <v>90</v>
      </c>
      <c r="O978">
        <v>50</v>
      </c>
      <c r="P978">
        <v>0.3125</v>
      </c>
      <c r="Q978">
        <v>3.2500000000000001E-2</v>
      </c>
      <c r="R978">
        <v>77.5</v>
      </c>
      <c r="S978">
        <v>170</v>
      </c>
      <c r="T978">
        <v>50</v>
      </c>
      <c r="U978">
        <v>1812.1301775147931</v>
      </c>
      <c r="V978">
        <v>20</v>
      </c>
      <c r="W978">
        <v>0.95</v>
      </c>
      <c r="X978">
        <v>1</v>
      </c>
      <c r="Y978">
        <v>247983.16788136991</v>
      </c>
      <c r="Z978">
        <v>495966335.76273972</v>
      </c>
      <c r="AA978">
        <v>1239915839.4068489</v>
      </c>
      <c r="AB978">
        <v>1239915.8394068489</v>
      </c>
      <c r="AC978">
        <v>0</v>
      </c>
      <c r="AD978">
        <v>5140.3288028945562</v>
      </c>
      <c r="AE978">
        <v>3084197.2817367339</v>
      </c>
      <c r="AF978">
        <v>1542098.6408683669</v>
      </c>
      <c r="AG978">
        <v>49.4104750779818</v>
      </c>
      <c r="AH978">
        <v>509.00820888462619</v>
      </c>
      <c r="AI978">
        <v>254.50410444231309</v>
      </c>
      <c r="AJ978">
        <v>40297.264780722602</v>
      </c>
      <c r="AK978">
        <v>854.70085470085473</v>
      </c>
      <c r="AL978" t="s">
        <v>93</v>
      </c>
      <c r="AM978">
        <v>39448.136188558528</v>
      </c>
      <c r="AN978">
        <v>2767.437073926857</v>
      </c>
      <c r="AO978">
        <v>43265.697755193229</v>
      </c>
      <c r="AP978">
        <v>83367.538897908846</v>
      </c>
      <c r="AQ978">
        <v>40101.841142715617</v>
      </c>
      <c r="AR978">
        <v>2.6131444327083329E-2</v>
      </c>
      <c r="AS978">
        <v>815.56116829728273</v>
      </c>
      <c r="AT978">
        <v>798.37597445278016</v>
      </c>
      <c r="AU978">
        <v>56.009116883801759</v>
      </c>
      <c r="AV978">
        <v>875.63816552885578</v>
      </c>
      <c r="AW978">
        <v>1687.2442284016599</v>
      </c>
      <c r="AX978">
        <v>811.60606287280416</v>
      </c>
      <c r="AY978">
        <v>5.1508127384050333</v>
      </c>
      <c r="AZ978" t="s">
        <v>102</v>
      </c>
      <c r="BA978" t="str">
        <f>VLOOKUP($AZ978,Sheet1!$A$2:$B$58,2)</f>
        <v>1-Propanol (PW2)</v>
      </c>
      <c r="BB978" t="s">
        <v>156</v>
      </c>
      <c r="BC978">
        <v>60.093820000000001</v>
      </c>
      <c r="BD978">
        <v>6</v>
      </c>
      <c r="BE978">
        <v>97</v>
      </c>
      <c r="BF978" t="s">
        <v>215</v>
      </c>
      <c r="BG978">
        <v>0.51764592394447961</v>
      </c>
      <c r="BH978">
        <v>0.269772727272727</v>
      </c>
      <c r="BI978">
        <v>0.50596558645801104</v>
      </c>
      <c r="BJ978">
        <v>80</v>
      </c>
      <c r="BK978">
        <v>4168.3769448954417</v>
      </c>
      <c r="BL978">
        <v>2005.092057135781</v>
      </c>
      <c r="BM978">
        <v>12.207559298171169</v>
      </c>
      <c r="BN978">
        <v>2075.2850806891001</v>
      </c>
      <c r="BO978">
        <v>2093.0918642063421</v>
      </c>
    </row>
    <row r="979" spans="1:67" x14ac:dyDescent="0.25">
      <c r="A979" s="1">
        <v>977</v>
      </c>
      <c r="B979" t="s">
        <v>78</v>
      </c>
      <c r="C979" t="s">
        <v>87</v>
      </c>
      <c r="D979">
        <v>1</v>
      </c>
      <c r="E979">
        <v>4</v>
      </c>
      <c r="F979">
        <v>1</v>
      </c>
      <c r="G979">
        <v>32.041060000000002</v>
      </c>
      <c r="H979">
        <v>6</v>
      </c>
      <c r="I979" t="s">
        <v>89</v>
      </c>
      <c r="J979">
        <v>2.5</v>
      </c>
      <c r="K979">
        <v>200</v>
      </c>
      <c r="L979">
        <v>50</v>
      </c>
      <c r="N979" t="s">
        <v>90</v>
      </c>
      <c r="O979">
        <v>50</v>
      </c>
      <c r="P979">
        <v>0.3125</v>
      </c>
      <c r="Q979">
        <v>3.2500000000000001E-2</v>
      </c>
      <c r="R979">
        <v>77.5</v>
      </c>
      <c r="S979">
        <v>170</v>
      </c>
      <c r="T979">
        <v>50</v>
      </c>
      <c r="U979">
        <v>1812.1301775147931</v>
      </c>
      <c r="V979">
        <v>20</v>
      </c>
      <c r="W979">
        <v>0.95</v>
      </c>
      <c r="X979">
        <v>1</v>
      </c>
      <c r="Y979">
        <v>193659.07277160371</v>
      </c>
      <c r="Z979">
        <v>387318145.54320741</v>
      </c>
      <c r="AA979">
        <v>968295363.85801852</v>
      </c>
      <c r="AB979">
        <v>968295.36385801854</v>
      </c>
      <c r="AC979">
        <v>0</v>
      </c>
      <c r="AD979">
        <v>4014.2696708590352</v>
      </c>
      <c r="AE979">
        <v>2408561.8025154211</v>
      </c>
      <c r="AF979">
        <v>1204280.901257711</v>
      </c>
      <c r="AG979">
        <v>38.586436614052367</v>
      </c>
      <c r="AH979">
        <v>397.50301848263882</v>
      </c>
      <c r="AI979">
        <v>198.75150924131941</v>
      </c>
      <c r="AJ979">
        <v>31469.5993253856</v>
      </c>
      <c r="AK979">
        <v>854.70085470085473</v>
      </c>
      <c r="AL979" t="s">
        <v>93</v>
      </c>
      <c r="AM979">
        <v>30806.48393240451</v>
      </c>
      <c r="AN979">
        <v>2161.192238445868</v>
      </c>
      <c r="AO979">
        <v>33787.7565710243</v>
      </c>
      <c r="AP979">
        <v>65291.976350936828</v>
      </c>
      <c r="AQ979">
        <v>31504.219779912539</v>
      </c>
      <c r="AR979">
        <v>2.6131444327083329E-2</v>
      </c>
      <c r="AS979">
        <v>815.56116829728273</v>
      </c>
      <c r="AT979">
        <v>798.37597445278027</v>
      </c>
      <c r="AU979">
        <v>56.009116883801767</v>
      </c>
      <c r="AV979">
        <v>875.63816552885578</v>
      </c>
      <c r="AW979">
        <v>1692.096552060442</v>
      </c>
      <c r="AX979">
        <v>816.45838653158626</v>
      </c>
      <c r="AY979">
        <v>5.1508127384050351</v>
      </c>
      <c r="AZ979" t="s">
        <v>103</v>
      </c>
      <c r="BA979" t="str">
        <f>VLOOKUP($AZ979,Sheet1!$A$2:$B$58,2)</f>
        <v>2,3-Butanediol</v>
      </c>
      <c r="BB979" t="s">
        <v>153</v>
      </c>
      <c r="BC979">
        <v>90.119200000000006</v>
      </c>
      <c r="BD979">
        <v>5.5</v>
      </c>
      <c r="BE979">
        <v>177</v>
      </c>
      <c r="BF979" t="s">
        <v>215</v>
      </c>
      <c r="BG979">
        <v>0.1666032853222828</v>
      </c>
      <c r="BH979">
        <v>0.230353535353535</v>
      </c>
      <c r="BI979">
        <v>0.64789605347738999</v>
      </c>
      <c r="BJ979">
        <v>80</v>
      </c>
      <c r="BK979">
        <v>3264.598817546841</v>
      </c>
      <c r="BL979">
        <v>1575.2109889956259</v>
      </c>
      <c r="BM979">
        <v>9.7709721767436903</v>
      </c>
      <c r="BN979">
        <v>1661.065270046427</v>
      </c>
      <c r="BO979">
        <v>1603.533547500414</v>
      </c>
    </row>
    <row r="980" spans="1:67" x14ac:dyDescent="0.25">
      <c r="A980" s="1">
        <v>978</v>
      </c>
      <c r="B980" t="s">
        <v>78</v>
      </c>
      <c r="C980" t="s">
        <v>87</v>
      </c>
      <c r="D980">
        <v>1</v>
      </c>
      <c r="E980">
        <v>4</v>
      </c>
      <c r="F980">
        <v>1</v>
      </c>
      <c r="G980">
        <v>32.041060000000002</v>
      </c>
      <c r="H980">
        <v>6</v>
      </c>
      <c r="I980" t="s">
        <v>89</v>
      </c>
      <c r="J980">
        <v>2.5</v>
      </c>
      <c r="K980">
        <v>200</v>
      </c>
      <c r="L980">
        <v>50</v>
      </c>
      <c r="N980" t="s">
        <v>90</v>
      </c>
      <c r="O980">
        <v>50</v>
      </c>
      <c r="P980">
        <v>0.3125</v>
      </c>
      <c r="Q980">
        <v>3.2500000000000001E-2</v>
      </c>
      <c r="R980">
        <v>77.5</v>
      </c>
      <c r="S980">
        <v>170</v>
      </c>
      <c r="T980">
        <v>50</v>
      </c>
      <c r="U980">
        <v>1812.1301775147931</v>
      </c>
      <c r="V980">
        <v>20</v>
      </c>
      <c r="W980">
        <v>0.95</v>
      </c>
      <c r="X980">
        <v>1</v>
      </c>
      <c r="Y980">
        <v>269990.37560120632</v>
      </c>
      <c r="Z980">
        <v>539980751.20241261</v>
      </c>
      <c r="AA980">
        <v>1349951878.006032</v>
      </c>
      <c r="AB980">
        <v>1349951.878006032</v>
      </c>
      <c r="AC980">
        <v>0</v>
      </c>
      <c r="AD980">
        <v>5596.5060696019282</v>
      </c>
      <c r="AE980">
        <v>3357903.6417611572</v>
      </c>
      <c r="AF980">
        <v>1678951.8208805791</v>
      </c>
      <c r="AG980">
        <v>53.795396029943873</v>
      </c>
      <c r="AH980">
        <v>554.18002227715692</v>
      </c>
      <c r="AI980">
        <v>277.09001113857852</v>
      </c>
      <c r="AJ980">
        <v>43873.436035196028</v>
      </c>
      <c r="AK980">
        <v>854.70085470085473</v>
      </c>
      <c r="AL980" t="s">
        <v>93</v>
      </c>
      <c r="AM980">
        <v>42948.95172647966</v>
      </c>
      <c r="AN980">
        <v>3013.0326240515319</v>
      </c>
      <c r="AO980">
        <v>47105.301893558339</v>
      </c>
      <c r="AP980">
        <v>90690.121240428081</v>
      </c>
      <c r="AQ980">
        <v>43584.819346869743</v>
      </c>
      <c r="AR980">
        <v>2.6131444327083329E-2</v>
      </c>
      <c r="AS980">
        <v>815.56116829728273</v>
      </c>
      <c r="AT980">
        <v>798.37597445278016</v>
      </c>
      <c r="AU980">
        <v>56.009116883801767</v>
      </c>
      <c r="AV980">
        <v>875.63816552885567</v>
      </c>
      <c r="AW980">
        <v>1685.8342522461901</v>
      </c>
      <c r="AX980">
        <v>810.1960867173342</v>
      </c>
      <c r="AY980">
        <v>5.1508127384050333</v>
      </c>
      <c r="AZ980" t="s">
        <v>104</v>
      </c>
      <c r="BA980" t="str">
        <f>VLOOKUP($AZ980,Sheet1!$A$2:$B$58,2)</f>
        <v>2-Methyl-1-Butanol</v>
      </c>
      <c r="BB980" t="s">
        <v>157</v>
      </c>
      <c r="BC980">
        <v>88.14658</v>
      </c>
      <c r="BD980">
        <v>6</v>
      </c>
      <c r="BE980">
        <v>129</v>
      </c>
      <c r="BF980" t="s">
        <v>215</v>
      </c>
      <c r="BG980">
        <v>0.45921682833632982</v>
      </c>
      <c r="BH980">
        <v>0.16892592592592601</v>
      </c>
      <c r="BI980">
        <v>0.464723783910511</v>
      </c>
      <c r="BJ980">
        <v>80</v>
      </c>
      <c r="BK980">
        <v>4534.5060620214044</v>
      </c>
      <c r="BL980">
        <v>2179.2409673434868</v>
      </c>
      <c r="BM980">
        <v>13.39528372859259</v>
      </c>
      <c r="BN980">
        <v>2277.1982338607399</v>
      </c>
      <c r="BO980">
        <v>2257.3078281606631</v>
      </c>
    </row>
    <row r="981" spans="1:67" x14ac:dyDescent="0.25">
      <c r="A981" s="1">
        <v>979</v>
      </c>
      <c r="B981" t="s">
        <v>78</v>
      </c>
      <c r="C981" t="s">
        <v>87</v>
      </c>
      <c r="D981">
        <v>1</v>
      </c>
      <c r="E981">
        <v>4</v>
      </c>
      <c r="F981">
        <v>1</v>
      </c>
      <c r="G981">
        <v>32.041060000000002</v>
      </c>
      <c r="H981">
        <v>6</v>
      </c>
      <c r="I981" t="s">
        <v>89</v>
      </c>
      <c r="J981">
        <v>2.5</v>
      </c>
      <c r="K981">
        <v>200</v>
      </c>
      <c r="L981">
        <v>50</v>
      </c>
      <c r="N981" t="s">
        <v>90</v>
      </c>
      <c r="O981">
        <v>50</v>
      </c>
      <c r="P981">
        <v>0.3125</v>
      </c>
      <c r="Q981">
        <v>3.2500000000000001E-2</v>
      </c>
      <c r="R981">
        <v>77.5</v>
      </c>
      <c r="S981">
        <v>170</v>
      </c>
      <c r="T981">
        <v>50</v>
      </c>
      <c r="U981">
        <v>1812.1301775147931</v>
      </c>
      <c r="V981">
        <v>20</v>
      </c>
      <c r="W981">
        <v>0.95</v>
      </c>
      <c r="X981">
        <v>1</v>
      </c>
      <c r="Y981">
        <v>120385.70809839539</v>
      </c>
      <c r="Z981">
        <v>240771416.1967909</v>
      </c>
      <c r="AA981">
        <v>601928540.49197721</v>
      </c>
      <c r="AB981">
        <v>601928.54049197724</v>
      </c>
      <c r="AC981">
        <v>0</v>
      </c>
      <c r="AD981">
        <v>2495.4198628959789</v>
      </c>
      <c r="AE981">
        <v>1497251.9177375881</v>
      </c>
      <c r="AF981">
        <v>748625.95886879379</v>
      </c>
      <c r="AG981">
        <v>23.98676926567256</v>
      </c>
      <c r="AH981">
        <v>247.10271337361709</v>
      </c>
      <c r="AI981">
        <v>123.5513566868086</v>
      </c>
      <c r="AJ981">
        <v>19562.677565989259</v>
      </c>
      <c r="AK981">
        <v>1835.336538461539</v>
      </c>
      <c r="AL981" t="s">
        <v>94</v>
      </c>
      <c r="AM981">
        <v>19150.460286455331</v>
      </c>
      <c r="AN981">
        <v>1343.4777634658381</v>
      </c>
      <c r="AO981">
        <v>21003.73063675746</v>
      </c>
      <c r="AP981">
        <v>41891.952154371967</v>
      </c>
      <c r="AQ981">
        <v>20888.221517614511</v>
      </c>
      <c r="AR981">
        <v>2.6131444327083329E-2</v>
      </c>
      <c r="AS981">
        <v>815.56116829728273</v>
      </c>
      <c r="AT981">
        <v>798.37597445278038</v>
      </c>
      <c r="AU981">
        <v>56.009116883801752</v>
      </c>
      <c r="AV981">
        <v>875.63816552885578</v>
      </c>
      <c r="AW981">
        <v>1746.460796382592</v>
      </c>
      <c r="AX981">
        <v>870.82263085373597</v>
      </c>
      <c r="AY981">
        <v>5.1508127384050342</v>
      </c>
      <c r="AZ981" t="s">
        <v>105</v>
      </c>
      <c r="BA981" t="str">
        <f>VLOOKUP($AZ981,Sheet1!$A$2:$B$58,2)</f>
        <v>2-Pyrone-4,6-Dicarboxylate</v>
      </c>
      <c r="BB981" t="s">
        <v>158</v>
      </c>
      <c r="BC981">
        <v>182.08457999999999</v>
      </c>
      <c r="BD981">
        <v>2.5714285714285721</v>
      </c>
      <c r="BE981">
        <v>355.5</v>
      </c>
      <c r="BF981" t="s">
        <v>215</v>
      </c>
      <c r="BG981">
        <v>-0.37402489820219531</v>
      </c>
      <c r="BH981">
        <v>0.183401109057301</v>
      </c>
      <c r="BI981">
        <v>1.04224123403636</v>
      </c>
      <c r="BJ981">
        <v>80</v>
      </c>
      <c r="BK981">
        <v>2094.5976077185978</v>
      </c>
      <c r="BL981">
        <v>1044.411075880726</v>
      </c>
      <c r="BM981">
        <v>6.5515927325426242</v>
      </c>
      <c r="BN981">
        <v>1113.7707645322459</v>
      </c>
      <c r="BO981">
        <v>980.82684318635211</v>
      </c>
    </row>
    <row r="982" spans="1:67" x14ac:dyDescent="0.25">
      <c r="A982" s="1">
        <v>980</v>
      </c>
      <c r="B982" t="s">
        <v>78</v>
      </c>
      <c r="C982" t="s">
        <v>87</v>
      </c>
      <c r="D982">
        <v>1</v>
      </c>
      <c r="E982">
        <v>4</v>
      </c>
      <c r="F982">
        <v>1</v>
      </c>
      <c r="G982">
        <v>32.041060000000002</v>
      </c>
      <c r="H982">
        <v>6</v>
      </c>
      <c r="I982" t="s">
        <v>89</v>
      </c>
      <c r="J982">
        <v>2.5</v>
      </c>
      <c r="K982">
        <v>200</v>
      </c>
      <c r="L982">
        <v>50</v>
      </c>
      <c r="N982" t="s">
        <v>90</v>
      </c>
      <c r="O982">
        <v>50</v>
      </c>
      <c r="P982">
        <v>0.3125</v>
      </c>
      <c r="Q982">
        <v>3.2500000000000001E-2</v>
      </c>
      <c r="R982">
        <v>77.5</v>
      </c>
      <c r="S982">
        <v>170</v>
      </c>
      <c r="T982">
        <v>50</v>
      </c>
      <c r="U982">
        <v>1812.1301775147931</v>
      </c>
      <c r="V982">
        <v>20</v>
      </c>
      <c r="W982">
        <v>0.95</v>
      </c>
      <c r="X982">
        <v>1</v>
      </c>
      <c r="Y982">
        <v>296361.05816190777</v>
      </c>
      <c r="Z982">
        <v>592722116.32381558</v>
      </c>
      <c r="AA982">
        <v>1481805290.8095391</v>
      </c>
      <c r="AB982">
        <v>1481805.2908095389</v>
      </c>
      <c r="AC982">
        <v>0</v>
      </c>
      <c r="AD982">
        <v>6143.1317953592888</v>
      </c>
      <c r="AE982">
        <v>3685879.0772155728</v>
      </c>
      <c r="AF982">
        <v>1842939.5386077871</v>
      </c>
      <c r="AG982">
        <v>59.049736332904423</v>
      </c>
      <c r="AH982">
        <v>608.30826820596508</v>
      </c>
      <c r="AI982">
        <v>304.15413410298248</v>
      </c>
      <c r="AJ982">
        <v>48158.671951310018</v>
      </c>
      <c r="AK982">
        <v>854.70085470085473</v>
      </c>
      <c r="AL982" t="s">
        <v>93</v>
      </c>
      <c r="AM982">
        <v>47143.890785962292</v>
      </c>
      <c r="AN982">
        <v>3307.323584227318</v>
      </c>
      <c r="AO982">
        <v>51706.20279750703</v>
      </c>
      <c r="AP982">
        <v>99464.587176200483</v>
      </c>
      <c r="AQ982">
        <v>47758.384378693452</v>
      </c>
      <c r="AR982">
        <v>2.6131444327083329E-2</v>
      </c>
      <c r="AS982">
        <v>815.56116829728262</v>
      </c>
      <c r="AT982">
        <v>798.37597445278004</v>
      </c>
      <c r="AU982">
        <v>56.009116883801752</v>
      </c>
      <c r="AV982">
        <v>875.63816552885555</v>
      </c>
      <c r="AW982">
        <v>1684.4205131662141</v>
      </c>
      <c r="AX982">
        <v>808.7823476373585</v>
      </c>
      <c r="AY982">
        <v>5.1508127384050324</v>
      </c>
      <c r="AZ982" t="s">
        <v>106</v>
      </c>
      <c r="BA982" t="str">
        <f>VLOOKUP($AZ982,Sheet1!$A$2:$B$58,2)</f>
        <v>3-Methyl-1-Pentanol</v>
      </c>
      <c r="BB982" t="s">
        <v>159</v>
      </c>
      <c r="BC982">
        <v>102.17296</v>
      </c>
      <c r="BD982">
        <v>6</v>
      </c>
      <c r="BE982">
        <v>153</v>
      </c>
      <c r="BF982" t="s">
        <v>215</v>
      </c>
      <c r="BG982">
        <v>0.65986963570151869</v>
      </c>
      <c r="BH982">
        <v>0.13276785714285699</v>
      </c>
      <c r="BI982">
        <v>0.42337191582122602</v>
      </c>
      <c r="BJ982">
        <v>80</v>
      </c>
      <c r="BK982">
        <v>4973.2293588100247</v>
      </c>
      <c r="BL982">
        <v>2387.9192189346732</v>
      </c>
      <c r="BM982">
        <v>14.54783706944761</v>
      </c>
      <c r="BN982">
        <v>2473.1323018060939</v>
      </c>
      <c r="BO982">
        <v>2500.0970570039308</v>
      </c>
    </row>
    <row r="983" spans="1:67" x14ac:dyDescent="0.25">
      <c r="A983" s="1">
        <v>981</v>
      </c>
      <c r="B983" t="s">
        <v>78</v>
      </c>
      <c r="C983" t="s">
        <v>87</v>
      </c>
      <c r="D983">
        <v>1</v>
      </c>
      <c r="E983">
        <v>4</v>
      </c>
      <c r="F983">
        <v>1</v>
      </c>
      <c r="G983">
        <v>32.041060000000002</v>
      </c>
      <c r="H983">
        <v>6</v>
      </c>
      <c r="I983" t="s">
        <v>89</v>
      </c>
      <c r="J983">
        <v>2.5</v>
      </c>
      <c r="K983">
        <v>200</v>
      </c>
      <c r="L983">
        <v>50</v>
      </c>
      <c r="N983" t="s">
        <v>90</v>
      </c>
      <c r="O983">
        <v>50</v>
      </c>
      <c r="P983">
        <v>0.3125</v>
      </c>
      <c r="Q983">
        <v>3.2500000000000001E-2</v>
      </c>
      <c r="R983">
        <v>77.5</v>
      </c>
      <c r="S983">
        <v>170</v>
      </c>
      <c r="T983">
        <v>50</v>
      </c>
      <c r="U983">
        <v>1812.1301775147931</v>
      </c>
      <c r="V983">
        <v>20</v>
      </c>
      <c r="W983">
        <v>0.95</v>
      </c>
      <c r="X983">
        <v>1</v>
      </c>
      <c r="Y983">
        <v>280582.17251951201</v>
      </c>
      <c r="Z983">
        <v>561164345.03902388</v>
      </c>
      <c r="AA983">
        <v>1402910862.5975599</v>
      </c>
      <c r="AB983">
        <v>1402910.86259756</v>
      </c>
      <c r="AC983">
        <v>0</v>
      </c>
      <c r="AD983">
        <v>5816.0585466459424</v>
      </c>
      <c r="AE983">
        <v>3489635.127987565</v>
      </c>
      <c r="AF983">
        <v>1744817.563993783</v>
      </c>
      <c r="AG983">
        <v>55.905804256978641</v>
      </c>
      <c r="AH983">
        <v>575.92065743524768</v>
      </c>
      <c r="AI983">
        <v>287.96032871762378</v>
      </c>
      <c r="AJ983">
        <v>45594.603034420688</v>
      </c>
      <c r="AK983">
        <v>854.70085470085473</v>
      </c>
      <c r="AL983" t="s">
        <v>93</v>
      </c>
      <c r="AM983">
        <v>44633.850951231703</v>
      </c>
      <c r="AN983">
        <v>3131.2347251120591</v>
      </c>
      <c r="AO983">
        <v>48953.255881996047</v>
      </c>
      <c r="AP983">
        <v>94214.389565465317</v>
      </c>
      <c r="AQ983">
        <v>45261.133683469263</v>
      </c>
      <c r="AR983">
        <v>2.6131444327083329E-2</v>
      </c>
      <c r="AS983">
        <v>815.56116829728262</v>
      </c>
      <c r="AT983">
        <v>798.37597445278004</v>
      </c>
      <c r="AU983">
        <v>56.009116883801767</v>
      </c>
      <c r="AV983">
        <v>875.63816552885555</v>
      </c>
      <c r="AW983">
        <v>1685.2344907229319</v>
      </c>
      <c r="AX983">
        <v>809.59632519407637</v>
      </c>
      <c r="AY983">
        <v>5.1508127384050324</v>
      </c>
      <c r="AZ983" t="s">
        <v>107</v>
      </c>
      <c r="BA983" t="str">
        <f>VLOOKUP($AZ983,Sheet1!$A$2:$B$58,2)</f>
        <v>4-Hydroxystyrene</v>
      </c>
      <c r="BB983" t="s">
        <v>160</v>
      </c>
      <c r="BC983">
        <v>120.14731999999999</v>
      </c>
      <c r="BD983">
        <v>4.75</v>
      </c>
      <c r="BE983">
        <v>229</v>
      </c>
      <c r="BF983" t="s">
        <v>215</v>
      </c>
      <c r="BG983">
        <v>0.1411743970533571</v>
      </c>
      <c r="BH983">
        <v>0.11925480769230801</v>
      </c>
      <c r="BI983">
        <v>0.44718075935522</v>
      </c>
      <c r="BJ983">
        <v>80</v>
      </c>
      <c r="BK983">
        <v>4710.7194782732658</v>
      </c>
      <c r="BL983">
        <v>2263.0566841734631</v>
      </c>
      <c r="BM983">
        <v>14.256842038827831</v>
      </c>
      <c r="BN983">
        <v>2423.663146600732</v>
      </c>
      <c r="BO983">
        <v>2287.0563316725338</v>
      </c>
    </row>
    <row r="984" spans="1:67" x14ac:dyDescent="0.25">
      <c r="A984" s="1">
        <v>982</v>
      </c>
      <c r="B984" t="s">
        <v>78</v>
      </c>
      <c r="C984" t="s">
        <v>87</v>
      </c>
      <c r="D984">
        <v>1</v>
      </c>
      <c r="E984">
        <v>4</v>
      </c>
      <c r="F984">
        <v>1</v>
      </c>
      <c r="G984">
        <v>32.041060000000002</v>
      </c>
      <c r="H984">
        <v>6</v>
      </c>
      <c r="I984" t="s">
        <v>89</v>
      </c>
      <c r="J984">
        <v>2.5</v>
      </c>
      <c r="K984">
        <v>200</v>
      </c>
      <c r="L984">
        <v>50</v>
      </c>
      <c r="N984" t="s">
        <v>90</v>
      </c>
      <c r="O984">
        <v>50</v>
      </c>
      <c r="P984">
        <v>0.3125</v>
      </c>
      <c r="Q984">
        <v>3.2500000000000001E-2</v>
      </c>
      <c r="R984">
        <v>77.5</v>
      </c>
      <c r="S984">
        <v>170</v>
      </c>
      <c r="T984">
        <v>50</v>
      </c>
      <c r="U984">
        <v>1812.1301775147931</v>
      </c>
      <c r="V984">
        <v>20</v>
      </c>
      <c r="W984">
        <v>0.95</v>
      </c>
      <c r="X984">
        <v>1</v>
      </c>
      <c r="Y984">
        <v>196385.22580121111</v>
      </c>
      <c r="Z984">
        <v>392770451.60242218</v>
      </c>
      <c r="AA984">
        <v>981926129.00605547</v>
      </c>
      <c r="AB984">
        <v>981926.12900605542</v>
      </c>
      <c r="AC984">
        <v>0</v>
      </c>
      <c r="AD984">
        <v>4070.77884065032</v>
      </c>
      <c r="AE984">
        <v>2442467.304390192</v>
      </c>
      <c r="AF984">
        <v>1221233.652195096</v>
      </c>
      <c r="AG984">
        <v>39.129620724002201</v>
      </c>
      <c r="AH984">
        <v>403.09869774829627</v>
      </c>
      <c r="AI984">
        <v>201.54934887414819</v>
      </c>
      <c r="AJ984">
        <v>31912.599192696802</v>
      </c>
      <c r="AK984">
        <v>854.70085470085473</v>
      </c>
      <c r="AL984" t="s">
        <v>93</v>
      </c>
      <c r="AM984">
        <v>31240.149075492969</v>
      </c>
      <c r="AN984">
        <v>2191.6155007494708</v>
      </c>
      <c r="AO984">
        <v>34263.38930860519</v>
      </c>
      <c r="AP984">
        <v>66199.064623640093</v>
      </c>
      <c r="AQ984">
        <v>31935.6753150349</v>
      </c>
      <c r="AR984">
        <v>2.6131444327083329E-2</v>
      </c>
      <c r="AS984">
        <v>815.56116829728273</v>
      </c>
      <c r="AT984">
        <v>798.37597445278027</v>
      </c>
      <c r="AU984">
        <v>56.009116883801759</v>
      </c>
      <c r="AV984">
        <v>875.63816552885578</v>
      </c>
      <c r="AW984">
        <v>1691.789069221247</v>
      </c>
      <c r="AX984">
        <v>816.15090369239078</v>
      </c>
      <c r="AY984">
        <v>5.1508127384050342</v>
      </c>
      <c r="AZ984" t="s">
        <v>108</v>
      </c>
      <c r="BA984" t="str">
        <f>VLOOKUP($AZ984,Sheet1!$A$2:$B$58,2)</f>
        <v>5-Aminopentanoate</v>
      </c>
      <c r="BB984" t="s">
        <v>161</v>
      </c>
      <c r="BC984">
        <v>117.14444</v>
      </c>
      <c r="BD984">
        <v>4.8</v>
      </c>
      <c r="BE984">
        <v>247.5</v>
      </c>
      <c r="BF984" t="s">
        <v>215</v>
      </c>
      <c r="BG984">
        <v>0.27140949355415228</v>
      </c>
      <c r="BH984">
        <v>0.174750957854406</v>
      </c>
      <c r="BI984">
        <v>0.63890218043092195</v>
      </c>
      <c r="BJ984">
        <v>80</v>
      </c>
      <c r="BK984">
        <v>3309.9532311820039</v>
      </c>
      <c r="BL984">
        <v>1596.783765751745</v>
      </c>
      <c r="BM984">
        <v>9.8060579501532565</v>
      </c>
      <c r="BN984">
        <v>1667.029851526054</v>
      </c>
      <c r="BO984">
        <v>1642.9233796559511</v>
      </c>
    </row>
    <row r="985" spans="1:67" x14ac:dyDescent="0.25">
      <c r="A985" s="1">
        <v>983</v>
      </c>
      <c r="B985" t="s">
        <v>78</v>
      </c>
      <c r="C985" t="s">
        <v>87</v>
      </c>
      <c r="D985">
        <v>1</v>
      </c>
      <c r="E985">
        <v>4</v>
      </c>
      <c r="F985">
        <v>1</v>
      </c>
      <c r="G985">
        <v>32.041060000000002</v>
      </c>
      <c r="H985">
        <v>6</v>
      </c>
      <c r="I985" t="s">
        <v>89</v>
      </c>
      <c r="J985">
        <v>2.5</v>
      </c>
      <c r="K985">
        <v>200</v>
      </c>
      <c r="L985">
        <v>50</v>
      </c>
      <c r="N985" t="s">
        <v>90</v>
      </c>
      <c r="O985">
        <v>50</v>
      </c>
      <c r="P985">
        <v>0.3125</v>
      </c>
      <c r="Q985">
        <v>3.2500000000000001E-2</v>
      </c>
      <c r="R985">
        <v>77.5</v>
      </c>
      <c r="S985">
        <v>170</v>
      </c>
      <c r="T985">
        <v>50</v>
      </c>
      <c r="U985">
        <v>1812.1301775147931</v>
      </c>
      <c r="V985">
        <v>20</v>
      </c>
      <c r="W985">
        <v>0.95</v>
      </c>
      <c r="X985">
        <v>1</v>
      </c>
      <c r="Y985">
        <v>235081.12923494121</v>
      </c>
      <c r="Z985">
        <v>470162258.46988249</v>
      </c>
      <c r="AA985">
        <v>1175405646.174706</v>
      </c>
      <c r="AB985">
        <v>1175405.6461747061</v>
      </c>
      <c r="AC985">
        <v>0</v>
      </c>
      <c r="AD985">
        <v>4872.8883897531996</v>
      </c>
      <c r="AE985">
        <v>2923733.0338519211</v>
      </c>
      <c r="AF985">
        <v>1461866.5169259601</v>
      </c>
      <c r="AG985">
        <v>46.839752780815722</v>
      </c>
      <c r="AH985">
        <v>482.52559057433632</v>
      </c>
      <c r="AI985">
        <v>241.2627952871681</v>
      </c>
      <c r="AJ985">
        <v>38200.683500677958</v>
      </c>
      <c r="AK985">
        <v>854.70085470085473</v>
      </c>
      <c r="AL985" t="s">
        <v>93</v>
      </c>
      <c r="AM985">
        <v>37395.73326951106</v>
      </c>
      <c r="AN985">
        <v>2623.4531883090849</v>
      </c>
      <c r="AO985">
        <v>41014.675198818579</v>
      </c>
      <c r="AP985">
        <v>79074.570813198952</v>
      </c>
      <c r="AQ985">
        <v>38059.895614380373</v>
      </c>
      <c r="AR985">
        <v>2.6131444327083329E-2</v>
      </c>
      <c r="AS985">
        <v>815.56116829728273</v>
      </c>
      <c r="AT985">
        <v>798.37597445278004</v>
      </c>
      <c r="AU985">
        <v>56.009116883801752</v>
      </c>
      <c r="AV985">
        <v>875.63816552885544</v>
      </c>
      <c r="AW985">
        <v>1688.193598784017</v>
      </c>
      <c r="AX985">
        <v>812.55543325516157</v>
      </c>
      <c r="AY985">
        <v>5.1508127384050324</v>
      </c>
      <c r="AZ985" t="s">
        <v>109</v>
      </c>
      <c r="BA985" t="str">
        <f>VLOOKUP($AZ985,Sheet1!$A$2:$B$58,2)</f>
        <v>Acetone</v>
      </c>
      <c r="BB985" t="s">
        <v>162</v>
      </c>
      <c r="BC985">
        <v>58.078139999999998</v>
      </c>
      <c r="BD985">
        <v>5.333333333333333</v>
      </c>
      <c r="BE985">
        <v>56</v>
      </c>
      <c r="BF985" t="s">
        <v>215</v>
      </c>
      <c r="BG985">
        <v>0.30015321224900898</v>
      </c>
      <c r="BH985">
        <v>0.294455445544554</v>
      </c>
      <c r="BI985">
        <v>0.53373467014196796</v>
      </c>
      <c r="BJ985">
        <v>80</v>
      </c>
      <c r="BK985">
        <v>3953.7285406599472</v>
      </c>
      <c r="BL985">
        <v>1902.994780719019</v>
      </c>
      <c r="BM985">
        <v>11.7629865521094</v>
      </c>
      <c r="BN985">
        <v>1999.7077138585969</v>
      </c>
      <c r="BO985">
        <v>1954.02082680135</v>
      </c>
    </row>
    <row r="986" spans="1:67" x14ac:dyDescent="0.25">
      <c r="A986" s="1">
        <v>984</v>
      </c>
      <c r="B986" t="s">
        <v>78</v>
      </c>
      <c r="C986" t="s">
        <v>87</v>
      </c>
      <c r="D986">
        <v>1</v>
      </c>
      <c r="E986">
        <v>4</v>
      </c>
      <c r="F986">
        <v>1</v>
      </c>
      <c r="G986">
        <v>32.041060000000002</v>
      </c>
      <c r="H986">
        <v>6</v>
      </c>
      <c r="I986" t="s">
        <v>89</v>
      </c>
      <c r="J986">
        <v>2.5</v>
      </c>
      <c r="K986">
        <v>200</v>
      </c>
      <c r="L986">
        <v>50</v>
      </c>
      <c r="N986" t="s">
        <v>90</v>
      </c>
      <c r="O986">
        <v>50</v>
      </c>
      <c r="P986">
        <v>0.3125</v>
      </c>
      <c r="Q986">
        <v>3.2500000000000001E-2</v>
      </c>
      <c r="R986">
        <v>77.5</v>
      </c>
      <c r="S986">
        <v>170</v>
      </c>
      <c r="T986">
        <v>50</v>
      </c>
      <c r="U986">
        <v>1812.1301775147931</v>
      </c>
      <c r="V986">
        <v>20</v>
      </c>
      <c r="W986">
        <v>0.95</v>
      </c>
      <c r="X986">
        <v>1</v>
      </c>
      <c r="Y986">
        <v>157388.7580017166</v>
      </c>
      <c r="Z986">
        <v>314777516.00343329</v>
      </c>
      <c r="AA986">
        <v>786943790.00858319</v>
      </c>
      <c r="AB986">
        <v>786943.79000858322</v>
      </c>
      <c r="AC986">
        <v>0</v>
      </c>
      <c r="AD986">
        <v>3262.4390313259032</v>
      </c>
      <c r="AE986">
        <v>1957463.4187955421</v>
      </c>
      <c r="AF986">
        <v>978731.70939777093</v>
      </c>
      <c r="AG986">
        <v>31.359601424716541</v>
      </c>
      <c r="AH986">
        <v>323.05486897946929</v>
      </c>
      <c r="AI986">
        <v>161.52743448973459</v>
      </c>
      <c r="AJ986">
        <v>25575.67317527896</v>
      </c>
      <c r="AK986">
        <v>854.70085470085473</v>
      </c>
      <c r="AL986" t="s">
        <v>93</v>
      </c>
      <c r="AM986">
        <v>25036.75234590887</v>
      </c>
      <c r="AN986">
        <v>1756.4235816263849</v>
      </c>
      <c r="AO986">
        <v>27459.663863254889</v>
      </c>
      <c r="AP986">
        <v>53223.549957515061</v>
      </c>
      <c r="AQ986">
        <v>25763.886094260171</v>
      </c>
      <c r="AR986">
        <v>2.613144432708334E-2</v>
      </c>
      <c r="AS986">
        <v>815.56116829728285</v>
      </c>
      <c r="AT986">
        <v>798.37597445278038</v>
      </c>
      <c r="AU986">
        <v>56.009116883801767</v>
      </c>
      <c r="AV986">
        <v>875.63816552885589</v>
      </c>
      <c r="AW986">
        <v>1697.201097574095</v>
      </c>
      <c r="AX986">
        <v>821.56293204523865</v>
      </c>
      <c r="AY986">
        <v>5.1508127384050342</v>
      </c>
      <c r="AZ986" t="s">
        <v>110</v>
      </c>
      <c r="BA986" t="str">
        <f>VLOOKUP($AZ986,Sheet1!$A$2:$B$58,2)</f>
        <v>Acrylate (PW1)</v>
      </c>
      <c r="BB986" t="s">
        <v>163</v>
      </c>
      <c r="BC986">
        <v>71.053619999999995</v>
      </c>
      <c r="BD986">
        <v>3.666666666666667</v>
      </c>
      <c r="BE986">
        <v>80</v>
      </c>
      <c r="BF986" t="s">
        <v>215</v>
      </c>
      <c r="BG986">
        <v>-0.1352148495090868</v>
      </c>
      <c r="BH986">
        <v>0.359492753623189</v>
      </c>
      <c r="BI986">
        <v>0.79720400975172701</v>
      </c>
      <c r="BJ986">
        <v>80</v>
      </c>
      <c r="BK986">
        <v>2661.177497875753</v>
      </c>
      <c r="BL986">
        <v>1288.194304713008</v>
      </c>
      <c r="BM986">
        <v>8.2115865739958185</v>
      </c>
      <c r="BN986">
        <v>1395.969717579289</v>
      </c>
      <c r="BO986">
        <v>1265.2077802964629</v>
      </c>
    </row>
    <row r="987" spans="1:67" x14ac:dyDescent="0.25">
      <c r="A987" s="1">
        <v>985</v>
      </c>
      <c r="B987" t="s">
        <v>78</v>
      </c>
      <c r="C987" t="s">
        <v>87</v>
      </c>
      <c r="D987">
        <v>1</v>
      </c>
      <c r="E987">
        <v>4</v>
      </c>
      <c r="F987">
        <v>1</v>
      </c>
      <c r="G987">
        <v>32.041060000000002</v>
      </c>
      <c r="H987">
        <v>6</v>
      </c>
      <c r="I987" t="s">
        <v>89</v>
      </c>
      <c r="J987">
        <v>2.5</v>
      </c>
      <c r="K987">
        <v>200</v>
      </c>
      <c r="L987">
        <v>50</v>
      </c>
      <c r="N987" t="s">
        <v>90</v>
      </c>
      <c r="O987">
        <v>50</v>
      </c>
      <c r="P987">
        <v>0.3125</v>
      </c>
      <c r="Q987">
        <v>3.2500000000000001E-2</v>
      </c>
      <c r="R987">
        <v>77.5</v>
      </c>
      <c r="S987">
        <v>170</v>
      </c>
      <c r="T987">
        <v>50</v>
      </c>
      <c r="U987">
        <v>1812.1301775147931</v>
      </c>
      <c r="V987">
        <v>20</v>
      </c>
      <c r="W987">
        <v>0.95</v>
      </c>
      <c r="X987">
        <v>1</v>
      </c>
      <c r="Y987">
        <v>137697.72195514489</v>
      </c>
      <c r="Z987">
        <v>275395443.9102897</v>
      </c>
      <c r="AA987">
        <v>688488609.77572429</v>
      </c>
      <c r="AB987">
        <v>688488.60977572424</v>
      </c>
      <c r="AC987">
        <v>0</v>
      </c>
      <c r="AD987">
        <v>2854.2726198158739</v>
      </c>
      <c r="AE987">
        <v>1712563.5718895241</v>
      </c>
      <c r="AF987">
        <v>856281.78594476217</v>
      </c>
      <c r="AG987">
        <v>27.436176080363278</v>
      </c>
      <c r="AH987">
        <v>282.63721049571728</v>
      </c>
      <c r="AI987">
        <v>141.3186052478587</v>
      </c>
      <c r="AJ987">
        <v>22375.87981771104</v>
      </c>
      <c r="AK987">
        <v>854.70085470085473</v>
      </c>
      <c r="AL987" t="s">
        <v>93</v>
      </c>
      <c r="AM987">
        <v>21904.383813418099</v>
      </c>
      <c r="AN987">
        <v>1536.6759929296329</v>
      </c>
      <c r="AO987">
        <v>24024.16289213597</v>
      </c>
      <c r="AP987">
        <v>46671.640478759618</v>
      </c>
      <c r="AQ987">
        <v>22647.477586623649</v>
      </c>
      <c r="AR987">
        <v>2.6131444327083329E-2</v>
      </c>
      <c r="AS987">
        <v>815.56116829728273</v>
      </c>
      <c r="AT987">
        <v>798.37597445278016</v>
      </c>
      <c r="AU987">
        <v>56.009116883801767</v>
      </c>
      <c r="AV987">
        <v>875.63816552885555</v>
      </c>
      <c r="AW987">
        <v>1701.098591219627</v>
      </c>
      <c r="AX987">
        <v>825.4604256907719</v>
      </c>
      <c r="AY987">
        <v>5.1508127384050333</v>
      </c>
      <c r="AZ987" t="s">
        <v>111</v>
      </c>
      <c r="BA987" t="str">
        <f>VLOOKUP($AZ987,Sheet1!$A$2:$B$58,2)</f>
        <v>Acrylate (PW2)</v>
      </c>
      <c r="BB987" t="s">
        <v>163</v>
      </c>
      <c r="BC987">
        <v>71.053619999999995</v>
      </c>
      <c r="BD987">
        <v>3.666666666666667</v>
      </c>
      <c r="BE987">
        <v>80</v>
      </c>
      <c r="BF987" t="s">
        <v>215</v>
      </c>
      <c r="BG987">
        <v>-0.35077569475576642</v>
      </c>
      <c r="BH987">
        <v>0.41090090090090098</v>
      </c>
      <c r="BI987">
        <v>0.91120569888356595</v>
      </c>
      <c r="BJ987">
        <v>80</v>
      </c>
      <c r="BK987">
        <v>2333.5820239379809</v>
      </c>
      <c r="BL987">
        <v>1132.373879331182</v>
      </c>
      <c r="BM987">
        <v>7.4167059571487002</v>
      </c>
      <c r="BN987">
        <v>1260.840012715279</v>
      </c>
      <c r="BO987">
        <v>1072.7420112227021</v>
      </c>
    </row>
    <row r="988" spans="1:67" x14ac:dyDescent="0.25">
      <c r="A988" s="1">
        <v>986</v>
      </c>
      <c r="B988" t="s">
        <v>78</v>
      </c>
      <c r="C988" t="s">
        <v>87</v>
      </c>
      <c r="D988">
        <v>1</v>
      </c>
      <c r="E988">
        <v>4</v>
      </c>
      <c r="F988">
        <v>1</v>
      </c>
      <c r="G988">
        <v>32.041060000000002</v>
      </c>
      <c r="H988">
        <v>6</v>
      </c>
      <c r="I988" t="s">
        <v>89</v>
      </c>
      <c r="J988">
        <v>2.5</v>
      </c>
      <c r="K988">
        <v>200</v>
      </c>
      <c r="L988">
        <v>50</v>
      </c>
      <c r="N988" t="s">
        <v>90</v>
      </c>
      <c r="O988">
        <v>50</v>
      </c>
      <c r="P988">
        <v>0.3125</v>
      </c>
      <c r="Q988">
        <v>3.2500000000000001E-2</v>
      </c>
      <c r="R988">
        <v>77.5</v>
      </c>
      <c r="S988">
        <v>170</v>
      </c>
      <c r="T988">
        <v>50</v>
      </c>
      <c r="U988">
        <v>1812.1301775147931</v>
      </c>
      <c r="V988">
        <v>20</v>
      </c>
      <c r="W988">
        <v>0.95</v>
      </c>
      <c r="X988">
        <v>1</v>
      </c>
      <c r="Y988">
        <v>171493.48173025181</v>
      </c>
      <c r="Z988">
        <v>342986963.46050352</v>
      </c>
      <c r="AA988">
        <v>857467408.65125883</v>
      </c>
      <c r="AB988">
        <v>857467.4086512588</v>
      </c>
      <c r="AC988">
        <v>0</v>
      </c>
      <c r="AD988">
        <v>3554.809349271608</v>
      </c>
      <c r="AE988">
        <v>2132885.6095629651</v>
      </c>
      <c r="AF988">
        <v>1066442.804781483</v>
      </c>
      <c r="AG988">
        <v>34.169957894571773</v>
      </c>
      <c r="AH988">
        <v>352.0061087882479</v>
      </c>
      <c r="AI988">
        <v>176.00305439412401</v>
      </c>
      <c r="AJ988">
        <v>27867.690781165911</v>
      </c>
      <c r="AK988">
        <v>854.70085470085473</v>
      </c>
      <c r="AL988" t="s">
        <v>93</v>
      </c>
      <c r="AM988">
        <v>27280.473431089209</v>
      </c>
      <c r="AN988">
        <v>1913.829165631656</v>
      </c>
      <c r="AO988">
        <v>29920.51924700107</v>
      </c>
      <c r="AP988">
        <v>57916.694232587637</v>
      </c>
      <c r="AQ988">
        <v>27996.174985586571</v>
      </c>
      <c r="AR988">
        <v>2.6131444327083329E-2</v>
      </c>
      <c r="AS988">
        <v>815.56116829728273</v>
      </c>
      <c r="AT988">
        <v>798.37597445278038</v>
      </c>
      <c r="AU988">
        <v>56.009116883801767</v>
      </c>
      <c r="AV988">
        <v>875.63816552885578</v>
      </c>
      <c r="AW988">
        <v>1694.959484916084</v>
      </c>
      <c r="AX988">
        <v>819.32131938722796</v>
      </c>
      <c r="AY988">
        <v>5.1508127384050342</v>
      </c>
      <c r="AZ988" t="s">
        <v>112</v>
      </c>
      <c r="BA988" t="str">
        <f>VLOOKUP($AZ988,Sheet1!$A$2:$B$58,2)</f>
        <v>Adipate</v>
      </c>
      <c r="BB988" t="s">
        <v>164</v>
      </c>
      <c r="BC988">
        <v>144.12291999999999</v>
      </c>
      <c r="BD988">
        <v>4</v>
      </c>
      <c r="BE988">
        <v>337.5</v>
      </c>
      <c r="BF988" t="s">
        <v>215</v>
      </c>
      <c r="BG988">
        <v>4.5179887886438952E-2</v>
      </c>
      <c r="BH988">
        <v>0.16265573770491801</v>
      </c>
      <c r="BI988">
        <v>0.73163683950489999</v>
      </c>
      <c r="BJ988">
        <v>80</v>
      </c>
      <c r="BK988">
        <v>2895.8347116293821</v>
      </c>
      <c r="BL988">
        <v>1399.808749279329</v>
      </c>
      <c r="BM988">
        <v>8.7549728318197584</v>
      </c>
      <c r="BN988">
        <v>1488.3453814093591</v>
      </c>
      <c r="BO988">
        <v>1407.489330220023</v>
      </c>
    </row>
    <row r="989" spans="1:67" x14ac:dyDescent="0.25">
      <c r="A989" s="1">
        <v>987</v>
      </c>
      <c r="B989" t="s">
        <v>78</v>
      </c>
      <c r="C989" t="s">
        <v>87</v>
      </c>
      <c r="D989">
        <v>1</v>
      </c>
      <c r="E989">
        <v>4</v>
      </c>
      <c r="F989">
        <v>1</v>
      </c>
      <c r="G989">
        <v>32.041060000000002</v>
      </c>
      <c r="H989">
        <v>6</v>
      </c>
      <c r="I989" t="s">
        <v>89</v>
      </c>
      <c r="J989">
        <v>2.5</v>
      </c>
      <c r="K989">
        <v>200</v>
      </c>
      <c r="L989">
        <v>50</v>
      </c>
      <c r="N989" t="s">
        <v>90</v>
      </c>
      <c r="O989">
        <v>50</v>
      </c>
      <c r="P989">
        <v>0.3125</v>
      </c>
      <c r="Q989">
        <v>3.2500000000000001E-2</v>
      </c>
      <c r="R989">
        <v>77.5</v>
      </c>
      <c r="S989">
        <v>170</v>
      </c>
      <c r="T989">
        <v>50</v>
      </c>
      <c r="U989">
        <v>1812.1301775147931</v>
      </c>
      <c r="V989">
        <v>20</v>
      </c>
      <c r="W989">
        <v>0.95</v>
      </c>
      <c r="X989">
        <v>1</v>
      </c>
      <c r="Y989">
        <v>225153.32499174881</v>
      </c>
      <c r="Z989">
        <v>450306649.98349762</v>
      </c>
      <c r="AA989">
        <v>1125766624.958744</v>
      </c>
      <c r="AB989">
        <v>1125766.624958744</v>
      </c>
      <c r="AC989">
        <v>0</v>
      </c>
      <c r="AD989">
        <v>4667.0995108677043</v>
      </c>
      <c r="AE989">
        <v>2800259.7065206231</v>
      </c>
      <c r="AF989">
        <v>1400129.8532603111</v>
      </c>
      <c r="AG989">
        <v>44.861644636104828</v>
      </c>
      <c r="AH989">
        <v>462.14786131489723</v>
      </c>
      <c r="AI989">
        <v>231.07393065744861</v>
      </c>
      <c r="AJ989">
        <v>36587.41531115918</v>
      </c>
      <c r="AK989">
        <v>854.70085470085473</v>
      </c>
      <c r="AL989" t="s">
        <v>93</v>
      </c>
      <c r="AM989">
        <v>35816.459251904533</v>
      </c>
      <c r="AN989">
        <v>2512.661098023174</v>
      </c>
      <c r="AO989">
        <v>39282.568211766273</v>
      </c>
      <c r="AP989">
        <v>75771.23651578775</v>
      </c>
      <c r="AQ989">
        <v>36488.668304021478</v>
      </c>
      <c r="AR989">
        <v>2.6131444327083329E-2</v>
      </c>
      <c r="AS989">
        <v>815.56116829728273</v>
      </c>
      <c r="AT989">
        <v>798.37597445278016</v>
      </c>
      <c r="AU989">
        <v>56.009116883801759</v>
      </c>
      <c r="AV989">
        <v>875.63816552885567</v>
      </c>
      <c r="AW989">
        <v>1688.9981883278249</v>
      </c>
      <c r="AX989">
        <v>813.36002279896945</v>
      </c>
      <c r="AY989">
        <v>5.1508127384050342</v>
      </c>
      <c r="AZ989" t="s">
        <v>113</v>
      </c>
      <c r="BA989" t="str">
        <f>VLOOKUP($AZ989,Sheet1!$A$2:$B$58,2)</f>
        <v>Benzoate (PW1)</v>
      </c>
      <c r="BB989" t="s">
        <v>165</v>
      </c>
      <c r="BC989">
        <v>121.1121</v>
      </c>
      <c r="BD989">
        <v>4.1428571428571432</v>
      </c>
      <c r="BE989">
        <v>249.2</v>
      </c>
      <c r="BF989" t="s">
        <v>215</v>
      </c>
      <c r="BG989">
        <v>-7.8887884558477214E-2</v>
      </c>
      <c r="BH989">
        <v>0.147429420505201</v>
      </c>
      <c r="BI989">
        <v>0.55726891429833803</v>
      </c>
      <c r="BJ989">
        <v>80</v>
      </c>
      <c r="BK989">
        <v>3788.561825789388</v>
      </c>
      <c r="BL989">
        <v>1824.433415201074</v>
      </c>
      <c r="BM989">
        <v>11.632584417430911</v>
      </c>
      <c r="BN989">
        <v>1977.5393509632549</v>
      </c>
      <c r="BO989">
        <v>1811.022474826133</v>
      </c>
    </row>
    <row r="990" spans="1:67" x14ac:dyDescent="0.25">
      <c r="A990" s="1">
        <v>988</v>
      </c>
      <c r="B990" t="s">
        <v>78</v>
      </c>
      <c r="C990" t="s">
        <v>87</v>
      </c>
      <c r="D990">
        <v>1</v>
      </c>
      <c r="E990">
        <v>4</v>
      </c>
      <c r="F990">
        <v>1</v>
      </c>
      <c r="G990">
        <v>32.041060000000002</v>
      </c>
      <c r="H990">
        <v>6</v>
      </c>
      <c r="I990" t="s">
        <v>89</v>
      </c>
      <c r="J990">
        <v>2.5</v>
      </c>
      <c r="K990">
        <v>200</v>
      </c>
      <c r="L990">
        <v>50</v>
      </c>
      <c r="N990" t="s">
        <v>90</v>
      </c>
      <c r="O990">
        <v>50</v>
      </c>
      <c r="P990">
        <v>0.3125</v>
      </c>
      <c r="Q990">
        <v>3.2500000000000001E-2</v>
      </c>
      <c r="R990">
        <v>77.5</v>
      </c>
      <c r="S990">
        <v>170</v>
      </c>
      <c r="T990">
        <v>50</v>
      </c>
      <c r="U990">
        <v>1812.1301775147931</v>
      </c>
      <c r="V990">
        <v>20</v>
      </c>
      <c r="W990">
        <v>0.95</v>
      </c>
      <c r="X990">
        <v>1</v>
      </c>
      <c r="Y990">
        <v>225153.32499174881</v>
      </c>
      <c r="Z990">
        <v>450306649.98349762</v>
      </c>
      <c r="AA990">
        <v>1125766624.958744</v>
      </c>
      <c r="AB990">
        <v>1125766.624958744</v>
      </c>
      <c r="AC990">
        <v>0</v>
      </c>
      <c r="AD990">
        <v>4667.0995108677043</v>
      </c>
      <c r="AE990">
        <v>2800259.7065206231</v>
      </c>
      <c r="AF990">
        <v>1400129.8532603111</v>
      </c>
      <c r="AG990">
        <v>44.861644636104828</v>
      </c>
      <c r="AH990">
        <v>462.14786131489723</v>
      </c>
      <c r="AI990">
        <v>231.07393065744861</v>
      </c>
      <c r="AJ990">
        <v>36587.41531115918</v>
      </c>
      <c r="AK990">
        <v>854.70085470085473</v>
      </c>
      <c r="AL990" t="s">
        <v>93</v>
      </c>
      <c r="AM990">
        <v>35816.459251904533</v>
      </c>
      <c r="AN990">
        <v>2512.661098023174</v>
      </c>
      <c r="AO990">
        <v>39282.568211766273</v>
      </c>
      <c r="AP990">
        <v>75771.23651578775</v>
      </c>
      <c r="AQ990">
        <v>36488.668304021478</v>
      </c>
      <c r="AR990">
        <v>2.6131444327083329E-2</v>
      </c>
      <c r="AS990">
        <v>815.56116829728273</v>
      </c>
      <c r="AT990">
        <v>798.37597445278016</v>
      </c>
      <c r="AU990">
        <v>56.009116883801759</v>
      </c>
      <c r="AV990">
        <v>875.63816552885567</v>
      </c>
      <c r="AW990">
        <v>1688.9981883278249</v>
      </c>
      <c r="AX990">
        <v>813.36002279896945</v>
      </c>
      <c r="AY990">
        <v>5.1508127384050342</v>
      </c>
      <c r="AZ990" t="s">
        <v>114</v>
      </c>
      <c r="BA990" t="str">
        <f>VLOOKUP($AZ990,Sheet1!$A$2:$B$58,2)</f>
        <v>Benzoate (PW2)</v>
      </c>
      <c r="BB990" t="s">
        <v>165</v>
      </c>
      <c r="BC990">
        <v>121.1121</v>
      </c>
      <c r="BD990">
        <v>4.1428571428571432</v>
      </c>
      <c r="BE990">
        <v>249.2</v>
      </c>
      <c r="BF990" t="s">
        <v>215</v>
      </c>
      <c r="BG990">
        <v>-7.8887884558477214E-2</v>
      </c>
      <c r="BH990">
        <v>0.147429420505201</v>
      </c>
      <c r="BI990">
        <v>0.55726891429833803</v>
      </c>
      <c r="BJ990">
        <v>80</v>
      </c>
      <c r="BK990">
        <v>3788.561825789388</v>
      </c>
      <c r="BL990">
        <v>1824.433415201074</v>
      </c>
      <c r="BM990">
        <v>11.632584417430911</v>
      </c>
      <c r="BN990">
        <v>1977.5393509632549</v>
      </c>
      <c r="BO990">
        <v>1811.022474826133</v>
      </c>
    </row>
    <row r="991" spans="1:67" x14ac:dyDescent="0.25">
      <c r="A991" s="1">
        <v>989</v>
      </c>
      <c r="B991" t="s">
        <v>78</v>
      </c>
      <c r="C991" t="s">
        <v>87</v>
      </c>
      <c r="D991">
        <v>1</v>
      </c>
      <c r="E991">
        <v>4</v>
      </c>
      <c r="F991">
        <v>1</v>
      </c>
      <c r="G991">
        <v>32.041060000000002</v>
      </c>
      <c r="H991">
        <v>6</v>
      </c>
      <c r="I991" t="s">
        <v>89</v>
      </c>
      <c r="J991">
        <v>2.5</v>
      </c>
      <c r="K991">
        <v>200</v>
      </c>
      <c r="L991">
        <v>50</v>
      </c>
      <c r="N991" t="s">
        <v>90</v>
      </c>
      <c r="O991">
        <v>50</v>
      </c>
      <c r="P991">
        <v>0.3125</v>
      </c>
      <c r="Q991">
        <v>3.2500000000000001E-2</v>
      </c>
      <c r="R991">
        <v>77.5</v>
      </c>
      <c r="S991">
        <v>170</v>
      </c>
      <c r="T991">
        <v>50</v>
      </c>
      <c r="U991">
        <v>1812.1301775147931</v>
      </c>
      <c r="V991">
        <v>20</v>
      </c>
      <c r="W991">
        <v>0.95</v>
      </c>
      <c r="X991">
        <v>1</v>
      </c>
      <c r="Y991">
        <v>309498.17444791802</v>
      </c>
      <c r="Z991">
        <v>618996348.895836</v>
      </c>
      <c r="AA991">
        <v>1547490872.2395899</v>
      </c>
      <c r="AB991">
        <v>1547490.8722395899</v>
      </c>
      <c r="AC991">
        <v>0</v>
      </c>
      <c r="AD991">
        <v>6415.4450245549824</v>
      </c>
      <c r="AE991">
        <v>3849267.014732989</v>
      </c>
      <c r="AF991">
        <v>1924633.507366495</v>
      </c>
      <c r="AG991">
        <v>61.667297687540298</v>
      </c>
      <c r="AH991">
        <v>635.27340494399573</v>
      </c>
      <c r="AI991">
        <v>317.63670247199792</v>
      </c>
      <c r="AJ991">
        <v>50293.453347786672</v>
      </c>
      <c r="AK991">
        <v>854.70085470085473</v>
      </c>
      <c r="AL991" t="s">
        <v>93</v>
      </c>
      <c r="AM991">
        <v>49233.688883159673</v>
      </c>
      <c r="AN991">
        <v>3453.9308840896419</v>
      </c>
      <c r="AO991">
        <v>53998.239420239639</v>
      </c>
      <c r="AP991">
        <v>103835.77396973679</v>
      </c>
      <c r="AQ991">
        <v>49837.534549497199</v>
      </c>
      <c r="AR991">
        <v>2.6131444327083329E-2</v>
      </c>
      <c r="AS991">
        <v>815.56116829728251</v>
      </c>
      <c r="AT991">
        <v>798.37597445278016</v>
      </c>
      <c r="AU991">
        <v>56.009116883801752</v>
      </c>
      <c r="AV991">
        <v>875.63816552885578</v>
      </c>
      <c r="AW991">
        <v>1683.806131668983</v>
      </c>
      <c r="AX991">
        <v>808.16796614012696</v>
      </c>
      <c r="AY991">
        <v>5.1508127384050342</v>
      </c>
      <c r="AZ991" t="s">
        <v>115</v>
      </c>
      <c r="BA991" t="str">
        <f>VLOOKUP($AZ991,Sheet1!$A$2:$B$58,2)</f>
        <v>Benzyl Alcohol</v>
      </c>
      <c r="BB991" t="s">
        <v>166</v>
      </c>
      <c r="BC991">
        <v>108.13661999999999</v>
      </c>
      <c r="BD991">
        <v>4.8571428571428568</v>
      </c>
      <c r="BE991">
        <v>205</v>
      </c>
      <c r="BF991" t="s">
        <v>215</v>
      </c>
      <c r="BG991">
        <v>0.53922867999314139</v>
      </c>
      <c r="BH991">
        <v>0.120121065375303</v>
      </c>
      <c r="BI991">
        <v>0.40540125702721003</v>
      </c>
      <c r="BJ991">
        <v>80</v>
      </c>
      <c r="BK991">
        <v>5191.788698486841</v>
      </c>
      <c r="BL991">
        <v>2491.8767274748602</v>
      </c>
      <c r="BM991">
        <v>15.34260644360675</v>
      </c>
      <c r="BN991">
        <v>2608.2430954131478</v>
      </c>
      <c r="BO991">
        <v>2583.5456030736932</v>
      </c>
    </row>
    <row r="992" spans="1:67" x14ac:dyDescent="0.25">
      <c r="A992" s="1">
        <v>990</v>
      </c>
      <c r="B992" t="s">
        <v>78</v>
      </c>
      <c r="C992" t="s">
        <v>87</v>
      </c>
      <c r="D992">
        <v>1</v>
      </c>
      <c r="E992">
        <v>4</v>
      </c>
      <c r="F992">
        <v>1</v>
      </c>
      <c r="G992">
        <v>32.041060000000002</v>
      </c>
      <c r="H992">
        <v>6</v>
      </c>
      <c r="I992" t="s">
        <v>89</v>
      </c>
      <c r="J992">
        <v>2.5</v>
      </c>
      <c r="K992">
        <v>200</v>
      </c>
      <c r="L992">
        <v>50</v>
      </c>
      <c r="N992" t="s">
        <v>90</v>
      </c>
      <c r="O992">
        <v>50</v>
      </c>
      <c r="P992">
        <v>0.3125</v>
      </c>
      <c r="Q992">
        <v>3.2500000000000001E-2</v>
      </c>
      <c r="R992">
        <v>77.5</v>
      </c>
      <c r="S992">
        <v>170</v>
      </c>
      <c r="T992">
        <v>50</v>
      </c>
      <c r="U992">
        <v>1812.1301775147931</v>
      </c>
      <c r="V992">
        <v>20</v>
      </c>
      <c r="W992">
        <v>0.95</v>
      </c>
      <c r="X992">
        <v>1</v>
      </c>
      <c r="Y992">
        <v>337468.1281020529</v>
      </c>
      <c r="Z992">
        <v>674936256.20410573</v>
      </c>
      <c r="AA992">
        <v>1687340640.5102639</v>
      </c>
      <c r="AB992">
        <v>1687340.6405102641</v>
      </c>
      <c r="AC992">
        <v>0</v>
      </c>
      <c r="AD992">
        <v>6995.2213037771025</v>
      </c>
      <c r="AE992">
        <v>4197132.782266262</v>
      </c>
      <c r="AF992">
        <v>2098566.391133131</v>
      </c>
      <c r="AG992">
        <v>67.240291652280121</v>
      </c>
      <c r="AH992">
        <v>692.68430155326803</v>
      </c>
      <c r="AI992">
        <v>346.34215077663401</v>
      </c>
      <c r="AJ992">
        <v>54838.570816583589</v>
      </c>
      <c r="AK992">
        <v>854.70085470085473</v>
      </c>
      <c r="AL992" t="s">
        <v>93</v>
      </c>
      <c r="AM992">
        <v>53683.033370378267</v>
      </c>
      <c r="AN992">
        <v>3766.069354453477</v>
      </c>
      <c r="AO992">
        <v>58878.165632027783</v>
      </c>
      <c r="AP992">
        <v>113142.3743961162</v>
      </c>
      <c r="AQ992">
        <v>54264.208764088413</v>
      </c>
      <c r="AR992">
        <v>2.6131444327083329E-2</v>
      </c>
      <c r="AS992">
        <v>815.56116829728262</v>
      </c>
      <c r="AT992">
        <v>798.37597445278004</v>
      </c>
      <c r="AU992">
        <v>56.009116883801752</v>
      </c>
      <c r="AV992">
        <v>875.63816552885555</v>
      </c>
      <c r="AW992">
        <v>1682.6574010298709</v>
      </c>
      <c r="AX992">
        <v>807.01923550101537</v>
      </c>
      <c r="AY992">
        <v>5.1508127384050324</v>
      </c>
      <c r="AZ992" t="s">
        <v>116</v>
      </c>
      <c r="BA992" t="str">
        <f>VLOOKUP($AZ992,Sheet1!$A$2:$B$58,2)</f>
        <v>Beta Carotene</v>
      </c>
      <c r="BB992" t="s">
        <v>167</v>
      </c>
      <c r="BC992">
        <v>536.86703999999997</v>
      </c>
      <c r="BD992">
        <v>5.4</v>
      </c>
      <c r="BE992">
        <v>633</v>
      </c>
      <c r="BF992" t="s">
        <v>215</v>
      </c>
      <c r="BG992">
        <v>0.41529210539101591</v>
      </c>
      <c r="BH992">
        <v>2.2189655172413801E-2</v>
      </c>
      <c r="BI992">
        <v>0.37180088583319298</v>
      </c>
      <c r="BJ992">
        <v>80</v>
      </c>
      <c r="BK992">
        <v>5657.1187198058096</v>
      </c>
      <c r="BL992">
        <v>2713.2104382044199</v>
      </c>
      <c r="BM992">
        <v>16.901815433440689</v>
      </c>
      <c r="BN992">
        <v>2873.3086236849172</v>
      </c>
      <c r="BO992">
        <v>2783.810096120892</v>
      </c>
    </row>
    <row r="993" spans="1:67" x14ac:dyDescent="0.25">
      <c r="A993" s="1">
        <v>991</v>
      </c>
      <c r="B993" t="s">
        <v>78</v>
      </c>
      <c r="C993" t="s">
        <v>87</v>
      </c>
      <c r="D993">
        <v>1</v>
      </c>
      <c r="E993">
        <v>4</v>
      </c>
      <c r="F993">
        <v>1</v>
      </c>
      <c r="G993">
        <v>32.041060000000002</v>
      </c>
      <c r="H993">
        <v>6</v>
      </c>
      <c r="I993" t="s">
        <v>89</v>
      </c>
      <c r="J993">
        <v>2.5</v>
      </c>
      <c r="K993">
        <v>200</v>
      </c>
      <c r="L993">
        <v>50</v>
      </c>
      <c r="N993" t="s">
        <v>90</v>
      </c>
      <c r="O993">
        <v>50</v>
      </c>
      <c r="P993">
        <v>0.3125</v>
      </c>
      <c r="Q993">
        <v>3.2500000000000001E-2</v>
      </c>
      <c r="R993">
        <v>77.5</v>
      </c>
      <c r="S993">
        <v>170</v>
      </c>
      <c r="T993">
        <v>50</v>
      </c>
      <c r="U993">
        <v>1812.1301775147931</v>
      </c>
      <c r="V993">
        <v>20</v>
      </c>
      <c r="W993">
        <v>0.95</v>
      </c>
      <c r="X993">
        <v>1</v>
      </c>
      <c r="Y993">
        <v>359662.71446318249</v>
      </c>
      <c r="Z993">
        <v>719325428.92636502</v>
      </c>
      <c r="AA993">
        <v>1798313572.315912</v>
      </c>
      <c r="AB993">
        <v>1798313.572315912</v>
      </c>
      <c r="AC993">
        <v>66773.504273504266</v>
      </c>
      <c r="AD993">
        <v>7455.2826559855821</v>
      </c>
      <c r="AE993">
        <v>4473169.5935913492</v>
      </c>
      <c r="AF993">
        <v>2236584.7967956751</v>
      </c>
      <c r="AG993">
        <v>71.662547669218014</v>
      </c>
      <c r="AH993">
        <v>738.24072680233223</v>
      </c>
      <c r="AI993">
        <v>369.12036340116612</v>
      </c>
      <c r="AJ993">
        <v>58445.191100267148</v>
      </c>
      <c r="AK993">
        <v>2170.1388888888891</v>
      </c>
      <c r="AL993" t="s">
        <v>95</v>
      </c>
      <c r="AM993">
        <v>57213.656327180754</v>
      </c>
      <c r="AN993">
        <v>4013.7560085962482</v>
      </c>
      <c r="AO993">
        <v>62750.461778198238</v>
      </c>
      <c r="AP993">
        <v>121842.742324933</v>
      </c>
      <c r="AQ993">
        <v>59092.280546734808</v>
      </c>
      <c r="AR993">
        <v>2.6131444327083329E-2</v>
      </c>
      <c r="AS993">
        <v>815.56116829728262</v>
      </c>
      <c r="AT993">
        <v>798.37597445278016</v>
      </c>
      <c r="AU993">
        <v>56.009116883801767</v>
      </c>
      <c r="AV993">
        <v>875.63816552885567</v>
      </c>
      <c r="AW993">
        <v>1700.229007868073</v>
      </c>
      <c r="AX993">
        <v>824.59084233921737</v>
      </c>
      <c r="AY993">
        <v>5.1508127384050342</v>
      </c>
      <c r="AZ993" t="s">
        <v>117</v>
      </c>
      <c r="BA993" t="str">
        <f>VLOOKUP($AZ993,Sheet1!$A$2:$B$58,2)</f>
        <v>Butane</v>
      </c>
      <c r="BB993" t="s">
        <v>168</v>
      </c>
      <c r="BC993">
        <v>58.121200000000002</v>
      </c>
      <c r="BD993">
        <v>6.5</v>
      </c>
      <c r="BE993">
        <v>-1</v>
      </c>
      <c r="BF993" t="s">
        <v>215</v>
      </c>
      <c r="BG993">
        <v>0.90844070029512836</v>
      </c>
      <c r="BH993">
        <v>0.19231805929919099</v>
      </c>
      <c r="BI993">
        <v>0.34885725965808101</v>
      </c>
      <c r="BJ993">
        <v>80</v>
      </c>
      <c r="BK993">
        <v>6092.1371162466521</v>
      </c>
      <c r="BL993">
        <v>2954.61402733674</v>
      </c>
      <c r="BM993">
        <v>17.54757746976318</v>
      </c>
      <c r="BN993">
        <v>2983.0881698597409</v>
      </c>
      <c r="BO993">
        <v>3109.0489463869112</v>
      </c>
    </row>
    <row r="994" spans="1:67" x14ac:dyDescent="0.25">
      <c r="A994" s="1">
        <v>992</v>
      </c>
      <c r="B994" t="s">
        <v>78</v>
      </c>
      <c r="C994" t="s">
        <v>87</v>
      </c>
      <c r="D994">
        <v>1</v>
      </c>
      <c r="E994">
        <v>4</v>
      </c>
      <c r="F994">
        <v>1</v>
      </c>
      <c r="G994">
        <v>32.041060000000002</v>
      </c>
      <c r="H994">
        <v>6</v>
      </c>
      <c r="I994" t="s">
        <v>89</v>
      </c>
      <c r="J994">
        <v>2.5</v>
      </c>
      <c r="K994">
        <v>200</v>
      </c>
      <c r="L994">
        <v>50</v>
      </c>
      <c r="N994" t="s">
        <v>90</v>
      </c>
      <c r="O994">
        <v>50</v>
      </c>
      <c r="P994">
        <v>0.3125</v>
      </c>
      <c r="Q994">
        <v>3.2500000000000001E-2</v>
      </c>
      <c r="R994">
        <v>77.5</v>
      </c>
      <c r="S994">
        <v>170</v>
      </c>
      <c r="T994">
        <v>50</v>
      </c>
      <c r="U994">
        <v>1812.1301775147931</v>
      </c>
      <c r="V994">
        <v>20</v>
      </c>
      <c r="W994">
        <v>0.95</v>
      </c>
      <c r="X994">
        <v>1</v>
      </c>
      <c r="Y994">
        <v>242562.77484138581</v>
      </c>
      <c r="Z994">
        <v>485125549.68277162</v>
      </c>
      <c r="AA994">
        <v>1212813874.206929</v>
      </c>
      <c r="AB994">
        <v>1212813.874206929</v>
      </c>
      <c r="AC994">
        <v>0</v>
      </c>
      <c r="AD994">
        <v>5027.9719735803656</v>
      </c>
      <c r="AE994">
        <v>3016783.1841482189</v>
      </c>
      <c r="AF994">
        <v>1508391.5920741099</v>
      </c>
      <c r="AG994">
        <v>48.33046550514208</v>
      </c>
      <c r="AH994">
        <v>497.88235475386182</v>
      </c>
      <c r="AI994">
        <v>248.94117737693091</v>
      </c>
      <c r="AJ994">
        <v>39416.450911725187</v>
      </c>
      <c r="AK994">
        <v>854.70085470085473</v>
      </c>
      <c r="AL994" t="s">
        <v>93</v>
      </c>
      <c r="AM994">
        <v>38585.882493424288</v>
      </c>
      <c r="AN994">
        <v>2706.9466915260518</v>
      </c>
      <c r="AO994">
        <v>42320.000154078247</v>
      </c>
      <c r="AP994">
        <v>81563.980951376405</v>
      </c>
      <c r="AQ994">
        <v>39243.980797298158</v>
      </c>
      <c r="AR994">
        <v>2.613144432708334E-2</v>
      </c>
      <c r="AS994">
        <v>815.56116829728285</v>
      </c>
      <c r="AT994">
        <v>798.37597445278027</v>
      </c>
      <c r="AU994">
        <v>56.009116883801767</v>
      </c>
      <c r="AV994">
        <v>875.63816552885567</v>
      </c>
      <c r="AW994">
        <v>1687.6307748928771</v>
      </c>
      <c r="AX994">
        <v>811.99260936402163</v>
      </c>
      <c r="AY994">
        <v>5.1508127384050333</v>
      </c>
      <c r="AZ994" t="s">
        <v>118</v>
      </c>
      <c r="BA994" t="str">
        <f>VLOOKUP($AZ994,Sheet1!$A$2:$B$58,2)</f>
        <v>Butanol (PW1)</v>
      </c>
      <c r="BB994" t="s">
        <v>169</v>
      </c>
      <c r="BC994">
        <v>74.120199999999997</v>
      </c>
      <c r="BD994">
        <v>6</v>
      </c>
      <c r="BE994">
        <v>117.7</v>
      </c>
      <c r="BF994" t="s">
        <v>215</v>
      </c>
      <c r="BG994">
        <v>0.28031150920277531</v>
      </c>
      <c r="BH994">
        <v>0.22360902255639101</v>
      </c>
      <c r="BI994">
        <v>0.51727207132611097</v>
      </c>
      <c r="BJ994">
        <v>80</v>
      </c>
      <c r="BK994">
        <v>4078.1990475688199</v>
      </c>
      <c r="BL994">
        <v>1962.1990398649079</v>
      </c>
      <c r="BM994">
        <v>12.16674735964377</v>
      </c>
      <c r="BN994">
        <v>2068.3470511394412</v>
      </c>
      <c r="BO994">
        <v>2009.8519964293789</v>
      </c>
    </row>
    <row r="995" spans="1:67" x14ac:dyDescent="0.25">
      <c r="A995" s="1">
        <v>993</v>
      </c>
      <c r="B995" t="s">
        <v>78</v>
      </c>
      <c r="C995" t="s">
        <v>87</v>
      </c>
      <c r="D995">
        <v>1</v>
      </c>
      <c r="E995">
        <v>4</v>
      </c>
      <c r="F995">
        <v>1</v>
      </c>
      <c r="G995">
        <v>32.041060000000002</v>
      </c>
      <c r="H995">
        <v>6</v>
      </c>
      <c r="I995" t="s">
        <v>89</v>
      </c>
      <c r="J995">
        <v>2.5</v>
      </c>
      <c r="K995">
        <v>200</v>
      </c>
      <c r="L995">
        <v>50</v>
      </c>
      <c r="N995" t="s">
        <v>90</v>
      </c>
      <c r="O995">
        <v>50</v>
      </c>
      <c r="P995">
        <v>0.3125</v>
      </c>
      <c r="Q995">
        <v>3.2500000000000001E-2</v>
      </c>
      <c r="R995">
        <v>77.5</v>
      </c>
      <c r="S995">
        <v>170</v>
      </c>
      <c r="T995">
        <v>50</v>
      </c>
      <c r="U995">
        <v>1812.1301775147931</v>
      </c>
      <c r="V995">
        <v>20</v>
      </c>
      <c r="W995">
        <v>0.95</v>
      </c>
      <c r="X995">
        <v>1</v>
      </c>
      <c r="Y995">
        <v>277214.59981872671</v>
      </c>
      <c r="Z995">
        <v>554429199.63745344</v>
      </c>
      <c r="AA995">
        <v>1386072999.0936339</v>
      </c>
      <c r="AB995">
        <v>1386072.9990936341</v>
      </c>
      <c r="AC995">
        <v>0</v>
      </c>
      <c r="AD995">
        <v>5746.2536840918483</v>
      </c>
      <c r="AE995">
        <v>3447752.2104551089</v>
      </c>
      <c r="AF995">
        <v>1723876.105227554</v>
      </c>
      <c r="AG995">
        <v>55.23481772016239</v>
      </c>
      <c r="AH995">
        <v>569.00840543298511</v>
      </c>
      <c r="AI995">
        <v>284.50420271649261</v>
      </c>
      <c r="AJ995">
        <v>45047.372470543087</v>
      </c>
      <c r="AK995">
        <v>854.70085470085473</v>
      </c>
      <c r="AL995" t="s">
        <v>93</v>
      </c>
      <c r="AM995">
        <v>44098.151421056347</v>
      </c>
      <c r="AN995">
        <v>3093.65336174406</v>
      </c>
      <c r="AO995">
        <v>48365.714461803727</v>
      </c>
      <c r="AP995">
        <v>93093.878108044359</v>
      </c>
      <c r="AQ995">
        <v>44728.163646240617</v>
      </c>
      <c r="AR995">
        <v>2.613144432708334E-2</v>
      </c>
      <c r="AS995">
        <v>815.56116829728285</v>
      </c>
      <c r="AT995">
        <v>798.37597445278038</v>
      </c>
      <c r="AU995">
        <v>56.009116883801767</v>
      </c>
      <c r="AV995">
        <v>875.63816552885589</v>
      </c>
      <c r="AW995">
        <v>1685.420210485501</v>
      </c>
      <c r="AX995">
        <v>809.78204495664488</v>
      </c>
      <c r="AY995">
        <v>5.1508127384050342</v>
      </c>
      <c r="AZ995" t="s">
        <v>119</v>
      </c>
      <c r="BA995" t="str">
        <f>VLOOKUP($AZ995,Sheet1!$A$2:$B$58,2)</f>
        <v>Butanol (PW2)</v>
      </c>
      <c r="BB995" t="s">
        <v>169</v>
      </c>
      <c r="BC995">
        <v>74.120199999999997</v>
      </c>
      <c r="BD995">
        <v>6</v>
      </c>
      <c r="BE995">
        <v>117.7</v>
      </c>
      <c r="BF995" t="s">
        <v>215</v>
      </c>
      <c r="BG995">
        <v>0.6596504461580972</v>
      </c>
      <c r="BH995">
        <v>0.195657894736842</v>
      </c>
      <c r="BI995">
        <v>0.45261306241034699</v>
      </c>
      <c r="BJ995">
        <v>80</v>
      </c>
      <c r="BK995">
        <v>4654.6939054022178</v>
      </c>
      <c r="BL995">
        <v>2236.4081823120309</v>
      </c>
      <c r="BM995">
        <v>13.56555968966653</v>
      </c>
      <c r="BN995">
        <v>2306.14514724331</v>
      </c>
      <c r="BO995">
        <v>2348.5487581589068</v>
      </c>
    </row>
    <row r="996" spans="1:67" x14ac:dyDescent="0.25">
      <c r="A996" s="1">
        <v>994</v>
      </c>
      <c r="B996" t="s">
        <v>78</v>
      </c>
      <c r="C996" t="s">
        <v>87</v>
      </c>
      <c r="D996">
        <v>1</v>
      </c>
      <c r="E996">
        <v>4</v>
      </c>
      <c r="F996">
        <v>1</v>
      </c>
      <c r="G996">
        <v>32.041060000000002</v>
      </c>
      <c r="H996">
        <v>6</v>
      </c>
      <c r="I996" t="s">
        <v>89</v>
      </c>
      <c r="J996">
        <v>2.5</v>
      </c>
      <c r="K996">
        <v>200</v>
      </c>
      <c r="L996">
        <v>50</v>
      </c>
      <c r="N996" t="s">
        <v>90</v>
      </c>
      <c r="O996">
        <v>50</v>
      </c>
      <c r="P996">
        <v>0.3125</v>
      </c>
      <c r="Q996">
        <v>3.2500000000000001E-2</v>
      </c>
      <c r="R996">
        <v>77.5</v>
      </c>
      <c r="S996">
        <v>170</v>
      </c>
      <c r="T996">
        <v>50</v>
      </c>
      <c r="U996">
        <v>1812.1301775147931</v>
      </c>
      <c r="V996">
        <v>20</v>
      </c>
      <c r="W996">
        <v>0.95</v>
      </c>
      <c r="X996">
        <v>1</v>
      </c>
      <c r="Y996">
        <v>180040.6070847465</v>
      </c>
      <c r="Z996">
        <v>360081214.16949302</v>
      </c>
      <c r="AA996">
        <v>900203035.42373252</v>
      </c>
      <c r="AB996">
        <v>900203.03542373248</v>
      </c>
      <c r="AC996">
        <v>0</v>
      </c>
      <c r="AD996">
        <v>3731.9787717651438</v>
      </c>
      <c r="AE996">
        <v>2239187.2630590871</v>
      </c>
      <c r="AF996">
        <v>1119593.6315295431</v>
      </c>
      <c r="AG996">
        <v>35.872966723455988</v>
      </c>
      <c r="AH996">
        <v>369.54986792711389</v>
      </c>
      <c r="AI996">
        <v>184.77493396355689</v>
      </c>
      <c r="AJ996">
        <v>29256.59865127131</v>
      </c>
      <c r="AK996">
        <v>854.70085470085473</v>
      </c>
      <c r="AL996" t="s">
        <v>93</v>
      </c>
      <c r="AM996">
        <v>28640.114764351321</v>
      </c>
      <c r="AN996">
        <v>2009.2131861827779</v>
      </c>
      <c r="AO996">
        <v>31411.738773804678</v>
      </c>
      <c r="AP996">
        <v>60760.627456506263</v>
      </c>
      <c r="AQ996">
        <v>29348.888682701581</v>
      </c>
      <c r="AR996">
        <v>2.6131444327083329E-2</v>
      </c>
      <c r="AS996">
        <v>815.56116829728262</v>
      </c>
      <c r="AT996">
        <v>798.37597445277993</v>
      </c>
      <c r="AU996">
        <v>56.009116883801767</v>
      </c>
      <c r="AV996">
        <v>875.63816552885544</v>
      </c>
      <c r="AW996">
        <v>1693.7720240678379</v>
      </c>
      <c r="AX996">
        <v>818.13385853898296</v>
      </c>
      <c r="AY996">
        <v>5.1508127384050324</v>
      </c>
      <c r="AZ996" t="s">
        <v>120</v>
      </c>
      <c r="BA996" t="str">
        <f>VLOOKUP($AZ996,Sheet1!$A$2:$B$58,2)</f>
        <v>Butyrate</v>
      </c>
      <c r="BB996" t="s">
        <v>170</v>
      </c>
      <c r="BC996">
        <v>87.095680000000002</v>
      </c>
      <c r="BD996">
        <v>4.75</v>
      </c>
      <c r="BE996">
        <v>163.5</v>
      </c>
      <c r="BF996" t="s">
        <v>215</v>
      </c>
      <c r="BG996">
        <v>-5.0292763635138307E-2</v>
      </c>
      <c r="BH996">
        <v>0.25637931034482803</v>
      </c>
      <c r="BI996">
        <v>0.69690360969374299</v>
      </c>
      <c r="BJ996">
        <v>80</v>
      </c>
      <c r="BK996">
        <v>3038.0313728253132</v>
      </c>
      <c r="BL996">
        <v>1467.4444341350791</v>
      </c>
      <c r="BM996">
        <v>9.289039461812985</v>
      </c>
      <c r="BN996">
        <v>1579.136708508207</v>
      </c>
      <c r="BO996">
        <v>1458.894664317105</v>
      </c>
    </row>
    <row r="997" spans="1:67" x14ac:dyDescent="0.25">
      <c r="A997" s="1">
        <v>995</v>
      </c>
      <c r="B997" t="s">
        <v>78</v>
      </c>
      <c r="C997" t="s">
        <v>87</v>
      </c>
      <c r="D997">
        <v>1</v>
      </c>
      <c r="E997">
        <v>4</v>
      </c>
      <c r="F997">
        <v>1</v>
      </c>
      <c r="G997">
        <v>32.041060000000002</v>
      </c>
      <c r="H997">
        <v>6</v>
      </c>
      <c r="I997" t="s">
        <v>89</v>
      </c>
      <c r="J997">
        <v>2.5</v>
      </c>
      <c r="K997">
        <v>200</v>
      </c>
      <c r="L997">
        <v>50</v>
      </c>
      <c r="N997" t="s">
        <v>90</v>
      </c>
      <c r="O997">
        <v>50</v>
      </c>
      <c r="P997">
        <v>0.3125</v>
      </c>
      <c r="Q997">
        <v>3.2500000000000001E-2</v>
      </c>
      <c r="R997">
        <v>77.5</v>
      </c>
      <c r="S997">
        <v>170</v>
      </c>
      <c r="T997">
        <v>50</v>
      </c>
      <c r="U997">
        <v>1812.1301775147931</v>
      </c>
      <c r="V997">
        <v>20</v>
      </c>
      <c r="W997">
        <v>0.95</v>
      </c>
      <c r="X997">
        <v>1</v>
      </c>
      <c r="Y997">
        <v>206806.11955635989</v>
      </c>
      <c r="Z997">
        <v>413612239.11272001</v>
      </c>
      <c r="AA997">
        <v>1034030597.7818</v>
      </c>
      <c r="AB997">
        <v>1034030.5977818</v>
      </c>
      <c r="AC997">
        <v>0</v>
      </c>
      <c r="AD997">
        <v>4286.7887447867224</v>
      </c>
      <c r="AE997">
        <v>2572073.246872033</v>
      </c>
      <c r="AF997">
        <v>1286036.623436016</v>
      </c>
      <c r="AG997">
        <v>41.205976613710803</v>
      </c>
      <c r="AH997">
        <v>424.48853848064317</v>
      </c>
      <c r="AI997">
        <v>212.24426924032159</v>
      </c>
      <c r="AJ997">
        <v>33605.994427908503</v>
      </c>
      <c r="AK997">
        <v>854.70085470085473</v>
      </c>
      <c r="AL997" t="s">
        <v>93</v>
      </c>
      <c r="AM997">
        <v>32897.861732249847</v>
      </c>
      <c r="AN997">
        <v>2307.9103604685311</v>
      </c>
      <c r="AO997">
        <v>36081.525770854671</v>
      </c>
      <c r="AP997">
        <v>69666.467375327746</v>
      </c>
      <c r="AQ997">
        <v>33584.941604473082</v>
      </c>
      <c r="AR997">
        <v>2.613144432708334E-2</v>
      </c>
      <c r="AS997">
        <v>815.56116829728307</v>
      </c>
      <c r="AT997">
        <v>798.3759744527805</v>
      </c>
      <c r="AU997">
        <v>56.009116883801767</v>
      </c>
      <c r="AV997">
        <v>875.63816552885601</v>
      </c>
      <c r="AW997">
        <v>1690.688417081396</v>
      </c>
      <c r="AX997">
        <v>815.0502515525402</v>
      </c>
      <c r="AY997">
        <v>5.1508127384050351</v>
      </c>
      <c r="AZ997" t="s">
        <v>121</v>
      </c>
      <c r="BA997" t="str">
        <f>VLOOKUP($AZ997,Sheet1!$A$2:$B$58,2)</f>
        <v>Catechol</v>
      </c>
      <c r="BB997" t="s">
        <v>171</v>
      </c>
      <c r="BC997">
        <v>110.10924</v>
      </c>
      <c r="BD997">
        <v>4.333333333333333</v>
      </c>
      <c r="BE997">
        <v>245</v>
      </c>
      <c r="BF997" t="s">
        <v>215</v>
      </c>
      <c r="BG997">
        <v>-0.13422498792099741</v>
      </c>
      <c r="BH997">
        <v>0.17654804270462601</v>
      </c>
      <c r="BI997">
        <v>0.60670810534027098</v>
      </c>
      <c r="BJ997">
        <v>80</v>
      </c>
      <c r="BK997">
        <v>3483.3233687663878</v>
      </c>
      <c r="BL997">
        <v>1679.2470802236539</v>
      </c>
      <c r="BM997">
        <v>10.746438449937081</v>
      </c>
      <c r="BN997">
        <v>1826.8945364893029</v>
      </c>
      <c r="BO997">
        <v>1656.4288322770849</v>
      </c>
    </row>
    <row r="998" spans="1:67" x14ac:dyDescent="0.25">
      <c r="A998" s="1">
        <v>996</v>
      </c>
      <c r="B998" t="s">
        <v>78</v>
      </c>
      <c r="C998" t="s">
        <v>87</v>
      </c>
      <c r="D998">
        <v>1</v>
      </c>
      <c r="E998">
        <v>4</v>
      </c>
      <c r="F998">
        <v>1</v>
      </c>
      <c r="G998">
        <v>32.041060000000002</v>
      </c>
      <c r="H998">
        <v>6</v>
      </c>
      <c r="I998" t="s">
        <v>89</v>
      </c>
      <c r="J998">
        <v>2.5</v>
      </c>
      <c r="K998">
        <v>200</v>
      </c>
      <c r="L998">
        <v>50</v>
      </c>
      <c r="N998" t="s">
        <v>90</v>
      </c>
      <c r="O998">
        <v>50</v>
      </c>
      <c r="P998">
        <v>0.3125</v>
      </c>
      <c r="Q998">
        <v>3.2500000000000001E-2</v>
      </c>
      <c r="R998">
        <v>77.5</v>
      </c>
      <c r="S998">
        <v>170</v>
      </c>
      <c r="T998">
        <v>50</v>
      </c>
      <c r="U998">
        <v>1812.1301775147931</v>
      </c>
      <c r="V998">
        <v>20</v>
      </c>
      <c r="W998">
        <v>0.95</v>
      </c>
      <c r="X998">
        <v>1</v>
      </c>
      <c r="Y998">
        <v>164280.94767970871</v>
      </c>
      <c r="Z998">
        <v>328561895.35941732</v>
      </c>
      <c r="AA998">
        <v>821404738.39854336</v>
      </c>
      <c r="AB998">
        <v>821404.73839854333</v>
      </c>
      <c r="AC998">
        <v>0</v>
      </c>
      <c r="AD998">
        <v>3405.3040548654972</v>
      </c>
      <c r="AE998">
        <v>2043182.4329192981</v>
      </c>
      <c r="AF998">
        <v>1021591.216459649</v>
      </c>
      <c r="AG998">
        <v>32.732865462056601</v>
      </c>
      <c r="AH998">
        <v>337.20172077291869</v>
      </c>
      <c r="AI998">
        <v>168.60086038645929</v>
      </c>
      <c r="AJ998">
        <v>26695.653997952661</v>
      </c>
      <c r="AK998">
        <v>854.70085470085473</v>
      </c>
      <c r="AL998" t="s">
        <v>93</v>
      </c>
      <c r="AM998">
        <v>26133.1333599012</v>
      </c>
      <c r="AN998">
        <v>1833.3388876060869</v>
      </c>
      <c r="AO998">
        <v>28662.146265698091</v>
      </c>
      <c r="AP998">
        <v>55516.827100160794</v>
      </c>
      <c r="AQ998">
        <v>26854.68083446271</v>
      </c>
      <c r="AR998">
        <v>2.613144432708334E-2</v>
      </c>
      <c r="AS998">
        <v>815.56116829728285</v>
      </c>
      <c r="AT998">
        <v>798.37597445278038</v>
      </c>
      <c r="AU998">
        <v>56.009116883801781</v>
      </c>
      <c r="AV998">
        <v>875.63816552885578</v>
      </c>
      <c r="AW998">
        <v>1696.0576569293939</v>
      </c>
      <c r="AX998">
        <v>820.41949140053794</v>
      </c>
      <c r="AY998">
        <v>5.1508127384050351</v>
      </c>
      <c r="AZ998" t="s">
        <v>122</v>
      </c>
      <c r="BA998" t="str">
        <f>VLOOKUP($AZ998,Sheet1!$A$2:$B$58,2)</f>
        <v>cis,cis-Muconate</v>
      </c>
      <c r="BB998" t="s">
        <v>172</v>
      </c>
      <c r="BC998">
        <v>140.09155999999999</v>
      </c>
      <c r="BD998">
        <v>3.333333333333333</v>
      </c>
      <c r="BE998">
        <v>345.4</v>
      </c>
      <c r="BF998" t="s">
        <v>215</v>
      </c>
      <c r="BG998">
        <v>-8.6500948464940372E-2</v>
      </c>
      <c r="BH998">
        <v>0.17468309859154901</v>
      </c>
      <c r="BI998">
        <v>0.76375837089421905</v>
      </c>
      <c r="BJ998">
        <v>80</v>
      </c>
      <c r="BK998">
        <v>2775.84135500804</v>
      </c>
      <c r="BL998">
        <v>1342.734041723136</v>
      </c>
      <c r="BM998">
        <v>8.5165439677879089</v>
      </c>
      <c r="BN998">
        <v>1447.812474523945</v>
      </c>
      <c r="BO998">
        <v>1328.028880484095</v>
      </c>
    </row>
    <row r="999" spans="1:67" x14ac:dyDescent="0.25">
      <c r="A999" s="1">
        <v>997</v>
      </c>
      <c r="B999" t="s">
        <v>78</v>
      </c>
      <c r="C999" t="s">
        <v>87</v>
      </c>
      <c r="D999">
        <v>1</v>
      </c>
      <c r="E999">
        <v>4</v>
      </c>
      <c r="F999">
        <v>1</v>
      </c>
      <c r="G999">
        <v>32.041060000000002</v>
      </c>
      <c r="H999">
        <v>6</v>
      </c>
      <c r="I999" t="s">
        <v>89</v>
      </c>
      <c r="J999">
        <v>2.5</v>
      </c>
      <c r="K999">
        <v>200</v>
      </c>
      <c r="L999">
        <v>50</v>
      </c>
      <c r="N999" t="s">
        <v>90</v>
      </c>
      <c r="O999">
        <v>50</v>
      </c>
      <c r="P999">
        <v>0.3125</v>
      </c>
      <c r="Q999">
        <v>3.2500000000000001E-2</v>
      </c>
      <c r="R999">
        <v>77.5</v>
      </c>
      <c r="S999">
        <v>170</v>
      </c>
      <c r="T999">
        <v>50</v>
      </c>
      <c r="U999">
        <v>1812.1301775147931</v>
      </c>
      <c r="V999">
        <v>20</v>
      </c>
      <c r="W999">
        <v>0.95</v>
      </c>
      <c r="X999">
        <v>1</v>
      </c>
      <c r="Y999">
        <v>88066.228185594693</v>
      </c>
      <c r="Z999">
        <v>176132456.37118939</v>
      </c>
      <c r="AA999">
        <v>440331140.92797339</v>
      </c>
      <c r="AB999">
        <v>440331.14092797338</v>
      </c>
      <c r="AC999">
        <v>0</v>
      </c>
      <c r="AD999">
        <v>1825.4842583560121</v>
      </c>
      <c r="AE999">
        <v>1095290.555013607</v>
      </c>
      <c r="AF999">
        <v>547645.27750680351</v>
      </c>
      <c r="AG999">
        <v>17.547135195312141</v>
      </c>
      <c r="AH999">
        <v>180.7640149730581</v>
      </c>
      <c r="AI999">
        <v>90.382007486529062</v>
      </c>
      <c r="AJ999">
        <v>14310.76208015914</v>
      </c>
      <c r="AK999">
        <v>854.70085470085473</v>
      </c>
      <c r="AL999" t="s">
        <v>93</v>
      </c>
      <c r="AM999">
        <v>14009.211160412009</v>
      </c>
      <c r="AN999">
        <v>982.79954613010955</v>
      </c>
      <c r="AO999">
        <v>15364.941272709941</v>
      </c>
      <c r="AP999">
        <v>30157.47364140211</v>
      </c>
      <c r="AQ999">
        <v>14792.532368692169</v>
      </c>
      <c r="AR999">
        <v>2.6131444327083329E-2</v>
      </c>
      <c r="AS999">
        <v>815.56116829728262</v>
      </c>
      <c r="AT999">
        <v>798.37597445278004</v>
      </c>
      <c r="AU999">
        <v>56.009116883801767</v>
      </c>
      <c r="AV999">
        <v>875.63816552885555</v>
      </c>
      <c r="AW999">
        <v>1718.655114109961</v>
      </c>
      <c r="AX999">
        <v>843.01694858110568</v>
      </c>
      <c r="AY999">
        <v>5.1508127384050333</v>
      </c>
      <c r="AZ999" t="s">
        <v>123</v>
      </c>
      <c r="BA999" t="str">
        <f>VLOOKUP($AZ999,Sheet1!$A$2:$B$58,2)</f>
        <v>Citrate</v>
      </c>
      <c r="BB999" t="s">
        <v>173</v>
      </c>
      <c r="BC999">
        <v>189.09639999999999</v>
      </c>
      <c r="BD999">
        <v>2.5</v>
      </c>
      <c r="BF999" t="s">
        <v>215</v>
      </c>
      <c r="BG999">
        <v>-0.43235585712680041</v>
      </c>
      <c r="BH999">
        <v>0.241411192214112</v>
      </c>
      <c r="BI999">
        <v>1.4247339934258301</v>
      </c>
      <c r="BJ999">
        <v>80</v>
      </c>
      <c r="BK999">
        <v>1507.8736820701049</v>
      </c>
      <c r="BL999">
        <v>739.62661843460819</v>
      </c>
      <c r="BM999">
        <v>4.9514562314532533</v>
      </c>
      <c r="BN999">
        <v>841.74755934705308</v>
      </c>
      <c r="BO999">
        <v>666.12612272305205</v>
      </c>
    </row>
    <row r="1000" spans="1:67" x14ac:dyDescent="0.25">
      <c r="A1000" s="1">
        <v>998</v>
      </c>
      <c r="B1000" t="s">
        <v>78</v>
      </c>
      <c r="C1000" t="s">
        <v>87</v>
      </c>
      <c r="D1000">
        <v>1</v>
      </c>
      <c r="E1000">
        <v>4</v>
      </c>
      <c r="F1000">
        <v>1</v>
      </c>
      <c r="G1000">
        <v>32.041060000000002</v>
      </c>
      <c r="H1000">
        <v>6</v>
      </c>
      <c r="I1000" t="s">
        <v>89</v>
      </c>
      <c r="J1000">
        <v>2.5</v>
      </c>
      <c r="K1000">
        <v>200</v>
      </c>
      <c r="L1000">
        <v>50</v>
      </c>
      <c r="N1000" t="s">
        <v>90</v>
      </c>
      <c r="O1000">
        <v>50</v>
      </c>
      <c r="P1000">
        <v>0.3125</v>
      </c>
      <c r="Q1000">
        <v>3.2500000000000001E-2</v>
      </c>
      <c r="R1000">
        <v>77.5</v>
      </c>
      <c r="S1000">
        <v>170</v>
      </c>
      <c r="T1000">
        <v>50</v>
      </c>
      <c r="U1000">
        <v>1812.1301775147931</v>
      </c>
      <c r="V1000">
        <v>20</v>
      </c>
      <c r="W1000">
        <v>0.95</v>
      </c>
      <c r="X1000">
        <v>1</v>
      </c>
      <c r="Y1000">
        <v>207374.3688805564</v>
      </c>
      <c r="Z1000">
        <v>414748737.76111281</v>
      </c>
      <c r="AA1000">
        <v>1036871844.402782</v>
      </c>
      <c r="AB1000">
        <v>1036871.844402782</v>
      </c>
      <c r="AC1000">
        <v>0</v>
      </c>
      <c r="AD1000">
        <v>4298.5677231478239</v>
      </c>
      <c r="AE1000">
        <v>2579140.633888694</v>
      </c>
      <c r="AF1000">
        <v>1289570.316944347</v>
      </c>
      <c r="AG1000">
        <v>41.319199899432853</v>
      </c>
      <c r="AH1000">
        <v>425.65492236540553</v>
      </c>
      <c r="AI1000">
        <v>212.82746118270271</v>
      </c>
      <c r="AJ1000">
        <v>33698.334943090413</v>
      </c>
      <c r="AK1000">
        <v>854.70085470085473</v>
      </c>
      <c r="AL1000" t="s">
        <v>93</v>
      </c>
      <c r="AM1000">
        <v>32988.256483318917</v>
      </c>
      <c r="AN1000">
        <v>2314.2518967125038</v>
      </c>
      <c r="AO1000">
        <v>36180.668401059462</v>
      </c>
      <c r="AP1000">
        <v>69855.54417782271</v>
      </c>
      <c r="AQ1000">
        <v>33674.875776763249</v>
      </c>
      <c r="AR1000">
        <v>2.6131444327083329E-2</v>
      </c>
      <c r="AS1000">
        <v>815.56116829728262</v>
      </c>
      <c r="AT1000">
        <v>798.37597445278038</v>
      </c>
      <c r="AU1000">
        <v>56.009116883801752</v>
      </c>
      <c r="AV1000">
        <v>875.63816552885578</v>
      </c>
      <c r="AW1000">
        <v>1690.631579213652</v>
      </c>
      <c r="AX1000">
        <v>814.99341368479577</v>
      </c>
      <c r="AY1000">
        <v>5.1508127384050351</v>
      </c>
      <c r="AZ1000" t="s">
        <v>124</v>
      </c>
      <c r="BA1000" t="str">
        <f>VLOOKUP($AZ1000,Sheet1!$A$2:$B$58,2)</f>
        <v>Coumaric Acid</v>
      </c>
      <c r="BB1000" t="s">
        <v>174</v>
      </c>
      <c r="BC1000">
        <v>163.14818</v>
      </c>
      <c r="BD1000">
        <v>4.1111111111111107</v>
      </c>
      <c r="BE1000">
        <v>346</v>
      </c>
      <c r="BF1000" t="s">
        <v>215</v>
      </c>
      <c r="BG1000">
        <v>-0.15763335663869821</v>
      </c>
      <c r="BH1000">
        <v>0.118826347305389</v>
      </c>
      <c r="BI1000">
        <v>0.60504559770875799</v>
      </c>
      <c r="BJ1000">
        <v>80</v>
      </c>
      <c r="BK1000">
        <v>3492.7772088911352</v>
      </c>
      <c r="BL1000">
        <v>1683.7437888381619</v>
      </c>
      <c r="BM1000">
        <v>10.799006415773841</v>
      </c>
      <c r="BN1000">
        <v>1835.831090681552</v>
      </c>
      <c r="BO1000">
        <v>1656.9461182095829</v>
      </c>
    </row>
    <row r="1001" spans="1:67" x14ac:dyDescent="0.25">
      <c r="A1001" s="1">
        <v>999</v>
      </c>
      <c r="B1001" t="s">
        <v>78</v>
      </c>
      <c r="C1001" t="s">
        <v>87</v>
      </c>
      <c r="D1001">
        <v>1</v>
      </c>
      <c r="E1001">
        <v>4</v>
      </c>
      <c r="F1001">
        <v>1</v>
      </c>
      <c r="G1001">
        <v>32.041060000000002</v>
      </c>
      <c r="H1001">
        <v>6</v>
      </c>
      <c r="I1001" t="s">
        <v>89</v>
      </c>
      <c r="J1001">
        <v>2.5</v>
      </c>
      <c r="K1001">
        <v>200</v>
      </c>
      <c r="L1001">
        <v>50</v>
      </c>
      <c r="N1001" t="s">
        <v>90</v>
      </c>
      <c r="O1001">
        <v>50</v>
      </c>
      <c r="P1001">
        <v>0.3125</v>
      </c>
      <c r="Q1001">
        <v>3.2500000000000001E-2</v>
      </c>
      <c r="R1001">
        <v>77.5</v>
      </c>
      <c r="S1001">
        <v>170</v>
      </c>
      <c r="T1001">
        <v>50</v>
      </c>
      <c r="U1001">
        <v>1812.1301775147931</v>
      </c>
      <c r="V1001">
        <v>20</v>
      </c>
      <c r="W1001">
        <v>0.95</v>
      </c>
      <c r="X1001">
        <v>1</v>
      </c>
      <c r="Y1001">
        <v>182584.03268084681</v>
      </c>
      <c r="Z1001">
        <v>365168065.36169362</v>
      </c>
      <c r="AA1001">
        <v>912920163.40423405</v>
      </c>
      <c r="AB1001">
        <v>912920.1634042341</v>
      </c>
      <c r="AC1001">
        <v>0</v>
      </c>
      <c r="AD1001">
        <v>3784.7002687979912</v>
      </c>
      <c r="AE1001">
        <v>2270820.161278795</v>
      </c>
      <c r="AF1001">
        <v>1135410.080639397</v>
      </c>
      <c r="AG1001">
        <v>36.379742518371778</v>
      </c>
      <c r="AH1001">
        <v>374.77048236704911</v>
      </c>
      <c r="AI1001">
        <v>187.3852411835245</v>
      </c>
      <c r="AJ1001">
        <v>29669.905310637609</v>
      </c>
      <c r="AK1001">
        <v>854.70085470085473</v>
      </c>
      <c r="AL1001" t="s">
        <v>93</v>
      </c>
      <c r="AM1001">
        <v>29044.712383446298</v>
      </c>
      <c r="AN1001">
        <v>2037.597250914097</v>
      </c>
      <c r="AO1001">
        <v>31855.491001199171</v>
      </c>
      <c r="AP1001">
        <v>61606.915799698858</v>
      </c>
      <c r="AQ1001">
        <v>29751.424798499691</v>
      </c>
      <c r="AR1001">
        <v>2.6131444327083329E-2</v>
      </c>
      <c r="AS1001">
        <v>815.56116829728262</v>
      </c>
      <c r="AT1001">
        <v>798.37597445278004</v>
      </c>
      <c r="AU1001">
        <v>56.009116883801752</v>
      </c>
      <c r="AV1001">
        <v>875.63816552885555</v>
      </c>
      <c r="AW1001">
        <v>1693.44012725179</v>
      </c>
      <c r="AX1001">
        <v>817.80196172293449</v>
      </c>
      <c r="AY1001">
        <v>5.1508127384050324</v>
      </c>
      <c r="AZ1001" t="s">
        <v>125</v>
      </c>
      <c r="BA1001" t="str">
        <f>VLOOKUP($AZ1001,Sheet1!$A$2:$B$58,2)</f>
        <v>Ethyl Acetate</v>
      </c>
      <c r="BB1001" t="s">
        <v>175</v>
      </c>
      <c r="BC1001">
        <v>88.103520000000003</v>
      </c>
      <c r="BD1001">
        <v>5</v>
      </c>
      <c r="BE1001">
        <v>77.099999999999994</v>
      </c>
      <c r="BF1001" t="s">
        <v>215</v>
      </c>
      <c r="BG1001">
        <v>6.7185744737542532E-4</v>
      </c>
      <c r="BH1001">
        <v>0.249915966386554</v>
      </c>
      <c r="BI1001">
        <v>0.68719562782433097</v>
      </c>
      <c r="BJ1001">
        <v>80</v>
      </c>
      <c r="BK1001">
        <v>3080.3457899849432</v>
      </c>
      <c r="BL1001">
        <v>1487.571239924984</v>
      </c>
      <c r="BM1001">
        <v>9.3685902017288498</v>
      </c>
      <c r="BN1001">
        <v>1592.660334293904</v>
      </c>
      <c r="BO1001">
        <v>1487.685455691038</v>
      </c>
    </row>
    <row r="1002" spans="1:67" x14ac:dyDescent="0.25">
      <c r="A1002" s="1">
        <v>1000</v>
      </c>
      <c r="B1002" t="s">
        <v>78</v>
      </c>
      <c r="C1002" t="s">
        <v>87</v>
      </c>
      <c r="D1002">
        <v>1</v>
      </c>
      <c r="E1002">
        <v>4</v>
      </c>
      <c r="F1002">
        <v>1</v>
      </c>
      <c r="G1002">
        <v>32.041060000000002</v>
      </c>
      <c r="H1002">
        <v>6</v>
      </c>
      <c r="I1002" t="s">
        <v>89</v>
      </c>
      <c r="J1002">
        <v>2.5</v>
      </c>
      <c r="K1002">
        <v>200</v>
      </c>
      <c r="L1002">
        <v>50</v>
      </c>
      <c r="N1002" t="s">
        <v>90</v>
      </c>
      <c r="O1002">
        <v>50</v>
      </c>
      <c r="P1002">
        <v>0.3125</v>
      </c>
      <c r="Q1002">
        <v>3.2500000000000001E-2</v>
      </c>
      <c r="R1002">
        <v>77.5</v>
      </c>
      <c r="S1002">
        <v>170</v>
      </c>
      <c r="T1002">
        <v>50</v>
      </c>
      <c r="U1002">
        <v>1812.1301775147931</v>
      </c>
      <c r="V1002">
        <v>20</v>
      </c>
      <c r="W1002">
        <v>0.95</v>
      </c>
      <c r="X1002">
        <v>1</v>
      </c>
      <c r="Y1002">
        <v>329326.92028691323</v>
      </c>
      <c r="Z1002">
        <v>658653840.57382643</v>
      </c>
      <c r="AA1002">
        <v>1646634601.434566</v>
      </c>
      <c r="AB1002">
        <v>1646634.6014345661</v>
      </c>
      <c r="AC1002">
        <v>0</v>
      </c>
      <c r="AD1002">
        <v>6826.4659588880013</v>
      </c>
      <c r="AE1002">
        <v>4095879.5753327999</v>
      </c>
      <c r="AF1002">
        <v>2047939.7876664</v>
      </c>
      <c r="AG1002">
        <v>65.618161613006393</v>
      </c>
      <c r="AH1002">
        <v>675.97372541398715</v>
      </c>
      <c r="AI1002">
        <v>337.98686270699358</v>
      </c>
      <c r="AJ1002">
        <v>53515.624546623403</v>
      </c>
      <c r="AK1002">
        <v>1835.336538461539</v>
      </c>
      <c r="AL1002" t="s">
        <v>94</v>
      </c>
      <c r="AM1002">
        <v>52387.963719583997</v>
      </c>
      <c r="AN1002">
        <v>3675.2152834830699</v>
      </c>
      <c r="AO1002">
        <v>57457.766660188907</v>
      </c>
      <c r="AP1002">
        <v>111414.14008815199</v>
      </c>
      <c r="AQ1002">
        <v>53956.373427963088</v>
      </c>
      <c r="AR1002">
        <v>2.6131444327083329E-2</v>
      </c>
      <c r="AS1002">
        <v>815.56116829728273</v>
      </c>
      <c r="AT1002">
        <v>798.37597445278038</v>
      </c>
      <c r="AU1002">
        <v>56.009116883801767</v>
      </c>
      <c r="AV1002">
        <v>875.63816552885589</v>
      </c>
      <c r="AW1002">
        <v>1697.9162071810961</v>
      </c>
      <c r="AX1002">
        <v>822.27804165223995</v>
      </c>
      <c r="AY1002">
        <v>5.1508127384050342</v>
      </c>
      <c r="AZ1002" t="s">
        <v>126</v>
      </c>
      <c r="BA1002" t="str">
        <f>VLOOKUP($AZ1002,Sheet1!$A$2:$B$58,2)</f>
        <v>Farnesene</v>
      </c>
      <c r="BB1002" t="s">
        <v>176</v>
      </c>
      <c r="BC1002">
        <v>204.34866</v>
      </c>
      <c r="BD1002">
        <v>5.6</v>
      </c>
      <c r="BE1002" t="s">
        <v>198</v>
      </c>
      <c r="BF1002" t="s">
        <v>215</v>
      </c>
      <c r="BG1002">
        <v>0.3746851088345754</v>
      </c>
      <c r="BH1002">
        <v>5.9738048461034698E-2</v>
      </c>
      <c r="BI1002">
        <v>0.38099208184833799</v>
      </c>
      <c r="BJ1002">
        <v>80</v>
      </c>
      <c r="BK1002">
        <v>5570.7070044075981</v>
      </c>
      <c r="BL1002">
        <v>2697.818671398154</v>
      </c>
      <c r="BM1002">
        <v>16.524658026515102</v>
      </c>
      <c r="BN1002">
        <v>2809.191864507568</v>
      </c>
      <c r="BO1002">
        <v>2761.515139900031</v>
      </c>
    </row>
    <row r="1003" spans="1:67" x14ac:dyDescent="0.25">
      <c r="A1003" s="1">
        <v>1001</v>
      </c>
      <c r="B1003" t="s">
        <v>78</v>
      </c>
      <c r="C1003" t="s">
        <v>87</v>
      </c>
      <c r="D1003">
        <v>1</v>
      </c>
      <c r="E1003">
        <v>4</v>
      </c>
      <c r="F1003">
        <v>1</v>
      </c>
      <c r="G1003">
        <v>32.041060000000002</v>
      </c>
      <c r="H1003">
        <v>6</v>
      </c>
      <c r="I1003" t="s">
        <v>89</v>
      </c>
      <c r="J1003">
        <v>2.5</v>
      </c>
      <c r="K1003">
        <v>200</v>
      </c>
      <c r="L1003">
        <v>50</v>
      </c>
      <c r="N1003" t="s">
        <v>90</v>
      </c>
      <c r="O1003">
        <v>50</v>
      </c>
      <c r="P1003">
        <v>0.3125</v>
      </c>
      <c r="Q1003">
        <v>3.2500000000000001E-2</v>
      </c>
      <c r="R1003">
        <v>77.5</v>
      </c>
      <c r="S1003">
        <v>170</v>
      </c>
      <c r="T1003">
        <v>50</v>
      </c>
      <c r="U1003">
        <v>1812.1301775147931</v>
      </c>
      <c r="V1003">
        <v>20</v>
      </c>
      <c r="W1003">
        <v>0.95</v>
      </c>
      <c r="X1003">
        <v>1</v>
      </c>
      <c r="Y1003">
        <v>189206.07522422739</v>
      </c>
      <c r="Z1003">
        <v>378412150.44845492</v>
      </c>
      <c r="AA1003">
        <v>946030376.12113726</v>
      </c>
      <c r="AB1003">
        <v>946030.37612113729</v>
      </c>
      <c r="AC1003">
        <v>0</v>
      </c>
      <c r="AD1003">
        <v>3921.9655368827039</v>
      </c>
      <c r="AE1003">
        <v>2353179.322129623</v>
      </c>
      <c r="AF1003">
        <v>1176589.6610648111</v>
      </c>
      <c r="AG1003">
        <v>37.699179925557289</v>
      </c>
      <c r="AH1003">
        <v>388.36283237596763</v>
      </c>
      <c r="AI1003">
        <v>194.18141618798381</v>
      </c>
      <c r="AJ1003">
        <v>30745.987223936962</v>
      </c>
      <c r="AK1003">
        <v>1835.336538461539</v>
      </c>
      <c r="AL1003" t="s">
        <v>94</v>
      </c>
      <c r="AM1003">
        <v>30098.11950913749</v>
      </c>
      <c r="AN1003">
        <v>2111.4977748740112</v>
      </c>
      <c r="AO1003">
        <v>33010.840751957243</v>
      </c>
      <c r="AP1003">
        <v>64790.94104641</v>
      </c>
      <c r="AQ1003">
        <v>31780.100294452761</v>
      </c>
      <c r="AR1003">
        <v>2.6131444327083329E-2</v>
      </c>
      <c r="AS1003">
        <v>815.56116829728262</v>
      </c>
      <c r="AT1003">
        <v>798.37597445278016</v>
      </c>
      <c r="AU1003">
        <v>56.009116883801767</v>
      </c>
      <c r="AV1003">
        <v>875.63816552885567</v>
      </c>
      <c r="AW1003">
        <v>1718.6299854360091</v>
      </c>
      <c r="AX1003">
        <v>842.9918199071534</v>
      </c>
      <c r="AY1003">
        <v>5.1508127384050333</v>
      </c>
      <c r="AZ1003" t="s">
        <v>127</v>
      </c>
      <c r="BA1003" t="str">
        <f>VLOOKUP($AZ1003,Sheet1!$A$2:$B$58,2)</f>
        <v>Gamma Butyrolactone</v>
      </c>
      <c r="BB1003" t="s">
        <v>177</v>
      </c>
      <c r="BC1003">
        <v>86.08784</v>
      </c>
      <c r="BD1003">
        <v>4.5</v>
      </c>
      <c r="BE1003">
        <v>204</v>
      </c>
      <c r="BF1003" t="s">
        <v>215</v>
      </c>
      <c r="BG1003">
        <v>2.638033435177406E-2</v>
      </c>
      <c r="BH1003">
        <v>0.24681592039801001</v>
      </c>
      <c r="BI1003">
        <v>0.663144398614672</v>
      </c>
      <c r="BJ1003">
        <v>80</v>
      </c>
      <c r="BK1003">
        <v>3239.5470523204999</v>
      </c>
      <c r="BL1003">
        <v>1589.005014722638</v>
      </c>
      <c r="BM1003">
        <v>9.6826904750474156</v>
      </c>
      <c r="BN1003">
        <v>1646.0573807580611</v>
      </c>
      <c r="BO1003">
        <v>1593.4896715624391</v>
      </c>
    </row>
    <row r="1004" spans="1:67" x14ac:dyDescent="0.25">
      <c r="A1004" s="1">
        <v>1002</v>
      </c>
      <c r="B1004" t="s">
        <v>78</v>
      </c>
      <c r="C1004" t="s">
        <v>87</v>
      </c>
      <c r="D1004">
        <v>1</v>
      </c>
      <c r="E1004">
        <v>4</v>
      </c>
      <c r="F1004">
        <v>1</v>
      </c>
      <c r="G1004">
        <v>32.041060000000002</v>
      </c>
      <c r="H1004">
        <v>6</v>
      </c>
      <c r="I1004" t="s">
        <v>89</v>
      </c>
      <c r="J1004">
        <v>2.5</v>
      </c>
      <c r="K1004">
        <v>200</v>
      </c>
      <c r="L1004">
        <v>50</v>
      </c>
      <c r="N1004" t="s">
        <v>90</v>
      </c>
      <c r="O1004">
        <v>50</v>
      </c>
      <c r="P1004">
        <v>0.3125</v>
      </c>
      <c r="Q1004">
        <v>3.2500000000000001E-2</v>
      </c>
      <c r="R1004">
        <v>77.5</v>
      </c>
      <c r="S1004">
        <v>170</v>
      </c>
      <c r="T1004">
        <v>50</v>
      </c>
      <c r="U1004">
        <v>1812.1301775147931</v>
      </c>
      <c r="V1004">
        <v>20</v>
      </c>
      <c r="W1004">
        <v>0.95</v>
      </c>
      <c r="X1004">
        <v>1</v>
      </c>
      <c r="Y1004">
        <v>111473.1913631116</v>
      </c>
      <c r="Z1004">
        <v>222946382.72622329</v>
      </c>
      <c r="AA1004">
        <v>557365956.8155582</v>
      </c>
      <c r="AB1004">
        <v>557365.95681555825</v>
      </c>
      <c r="AC1004">
        <v>0</v>
      </c>
      <c r="AD1004">
        <v>2310.6764108622701</v>
      </c>
      <c r="AE1004">
        <v>1386405.8465173619</v>
      </c>
      <c r="AF1004">
        <v>693202.92325868097</v>
      </c>
      <c r="AG1004">
        <v>22.210956456306789</v>
      </c>
      <c r="AH1004">
        <v>228.80895489460909</v>
      </c>
      <c r="AI1004">
        <v>114.4044774473046</v>
      </c>
      <c r="AJ1004">
        <v>18114.393596505641</v>
      </c>
      <c r="AK1004">
        <v>854.70085470085473</v>
      </c>
      <c r="AL1004" t="s">
        <v>93</v>
      </c>
      <c r="AM1004">
        <v>17732.69400433221</v>
      </c>
      <c r="AN1004">
        <v>1244.0160562623189</v>
      </c>
      <c r="AO1004">
        <v>19448.761166041779</v>
      </c>
      <c r="AP1004">
        <v>37945.804511801027</v>
      </c>
      <c r="AQ1004">
        <v>18497.043345759252</v>
      </c>
      <c r="AR1004">
        <v>2.613144432708334E-2</v>
      </c>
      <c r="AS1004">
        <v>815.56116829728285</v>
      </c>
      <c r="AT1004">
        <v>798.37597445278027</v>
      </c>
      <c r="AU1004">
        <v>56.009116883801759</v>
      </c>
      <c r="AV1004">
        <v>875.63816552885578</v>
      </c>
      <c r="AW1004">
        <v>1708.4273064263441</v>
      </c>
      <c r="AX1004">
        <v>832.7891408974881</v>
      </c>
      <c r="AY1004">
        <v>5.1508127384050342</v>
      </c>
      <c r="AZ1004" t="s">
        <v>128</v>
      </c>
      <c r="BA1004" t="str">
        <f>VLOOKUP($AZ1004,Sheet1!$A$2:$B$58,2)</f>
        <v>L-Glutamate</v>
      </c>
      <c r="BB1004" t="s">
        <v>178</v>
      </c>
      <c r="BC1004">
        <v>146.11892</v>
      </c>
      <c r="BD1004">
        <v>3.4</v>
      </c>
      <c r="BE1004">
        <v>333.8</v>
      </c>
      <c r="BF1004" t="s">
        <v>215</v>
      </c>
      <c r="BG1004">
        <v>-0.2856507151652779</v>
      </c>
      <c r="BH1004">
        <v>0.24681592039801001</v>
      </c>
      <c r="BI1004">
        <v>1.1255706186800101</v>
      </c>
      <c r="BJ1004">
        <v>80</v>
      </c>
      <c r="BK1004">
        <v>1897.290225590051</v>
      </c>
      <c r="BL1004">
        <v>924.8521672879624</v>
      </c>
      <c r="BM1004">
        <v>6.0058745875305064</v>
      </c>
      <c r="BN1004">
        <v>1020.998679880186</v>
      </c>
      <c r="BO1004">
        <v>876.29154570986532</v>
      </c>
    </row>
    <row r="1005" spans="1:67" x14ac:dyDescent="0.25">
      <c r="A1005" s="1">
        <v>1003</v>
      </c>
      <c r="B1005" t="s">
        <v>78</v>
      </c>
      <c r="C1005" t="s">
        <v>87</v>
      </c>
      <c r="D1005">
        <v>1</v>
      </c>
      <c r="E1005">
        <v>4</v>
      </c>
      <c r="F1005">
        <v>1</v>
      </c>
      <c r="G1005">
        <v>32.041060000000002</v>
      </c>
      <c r="H1005">
        <v>6</v>
      </c>
      <c r="I1005" t="s">
        <v>89</v>
      </c>
      <c r="J1005">
        <v>2.5</v>
      </c>
      <c r="K1005">
        <v>200</v>
      </c>
      <c r="L1005">
        <v>50</v>
      </c>
      <c r="N1005" t="s">
        <v>90</v>
      </c>
      <c r="O1005">
        <v>50</v>
      </c>
      <c r="P1005">
        <v>0.3125</v>
      </c>
      <c r="Q1005">
        <v>3.2500000000000001E-2</v>
      </c>
      <c r="R1005">
        <v>77.5</v>
      </c>
      <c r="S1005">
        <v>170</v>
      </c>
      <c r="T1005">
        <v>50</v>
      </c>
      <c r="U1005">
        <v>1812.1301775147931</v>
      </c>
      <c r="V1005">
        <v>20</v>
      </c>
      <c r="W1005">
        <v>0.95</v>
      </c>
      <c r="X1005">
        <v>1</v>
      </c>
      <c r="Y1005">
        <v>162605.59353956551</v>
      </c>
      <c r="Z1005">
        <v>325211187.07913113</v>
      </c>
      <c r="AA1005">
        <v>813027967.6978277</v>
      </c>
      <c r="AB1005">
        <v>813027.96769782773</v>
      </c>
      <c r="AC1005">
        <v>0</v>
      </c>
      <c r="AD1005">
        <v>3370.5764109886909</v>
      </c>
      <c r="AE1005">
        <v>2022345.846593214</v>
      </c>
      <c r="AF1005">
        <v>1011172.923296607</v>
      </c>
      <c r="AG1005">
        <v>32.399052305721987</v>
      </c>
      <c r="AH1005">
        <v>333.76290265712771</v>
      </c>
      <c r="AI1005">
        <v>166.8814513285638</v>
      </c>
      <c r="AJ1005">
        <v>26423.408950179401</v>
      </c>
      <c r="AK1005">
        <v>854.70085470085473</v>
      </c>
      <c r="AL1005" t="s">
        <v>93</v>
      </c>
      <c r="AM1005">
        <v>25866.624955927389</v>
      </c>
      <c r="AN1005">
        <v>1814.6423075155899</v>
      </c>
      <c r="AO1005">
        <v>28369.846725855848</v>
      </c>
      <c r="AP1005">
        <v>54959.377068323243</v>
      </c>
      <c r="AQ1005">
        <v>26589.53034246738</v>
      </c>
      <c r="AR1005">
        <v>2.613144432708334E-2</v>
      </c>
      <c r="AS1005">
        <v>815.56116829728285</v>
      </c>
      <c r="AT1005">
        <v>798.37597445278027</v>
      </c>
      <c r="AU1005">
        <v>56.009116883801759</v>
      </c>
      <c r="AV1005">
        <v>875.63816552885589</v>
      </c>
      <c r="AW1005">
        <v>1696.3266872659999</v>
      </c>
      <c r="AX1005">
        <v>820.68852173714379</v>
      </c>
      <c r="AY1005">
        <v>5.1508127384050351</v>
      </c>
      <c r="AZ1005" t="s">
        <v>129</v>
      </c>
      <c r="BA1005" t="str">
        <f>VLOOKUP($AZ1005,Sheet1!$A$2:$B$58,2)</f>
        <v>Glutarate</v>
      </c>
      <c r="BB1005" t="s">
        <v>179</v>
      </c>
      <c r="BC1005">
        <v>130.09654</v>
      </c>
      <c r="BD1005">
        <v>3.6</v>
      </c>
      <c r="BE1005">
        <v>200</v>
      </c>
      <c r="BF1005" t="s">
        <v>215</v>
      </c>
      <c r="BG1005">
        <v>8.863259303894841E-2</v>
      </c>
      <c r="BH1005">
        <v>0.190041666666667</v>
      </c>
      <c r="BI1005">
        <v>0.77162750823994797</v>
      </c>
      <c r="BJ1005">
        <v>80</v>
      </c>
      <c r="BK1005">
        <v>2747.968853416161</v>
      </c>
      <c r="BL1005">
        <v>1329.4765171233689</v>
      </c>
      <c r="BM1005">
        <v>8.2554399733892456</v>
      </c>
      <c r="BN1005">
        <v>1403.424795476172</v>
      </c>
      <c r="BO1005">
        <v>1344.544057939989</v>
      </c>
    </row>
    <row r="1006" spans="1:67" x14ac:dyDescent="0.25">
      <c r="A1006" s="1">
        <v>1004</v>
      </c>
      <c r="B1006" t="s">
        <v>78</v>
      </c>
      <c r="C1006" t="s">
        <v>87</v>
      </c>
      <c r="D1006">
        <v>1</v>
      </c>
      <c r="E1006">
        <v>4</v>
      </c>
      <c r="F1006">
        <v>1</v>
      </c>
      <c r="G1006">
        <v>32.041060000000002</v>
      </c>
      <c r="H1006">
        <v>6</v>
      </c>
      <c r="I1006" t="s">
        <v>89</v>
      </c>
      <c r="J1006">
        <v>2.5</v>
      </c>
      <c r="K1006">
        <v>200</v>
      </c>
      <c r="L1006">
        <v>50</v>
      </c>
      <c r="N1006" t="s">
        <v>90</v>
      </c>
      <c r="O1006">
        <v>50</v>
      </c>
      <c r="P1006">
        <v>0.3125</v>
      </c>
      <c r="Q1006">
        <v>3.2500000000000001E-2</v>
      </c>
      <c r="R1006">
        <v>77.5</v>
      </c>
      <c r="S1006">
        <v>170</v>
      </c>
      <c r="T1006">
        <v>50</v>
      </c>
      <c r="U1006">
        <v>1812.1301775147931</v>
      </c>
      <c r="V1006">
        <v>20</v>
      </c>
      <c r="W1006">
        <v>0.95</v>
      </c>
      <c r="X1006">
        <v>1</v>
      </c>
      <c r="Y1006">
        <v>79827.346156513799</v>
      </c>
      <c r="Z1006">
        <v>159654692.31302759</v>
      </c>
      <c r="AA1006">
        <v>399136730.78256899</v>
      </c>
      <c r="AB1006">
        <v>399136.73078256898</v>
      </c>
      <c r="AC1006">
        <v>0</v>
      </c>
      <c r="AD1006">
        <v>1654.7042696997071</v>
      </c>
      <c r="AE1006">
        <v>992822.56181982404</v>
      </c>
      <c r="AF1006">
        <v>496411.28090991202</v>
      </c>
      <c r="AG1006">
        <v>15.90554363631135</v>
      </c>
      <c r="AH1006">
        <v>163.85295354633919</v>
      </c>
      <c r="AI1006">
        <v>81.926476773169611</v>
      </c>
      <c r="AJ1006">
        <v>12971.943750433489</v>
      </c>
      <c r="AK1006">
        <v>854.70085470085473</v>
      </c>
      <c r="AL1006" t="s">
        <v>93</v>
      </c>
      <c r="AM1006">
        <v>12698.60389984129</v>
      </c>
      <c r="AN1006">
        <v>890.85545262657172</v>
      </c>
      <c r="AO1006">
        <v>13927.50105143883</v>
      </c>
      <c r="AP1006">
        <v>27416.103957602209</v>
      </c>
      <c r="AQ1006">
        <v>13488.60290616338</v>
      </c>
      <c r="AR1006">
        <v>2.613144432708334E-2</v>
      </c>
      <c r="AS1006">
        <v>815.56116829728285</v>
      </c>
      <c r="AT1006">
        <v>798.37597445278027</v>
      </c>
      <c r="AU1006">
        <v>56.009116883801767</v>
      </c>
      <c r="AV1006">
        <v>875.63816552885578</v>
      </c>
      <c r="AW1006">
        <v>1723.6822949586581</v>
      </c>
      <c r="AX1006">
        <v>848.04412942980184</v>
      </c>
      <c r="AY1006">
        <v>5.1508127384050342</v>
      </c>
      <c r="AZ1006" t="s">
        <v>130</v>
      </c>
      <c r="BA1006" t="str">
        <f>VLOOKUP($AZ1006,Sheet1!$A$2:$B$58,2)</f>
        <v>Glycolate</v>
      </c>
      <c r="BB1006" t="s">
        <v>180</v>
      </c>
      <c r="BC1006">
        <v>75.041920000000005</v>
      </c>
      <c r="BD1006">
        <v>2.5</v>
      </c>
      <c r="BE1006">
        <v>112</v>
      </c>
      <c r="BF1006" t="s">
        <v>215</v>
      </c>
      <c r="BG1006">
        <v>-0.29906198336161388</v>
      </c>
      <c r="BH1006">
        <v>0.67111111111111099</v>
      </c>
      <c r="BI1006">
        <v>1.57177903325018</v>
      </c>
      <c r="BJ1006">
        <v>80</v>
      </c>
      <c r="BK1006">
        <v>1370.80519788011</v>
      </c>
      <c r="BL1006">
        <v>674.4301453081689</v>
      </c>
      <c r="BM1006">
        <v>4.3953858220200939</v>
      </c>
      <c r="BN1006">
        <v>747.21558974341599</v>
      </c>
      <c r="BO1006">
        <v>623.58960813669444</v>
      </c>
    </row>
    <row r="1007" spans="1:67" x14ac:dyDescent="0.25">
      <c r="A1007" s="1">
        <v>1005</v>
      </c>
      <c r="B1007" t="s">
        <v>78</v>
      </c>
      <c r="C1007" t="s">
        <v>87</v>
      </c>
      <c r="D1007">
        <v>1</v>
      </c>
      <c r="E1007">
        <v>4</v>
      </c>
      <c r="F1007">
        <v>1</v>
      </c>
      <c r="G1007">
        <v>32.041060000000002</v>
      </c>
      <c r="H1007">
        <v>6</v>
      </c>
      <c r="I1007" t="s">
        <v>89</v>
      </c>
      <c r="J1007">
        <v>2.5</v>
      </c>
      <c r="K1007">
        <v>200</v>
      </c>
      <c r="L1007">
        <v>50</v>
      </c>
      <c r="N1007" t="s">
        <v>90</v>
      </c>
      <c r="O1007">
        <v>50</v>
      </c>
      <c r="P1007">
        <v>0.3125</v>
      </c>
      <c r="Q1007">
        <v>3.2500000000000001E-2</v>
      </c>
      <c r="R1007">
        <v>77.5</v>
      </c>
      <c r="S1007">
        <v>170</v>
      </c>
      <c r="T1007">
        <v>50</v>
      </c>
      <c r="U1007">
        <v>1812.1301775147931</v>
      </c>
      <c r="V1007">
        <v>20</v>
      </c>
      <c r="W1007">
        <v>0.95</v>
      </c>
      <c r="X1007">
        <v>1</v>
      </c>
      <c r="Y1007">
        <v>341612.03897248121</v>
      </c>
      <c r="Z1007">
        <v>683224077.94496238</v>
      </c>
      <c r="AA1007">
        <v>1708060194.862406</v>
      </c>
      <c r="AB1007">
        <v>1708060.194862406</v>
      </c>
      <c r="AC1007">
        <v>0</v>
      </c>
      <c r="AD1007">
        <v>7081.1185224709161</v>
      </c>
      <c r="AE1007">
        <v>4248671.1134825498</v>
      </c>
      <c r="AF1007">
        <v>2124335.5567412749</v>
      </c>
      <c r="AG1007">
        <v>68.065963033680603</v>
      </c>
      <c r="AH1007">
        <v>701.19005889137622</v>
      </c>
      <c r="AI1007">
        <v>350.59502944568811</v>
      </c>
      <c r="AJ1007">
        <v>55511.956333028204</v>
      </c>
      <c r="AK1007">
        <v>854.70085470085473</v>
      </c>
      <c r="AL1007" t="s">
        <v>93</v>
      </c>
      <c r="AM1007">
        <v>54342.229564081659</v>
      </c>
      <c r="AN1007">
        <v>3812.3144793619472</v>
      </c>
      <c r="AO1007">
        <v>59601.155005766981</v>
      </c>
      <c r="AP1007">
        <v>114521.2012311727</v>
      </c>
      <c r="AQ1007">
        <v>54920.046225405677</v>
      </c>
      <c r="AR1007">
        <v>2.6131444327083329E-2</v>
      </c>
      <c r="AS1007">
        <v>815.56116829728262</v>
      </c>
      <c r="AT1007">
        <v>798.37597445278016</v>
      </c>
      <c r="AU1007">
        <v>56.009116883801759</v>
      </c>
      <c r="AV1007">
        <v>875.63816552885567</v>
      </c>
      <c r="AW1007">
        <v>1682.503209048919</v>
      </c>
      <c r="AX1007">
        <v>806.86504352006284</v>
      </c>
      <c r="AY1007">
        <v>5.1508127384050324</v>
      </c>
      <c r="AZ1007" t="s">
        <v>131</v>
      </c>
      <c r="BA1007" t="str">
        <f>VLOOKUP($AZ1007,Sheet1!$A$2:$B$58,2)</f>
        <v>Heptane</v>
      </c>
      <c r="BB1007" t="s">
        <v>181</v>
      </c>
      <c r="BC1007">
        <v>100.20034</v>
      </c>
      <c r="BD1007">
        <v>6.2857142857142856</v>
      </c>
      <c r="BE1007">
        <v>98</v>
      </c>
      <c r="BF1007" t="s">
        <v>215</v>
      </c>
      <c r="BG1007">
        <v>0.66513984845619456</v>
      </c>
      <c r="BH1007">
        <v>0.11744855967078199</v>
      </c>
      <c r="BI1007">
        <v>0.36729077039032598</v>
      </c>
      <c r="BJ1007">
        <v>80</v>
      </c>
      <c r="BK1007">
        <v>5726.0600615586336</v>
      </c>
      <c r="BL1007">
        <v>2746.0023112702838</v>
      </c>
      <c r="BM1007">
        <v>16.86461162382821</v>
      </c>
      <c r="BN1007">
        <v>2866.9839760507962</v>
      </c>
      <c r="BO1007">
        <v>2859.0760855078379</v>
      </c>
    </row>
    <row r="1008" spans="1:67" x14ac:dyDescent="0.25">
      <c r="A1008" s="1">
        <v>1006</v>
      </c>
      <c r="B1008" t="s">
        <v>78</v>
      </c>
      <c r="C1008" t="s">
        <v>87</v>
      </c>
      <c r="D1008">
        <v>1</v>
      </c>
      <c r="E1008">
        <v>4</v>
      </c>
      <c r="F1008">
        <v>1</v>
      </c>
      <c r="G1008">
        <v>32.041060000000002</v>
      </c>
      <c r="H1008">
        <v>6</v>
      </c>
      <c r="I1008" t="s">
        <v>89</v>
      </c>
      <c r="J1008">
        <v>2.5</v>
      </c>
      <c r="K1008">
        <v>200</v>
      </c>
      <c r="L1008">
        <v>50</v>
      </c>
      <c r="N1008" t="s">
        <v>90</v>
      </c>
      <c r="O1008">
        <v>50</v>
      </c>
      <c r="P1008">
        <v>0.3125</v>
      </c>
      <c r="Q1008">
        <v>3.2500000000000001E-2</v>
      </c>
      <c r="R1008">
        <v>77.5</v>
      </c>
      <c r="S1008">
        <v>170</v>
      </c>
      <c r="T1008">
        <v>50</v>
      </c>
      <c r="U1008">
        <v>1812.1301775147931</v>
      </c>
      <c r="V1008">
        <v>20</v>
      </c>
      <c r="W1008">
        <v>0.95</v>
      </c>
      <c r="X1008">
        <v>1</v>
      </c>
      <c r="Y1008">
        <v>335753.44512540981</v>
      </c>
      <c r="Z1008">
        <v>671506890.25081944</v>
      </c>
      <c r="AA1008">
        <v>1678767225.627048</v>
      </c>
      <c r="AB1008">
        <v>1678767.2256270479</v>
      </c>
      <c r="AC1008">
        <v>0</v>
      </c>
      <c r="AD1008">
        <v>6959.6784305733527</v>
      </c>
      <c r="AE1008">
        <v>4175807.0583440121</v>
      </c>
      <c r="AF1008">
        <v>2087903.5291720061</v>
      </c>
      <c r="AG1008">
        <v>66.898642252411989</v>
      </c>
      <c r="AH1008">
        <v>689.16475739144983</v>
      </c>
      <c r="AI1008">
        <v>344.58237869572491</v>
      </c>
      <c r="AJ1008">
        <v>54559.934832879073</v>
      </c>
      <c r="AK1008">
        <v>854.70085470085473</v>
      </c>
      <c r="AL1008" t="s">
        <v>93</v>
      </c>
      <c r="AM1008">
        <v>53410.26869783736</v>
      </c>
      <c r="AN1008">
        <v>3746.9338732829829</v>
      </c>
      <c r="AO1008">
        <v>58579.004378273232</v>
      </c>
      <c r="AP1008">
        <v>112571.8382587003</v>
      </c>
      <c r="AQ1008">
        <v>53992.833880427039</v>
      </c>
      <c r="AR1008">
        <v>2.6131444327083329E-2</v>
      </c>
      <c r="AS1008">
        <v>815.56116829728262</v>
      </c>
      <c r="AT1008">
        <v>798.37597445278027</v>
      </c>
      <c r="AU1008">
        <v>56.009116883801767</v>
      </c>
      <c r="AV1008">
        <v>875.63816552885567</v>
      </c>
      <c r="AW1008">
        <v>1682.7223164554071</v>
      </c>
      <c r="AX1008">
        <v>807.08415092655139</v>
      </c>
      <c r="AY1008">
        <v>5.1508127384050342</v>
      </c>
      <c r="AZ1008" t="s">
        <v>132</v>
      </c>
      <c r="BA1008" t="str">
        <f>VLOOKUP($AZ1008,Sheet1!$A$2:$B$58,2)</f>
        <v>Hexane</v>
      </c>
      <c r="BB1008" t="s">
        <v>182</v>
      </c>
      <c r="BC1008">
        <v>86.173959999999994</v>
      </c>
      <c r="BD1008">
        <v>6.333333333333333</v>
      </c>
      <c r="BE1008">
        <v>69</v>
      </c>
      <c r="BF1008" t="s">
        <v>215</v>
      </c>
      <c r="BG1008">
        <v>0.61127862674435385</v>
      </c>
      <c r="BH1008">
        <v>0.13894839337877299</v>
      </c>
      <c r="BI1008">
        <v>0.37369966203011601</v>
      </c>
      <c r="BJ1008">
        <v>80</v>
      </c>
      <c r="BK1008">
        <v>5628.5919129350132</v>
      </c>
      <c r="BL1008">
        <v>2699.6416940213521</v>
      </c>
      <c r="BM1008">
        <v>16.617840308041892</v>
      </c>
      <c r="BN1008">
        <v>2825.032852367121</v>
      </c>
      <c r="BO1008">
        <v>2803.5590605678922</v>
      </c>
    </row>
    <row r="1009" spans="1:67" x14ac:dyDescent="0.25">
      <c r="A1009" s="1">
        <v>1007</v>
      </c>
      <c r="B1009" t="s">
        <v>78</v>
      </c>
      <c r="C1009" t="s">
        <v>87</v>
      </c>
      <c r="D1009">
        <v>1</v>
      </c>
      <c r="E1009">
        <v>4</v>
      </c>
      <c r="F1009">
        <v>1</v>
      </c>
      <c r="G1009">
        <v>32.041060000000002</v>
      </c>
      <c r="H1009">
        <v>6</v>
      </c>
      <c r="I1009" t="s">
        <v>89</v>
      </c>
      <c r="J1009">
        <v>2.5</v>
      </c>
      <c r="K1009">
        <v>200</v>
      </c>
      <c r="L1009">
        <v>50</v>
      </c>
      <c r="N1009" t="s">
        <v>90</v>
      </c>
      <c r="O1009">
        <v>50</v>
      </c>
      <c r="P1009">
        <v>0.3125</v>
      </c>
      <c r="Q1009">
        <v>3.2500000000000001E-2</v>
      </c>
      <c r="R1009">
        <v>77.5</v>
      </c>
      <c r="S1009">
        <v>170</v>
      </c>
      <c r="T1009">
        <v>50</v>
      </c>
      <c r="U1009">
        <v>1812.1301775147931</v>
      </c>
      <c r="V1009">
        <v>20</v>
      </c>
      <c r="W1009">
        <v>0.95</v>
      </c>
      <c r="X1009">
        <v>1</v>
      </c>
      <c r="Y1009">
        <v>216441.9171636051</v>
      </c>
      <c r="Z1009">
        <v>432883834.32721013</v>
      </c>
      <c r="AA1009">
        <v>1082209585.8180251</v>
      </c>
      <c r="AB1009">
        <v>1082209.5858180251</v>
      </c>
      <c r="AC1009">
        <v>0</v>
      </c>
      <c r="AD1009">
        <v>4486.5247526881894</v>
      </c>
      <c r="AE1009">
        <v>2691914.8516129139</v>
      </c>
      <c r="AF1009">
        <v>1345957.4258064569</v>
      </c>
      <c r="AG1009">
        <v>43.125902637710233</v>
      </c>
      <c r="AH1009">
        <v>444.2668973230663</v>
      </c>
      <c r="AI1009">
        <v>222.13344866153321</v>
      </c>
      <c r="AJ1009">
        <v>35171.811539085822</v>
      </c>
      <c r="AK1009">
        <v>854.70085470085473</v>
      </c>
      <c r="AL1009" t="s">
        <v>93</v>
      </c>
      <c r="AM1009">
        <v>34430.684542537638</v>
      </c>
      <c r="AN1009">
        <v>2415.4437215549679</v>
      </c>
      <c r="AO1009">
        <v>37762.686272460633</v>
      </c>
      <c r="AP1009">
        <v>72872.640657879281</v>
      </c>
      <c r="AQ1009">
        <v>35109.954385418649</v>
      </c>
      <c r="AR1009">
        <v>2.6131444327083329E-2</v>
      </c>
      <c r="AS1009">
        <v>815.56116829728262</v>
      </c>
      <c r="AT1009">
        <v>798.37597445278027</v>
      </c>
      <c r="AU1009">
        <v>56.009116883801767</v>
      </c>
      <c r="AV1009">
        <v>875.63816552885567</v>
      </c>
      <c r="AW1009">
        <v>1689.7649950672071</v>
      </c>
      <c r="AX1009">
        <v>814.12682953835122</v>
      </c>
      <c r="AY1009">
        <v>5.1508127384050351</v>
      </c>
      <c r="AZ1009" t="s">
        <v>133</v>
      </c>
      <c r="BA1009" t="str">
        <f>VLOOKUP($AZ1009,Sheet1!$A$2:$B$58,2)</f>
        <v>Isobutanol</v>
      </c>
      <c r="BB1009" t="s">
        <v>183</v>
      </c>
      <c r="BC1009">
        <v>86.130899999999997</v>
      </c>
      <c r="BD1009">
        <v>5.6</v>
      </c>
      <c r="BE1009">
        <v>108</v>
      </c>
      <c r="BF1009" t="s">
        <v>215</v>
      </c>
      <c r="BG1009">
        <v>0.32555766206356768</v>
      </c>
      <c r="BH1009">
        <v>0.21565011820331001</v>
      </c>
      <c r="BI1009">
        <v>0.57969801142526001</v>
      </c>
      <c r="BJ1009">
        <v>80</v>
      </c>
      <c r="BK1009">
        <v>3643.6320328939642</v>
      </c>
      <c r="BL1009">
        <v>1755.497719270933</v>
      </c>
      <c r="BM1009">
        <v>10.78111477101309</v>
      </c>
      <c r="BN1009">
        <v>1832.7895110722261</v>
      </c>
      <c r="BO1009">
        <v>1810.842521821739</v>
      </c>
    </row>
    <row r="1010" spans="1:67" x14ac:dyDescent="0.25">
      <c r="A1010" s="1">
        <v>1008</v>
      </c>
      <c r="B1010" t="s">
        <v>78</v>
      </c>
      <c r="C1010" t="s">
        <v>87</v>
      </c>
      <c r="D1010">
        <v>1</v>
      </c>
      <c r="E1010">
        <v>4</v>
      </c>
      <c r="F1010">
        <v>1</v>
      </c>
      <c r="G1010">
        <v>32.041060000000002</v>
      </c>
      <c r="H1010">
        <v>6</v>
      </c>
      <c r="I1010" t="s">
        <v>89</v>
      </c>
      <c r="J1010">
        <v>2.5</v>
      </c>
      <c r="K1010">
        <v>200</v>
      </c>
      <c r="L1010">
        <v>50</v>
      </c>
      <c r="N1010" t="s">
        <v>90</v>
      </c>
      <c r="O1010">
        <v>50</v>
      </c>
      <c r="P1010">
        <v>0.3125</v>
      </c>
      <c r="Q1010">
        <v>3.2500000000000001E-2</v>
      </c>
      <c r="R1010">
        <v>77.5</v>
      </c>
      <c r="S1010">
        <v>170</v>
      </c>
      <c r="T1010">
        <v>50</v>
      </c>
      <c r="U1010">
        <v>1812.1301775147931</v>
      </c>
      <c r="V1010">
        <v>20</v>
      </c>
      <c r="W1010">
        <v>0.95</v>
      </c>
      <c r="X1010">
        <v>1</v>
      </c>
      <c r="Y1010">
        <v>191273.6632805811</v>
      </c>
      <c r="Z1010">
        <v>382547326.56116217</v>
      </c>
      <c r="AA1010">
        <v>956368316.40290558</v>
      </c>
      <c r="AB1010">
        <v>956368.31640290562</v>
      </c>
      <c r="AC1010">
        <v>0</v>
      </c>
      <c r="AD1010">
        <v>3964.8236168459371</v>
      </c>
      <c r="AE1010">
        <v>2378894.1701075621</v>
      </c>
      <c r="AF1010">
        <v>1189447.085053781</v>
      </c>
      <c r="AG1010">
        <v>38.111145419033313</v>
      </c>
      <c r="AH1010">
        <v>392.60674659912678</v>
      </c>
      <c r="AI1010">
        <v>196.30337329956339</v>
      </c>
      <c r="AJ1010">
        <v>31081.97028309443</v>
      </c>
      <c r="AK1010">
        <v>854.70085470085473</v>
      </c>
      <c r="AL1010" t="s">
        <v>93</v>
      </c>
      <c r="AM1010">
        <v>30427.022861432331</v>
      </c>
      <c r="AN1010">
        <v>2134.5715983502018</v>
      </c>
      <c r="AO1010">
        <v>33371.573460925778</v>
      </c>
      <c r="AP1010">
        <v>64498.265597577818</v>
      </c>
      <c r="AQ1010">
        <v>31126.69213665204</v>
      </c>
      <c r="AR1010">
        <v>2.6131444327083329E-2</v>
      </c>
      <c r="AS1010">
        <v>815.56116829728273</v>
      </c>
      <c r="AT1010">
        <v>798.37597445278038</v>
      </c>
      <c r="AU1010">
        <v>56.009116883801752</v>
      </c>
      <c r="AV1010">
        <v>875.63816552885578</v>
      </c>
      <c r="AW1010">
        <v>1692.372792484121</v>
      </c>
      <c r="AX1010">
        <v>816.73462695526541</v>
      </c>
      <c r="AY1010">
        <v>5.1508127384050342</v>
      </c>
      <c r="AZ1010" t="s">
        <v>134</v>
      </c>
      <c r="BA1010" t="str">
        <f>VLOOKUP($AZ1010,Sheet1!$A$2:$B$58,2)</f>
        <v>Isobutyrate</v>
      </c>
      <c r="BB1010" t="s">
        <v>170</v>
      </c>
      <c r="BC1010">
        <v>87.095680000000002</v>
      </c>
      <c r="BD1010">
        <v>4.75</v>
      </c>
      <c r="BE1010">
        <v>155</v>
      </c>
      <c r="BF1010" t="s">
        <v>215</v>
      </c>
      <c r="BG1010">
        <v>7.2677255948932623E-2</v>
      </c>
      <c r="BH1010">
        <v>0.24132275132275099</v>
      </c>
      <c r="BI1010">
        <v>0.655976085870004</v>
      </c>
      <c r="BJ1010">
        <v>80</v>
      </c>
      <c r="BK1010">
        <v>3224.913279878891</v>
      </c>
      <c r="BL1010">
        <v>1556.334606832602</v>
      </c>
      <c r="BM1010">
        <v>9.7424914090292383</v>
      </c>
      <c r="BN1010">
        <v>1656.223539534971</v>
      </c>
      <c r="BO1010">
        <v>1568.68974034392</v>
      </c>
    </row>
    <row r="1011" spans="1:67" x14ac:dyDescent="0.25">
      <c r="A1011" s="1">
        <v>1009</v>
      </c>
      <c r="B1011" t="s">
        <v>78</v>
      </c>
      <c r="C1011" t="s">
        <v>87</v>
      </c>
      <c r="D1011">
        <v>1</v>
      </c>
      <c r="E1011">
        <v>4</v>
      </c>
      <c r="F1011">
        <v>1</v>
      </c>
      <c r="G1011">
        <v>32.041060000000002</v>
      </c>
      <c r="H1011">
        <v>6</v>
      </c>
      <c r="I1011" t="s">
        <v>89</v>
      </c>
      <c r="J1011">
        <v>2.5</v>
      </c>
      <c r="K1011">
        <v>200</v>
      </c>
      <c r="L1011">
        <v>50</v>
      </c>
      <c r="N1011" t="s">
        <v>90</v>
      </c>
      <c r="O1011">
        <v>50</v>
      </c>
      <c r="P1011">
        <v>0.3125</v>
      </c>
      <c r="Q1011">
        <v>3.2500000000000001E-2</v>
      </c>
      <c r="R1011">
        <v>77.5</v>
      </c>
      <c r="S1011">
        <v>170</v>
      </c>
      <c r="T1011">
        <v>50</v>
      </c>
      <c r="U1011">
        <v>1812.1301775147931</v>
      </c>
      <c r="V1011">
        <v>20</v>
      </c>
      <c r="W1011">
        <v>0.95</v>
      </c>
      <c r="X1011">
        <v>1</v>
      </c>
      <c r="Y1011">
        <v>329973.92798885232</v>
      </c>
      <c r="Z1011">
        <v>659947855.97770452</v>
      </c>
      <c r="AA1011">
        <v>1649869639.9442611</v>
      </c>
      <c r="AB1011">
        <v>1649869.6399442609</v>
      </c>
      <c r="AC1011">
        <v>66773.504273504266</v>
      </c>
      <c r="AD1011">
        <v>6839.8774833651914</v>
      </c>
      <c r="AE1011">
        <v>4103926.4900191142</v>
      </c>
      <c r="AF1011">
        <v>2051963.2450095571</v>
      </c>
      <c r="AG1011">
        <v>65.747077451145913</v>
      </c>
      <c r="AH1011">
        <v>677.30176809652949</v>
      </c>
      <c r="AI1011">
        <v>338.65088404826469</v>
      </c>
      <c r="AJ1011">
        <v>53620.763298188504</v>
      </c>
      <c r="AK1011">
        <v>2170.1388888888891</v>
      </c>
      <c r="AL1011" t="s">
        <v>95</v>
      </c>
      <c r="AM1011">
        <v>52490.887027481032</v>
      </c>
      <c r="AN1011">
        <v>3682.4357457295991</v>
      </c>
      <c r="AO1011">
        <v>57570.650288204997</v>
      </c>
      <c r="AP1011">
        <v>111964.224960288</v>
      </c>
      <c r="AQ1011">
        <v>54393.574672083007</v>
      </c>
      <c r="AR1011">
        <v>2.613144432708334E-2</v>
      </c>
      <c r="AS1011">
        <v>815.56116829728285</v>
      </c>
      <c r="AT1011">
        <v>798.37597445278016</v>
      </c>
      <c r="AU1011">
        <v>56.009116883801767</v>
      </c>
      <c r="AV1011">
        <v>875.63816552885567</v>
      </c>
      <c r="AW1011">
        <v>1702.953641452493</v>
      </c>
      <c r="AX1011">
        <v>827.31547592363711</v>
      </c>
      <c r="AY1011">
        <v>5.1508127384050342</v>
      </c>
      <c r="AZ1011" t="s">
        <v>135</v>
      </c>
      <c r="BA1011" t="str">
        <f>VLOOKUP($AZ1011,Sheet1!$A$2:$B$58,2)</f>
        <v>Isoprene</v>
      </c>
      <c r="BB1011" t="s">
        <v>184</v>
      </c>
      <c r="BC1011">
        <v>68.116219999999998</v>
      </c>
      <c r="BD1011">
        <v>5.6</v>
      </c>
      <c r="BE1011">
        <v>34.07</v>
      </c>
      <c r="BF1011" t="s">
        <v>215</v>
      </c>
      <c r="BG1011">
        <v>0.38176800314146941</v>
      </c>
      <c r="BH1011">
        <v>0.17886274509803901</v>
      </c>
      <c r="BI1011">
        <v>0.38024503855059599</v>
      </c>
      <c r="BJ1011">
        <v>80</v>
      </c>
      <c r="BK1011">
        <v>5598.2112480144006</v>
      </c>
      <c r="BL1011">
        <v>2719.6787336041511</v>
      </c>
      <c r="BM1011">
        <v>16.55077619927177</v>
      </c>
      <c r="BN1011">
        <v>2813.6319538762009</v>
      </c>
      <c r="BO1011">
        <v>2784.5792941382001</v>
      </c>
    </row>
    <row r="1012" spans="1:67" x14ac:dyDescent="0.25">
      <c r="A1012" s="1">
        <v>1010</v>
      </c>
      <c r="B1012" t="s">
        <v>78</v>
      </c>
      <c r="C1012" t="s">
        <v>87</v>
      </c>
      <c r="D1012">
        <v>1</v>
      </c>
      <c r="E1012">
        <v>4</v>
      </c>
      <c r="F1012">
        <v>1</v>
      </c>
      <c r="G1012">
        <v>32.041060000000002</v>
      </c>
      <c r="H1012">
        <v>6</v>
      </c>
      <c r="I1012" t="s">
        <v>89</v>
      </c>
      <c r="J1012">
        <v>2.5</v>
      </c>
      <c r="K1012">
        <v>200</v>
      </c>
      <c r="L1012">
        <v>50</v>
      </c>
      <c r="N1012" t="s">
        <v>90</v>
      </c>
      <c r="O1012">
        <v>50</v>
      </c>
      <c r="P1012">
        <v>0.3125</v>
      </c>
      <c r="Q1012">
        <v>3.2500000000000001E-2</v>
      </c>
      <c r="R1012">
        <v>77.5</v>
      </c>
      <c r="S1012">
        <v>170</v>
      </c>
      <c r="T1012">
        <v>50</v>
      </c>
      <c r="U1012">
        <v>1812.1301775147931</v>
      </c>
      <c r="V1012">
        <v>20</v>
      </c>
      <c r="W1012">
        <v>0.95</v>
      </c>
      <c r="X1012">
        <v>1</v>
      </c>
      <c r="Y1012">
        <v>247441.1737350242</v>
      </c>
      <c r="Z1012">
        <v>494882347.47004843</v>
      </c>
      <c r="AA1012">
        <v>1237205868.6751211</v>
      </c>
      <c r="AB1012">
        <v>1237205.8686751211</v>
      </c>
      <c r="AC1012">
        <v>0</v>
      </c>
      <c r="AD1012">
        <v>5129.0940560153103</v>
      </c>
      <c r="AE1012">
        <v>3077456.4336091871</v>
      </c>
      <c r="AF1012">
        <v>1538728.2168045931</v>
      </c>
      <c r="AG1012">
        <v>49.302483118328993</v>
      </c>
      <c r="AH1012">
        <v>507.89571616177608</v>
      </c>
      <c r="AI1012">
        <v>253.9478580808881</v>
      </c>
      <c r="AJ1012">
        <v>40209.190731941439</v>
      </c>
      <c r="AK1012">
        <v>854.70085470085473</v>
      </c>
      <c r="AL1012" t="s">
        <v>93</v>
      </c>
      <c r="AM1012">
        <v>39361.918002537648</v>
      </c>
      <c r="AN1012">
        <v>2761.3885396361511</v>
      </c>
      <c r="AO1012">
        <v>43171.135873750973</v>
      </c>
      <c r="AP1012">
        <v>83187.198128816104</v>
      </c>
      <c r="AQ1012">
        <v>40016.062255065131</v>
      </c>
      <c r="AR1012">
        <v>2.6131444327083329E-2</v>
      </c>
      <c r="AS1012">
        <v>815.56116829728262</v>
      </c>
      <c r="AT1012">
        <v>798.37597445278016</v>
      </c>
      <c r="AU1012">
        <v>56.009116883801752</v>
      </c>
      <c r="AV1012">
        <v>875.63816552885578</v>
      </c>
      <c r="AW1012">
        <v>1687.282117802499</v>
      </c>
      <c r="AX1012">
        <v>811.64395227364344</v>
      </c>
      <c r="AY1012">
        <v>5.1508127384050333</v>
      </c>
      <c r="AZ1012" t="s">
        <v>136</v>
      </c>
      <c r="BA1012" t="str">
        <f>VLOOKUP($AZ1012,Sheet1!$A$2:$B$58,2)</f>
        <v>Isopropanol</v>
      </c>
      <c r="BB1012" t="s">
        <v>156</v>
      </c>
      <c r="BC1012">
        <v>60.093820000000001</v>
      </c>
      <c r="BD1012">
        <v>6</v>
      </c>
      <c r="BE1012">
        <v>82.5</v>
      </c>
      <c r="BF1012" t="s">
        <v>215</v>
      </c>
      <c r="BG1012">
        <v>0.51171262942262796</v>
      </c>
      <c r="BH1012">
        <v>0.27036363636363703</v>
      </c>
      <c r="BI1012">
        <v>0.50707385143256301</v>
      </c>
      <c r="BJ1012">
        <v>80</v>
      </c>
      <c r="BK1012">
        <v>4159.3599064408036</v>
      </c>
      <c r="BL1012">
        <v>2000.8031127532561</v>
      </c>
      <c r="BM1012">
        <v>12.185680274621779</v>
      </c>
      <c r="BN1012">
        <v>2071.5656466857022</v>
      </c>
      <c r="BO1012">
        <v>2087.7942597551018</v>
      </c>
    </row>
    <row r="1013" spans="1:67" x14ac:dyDescent="0.25">
      <c r="A1013" s="1">
        <v>1011</v>
      </c>
      <c r="B1013" t="s">
        <v>78</v>
      </c>
      <c r="C1013" t="s">
        <v>87</v>
      </c>
      <c r="D1013">
        <v>1</v>
      </c>
      <c r="E1013">
        <v>4</v>
      </c>
      <c r="F1013">
        <v>1</v>
      </c>
      <c r="G1013">
        <v>32.041060000000002</v>
      </c>
      <c r="H1013">
        <v>6</v>
      </c>
      <c r="I1013" t="s">
        <v>89</v>
      </c>
      <c r="J1013">
        <v>2.5</v>
      </c>
      <c r="K1013">
        <v>200</v>
      </c>
      <c r="L1013">
        <v>50</v>
      </c>
      <c r="N1013" t="s">
        <v>90</v>
      </c>
      <c r="O1013">
        <v>50</v>
      </c>
      <c r="P1013">
        <v>0.3125</v>
      </c>
      <c r="Q1013">
        <v>3.2500000000000001E-2</v>
      </c>
      <c r="R1013">
        <v>77.5</v>
      </c>
      <c r="S1013">
        <v>170</v>
      </c>
      <c r="T1013">
        <v>50</v>
      </c>
      <c r="U1013">
        <v>1812.1301775147931</v>
      </c>
      <c r="V1013">
        <v>20</v>
      </c>
      <c r="W1013">
        <v>0.95</v>
      </c>
      <c r="X1013">
        <v>1</v>
      </c>
      <c r="Y1013">
        <v>127172.3373104402</v>
      </c>
      <c r="Z1013">
        <v>254344674.62088031</v>
      </c>
      <c r="AA1013">
        <v>635861686.55220079</v>
      </c>
      <c r="AB1013">
        <v>635861.68655220082</v>
      </c>
      <c r="AC1013">
        <v>0</v>
      </c>
      <c r="AD1013">
        <v>2636.0967721849502</v>
      </c>
      <c r="AE1013">
        <v>1581658.0633109701</v>
      </c>
      <c r="AF1013">
        <v>790829.03165548493</v>
      </c>
      <c r="AG1013">
        <v>25.339000453015299</v>
      </c>
      <c r="AH1013">
        <v>261.03289262368412</v>
      </c>
      <c r="AI1013">
        <v>130.51644631184209</v>
      </c>
      <c r="AJ1013">
        <v>20665.504812946529</v>
      </c>
      <c r="AK1013">
        <v>854.70085470085473</v>
      </c>
      <c r="AL1013" t="s">
        <v>93</v>
      </c>
      <c r="AM1013">
        <v>20230.049178335521</v>
      </c>
      <c r="AN1013">
        <v>1419.2150380916401</v>
      </c>
      <c r="AO1013">
        <v>22187.79587301315</v>
      </c>
      <c r="AP1013">
        <v>43169.469884074548</v>
      </c>
      <c r="AQ1013">
        <v>20981.674011061401</v>
      </c>
      <c r="AR1013">
        <v>2.613144432708334E-2</v>
      </c>
      <c r="AS1013">
        <v>815.56116829728285</v>
      </c>
      <c r="AT1013">
        <v>798.37597445278004</v>
      </c>
      <c r="AU1013">
        <v>56.009116883801767</v>
      </c>
      <c r="AV1013">
        <v>875.63816552885555</v>
      </c>
      <c r="AW1013">
        <v>1703.676905650691</v>
      </c>
      <c r="AX1013">
        <v>828.03874012183519</v>
      </c>
      <c r="AY1013">
        <v>5.1508127384050324</v>
      </c>
      <c r="AZ1013" t="s">
        <v>137</v>
      </c>
      <c r="BA1013" t="str">
        <f>VLOOKUP($AZ1013,Sheet1!$A$2:$B$58,2)</f>
        <v>Itaconate</v>
      </c>
      <c r="BB1013" t="s">
        <v>185</v>
      </c>
      <c r="BC1013">
        <v>128.08086</v>
      </c>
      <c r="BD1013">
        <v>3.2</v>
      </c>
      <c r="BE1013">
        <v>381</v>
      </c>
      <c r="BF1013" t="s">
        <v>215</v>
      </c>
      <c r="BG1013">
        <v>-0.32587986992887169</v>
      </c>
      <c r="BH1013">
        <v>0.24681592039801001</v>
      </c>
      <c r="BI1013">
        <v>0.98662139599216303</v>
      </c>
      <c r="BJ1013">
        <v>80</v>
      </c>
      <c r="BK1013">
        <v>2158.4734942037271</v>
      </c>
      <c r="BL1013">
        <v>1049.08370055307</v>
      </c>
      <c r="BM1013">
        <v>6.851702185520975</v>
      </c>
      <c r="BN1013">
        <v>1164.789371538566</v>
      </c>
      <c r="BO1013">
        <v>993.68412266516134</v>
      </c>
    </row>
    <row r="1014" spans="1:67" x14ac:dyDescent="0.25">
      <c r="A1014" s="1">
        <v>1012</v>
      </c>
      <c r="B1014" t="s">
        <v>78</v>
      </c>
      <c r="C1014" t="s">
        <v>87</v>
      </c>
      <c r="D1014">
        <v>1</v>
      </c>
      <c r="E1014">
        <v>4</v>
      </c>
      <c r="F1014">
        <v>1</v>
      </c>
      <c r="G1014">
        <v>32.041060000000002</v>
      </c>
      <c r="H1014">
        <v>6</v>
      </c>
      <c r="I1014" t="s">
        <v>89</v>
      </c>
      <c r="J1014">
        <v>2.5</v>
      </c>
      <c r="K1014">
        <v>200</v>
      </c>
      <c r="L1014">
        <v>50</v>
      </c>
      <c r="N1014" t="s">
        <v>90</v>
      </c>
      <c r="O1014">
        <v>50</v>
      </c>
      <c r="P1014">
        <v>0.3125</v>
      </c>
      <c r="Q1014">
        <v>3.2500000000000001E-2</v>
      </c>
      <c r="R1014">
        <v>77.5</v>
      </c>
      <c r="S1014">
        <v>170</v>
      </c>
      <c r="T1014">
        <v>50</v>
      </c>
      <c r="U1014">
        <v>1812.1301775147931</v>
      </c>
      <c r="V1014">
        <v>20</v>
      </c>
      <c r="W1014">
        <v>0.95</v>
      </c>
      <c r="X1014">
        <v>1</v>
      </c>
      <c r="Y1014">
        <v>329003.41643594409</v>
      </c>
      <c r="Z1014">
        <v>658006832.87188816</v>
      </c>
      <c r="AA1014">
        <v>1645017082.1797199</v>
      </c>
      <c r="AB1014">
        <v>1645017.082179721</v>
      </c>
      <c r="AC1014">
        <v>0</v>
      </c>
      <c r="AD1014">
        <v>6819.7601966494149</v>
      </c>
      <c r="AE1014">
        <v>4091856.1179896491</v>
      </c>
      <c r="AF1014">
        <v>2045928.0589948241</v>
      </c>
      <c r="AG1014">
        <v>65.553703693936711</v>
      </c>
      <c r="AH1014">
        <v>675.30970407271661</v>
      </c>
      <c r="AI1014">
        <v>337.65485203635831</v>
      </c>
      <c r="AJ1014">
        <v>53463.055170840918</v>
      </c>
      <c r="AK1014">
        <v>854.70085470085473</v>
      </c>
      <c r="AL1014" t="s">
        <v>93</v>
      </c>
      <c r="AM1014">
        <v>52336.502065635541</v>
      </c>
      <c r="AN1014">
        <v>3671.6050523598101</v>
      </c>
      <c r="AO1014">
        <v>57401.324846180913</v>
      </c>
      <c r="AP1014">
        <v>110325.86314353711</v>
      </c>
      <c r="AQ1014">
        <v>52924.538297356208</v>
      </c>
      <c r="AR1014">
        <v>2.6131444327083329E-2</v>
      </c>
      <c r="AS1014">
        <v>815.56116829728273</v>
      </c>
      <c r="AT1014">
        <v>798.37597445278027</v>
      </c>
      <c r="AU1014">
        <v>56.009116883801781</v>
      </c>
      <c r="AV1014">
        <v>875.63816552885567</v>
      </c>
      <c r="AW1014">
        <v>1682.9844375938981</v>
      </c>
      <c r="AX1014">
        <v>807.34627206504263</v>
      </c>
      <c r="AY1014">
        <v>5.1508127384050333</v>
      </c>
      <c r="AZ1014" t="s">
        <v>138</v>
      </c>
      <c r="BA1014" t="str">
        <f>VLOOKUP($AZ1014,Sheet1!$A$2:$B$58,2)</f>
        <v>Limonene</v>
      </c>
      <c r="BB1014" t="s">
        <v>186</v>
      </c>
      <c r="BC1014">
        <v>136.23244</v>
      </c>
      <c r="BD1014">
        <v>5.6</v>
      </c>
      <c r="BE1014">
        <v>176</v>
      </c>
      <c r="BF1014" t="s">
        <v>215</v>
      </c>
      <c r="BG1014">
        <v>0.37114366168113011</v>
      </c>
      <c r="BH1014">
        <v>8.9695181907571406E-2</v>
      </c>
      <c r="BI1014">
        <v>0.38136670533098099</v>
      </c>
      <c r="BJ1014">
        <v>80</v>
      </c>
      <c r="BK1014">
        <v>5516.2931571768559</v>
      </c>
      <c r="BL1014">
        <v>2646.226914867811</v>
      </c>
      <c r="BM1014">
        <v>16.511598940136778</v>
      </c>
      <c r="BN1014">
        <v>2806.9718198232531</v>
      </c>
      <c r="BO1014">
        <v>2709.3213373536032</v>
      </c>
    </row>
    <row r="1015" spans="1:67" x14ac:dyDescent="0.25">
      <c r="A1015" s="1">
        <v>1013</v>
      </c>
      <c r="B1015" t="s">
        <v>78</v>
      </c>
      <c r="C1015" t="s">
        <v>87</v>
      </c>
      <c r="D1015">
        <v>1</v>
      </c>
      <c r="E1015">
        <v>4</v>
      </c>
      <c r="F1015">
        <v>1</v>
      </c>
      <c r="G1015">
        <v>32.041060000000002</v>
      </c>
      <c r="H1015">
        <v>6</v>
      </c>
      <c r="I1015" t="s">
        <v>89</v>
      </c>
      <c r="J1015">
        <v>2.5</v>
      </c>
      <c r="K1015">
        <v>200</v>
      </c>
      <c r="L1015">
        <v>50</v>
      </c>
      <c r="N1015" t="s">
        <v>90</v>
      </c>
      <c r="O1015">
        <v>50</v>
      </c>
      <c r="P1015">
        <v>0.3125</v>
      </c>
      <c r="Q1015">
        <v>3.2500000000000001E-2</v>
      </c>
      <c r="R1015">
        <v>77.5</v>
      </c>
      <c r="S1015">
        <v>170</v>
      </c>
      <c r="T1015">
        <v>50</v>
      </c>
      <c r="U1015">
        <v>1812.1301775147931</v>
      </c>
      <c r="V1015">
        <v>20</v>
      </c>
      <c r="W1015">
        <v>0.95</v>
      </c>
      <c r="X1015">
        <v>1</v>
      </c>
      <c r="Y1015">
        <v>158090.64287316409</v>
      </c>
      <c r="Z1015">
        <v>316181285.74632812</v>
      </c>
      <c r="AA1015">
        <v>790453214.36582029</v>
      </c>
      <c r="AB1015">
        <v>790453.21436582028</v>
      </c>
      <c r="AC1015">
        <v>0</v>
      </c>
      <c r="AD1015">
        <v>3276.9880793594498</v>
      </c>
      <c r="AE1015">
        <v>1966192.8476156699</v>
      </c>
      <c r="AF1015">
        <v>983096.42380783497</v>
      </c>
      <c r="AG1015">
        <v>31.49945150101227</v>
      </c>
      <c r="AH1015">
        <v>324.49555208837108</v>
      </c>
      <c r="AI1015">
        <v>162.2477760441856</v>
      </c>
      <c r="AJ1015">
        <v>25689.729466889159</v>
      </c>
      <c r="AK1015">
        <v>854.70085470085473</v>
      </c>
      <c r="AL1015" t="s">
        <v>93</v>
      </c>
      <c r="AM1015">
        <v>25148.40528684876</v>
      </c>
      <c r="AN1015">
        <v>1764.2564608958421</v>
      </c>
      <c r="AO1015">
        <v>27582.121927511551</v>
      </c>
      <c r="AP1015">
        <v>53457.092069334612</v>
      </c>
      <c r="AQ1015">
        <v>25874.970141823069</v>
      </c>
      <c r="AR1015">
        <v>2.6131444327083329E-2</v>
      </c>
      <c r="AS1015">
        <v>815.56116829728262</v>
      </c>
      <c r="AT1015">
        <v>798.37597445278027</v>
      </c>
      <c r="AU1015">
        <v>56.009116883801767</v>
      </c>
      <c r="AV1015">
        <v>875.63816552885578</v>
      </c>
      <c r="AW1015">
        <v>1697.0800925729361</v>
      </c>
      <c r="AX1015">
        <v>821.4419270440801</v>
      </c>
      <c r="AY1015">
        <v>5.1508127384050342</v>
      </c>
      <c r="AZ1015" t="s">
        <v>139</v>
      </c>
      <c r="BA1015" t="str">
        <f>VLOOKUP($AZ1015,Sheet1!$A$2:$B$58,2)</f>
        <v>L-Lysine</v>
      </c>
      <c r="BB1015" t="s">
        <v>187</v>
      </c>
      <c r="BC1015">
        <v>147.19319999999999</v>
      </c>
      <c r="BD1015">
        <v>4.833333333333333</v>
      </c>
      <c r="BF1015" t="s">
        <v>215</v>
      </c>
      <c r="BG1015">
        <v>-6.3325798649973924E-2</v>
      </c>
      <c r="BH1015">
        <v>0.17276515151515101</v>
      </c>
      <c r="BI1015">
        <v>0.793664613467844</v>
      </c>
      <c r="BJ1015">
        <v>80</v>
      </c>
      <c r="BK1015">
        <v>2672.8546034667302</v>
      </c>
      <c r="BL1015">
        <v>1293.748507091153</v>
      </c>
      <c r="BM1015">
        <v>8.1757146008592514</v>
      </c>
      <c r="BN1015">
        <v>1389.871482146073</v>
      </c>
      <c r="BO1015">
        <v>1282.9831213206569</v>
      </c>
    </row>
    <row r="1016" spans="1:67" x14ac:dyDescent="0.25">
      <c r="A1016" s="1">
        <v>1014</v>
      </c>
      <c r="B1016" t="s">
        <v>78</v>
      </c>
      <c r="C1016" t="s">
        <v>87</v>
      </c>
      <c r="D1016">
        <v>1</v>
      </c>
      <c r="E1016">
        <v>4</v>
      </c>
      <c r="F1016">
        <v>1</v>
      </c>
      <c r="G1016">
        <v>32.041060000000002</v>
      </c>
      <c r="H1016">
        <v>6</v>
      </c>
      <c r="I1016" t="s">
        <v>89</v>
      </c>
      <c r="J1016">
        <v>2.5</v>
      </c>
      <c r="K1016">
        <v>200</v>
      </c>
      <c r="L1016">
        <v>50</v>
      </c>
      <c r="N1016" t="s">
        <v>90</v>
      </c>
      <c r="O1016">
        <v>50</v>
      </c>
      <c r="P1016">
        <v>0.3125</v>
      </c>
      <c r="Q1016">
        <v>3.2500000000000001E-2</v>
      </c>
      <c r="R1016">
        <v>77.5</v>
      </c>
      <c r="S1016">
        <v>170</v>
      </c>
      <c r="T1016">
        <v>50</v>
      </c>
      <c r="U1016">
        <v>1812.1301775147931</v>
      </c>
      <c r="V1016">
        <v>20</v>
      </c>
      <c r="W1016">
        <v>0.95</v>
      </c>
      <c r="X1016">
        <v>1</v>
      </c>
      <c r="Y1016">
        <v>78232.930751774504</v>
      </c>
      <c r="Z1016">
        <v>156465861.50354901</v>
      </c>
      <c r="AA1016">
        <v>391164653.75887251</v>
      </c>
      <c r="AB1016">
        <v>391164.65375887248</v>
      </c>
      <c r="AC1016">
        <v>0</v>
      </c>
      <c r="AD1016">
        <v>1621.6543675681201</v>
      </c>
      <c r="AE1016">
        <v>972992.62054087198</v>
      </c>
      <c r="AF1016">
        <v>486496.31027043599</v>
      </c>
      <c r="AG1016">
        <v>15.587857467153659</v>
      </c>
      <c r="AH1016">
        <v>160.5802696125142</v>
      </c>
      <c r="AI1016">
        <v>80.290134806257086</v>
      </c>
      <c r="AJ1016">
        <v>12712.85124716336</v>
      </c>
      <c r="AK1016">
        <v>854.70085470085473</v>
      </c>
      <c r="AL1016" t="s">
        <v>93</v>
      </c>
      <c r="AM1016">
        <v>12444.970894969851</v>
      </c>
      <c r="AN1016">
        <v>873.06213084585124</v>
      </c>
      <c r="AO1016">
        <v>13649.322917063701</v>
      </c>
      <c r="AP1016">
        <v>26885.585127679911</v>
      </c>
      <c r="AQ1016">
        <v>13236.262210616211</v>
      </c>
      <c r="AR1016">
        <v>2.613144432708334E-2</v>
      </c>
      <c r="AS1016">
        <v>815.56116829728285</v>
      </c>
      <c r="AT1016">
        <v>798.37597445278038</v>
      </c>
      <c r="AU1016">
        <v>56.009116883801759</v>
      </c>
      <c r="AV1016">
        <v>875.63816552885578</v>
      </c>
      <c r="AW1016">
        <v>1724.7774547805909</v>
      </c>
      <c r="AX1016">
        <v>849.13928925173514</v>
      </c>
      <c r="AY1016">
        <v>5.1508127384050342</v>
      </c>
      <c r="AZ1016" t="s">
        <v>140</v>
      </c>
      <c r="BA1016" t="str">
        <f>VLOOKUP($AZ1016,Sheet1!$A$2:$B$58,2)</f>
        <v>L-Malate</v>
      </c>
      <c r="BB1016" t="s">
        <v>188</v>
      </c>
      <c r="BC1016">
        <v>132.06916000000001</v>
      </c>
      <c r="BD1016">
        <v>2.5</v>
      </c>
      <c r="BF1016" t="s">
        <v>215</v>
      </c>
      <c r="BG1016">
        <v>-0.47650988031631009</v>
      </c>
      <c r="BH1016">
        <v>0.38909803921568598</v>
      </c>
      <c r="BI1016">
        <v>1.6038124580417401</v>
      </c>
      <c r="BJ1016">
        <v>80</v>
      </c>
      <c r="BK1016">
        <v>1344.279256383996</v>
      </c>
      <c r="BL1016">
        <v>661.81311053081038</v>
      </c>
      <c r="BM1016">
        <v>4.4910166206291633</v>
      </c>
      <c r="BN1016">
        <v>763.47282550695775</v>
      </c>
      <c r="BO1016">
        <v>580.80643087703777</v>
      </c>
    </row>
    <row r="1017" spans="1:67" x14ac:dyDescent="0.25">
      <c r="A1017" s="1">
        <v>1015</v>
      </c>
      <c r="B1017" t="s">
        <v>78</v>
      </c>
      <c r="C1017" t="s">
        <v>87</v>
      </c>
      <c r="D1017">
        <v>1</v>
      </c>
      <c r="E1017">
        <v>4</v>
      </c>
      <c r="F1017">
        <v>1</v>
      </c>
      <c r="G1017">
        <v>32.041060000000002</v>
      </c>
      <c r="H1017">
        <v>6</v>
      </c>
      <c r="I1017" t="s">
        <v>89</v>
      </c>
      <c r="J1017">
        <v>2.5</v>
      </c>
      <c r="K1017">
        <v>200</v>
      </c>
      <c r="L1017">
        <v>50</v>
      </c>
      <c r="N1017" t="s">
        <v>90</v>
      </c>
      <c r="O1017">
        <v>50</v>
      </c>
      <c r="P1017">
        <v>0.3125</v>
      </c>
      <c r="Q1017">
        <v>3.2500000000000001E-2</v>
      </c>
      <c r="R1017">
        <v>77.5</v>
      </c>
      <c r="S1017">
        <v>170</v>
      </c>
      <c r="T1017">
        <v>50</v>
      </c>
      <c r="U1017">
        <v>1812.1301775147931</v>
      </c>
      <c r="V1017">
        <v>20</v>
      </c>
      <c r="W1017">
        <v>0.95</v>
      </c>
      <c r="X1017">
        <v>1</v>
      </c>
      <c r="Y1017">
        <v>79810.559403675783</v>
      </c>
      <c r="Z1017">
        <v>159621118.80735159</v>
      </c>
      <c r="AA1017">
        <v>399052797.01837891</v>
      </c>
      <c r="AB1017">
        <v>399052.79701837891</v>
      </c>
      <c r="AC1017">
        <v>0</v>
      </c>
      <c r="AD1017">
        <v>1654.356304836376</v>
      </c>
      <c r="AE1017">
        <v>992613.78290182538</v>
      </c>
      <c r="AF1017">
        <v>496306.89145091269</v>
      </c>
      <c r="AG1017">
        <v>15.90219888739218</v>
      </c>
      <c r="AH1017">
        <v>163.81849719566</v>
      </c>
      <c r="AI1017">
        <v>81.909248597829986</v>
      </c>
      <c r="AJ1017">
        <v>12969.215903097311</v>
      </c>
      <c r="AK1017">
        <v>854.70085470085473</v>
      </c>
      <c r="AL1017" t="s">
        <v>93</v>
      </c>
      <c r="AM1017">
        <v>12695.93353266365</v>
      </c>
      <c r="AN1017">
        <v>890.66811619341104</v>
      </c>
      <c r="AO1017">
        <v>13924.5722616311</v>
      </c>
      <c r="AP1017">
        <v>27410.518406655228</v>
      </c>
      <c r="AQ1017">
        <v>13485.946145024131</v>
      </c>
      <c r="AR1017">
        <v>2.6131444327083329E-2</v>
      </c>
      <c r="AS1017">
        <v>815.56116829728262</v>
      </c>
      <c r="AT1017">
        <v>798.37597445278004</v>
      </c>
      <c r="AU1017">
        <v>56.009116883801759</v>
      </c>
      <c r="AV1017">
        <v>875.63816552885555</v>
      </c>
      <c r="AW1017">
        <v>1723.693597392197</v>
      </c>
      <c r="AX1017">
        <v>848.05543186334194</v>
      </c>
      <c r="AY1017">
        <v>5.1508127384050324</v>
      </c>
      <c r="AZ1017" t="s">
        <v>141</v>
      </c>
      <c r="BA1017" t="str">
        <f>VLOOKUP($AZ1017,Sheet1!$A$2:$B$58,2)</f>
        <v>Malonate</v>
      </c>
      <c r="BB1017" t="s">
        <v>189</v>
      </c>
      <c r="BC1017">
        <v>102.04378</v>
      </c>
      <c r="BD1017">
        <v>2</v>
      </c>
      <c r="BE1017">
        <v>199</v>
      </c>
      <c r="BF1017" t="s">
        <v>215</v>
      </c>
      <c r="BG1017">
        <v>-0.42015776952391509</v>
      </c>
      <c r="BH1017">
        <v>0.49363184079601902</v>
      </c>
      <c r="BI1017">
        <v>1.57210962943124</v>
      </c>
      <c r="BJ1017">
        <v>80</v>
      </c>
      <c r="BK1017">
        <v>1370.525920332761</v>
      </c>
      <c r="BL1017">
        <v>674.29730725120658</v>
      </c>
      <c r="BM1017">
        <v>4.5156201994154141</v>
      </c>
      <c r="BN1017">
        <v>767.65543390062044</v>
      </c>
      <c r="BO1017">
        <v>602.87048643214098</v>
      </c>
    </row>
    <row r="1018" spans="1:67" x14ac:dyDescent="0.25">
      <c r="A1018" s="1">
        <v>1016</v>
      </c>
      <c r="B1018" t="s">
        <v>78</v>
      </c>
      <c r="C1018" t="s">
        <v>87</v>
      </c>
      <c r="D1018">
        <v>1</v>
      </c>
      <c r="E1018">
        <v>4</v>
      </c>
      <c r="F1018">
        <v>1</v>
      </c>
      <c r="G1018">
        <v>32.041060000000002</v>
      </c>
      <c r="H1018">
        <v>6</v>
      </c>
      <c r="I1018" t="s">
        <v>89</v>
      </c>
      <c r="J1018">
        <v>2.5</v>
      </c>
      <c r="K1018">
        <v>200</v>
      </c>
      <c r="L1018">
        <v>50</v>
      </c>
      <c r="N1018" t="s">
        <v>90</v>
      </c>
      <c r="O1018">
        <v>50</v>
      </c>
      <c r="P1018">
        <v>0.3125</v>
      </c>
      <c r="Q1018">
        <v>3.2500000000000001E-2</v>
      </c>
      <c r="R1018">
        <v>77.5</v>
      </c>
      <c r="S1018">
        <v>170</v>
      </c>
      <c r="T1018">
        <v>50</v>
      </c>
      <c r="U1018">
        <v>1812.1301775147931</v>
      </c>
      <c r="V1018">
        <v>20</v>
      </c>
      <c r="W1018">
        <v>0.95</v>
      </c>
      <c r="X1018">
        <v>1</v>
      </c>
      <c r="Y1018">
        <v>337183.71662275487</v>
      </c>
      <c r="Z1018">
        <v>674367433.24550998</v>
      </c>
      <c r="AA1018">
        <v>1685918583.113775</v>
      </c>
      <c r="AB1018">
        <v>1685918.5831137749</v>
      </c>
      <c r="AC1018">
        <v>0</v>
      </c>
      <c r="AD1018">
        <v>6989.3258692950003</v>
      </c>
      <c r="AE1018">
        <v>4193595.5215770002</v>
      </c>
      <c r="AF1018">
        <v>2096797.7607885001</v>
      </c>
      <c r="AG1018">
        <v>67.183622861289976</v>
      </c>
      <c r="AH1018">
        <v>692.10052089226429</v>
      </c>
      <c r="AI1018">
        <v>346.05026044613209</v>
      </c>
      <c r="AJ1018">
        <v>54792.353951197692</v>
      </c>
      <c r="AK1018">
        <v>854.70085470085473</v>
      </c>
      <c r="AL1018" t="s">
        <v>93</v>
      </c>
      <c r="AM1018">
        <v>53637.790369150483</v>
      </c>
      <c r="AN1018">
        <v>3762.8953855152472</v>
      </c>
      <c r="AO1018">
        <v>58828.544275842462</v>
      </c>
      <c r="AP1018">
        <v>113047.7405605643</v>
      </c>
      <c r="AQ1018">
        <v>54219.196284721816</v>
      </c>
      <c r="AR1018">
        <v>2.613144432708334E-2</v>
      </c>
      <c r="AS1018">
        <v>815.56116829728285</v>
      </c>
      <c r="AT1018">
        <v>798.37597445278038</v>
      </c>
      <c r="AU1018">
        <v>56.009116883801759</v>
      </c>
      <c r="AV1018">
        <v>875.63816552885589</v>
      </c>
      <c r="AW1018">
        <v>1682.6681227650849</v>
      </c>
      <c r="AX1018">
        <v>807.02995723622951</v>
      </c>
      <c r="AY1018">
        <v>5.1508127384050351</v>
      </c>
      <c r="AZ1018" t="s">
        <v>142</v>
      </c>
      <c r="BA1018" t="str">
        <f>VLOOKUP($AZ1018,Sheet1!$A$2:$B$58,2)</f>
        <v>Nonane</v>
      </c>
      <c r="BB1018" t="s">
        <v>190</v>
      </c>
      <c r="BC1018">
        <v>128.25309999999999</v>
      </c>
      <c r="BD1018">
        <v>6.2222222222222223</v>
      </c>
      <c r="BE1018">
        <v>151</v>
      </c>
      <c r="BF1018" t="s">
        <v>215</v>
      </c>
      <c r="BG1018">
        <v>0.60285637554897797</v>
      </c>
      <c r="BH1018">
        <v>9.2964169381107506E-2</v>
      </c>
      <c r="BI1018">
        <v>0.37211449658819401</v>
      </c>
      <c r="BJ1018">
        <v>80</v>
      </c>
      <c r="BK1018">
        <v>5652.3870280282126</v>
      </c>
      <c r="BL1018">
        <v>2710.959814236091</v>
      </c>
      <c r="BM1018">
        <v>16.699656646757632</v>
      </c>
      <c r="BN1018">
        <v>2838.9416299487971</v>
      </c>
      <c r="BO1018">
        <v>2813.445398079416</v>
      </c>
    </row>
    <row r="1019" spans="1:67" x14ac:dyDescent="0.25">
      <c r="A1019" s="1">
        <v>1017</v>
      </c>
      <c r="B1019" t="s">
        <v>78</v>
      </c>
      <c r="C1019" t="s">
        <v>87</v>
      </c>
      <c r="D1019">
        <v>1</v>
      </c>
      <c r="E1019">
        <v>4</v>
      </c>
      <c r="F1019">
        <v>1</v>
      </c>
      <c r="G1019">
        <v>32.041060000000002</v>
      </c>
      <c r="H1019">
        <v>6</v>
      </c>
      <c r="I1019" t="s">
        <v>89</v>
      </c>
      <c r="J1019">
        <v>2.5</v>
      </c>
      <c r="K1019">
        <v>200</v>
      </c>
      <c r="L1019">
        <v>50</v>
      </c>
      <c r="N1019" t="s">
        <v>90</v>
      </c>
      <c r="O1019">
        <v>50</v>
      </c>
      <c r="P1019">
        <v>0.3125</v>
      </c>
      <c r="Q1019">
        <v>3.2500000000000001E-2</v>
      </c>
      <c r="R1019">
        <v>77.5</v>
      </c>
      <c r="S1019">
        <v>170</v>
      </c>
      <c r="T1019">
        <v>50</v>
      </c>
      <c r="U1019">
        <v>1812.1301775147931</v>
      </c>
      <c r="V1019">
        <v>20</v>
      </c>
      <c r="W1019">
        <v>0.95</v>
      </c>
      <c r="X1019">
        <v>1</v>
      </c>
      <c r="Y1019">
        <v>332220.15324744652</v>
      </c>
      <c r="Z1019">
        <v>664440306.49489295</v>
      </c>
      <c r="AA1019">
        <v>1661100766.237232</v>
      </c>
      <c r="AB1019">
        <v>1661100.7662372319</v>
      </c>
      <c r="AC1019">
        <v>0</v>
      </c>
      <c r="AD1019">
        <v>6886.4384515679376</v>
      </c>
      <c r="AE1019">
        <v>4131863.0709407632</v>
      </c>
      <c r="AF1019">
        <v>2065931.5354703809</v>
      </c>
      <c r="AG1019">
        <v>66.194636283898618</v>
      </c>
      <c r="AH1019">
        <v>681.91235157038602</v>
      </c>
      <c r="AI1019">
        <v>340.95617578519301</v>
      </c>
      <c r="AJ1019">
        <v>53985.774902710051</v>
      </c>
      <c r="AK1019">
        <v>854.70085470085473</v>
      </c>
      <c r="AL1019" t="s">
        <v>93</v>
      </c>
      <c r="AM1019">
        <v>52848.207246704907</v>
      </c>
      <c r="AN1019">
        <v>3707.5031207056231</v>
      </c>
      <c r="AO1019">
        <v>57962.54988348281</v>
      </c>
      <c r="AP1019">
        <v>111396.1861248214</v>
      </c>
      <c r="AQ1019">
        <v>53433.63624133863</v>
      </c>
      <c r="AR1019">
        <v>2.6131444327083329E-2</v>
      </c>
      <c r="AS1019">
        <v>815.56116829728262</v>
      </c>
      <c r="AT1019">
        <v>798.37597445278004</v>
      </c>
      <c r="AU1019">
        <v>56.009116883801752</v>
      </c>
      <c r="AV1019">
        <v>875.63816552885555</v>
      </c>
      <c r="AW1019">
        <v>1682.8581948401429</v>
      </c>
      <c r="AX1019">
        <v>807.22002931128713</v>
      </c>
      <c r="AY1019">
        <v>5.1508127384050333</v>
      </c>
      <c r="AZ1019" t="s">
        <v>143</v>
      </c>
      <c r="BA1019" t="str">
        <f>VLOOKUP($AZ1019,Sheet1!$A$2:$B$58,2)</f>
        <v>Octane</v>
      </c>
      <c r="BB1019" t="s">
        <v>191</v>
      </c>
      <c r="BC1019">
        <v>114.22672</v>
      </c>
      <c r="BD1019">
        <v>6.25</v>
      </c>
      <c r="BE1019">
        <v>126</v>
      </c>
      <c r="BF1019" t="s">
        <v>215</v>
      </c>
      <c r="BG1019">
        <v>0.55457479638726248</v>
      </c>
      <c r="BH1019">
        <v>0.105939123979213</v>
      </c>
      <c r="BI1019">
        <v>0.377674104783639</v>
      </c>
      <c r="BJ1019">
        <v>80</v>
      </c>
      <c r="BK1019">
        <v>5569.8093062410726</v>
      </c>
      <c r="BL1019">
        <v>2671.6818120669318</v>
      </c>
      <c r="BM1019">
        <v>16.493233992872391</v>
      </c>
      <c r="BN1019">
        <v>2803.849778788307</v>
      </c>
      <c r="BO1019">
        <v>2765.959527452766</v>
      </c>
    </row>
    <row r="1020" spans="1:67" x14ac:dyDescent="0.25">
      <c r="A1020" s="1">
        <v>1018</v>
      </c>
      <c r="B1020" t="s">
        <v>78</v>
      </c>
      <c r="C1020" t="s">
        <v>87</v>
      </c>
      <c r="D1020">
        <v>1</v>
      </c>
      <c r="E1020">
        <v>4</v>
      </c>
      <c r="F1020">
        <v>1</v>
      </c>
      <c r="G1020">
        <v>32.041060000000002</v>
      </c>
      <c r="H1020">
        <v>6</v>
      </c>
      <c r="I1020" t="s">
        <v>89</v>
      </c>
      <c r="J1020">
        <v>2.5</v>
      </c>
      <c r="K1020">
        <v>200</v>
      </c>
      <c r="L1020">
        <v>50</v>
      </c>
      <c r="N1020" t="s">
        <v>90</v>
      </c>
      <c r="O1020">
        <v>50</v>
      </c>
      <c r="P1020">
        <v>0.3125</v>
      </c>
      <c r="Q1020">
        <v>3.2500000000000001E-2</v>
      </c>
      <c r="R1020">
        <v>77.5</v>
      </c>
      <c r="S1020">
        <v>170</v>
      </c>
      <c r="T1020">
        <v>50</v>
      </c>
      <c r="U1020">
        <v>1812.1301775147931</v>
      </c>
      <c r="V1020">
        <v>20</v>
      </c>
      <c r="W1020">
        <v>0.95</v>
      </c>
      <c r="X1020">
        <v>1</v>
      </c>
      <c r="Y1020">
        <v>351436.46822286531</v>
      </c>
      <c r="Z1020">
        <v>702872936.44573045</v>
      </c>
      <c r="AA1020">
        <v>1757182341.114326</v>
      </c>
      <c r="AB1020">
        <v>1757182.3411143259</v>
      </c>
      <c r="AC1020">
        <v>66773.504273504266</v>
      </c>
      <c r="AD1020">
        <v>7284.7645887713006</v>
      </c>
      <c r="AE1020">
        <v>4370858.7532627806</v>
      </c>
      <c r="AF1020">
        <v>2185429.3766313898</v>
      </c>
      <c r="AG1020">
        <v>70.023473782408985</v>
      </c>
      <c r="AH1020">
        <v>721.35560149160597</v>
      </c>
      <c r="AI1020">
        <v>360.67780074580298</v>
      </c>
      <c r="AJ1020">
        <v>57108.426086215593</v>
      </c>
      <c r="AK1020">
        <v>2170.1388888888891</v>
      </c>
      <c r="AL1020" t="s">
        <v>95</v>
      </c>
      <c r="AM1020">
        <v>55905.059115599463</v>
      </c>
      <c r="AN1020">
        <v>3921.9529276887729</v>
      </c>
      <c r="AO1020">
        <v>61315.226126786511</v>
      </c>
      <c r="AP1020">
        <v>119105.57701839269</v>
      </c>
      <c r="AQ1020">
        <v>57790.350891606213</v>
      </c>
      <c r="AR1020">
        <v>2.6131444327083329E-2</v>
      </c>
      <c r="AS1020">
        <v>815.56116829728251</v>
      </c>
      <c r="AT1020">
        <v>798.37597445278004</v>
      </c>
      <c r="AU1020">
        <v>56.009116883801759</v>
      </c>
      <c r="AV1020">
        <v>875.63816552885555</v>
      </c>
      <c r="AW1020">
        <v>1700.9378510483721</v>
      </c>
      <c r="AX1020">
        <v>825.29968551951629</v>
      </c>
      <c r="AY1020">
        <v>5.1508127384050324</v>
      </c>
      <c r="AZ1020" t="s">
        <v>144</v>
      </c>
      <c r="BA1020" t="str">
        <f>VLOOKUP($AZ1020,Sheet1!$A$2:$B$58,2)</f>
        <v>Pentane</v>
      </c>
      <c r="BB1020" t="s">
        <v>192</v>
      </c>
      <c r="BC1020">
        <v>72.147580000000005</v>
      </c>
      <c r="BD1020">
        <v>6.4</v>
      </c>
      <c r="BE1020">
        <v>36.1</v>
      </c>
      <c r="BF1020" t="s">
        <v>215</v>
      </c>
      <c r="BG1020">
        <v>0.79723152401886821</v>
      </c>
      <c r="BH1020">
        <v>0.158555555555556</v>
      </c>
      <c r="BI1020">
        <v>0.35702313309512501</v>
      </c>
      <c r="BJ1020">
        <v>80</v>
      </c>
      <c r="BK1020">
        <v>5955.2788509196371</v>
      </c>
      <c r="BL1020">
        <v>2889.5175445803111</v>
      </c>
      <c r="BM1020">
        <v>17.23665851327128</v>
      </c>
      <c r="BN1020">
        <v>2930.231947256118</v>
      </c>
      <c r="BO1020">
        <v>3025.04690366352</v>
      </c>
    </row>
    <row r="1021" spans="1:67" x14ac:dyDescent="0.25">
      <c r="A1021" s="1">
        <v>1019</v>
      </c>
      <c r="B1021" t="s">
        <v>78</v>
      </c>
      <c r="C1021" t="s">
        <v>87</v>
      </c>
      <c r="D1021">
        <v>1</v>
      </c>
      <c r="E1021">
        <v>4</v>
      </c>
      <c r="F1021">
        <v>1</v>
      </c>
      <c r="G1021">
        <v>32.041060000000002</v>
      </c>
      <c r="H1021">
        <v>6</v>
      </c>
      <c r="I1021" t="s">
        <v>89</v>
      </c>
      <c r="J1021">
        <v>2.5</v>
      </c>
      <c r="K1021">
        <v>200</v>
      </c>
      <c r="L1021">
        <v>50</v>
      </c>
      <c r="N1021" t="s">
        <v>90</v>
      </c>
      <c r="O1021">
        <v>50</v>
      </c>
      <c r="P1021">
        <v>0.3125</v>
      </c>
      <c r="Q1021">
        <v>3.2500000000000001E-2</v>
      </c>
      <c r="R1021">
        <v>77.5</v>
      </c>
      <c r="S1021">
        <v>170</v>
      </c>
      <c r="T1021">
        <v>50</v>
      </c>
      <c r="U1021">
        <v>1812.1301775147931</v>
      </c>
      <c r="V1021">
        <v>20</v>
      </c>
      <c r="W1021">
        <v>0.95</v>
      </c>
      <c r="X1021">
        <v>1</v>
      </c>
      <c r="Y1021">
        <v>254841.3121620749</v>
      </c>
      <c r="Z1021">
        <v>509682624.32414979</v>
      </c>
      <c r="AA1021">
        <v>1274206560.810374</v>
      </c>
      <c r="AB1021">
        <v>1274206.560810375</v>
      </c>
      <c r="AC1021">
        <v>0</v>
      </c>
      <c r="AD1021">
        <v>5282.4881150837573</v>
      </c>
      <c r="AE1021">
        <v>3169492.869050255</v>
      </c>
      <c r="AF1021">
        <v>1584746.4345251271</v>
      </c>
      <c r="AG1021">
        <v>50.776955593405681</v>
      </c>
      <c r="AH1021">
        <v>523.08517937588135</v>
      </c>
      <c r="AI1021">
        <v>261.54258968794068</v>
      </c>
      <c r="AJ1021">
        <v>41411.713226337182</v>
      </c>
      <c r="AK1021">
        <v>854.70085470085473</v>
      </c>
      <c r="AL1021" t="s">
        <v>93</v>
      </c>
      <c r="AM1021">
        <v>40539.101401630804</v>
      </c>
      <c r="AN1021">
        <v>2843.972440834671</v>
      </c>
      <c r="AO1021">
        <v>44462.240246949907</v>
      </c>
      <c r="AP1021">
        <v>85649.487923503504</v>
      </c>
      <c r="AQ1021">
        <v>41187.24767655359</v>
      </c>
      <c r="AR1021">
        <v>2.6131444327083329E-2</v>
      </c>
      <c r="AS1021">
        <v>815.56116829728273</v>
      </c>
      <c r="AT1021">
        <v>798.37597445278016</v>
      </c>
      <c r="AU1021">
        <v>56.009116883801767</v>
      </c>
      <c r="AV1021">
        <v>875.63816552885567</v>
      </c>
      <c r="AW1021">
        <v>1686.778715316022</v>
      </c>
      <c r="AX1021">
        <v>811.14054978716592</v>
      </c>
      <c r="AY1021">
        <v>5.1508127384050333</v>
      </c>
      <c r="AZ1021" t="s">
        <v>145</v>
      </c>
      <c r="BA1021" t="str">
        <f>VLOOKUP($AZ1021,Sheet1!$A$2:$B$58,2)</f>
        <v>Pentanol (PW1)</v>
      </c>
      <c r="BB1021" t="s">
        <v>157</v>
      </c>
      <c r="BC1021">
        <v>88.14658</v>
      </c>
      <c r="BD1021">
        <v>6</v>
      </c>
      <c r="BE1021">
        <v>138</v>
      </c>
      <c r="BF1021" t="s">
        <v>215</v>
      </c>
      <c r="BG1021">
        <v>0.29337766619619432</v>
      </c>
      <c r="BH1021">
        <v>0.17896774193548401</v>
      </c>
      <c r="BI1021">
        <v>0.492349328703092</v>
      </c>
      <c r="BJ1021">
        <v>80</v>
      </c>
      <c r="BK1021">
        <v>4282.4743961751756</v>
      </c>
      <c r="BL1021">
        <v>2059.3623838276799</v>
      </c>
      <c r="BM1021">
        <v>12.783751818200839</v>
      </c>
      <c r="BN1021">
        <v>2173.237809094142</v>
      </c>
      <c r="BO1021">
        <v>2109.2365870810331</v>
      </c>
    </row>
    <row r="1022" spans="1:67" x14ac:dyDescent="0.25">
      <c r="A1022" s="1">
        <v>1020</v>
      </c>
      <c r="B1022" t="s">
        <v>78</v>
      </c>
      <c r="C1022" t="s">
        <v>87</v>
      </c>
      <c r="D1022">
        <v>1</v>
      </c>
      <c r="E1022">
        <v>4</v>
      </c>
      <c r="F1022">
        <v>1</v>
      </c>
      <c r="G1022">
        <v>32.041060000000002</v>
      </c>
      <c r="H1022">
        <v>6</v>
      </c>
      <c r="I1022" t="s">
        <v>89</v>
      </c>
      <c r="J1022">
        <v>2.5</v>
      </c>
      <c r="K1022">
        <v>200</v>
      </c>
      <c r="L1022">
        <v>50</v>
      </c>
      <c r="N1022" t="s">
        <v>90</v>
      </c>
      <c r="O1022">
        <v>50</v>
      </c>
      <c r="P1022">
        <v>0.3125</v>
      </c>
      <c r="Q1022">
        <v>3.2500000000000001E-2</v>
      </c>
      <c r="R1022">
        <v>77.5</v>
      </c>
      <c r="S1022">
        <v>170</v>
      </c>
      <c r="T1022">
        <v>50</v>
      </c>
      <c r="U1022">
        <v>1812.1301775147931</v>
      </c>
      <c r="V1022">
        <v>20</v>
      </c>
      <c r="W1022">
        <v>0.95</v>
      </c>
      <c r="X1022">
        <v>1</v>
      </c>
      <c r="Y1022">
        <v>303646.87590872281</v>
      </c>
      <c r="Z1022">
        <v>607293751.81744564</v>
      </c>
      <c r="AA1022">
        <v>1518234379.5436139</v>
      </c>
      <c r="AB1022">
        <v>1518234.3795436141</v>
      </c>
      <c r="AC1022">
        <v>0</v>
      </c>
      <c r="AD1022">
        <v>6294.1561537323123</v>
      </c>
      <c r="AE1022">
        <v>3776493.692239387</v>
      </c>
      <c r="AF1022">
        <v>1888246.8461196939</v>
      </c>
      <c r="AG1022">
        <v>60.501430491331867</v>
      </c>
      <c r="AH1022">
        <v>623.26307773295775</v>
      </c>
      <c r="AI1022">
        <v>311.63153886647888</v>
      </c>
      <c r="AJ1022">
        <v>49342.617335167459</v>
      </c>
      <c r="AK1022">
        <v>854.70085470085473</v>
      </c>
      <c r="AL1022" t="s">
        <v>93</v>
      </c>
      <c r="AM1022">
        <v>48302.888524304217</v>
      </c>
      <c r="AN1022">
        <v>3388.6316920262152</v>
      </c>
      <c r="AO1022">
        <v>52977.361607301413</v>
      </c>
      <c r="AP1022">
        <v>101888.8384061988</v>
      </c>
      <c r="AQ1022">
        <v>48911.476798897347</v>
      </c>
      <c r="AR1022">
        <v>2.6131444327083329E-2</v>
      </c>
      <c r="AS1022">
        <v>815.56116829728262</v>
      </c>
      <c r="AT1022">
        <v>798.37597445278004</v>
      </c>
      <c r="AU1022">
        <v>56.009116883801752</v>
      </c>
      <c r="AV1022">
        <v>875.63816552885555</v>
      </c>
      <c r="AW1022">
        <v>1684.0732124639021</v>
      </c>
      <c r="AX1022">
        <v>808.43504693504678</v>
      </c>
      <c r="AY1022">
        <v>5.1508127384050324</v>
      </c>
      <c r="AZ1022" t="s">
        <v>146</v>
      </c>
      <c r="BA1022" t="str">
        <f>VLOOKUP($AZ1022,Sheet1!$A$2:$B$58,2)</f>
        <v>Pentanol (PW2)</v>
      </c>
      <c r="BB1022" t="s">
        <v>157</v>
      </c>
      <c r="BC1022">
        <v>88.14658</v>
      </c>
      <c r="BD1022">
        <v>6</v>
      </c>
      <c r="BE1022">
        <v>138</v>
      </c>
      <c r="BF1022" t="s">
        <v>215</v>
      </c>
      <c r="BG1022">
        <v>0.8276597907672697</v>
      </c>
      <c r="BH1022">
        <v>0.15020202020202</v>
      </c>
      <c r="BI1022">
        <v>0.413213370278605</v>
      </c>
      <c r="BJ1022">
        <v>80</v>
      </c>
      <c r="BK1022">
        <v>5094.4419203099378</v>
      </c>
      <c r="BL1022">
        <v>2445.5738399448669</v>
      </c>
      <c r="BM1022">
        <v>14.753917152556671</v>
      </c>
      <c r="BN1022">
        <v>2508.1659159346341</v>
      </c>
      <c r="BO1022">
        <v>2586.2760043753042</v>
      </c>
    </row>
    <row r="1023" spans="1:67" x14ac:dyDescent="0.25">
      <c r="A1023" s="1">
        <v>1021</v>
      </c>
      <c r="B1023" t="s">
        <v>78</v>
      </c>
      <c r="C1023" t="s">
        <v>87</v>
      </c>
      <c r="D1023">
        <v>1</v>
      </c>
      <c r="E1023">
        <v>4</v>
      </c>
      <c r="F1023">
        <v>1</v>
      </c>
      <c r="G1023">
        <v>32.041060000000002</v>
      </c>
      <c r="H1023">
        <v>6</v>
      </c>
      <c r="I1023" t="s">
        <v>89</v>
      </c>
      <c r="J1023">
        <v>2.5</v>
      </c>
      <c r="K1023">
        <v>200</v>
      </c>
      <c r="L1023">
        <v>50</v>
      </c>
      <c r="N1023" t="s">
        <v>90</v>
      </c>
      <c r="O1023">
        <v>50</v>
      </c>
      <c r="P1023">
        <v>0.3125</v>
      </c>
      <c r="Q1023">
        <v>3.2500000000000001E-2</v>
      </c>
      <c r="R1023">
        <v>77.5</v>
      </c>
      <c r="S1023">
        <v>170</v>
      </c>
      <c r="T1023">
        <v>50</v>
      </c>
      <c r="U1023">
        <v>1812.1301775147931</v>
      </c>
      <c r="V1023">
        <v>20</v>
      </c>
      <c r="W1023">
        <v>0.95</v>
      </c>
      <c r="X1023">
        <v>1</v>
      </c>
      <c r="Y1023">
        <v>271671.02009867813</v>
      </c>
      <c r="Z1023">
        <v>543342040.19735622</v>
      </c>
      <c r="AA1023">
        <v>1358355100.493391</v>
      </c>
      <c r="AB1023">
        <v>1358355.100493391</v>
      </c>
      <c r="AC1023">
        <v>0</v>
      </c>
      <c r="AD1023">
        <v>5631.3433748577163</v>
      </c>
      <c r="AE1023">
        <v>3378806.0249146302</v>
      </c>
      <c r="AF1023">
        <v>1689403.0124573151</v>
      </c>
      <c r="AG1023">
        <v>54.130263286325572</v>
      </c>
      <c r="AH1023">
        <v>557.62969933684815</v>
      </c>
      <c r="AI1023">
        <v>278.81484966842407</v>
      </c>
      <c r="AJ1023">
        <v>44146.540766035192</v>
      </c>
      <c r="AK1023">
        <v>854.70085470085473</v>
      </c>
      <c r="AL1023" t="s">
        <v>93</v>
      </c>
      <c r="AM1023">
        <v>43216.301698605726</v>
      </c>
      <c r="AN1023">
        <v>3031.7882433547729</v>
      </c>
      <c r="AO1023">
        <v>47398.524443632094</v>
      </c>
      <c r="AP1023">
        <v>91249.331562696563</v>
      </c>
      <c r="AQ1023">
        <v>43850.80711906447</v>
      </c>
      <c r="AR1023">
        <v>2.6131444327083329E-2</v>
      </c>
      <c r="AS1023">
        <v>815.56116829728273</v>
      </c>
      <c r="AT1023">
        <v>798.37597445278016</v>
      </c>
      <c r="AU1023">
        <v>56.009116883801767</v>
      </c>
      <c r="AV1023">
        <v>875.63816552885567</v>
      </c>
      <c r="AW1023">
        <v>1685.7359640027471</v>
      </c>
      <c r="AX1023">
        <v>810.09779847389166</v>
      </c>
      <c r="AY1023">
        <v>5.1508127384050333</v>
      </c>
      <c r="AZ1023" t="s">
        <v>147</v>
      </c>
      <c r="BA1023" t="str">
        <f>VLOOKUP($AZ1023,Sheet1!$A$2:$B$58,2)</f>
        <v>Phenol</v>
      </c>
      <c r="BB1023" t="s">
        <v>193</v>
      </c>
      <c r="BC1023">
        <v>94.11023999999999</v>
      </c>
      <c r="BD1023">
        <v>4.666666666666667</v>
      </c>
      <c r="BE1023">
        <v>181.7</v>
      </c>
      <c r="BF1023" t="s">
        <v>215</v>
      </c>
      <c r="BG1023">
        <v>0.168166742079988</v>
      </c>
      <c r="BH1023">
        <v>0.15724247226624399</v>
      </c>
      <c r="BI1023">
        <v>0.46184885278981302</v>
      </c>
      <c r="BJ1023">
        <v>80</v>
      </c>
      <c r="BK1023">
        <v>4562.4665781348276</v>
      </c>
      <c r="BL1023">
        <v>2192.5403559532228</v>
      </c>
      <c r="BM1023">
        <v>13.772575741341219</v>
      </c>
      <c r="BN1023">
        <v>2341.337876028007</v>
      </c>
      <c r="BO1023">
        <v>2221.128702106821</v>
      </c>
    </row>
    <row r="1024" spans="1:67" x14ac:dyDescent="0.25">
      <c r="A1024" s="1">
        <v>1022</v>
      </c>
      <c r="B1024" t="s">
        <v>78</v>
      </c>
      <c r="C1024" t="s">
        <v>87</v>
      </c>
      <c r="D1024">
        <v>1</v>
      </c>
      <c r="E1024">
        <v>4</v>
      </c>
      <c r="F1024">
        <v>1</v>
      </c>
      <c r="G1024">
        <v>32.041060000000002</v>
      </c>
      <c r="H1024">
        <v>6</v>
      </c>
      <c r="I1024" t="s">
        <v>89</v>
      </c>
      <c r="J1024">
        <v>2.5</v>
      </c>
      <c r="K1024">
        <v>200</v>
      </c>
      <c r="L1024">
        <v>50</v>
      </c>
      <c r="N1024" t="s">
        <v>90</v>
      </c>
      <c r="O1024">
        <v>50</v>
      </c>
      <c r="P1024">
        <v>0.3125</v>
      </c>
      <c r="Q1024">
        <v>3.2500000000000001E-2</v>
      </c>
      <c r="R1024">
        <v>77.5</v>
      </c>
      <c r="S1024">
        <v>170</v>
      </c>
      <c r="T1024">
        <v>50</v>
      </c>
      <c r="U1024">
        <v>1812.1301775147931</v>
      </c>
      <c r="V1024">
        <v>20</v>
      </c>
      <c r="W1024">
        <v>0.95</v>
      </c>
      <c r="X1024">
        <v>1</v>
      </c>
      <c r="Y1024">
        <v>370566.79747808783</v>
      </c>
      <c r="Z1024">
        <v>741133594.95617568</v>
      </c>
      <c r="AA1024">
        <v>1852833987.390439</v>
      </c>
      <c r="AB1024">
        <v>1852833.987390439</v>
      </c>
      <c r="AC1024">
        <v>66773.504273504266</v>
      </c>
      <c r="AD1024">
        <v>7681.3083676076094</v>
      </c>
      <c r="AE1024">
        <v>4608785.0205645654</v>
      </c>
      <c r="AF1024">
        <v>2304392.5102822832</v>
      </c>
      <c r="AG1024">
        <v>73.835178685505241</v>
      </c>
      <c r="AH1024">
        <v>760.62235783142432</v>
      </c>
      <c r="AI1024">
        <v>380.31117891571222</v>
      </c>
      <c r="AJ1024">
        <v>60217.104590189279</v>
      </c>
      <c r="AK1024">
        <v>2170.1388888888891</v>
      </c>
      <c r="AL1024" t="s">
        <v>95</v>
      </c>
      <c r="AM1024">
        <v>58948.232731935394</v>
      </c>
      <c r="AN1024">
        <v>4135.4431531328519</v>
      </c>
      <c r="AO1024">
        <v>64652.900415671073</v>
      </c>
      <c r="AP1024">
        <v>125470.91936414639</v>
      </c>
      <c r="AQ1024">
        <v>60818.018948475343</v>
      </c>
      <c r="AR1024">
        <v>2.6131444327083329E-2</v>
      </c>
      <c r="AS1024">
        <v>815.56116829728273</v>
      </c>
      <c r="AT1024">
        <v>798.37597445278004</v>
      </c>
      <c r="AU1024">
        <v>56.009116883801759</v>
      </c>
      <c r="AV1024">
        <v>875.63816552885555</v>
      </c>
      <c r="AW1024">
        <v>1699.3379253347421</v>
      </c>
      <c r="AX1024">
        <v>823.69975980588606</v>
      </c>
      <c r="AY1024">
        <v>5.1508127384050324</v>
      </c>
      <c r="AZ1024" t="s">
        <v>148</v>
      </c>
      <c r="BA1024" t="str">
        <f>VLOOKUP($AZ1024,Sheet1!$A$2:$B$58,2)</f>
        <v>Propane (PW1)</v>
      </c>
      <c r="BB1024" t="s">
        <v>194</v>
      </c>
      <c r="BC1024">
        <v>44.094819999999999</v>
      </c>
      <c r="BD1024">
        <v>6.666666666666667</v>
      </c>
      <c r="BE1024">
        <v>-42</v>
      </c>
      <c r="BF1024" t="s">
        <v>215</v>
      </c>
      <c r="BG1024">
        <v>1.0624233209617719</v>
      </c>
      <c r="BH1024">
        <v>0.24603448275862</v>
      </c>
      <c r="BI1024">
        <v>0.33859198887410302</v>
      </c>
      <c r="BJ1024">
        <v>80</v>
      </c>
      <c r="BK1024">
        <v>6273.5459682073206</v>
      </c>
      <c r="BL1024">
        <v>3040.9009474237669</v>
      </c>
      <c r="BM1024">
        <v>17.95313562482384</v>
      </c>
      <c r="BN1024">
        <v>3052.033056220052</v>
      </c>
      <c r="BO1024">
        <v>3221.5129119872681</v>
      </c>
    </row>
    <row r="1025" spans="1:67" x14ac:dyDescent="0.25">
      <c r="A1025" s="1">
        <v>1023</v>
      </c>
      <c r="B1025" t="s">
        <v>78</v>
      </c>
      <c r="C1025" t="s">
        <v>87</v>
      </c>
      <c r="D1025">
        <v>1</v>
      </c>
      <c r="E1025">
        <v>4</v>
      </c>
      <c r="F1025">
        <v>1</v>
      </c>
      <c r="G1025">
        <v>32.041060000000002</v>
      </c>
      <c r="H1025">
        <v>6</v>
      </c>
      <c r="I1025" t="s">
        <v>89</v>
      </c>
      <c r="J1025">
        <v>2.5</v>
      </c>
      <c r="K1025">
        <v>200</v>
      </c>
      <c r="L1025">
        <v>50</v>
      </c>
      <c r="N1025" t="s">
        <v>90</v>
      </c>
      <c r="O1025">
        <v>50</v>
      </c>
      <c r="P1025">
        <v>0.3125</v>
      </c>
      <c r="Q1025">
        <v>3.2500000000000001E-2</v>
      </c>
      <c r="R1025">
        <v>77.5</v>
      </c>
      <c r="S1025">
        <v>170</v>
      </c>
      <c r="T1025">
        <v>50</v>
      </c>
      <c r="U1025">
        <v>1812.1301775147931</v>
      </c>
      <c r="V1025">
        <v>20</v>
      </c>
      <c r="W1025">
        <v>0.95</v>
      </c>
      <c r="X1025">
        <v>1</v>
      </c>
      <c r="Y1025">
        <v>439031.51048975717</v>
      </c>
      <c r="Z1025">
        <v>878063020.9795146</v>
      </c>
      <c r="AA1025">
        <v>2195157552.4487872</v>
      </c>
      <c r="AB1025">
        <v>2195157.5524487868</v>
      </c>
      <c r="AC1025">
        <v>66773.504273504266</v>
      </c>
      <c r="AD1025">
        <v>9100.4818513665996</v>
      </c>
      <c r="AE1025">
        <v>5460289.11081996</v>
      </c>
      <c r="AF1025">
        <v>2730144.55540998</v>
      </c>
      <c r="AG1025">
        <v>87.476725508564499</v>
      </c>
      <c r="AH1025">
        <v>901.1524641269491</v>
      </c>
      <c r="AI1025">
        <v>450.57623206347449</v>
      </c>
      <c r="AJ1025">
        <v>71342.620454585573</v>
      </c>
      <c r="AK1025">
        <v>2170.1388888888891</v>
      </c>
      <c r="AL1025" t="s">
        <v>95</v>
      </c>
      <c r="AM1025">
        <v>69839.315969838557</v>
      </c>
      <c r="AN1025">
        <v>4899.4941436214312</v>
      </c>
      <c r="AO1025">
        <v>76597.959450790673</v>
      </c>
      <c r="AP1025">
        <v>148251.56945693441</v>
      </c>
      <c r="AQ1025">
        <v>71653.610006143761</v>
      </c>
      <c r="AR1025">
        <v>2.6131444327083329E-2</v>
      </c>
      <c r="AS1025">
        <v>815.56116829728273</v>
      </c>
      <c r="AT1025">
        <v>798.37597445278016</v>
      </c>
      <c r="AU1025">
        <v>56.009116883801752</v>
      </c>
      <c r="AV1025">
        <v>875.63816552885567</v>
      </c>
      <c r="AW1025">
        <v>1694.7544457687741</v>
      </c>
      <c r="AX1025">
        <v>819.11628023991864</v>
      </c>
      <c r="AY1025">
        <v>5.1508127384050333</v>
      </c>
      <c r="AZ1025" t="s">
        <v>149</v>
      </c>
      <c r="BA1025" t="str">
        <f>VLOOKUP($AZ1025,Sheet1!$A$2:$B$58,2)</f>
        <v>Propane (PW2)</v>
      </c>
      <c r="BB1025" t="s">
        <v>194</v>
      </c>
      <c r="BC1025">
        <v>44.094819999999999</v>
      </c>
      <c r="BD1025">
        <v>6.666666666666667</v>
      </c>
      <c r="BE1025">
        <v>-42</v>
      </c>
      <c r="BF1025" t="s">
        <v>215</v>
      </c>
      <c r="BG1025">
        <v>1.811917221204586</v>
      </c>
      <c r="BH1025">
        <v>0.207666666666667</v>
      </c>
      <c r="BI1025">
        <v>0.28579030427416202</v>
      </c>
      <c r="BJ1025">
        <v>80</v>
      </c>
      <c r="BK1025">
        <v>7412.5784728467224</v>
      </c>
      <c r="BL1025">
        <v>3582.6805003071881</v>
      </c>
      <c r="BM1025">
        <v>20.716894381969141</v>
      </c>
      <c r="BN1025">
        <v>3521.8720449347538</v>
      </c>
      <c r="BO1025">
        <v>3890.7064279119681</v>
      </c>
    </row>
    <row r="1026" spans="1:67" x14ac:dyDescent="0.25">
      <c r="A1026" s="1">
        <v>1024</v>
      </c>
      <c r="B1026" t="s">
        <v>78</v>
      </c>
      <c r="C1026" t="s">
        <v>87</v>
      </c>
      <c r="D1026">
        <v>1</v>
      </c>
      <c r="E1026">
        <v>4</v>
      </c>
      <c r="F1026">
        <v>1</v>
      </c>
      <c r="G1026">
        <v>32.041060000000002</v>
      </c>
      <c r="H1026">
        <v>6</v>
      </c>
      <c r="I1026" t="s">
        <v>89</v>
      </c>
      <c r="J1026">
        <v>2.5</v>
      </c>
      <c r="K1026">
        <v>200</v>
      </c>
      <c r="L1026">
        <v>50</v>
      </c>
      <c r="N1026" t="s">
        <v>90</v>
      </c>
      <c r="O1026">
        <v>50</v>
      </c>
      <c r="P1026">
        <v>0.3125</v>
      </c>
      <c r="Q1026">
        <v>3.2500000000000001E-2</v>
      </c>
      <c r="R1026">
        <v>77.5</v>
      </c>
      <c r="S1026">
        <v>170</v>
      </c>
      <c r="T1026">
        <v>50</v>
      </c>
      <c r="U1026">
        <v>1812.1301775147931</v>
      </c>
      <c r="V1026">
        <v>20</v>
      </c>
      <c r="W1026">
        <v>0.95</v>
      </c>
      <c r="X1026">
        <v>1</v>
      </c>
      <c r="Y1026">
        <v>138539.6145236305</v>
      </c>
      <c r="Z1026">
        <v>277079229.04726088</v>
      </c>
      <c r="AA1026">
        <v>692698072.61815238</v>
      </c>
      <c r="AB1026">
        <v>692698.07261815236</v>
      </c>
      <c r="AC1026">
        <v>0</v>
      </c>
      <c r="AD1026">
        <v>2871.7238228781712</v>
      </c>
      <c r="AE1026">
        <v>1723034.293726902</v>
      </c>
      <c r="AF1026">
        <v>861517.14686345123</v>
      </c>
      <c r="AG1026">
        <v>27.60392259368065</v>
      </c>
      <c r="AH1026">
        <v>284.36527225095369</v>
      </c>
      <c r="AI1026">
        <v>142.18263612547679</v>
      </c>
      <c r="AJ1026">
        <v>22512.687360089949</v>
      </c>
      <c r="AK1026">
        <v>854.70085470085473</v>
      </c>
      <c r="AL1026" t="s">
        <v>93</v>
      </c>
      <c r="AM1026">
        <v>22038.308599448908</v>
      </c>
      <c r="AN1026">
        <v>1546.071327000876</v>
      </c>
      <c r="AO1026">
        <v>24171.048141331059</v>
      </c>
      <c r="AP1026">
        <v>46951.768141240587</v>
      </c>
      <c r="AQ1026">
        <v>22780.719999909528</v>
      </c>
      <c r="AR1026">
        <v>2.6131444327083329E-2</v>
      </c>
      <c r="AS1026">
        <v>815.56116829728273</v>
      </c>
      <c r="AT1026">
        <v>798.37597445278038</v>
      </c>
      <c r="AU1026">
        <v>56.009116883801767</v>
      </c>
      <c r="AV1026">
        <v>875.63816552885578</v>
      </c>
      <c r="AW1026">
        <v>1700.909281349356</v>
      </c>
      <c r="AX1026">
        <v>825.27111582049974</v>
      </c>
      <c r="AY1026">
        <v>5.1508127384050342</v>
      </c>
      <c r="AZ1026" t="s">
        <v>150</v>
      </c>
      <c r="BA1026" t="str">
        <f>VLOOKUP($AZ1026,Sheet1!$A$2:$B$58,2)</f>
        <v>Shikimate</v>
      </c>
      <c r="BB1026" t="s">
        <v>195</v>
      </c>
      <c r="BC1026">
        <v>173.14045999999999</v>
      </c>
      <c r="BD1026">
        <v>3.8571428571428572</v>
      </c>
      <c r="BE1026">
        <v>400.5</v>
      </c>
      <c r="BF1026" t="s">
        <v>215</v>
      </c>
      <c r="BG1026">
        <v>-0.26269202717669149</v>
      </c>
      <c r="BH1026">
        <v>0.16760135135135101</v>
      </c>
      <c r="BI1026">
        <v>0.905668385178099</v>
      </c>
      <c r="BJ1026">
        <v>80</v>
      </c>
      <c r="BK1026">
        <v>2347.58840706203</v>
      </c>
      <c r="BL1026">
        <v>1139.0359999954769</v>
      </c>
      <c r="BM1026">
        <v>7.3718238334505326</v>
      </c>
      <c r="BN1026">
        <v>1253.210051686591</v>
      </c>
      <c r="BO1026">
        <v>1094.378355375439</v>
      </c>
    </row>
    <row r="1027" spans="1:67" x14ac:dyDescent="0.25">
      <c r="A1027" s="1">
        <v>1025</v>
      </c>
      <c r="B1027" t="s">
        <v>78</v>
      </c>
      <c r="C1027" t="s">
        <v>87</v>
      </c>
      <c r="D1027">
        <v>1</v>
      </c>
      <c r="E1027">
        <v>4</v>
      </c>
      <c r="F1027">
        <v>1</v>
      </c>
      <c r="G1027">
        <v>32.041060000000002</v>
      </c>
      <c r="H1027">
        <v>6</v>
      </c>
      <c r="I1027" t="s">
        <v>89</v>
      </c>
      <c r="J1027">
        <v>2.5</v>
      </c>
      <c r="K1027">
        <v>200</v>
      </c>
      <c r="L1027">
        <v>50</v>
      </c>
      <c r="N1027" t="s">
        <v>90</v>
      </c>
      <c r="O1027">
        <v>50</v>
      </c>
      <c r="P1027">
        <v>0.3125</v>
      </c>
      <c r="Q1027">
        <v>3.2500000000000001E-2</v>
      </c>
      <c r="R1027">
        <v>77.5</v>
      </c>
      <c r="S1027">
        <v>170</v>
      </c>
      <c r="T1027">
        <v>50</v>
      </c>
      <c r="U1027">
        <v>1812.1301775147931</v>
      </c>
      <c r="V1027">
        <v>20</v>
      </c>
      <c r="W1027">
        <v>0.95</v>
      </c>
      <c r="X1027">
        <v>1</v>
      </c>
      <c r="Y1027">
        <v>331854.41323103342</v>
      </c>
      <c r="Z1027">
        <v>663708826.46206677</v>
      </c>
      <c r="AA1027">
        <v>1659272066.1551671</v>
      </c>
      <c r="AB1027">
        <v>1659272.0661551671</v>
      </c>
      <c r="AC1027">
        <v>0</v>
      </c>
      <c r="AD1027">
        <v>6878.8571953205828</v>
      </c>
      <c r="AE1027">
        <v>4127314.31719235</v>
      </c>
      <c r="AF1027">
        <v>2063657.158596175</v>
      </c>
      <c r="AG1027">
        <v>66.121762838009559</v>
      </c>
      <c r="AH1027">
        <v>681.16163662363238</v>
      </c>
      <c r="AI1027">
        <v>340.58081831181619</v>
      </c>
      <c r="AJ1027">
        <v>53926.342150042918</v>
      </c>
      <c r="AK1027">
        <v>854.70085470085473</v>
      </c>
      <c r="AL1027" t="s">
        <v>93</v>
      </c>
      <c r="AM1027">
        <v>52790.026838331512</v>
      </c>
      <c r="AN1027">
        <v>3703.421543357098</v>
      </c>
      <c r="AO1027">
        <v>57898.739113008749</v>
      </c>
      <c r="AP1027">
        <v>111274.4913864324</v>
      </c>
      <c r="AQ1027">
        <v>53375.752273423641</v>
      </c>
      <c r="AR1027">
        <v>2.6131444327083329E-2</v>
      </c>
      <c r="AS1027">
        <v>815.56116829728273</v>
      </c>
      <c r="AT1027">
        <v>798.37597445278027</v>
      </c>
      <c r="AU1027">
        <v>56.009116883801767</v>
      </c>
      <c r="AV1027">
        <v>875.63816552885567</v>
      </c>
      <c r="AW1027">
        <v>1682.872425211071</v>
      </c>
      <c r="AX1027">
        <v>807.23425968221511</v>
      </c>
      <c r="AY1027">
        <v>5.1508127384050333</v>
      </c>
      <c r="AZ1027" t="s">
        <v>151</v>
      </c>
      <c r="BA1027" t="str">
        <f>VLOOKUP($AZ1027,Sheet1!$A$2:$B$58,2)</f>
        <v>Styrene</v>
      </c>
      <c r="BB1027" t="s">
        <v>196</v>
      </c>
      <c r="BC1027">
        <v>104.14832</v>
      </c>
      <c r="BD1027">
        <v>5</v>
      </c>
      <c r="BE1027">
        <v>145</v>
      </c>
      <c r="BF1027" t="s">
        <v>215</v>
      </c>
      <c r="BG1027">
        <v>0.25229865012010311</v>
      </c>
      <c r="BH1027">
        <v>0.116318874560375</v>
      </c>
      <c r="BI1027">
        <v>0.378090343133274</v>
      </c>
      <c r="BJ1027">
        <v>80</v>
      </c>
      <c r="BK1027">
        <v>5563.7245693216191</v>
      </c>
      <c r="BL1027">
        <v>2668.787613671182</v>
      </c>
      <c r="BM1027">
        <v>16.776742265470709</v>
      </c>
      <c r="BN1027">
        <v>2852.0461851300201</v>
      </c>
      <c r="BO1027">
        <v>2711.678384191599</v>
      </c>
    </row>
    <row r="1028" spans="1:67" x14ac:dyDescent="0.25">
      <c r="A1028" s="1">
        <v>1026</v>
      </c>
      <c r="B1028" t="s">
        <v>78</v>
      </c>
      <c r="C1028" t="s">
        <v>87</v>
      </c>
      <c r="D1028">
        <v>1</v>
      </c>
      <c r="E1028">
        <v>4</v>
      </c>
      <c r="F1028">
        <v>1</v>
      </c>
      <c r="G1028">
        <v>32.041060000000002</v>
      </c>
      <c r="H1028">
        <v>6</v>
      </c>
      <c r="I1028" t="s">
        <v>89</v>
      </c>
      <c r="J1028">
        <v>2.5</v>
      </c>
      <c r="K1028">
        <v>200</v>
      </c>
      <c r="L1028">
        <v>50</v>
      </c>
      <c r="N1028" t="s">
        <v>90</v>
      </c>
      <c r="O1028">
        <v>50</v>
      </c>
      <c r="P1028">
        <v>0.3125</v>
      </c>
      <c r="Q1028">
        <v>3.2500000000000001E-2</v>
      </c>
      <c r="R1028">
        <v>77.5</v>
      </c>
      <c r="S1028">
        <v>170</v>
      </c>
      <c r="T1028">
        <v>50</v>
      </c>
      <c r="U1028">
        <v>1812.1301775147931</v>
      </c>
      <c r="V1028">
        <v>20</v>
      </c>
      <c r="W1028">
        <v>0.95</v>
      </c>
      <c r="X1028">
        <v>1</v>
      </c>
      <c r="Y1028">
        <v>93205.49418371357</v>
      </c>
      <c r="Z1028">
        <v>186410988.36742711</v>
      </c>
      <c r="AA1028">
        <v>466027470.91856778</v>
      </c>
      <c r="AB1028">
        <v>466027.47091856791</v>
      </c>
      <c r="AC1028">
        <v>0</v>
      </c>
      <c r="AD1028">
        <v>1932.0137347779951</v>
      </c>
      <c r="AE1028">
        <v>1159208.240866797</v>
      </c>
      <c r="AF1028">
        <v>579604.12043339852</v>
      </c>
      <c r="AG1028">
        <v>18.57113039905375</v>
      </c>
      <c r="AH1028">
        <v>191.31283005205401</v>
      </c>
      <c r="AI1028">
        <v>95.656415026026991</v>
      </c>
      <c r="AJ1028">
        <v>15145.89280485346</v>
      </c>
      <c r="AK1028">
        <v>854.70085470085473</v>
      </c>
      <c r="AL1028" t="s">
        <v>93</v>
      </c>
      <c r="AM1028">
        <v>14826.74432903418</v>
      </c>
      <c r="AN1028">
        <v>1040.152613184925</v>
      </c>
      <c r="AO1028">
        <v>16261.590554424591</v>
      </c>
      <c r="AP1028">
        <v>31867.490601773421</v>
      </c>
      <c r="AQ1028">
        <v>15605.90004734883</v>
      </c>
      <c r="AR1028">
        <v>2.6131444327083329E-2</v>
      </c>
      <c r="AS1028">
        <v>815.56116829728273</v>
      </c>
      <c r="AT1028">
        <v>798.37597445278004</v>
      </c>
      <c r="AU1028">
        <v>56.009116883801759</v>
      </c>
      <c r="AV1028">
        <v>875.63816552885555</v>
      </c>
      <c r="AW1028">
        <v>1715.969352269324</v>
      </c>
      <c r="AX1028">
        <v>840.33118674046864</v>
      </c>
      <c r="AY1028">
        <v>5.1508127384050324</v>
      </c>
      <c r="AZ1028" t="s">
        <v>152</v>
      </c>
      <c r="BA1028" t="str">
        <f>VLOOKUP($AZ1028,Sheet1!$A$2:$B$58,2)</f>
        <v>Succinate</v>
      </c>
      <c r="BB1028" t="s">
        <v>197</v>
      </c>
      <c r="BC1028">
        <v>116.07016</v>
      </c>
      <c r="BD1028">
        <v>3</v>
      </c>
      <c r="BE1028">
        <v>235</v>
      </c>
      <c r="BF1028" t="s">
        <v>215</v>
      </c>
      <c r="BG1028">
        <v>-0.49633379010558321</v>
      </c>
      <c r="BH1028">
        <v>0.37161048689138598</v>
      </c>
      <c r="BI1028">
        <v>1.3461754595872</v>
      </c>
      <c r="BJ1028">
        <v>80</v>
      </c>
      <c r="BK1028">
        <v>1593.374530088671</v>
      </c>
      <c r="BL1028">
        <v>780.29500236744138</v>
      </c>
      <c r="BM1028">
        <v>5.2791545414069327</v>
      </c>
      <c r="BN1028">
        <v>897.45627203917854</v>
      </c>
      <c r="BO1028">
        <v>695.91825804949201</v>
      </c>
    </row>
    <row r="1029" spans="1:67" x14ac:dyDescent="0.25">
      <c r="A1029" s="1">
        <v>1027</v>
      </c>
      <c r="B1029" t="s">
        <v>78</v>
      </c>
      <c r="C1029" t="s">
        <v>87</v>
      </c>
      <c r="D1029">
        <v>1</v>
      </c>
      <c r="E1029">
        <v>4</v>
      </c>
      <c r="F1029">
        <v>1</v>
      </c>
      <c r="G1029">
        <v>32.041060000000002</v>
      </c>
      <c r="H1029">
        <v>6</v>
      </c>
      <c r="I1029" t="s">
        <v>89</v>
      </c>
      <c r="J1029">
        <v>2.5</v>
      </c>
      <c r="K1029">
        <v>200</v>
      </c>
      <c r="L1029">
        <v>50</v>
      </c>
      <c r="N1029" t="s">
        <v>90</v>
      </c>
      <c r="O1029">
        <v>50</v>
      </c>
      <c r="P1029">
        <v>0.3125</v>
      </c>
      <c r="Q1029">
        <v>3.2500000000000001E-2</v>
      </c>
      <c r="R1029">
        <v>77.5</v>
      </c>
      <c r="S1029">
        <v>170</v>
      </c>
      <c r="T1029">
        <v>50</v>
      </c>
      <c r="U1029">
        <v>1812.1301775147931</v>
      </c>
      <c r="V1029">
        <v>20</v>
      </c>
      <c r="W1029">
        <v>0.95</v>
      </c>
      <c r="X1029">
        <v>1</v>
      </c>
      <c r="Y1029">
        <v>192000.22409135781</v>
      </c>
      <c r="Z1029">
        <v>384000448.18271548</v>
      </c>
      <c r="AA1029">
        <v>960001120.45678878</v>
      </c>
      <c r="AB1029">
        <v>960001.12045678881</v>
      </c>
      <c r="AC1029">
        <v>0</v>
      </c>
      <c r="AD1029">
        <v>3979.8841610538261</v>
      </c>
      <c r="AE1029">
        <v>2387930.4966322952</v>
      </c>
      <c r="AF1029">
        <v>1193965.2483161481</v>
      </c>
      <c r="AG1029">
        <v>38.255912159212592</v>
      </c>
      <c r="AH1029">
        <v>394.0980793379523</v>
      </c>
      <c r="AI1029">
        <v>197.04903966897609</v>
      </c>
      <c r="AJ1029">
        <v>31200.036414845639</v>
      </c>
      <c r="AK1029">
        <v>854.70085470085473</v>
      </c>
      <c r="AL1029" t="s">
        <v>93</v>
      </c>
      <c r="AM1029">
        <v>30542.601148691301</v>
      </c>
      <c r="AN1029">
        <v>2142.67985562179</v>
      </c>
      <c r="AO1029">
        <v>33498.336743725937</v>
      </c>
      <c r="AP1029">
        <v>64740.018273859583</v>
      </c>
      <c r="AQ1029">
        <v>31241.681530133639</v>
      </c>
      <c r="AR1029">
        <v>2.6131444327083329E-2</v>
      </c>
      <c r="AS1029">
        <v>815.56116829728262</v>
      </c>
      <c r="AT1029">
        <v>798.37597445278004</v>
      </c>
      <c r="AU1029">
        <v>56.009116883801752</v>
      </c>
      <c r="AV1029">
        <v>875.63816552885544</v>
      </c>
      <c r="AW1029">
        <v>1692.2879267504079</v>
      </c>
      <c r="AX1029">
        <v>816.64976122155247</v>
      </c>
      <c r="AY1029">
        <v>5.1508127384050324</v>
      </c>
      <c r="AZ1029" t="s">
        <v>96</v>
      </c>
      <c r="BA1029" t="str">
        <f>VLOOKUP($AZ1029,Sheet1!$A$2:$B$58,2)</f>
        <v>1,3-Butanediol (PW1)</v>
      </c>
      <c r="BB1029" t="s">
        <v>153</v>
      </c>
      <c r="BC1029">
        <v>90.119200000000006</v>
      </c>
      <c r="BD1029">
        <v>5.5</v>
      </c>
      <c r="BE1029">
        <v>207</v>
      </c>
      <c r="BF1029" t="s">
        <v>216</v>
      </c>
      <c r="BG1029">
        <v>0.14844360988396191</v>
      </c>
      <c r="BH1029">
        <v>0.23234374999999999</v>
      </c>
      <c r="BI1029">
        <v>0.65349376315889596</v>
      </c>
      <c r="BJ1029">
        <v>80</v>
      </c>
      <c r="BK1029">
        <v>3237.0009136929798</v>
      </c>
      <c r="BL1029">
        <v>1562.0840765066821</v>
      </c>
      <c r="BM1029">
        <v>9.704008373564843</v>
      </c>
      <c r="BN1029">
        <v>1649.6814235060231</v>
      </c>
      <c r="BO1029">
        <v>1587.319490186957</v>
      </c>
    </row>
    <row r="1030" spans="1:67" x14ac:dyDescent="0.25">
      <c r="A1030" s="1">
        <v>1028</v>
      </c>
      <c r="B1030" t="s">
        <v>78</v>
      </c>
      <c r="C1030" t="s">
        <v>87</v>
      </c>
      <c r="D1030">
        <v>1</v>
      </c>
      <c r="E1030">
        <v>4</v>
      </c>
      <c r="F1030">
        <v>1</v>
      </c>
      <c r="G1030">
        <v>32.041060000000002</v>
      </c>
      <c r="H1030">
        <v>6</v>
      </c>
      <c r="I1030" t="s">
        <v>89</v>
      </c>
      <c r="J1030">
        <v>2.5</v>
      </c>
      <c r="K1030">
        <v>200</v>
      </c>
      <c r="L1030">
        <v>50</v>
      </c>
      <c r="N1030" t="s">
        <v>90</v>
      </c>
      <c r="O1030">
        <v>50</v>
      </c>
      <c r="P1030">
        <v>0.3125</v>
      </c>
      <c r="Q1030">
        <v>3.2500000000000001E-2</v>
      </c>
      <c r="R1030">
        <v>77.5</v>
      </c>
      <c r="S1030">
        <v>170</v>
      </c>
      <c r="T1030">
        <v>50</v>
      </c>
      <c r="U1030">
        <v>1812.1301775147931</v>
      </c>
      <c r="V1030">
        <v>20</v>
      </c>
      <c r="W1030">
        <v>0.95</v>
      </c>
      <c r="X1030">
        <v>1</v>
      </c>
      <c r="Y1030">
        <v>189000.2205899306</v>
      </c>
      <c r="Z1030">
        <v>378000441.17986119</v>
      </c>
      <c r="AA1030">
        <v>945001102.94965291</v>
      </c>
      <c r="AB1030">
        <v>945001.10294965294</v>
      </c>
      <c r="AC1030">
        <v>0</v>
      </c>
      <c r="AD1030">
        <v>3917.6984710373649</v>
      </c>
      <c r="AE1030">
        <v>2350619.0826224191</v>
      </c>
      <c r="AF1030">
        <v>1175309.54131121</v>
      </c>
      <c r="AG1030">
        <v>37.658163531724952</v>
      </c>
      <c r="AH1030">
        <v>387.94029684829752</v>
      </c>
      <c r="AI1030">
        <v>193.97014842414879</v>
      </c>
      <c r="AJ1030">
        <v>30712.53584586372</v>
      </c>
      <c r="AK1030">
        <v>854.70085470085473</v>
      </c>
      <c r="AL1030" t="s">
        <v>93</v>
      </c>
      <c r="AM1030">
        <v>30065.373005743058</v>
      </c>
      <c r="AN1030">
        <v>2109.200482877704</v>
      </c>
      <c r="AO1030">
        <v>32974.925232105292</v>
      </c>
      <c r="AP1030">
        <v>63741.810189185337</v>
      </c>
      <c r="AQ1030">
        <v>30766.884957080041</v>
      </c>
      <c r="AR1030">
        <v>2.6131444327083329E-2</v>
      </c>
      <c r="AS1030">
        <v>815.56116829728273</v>
      </c>
      <c r="AT1030">
        <v>798.37597445278027</v>
      </c>
      <c r="AU1030">
        <v>56.009116883801759</v>
      </c>
      <c r="AV1030">
        <v>875.63816552885589</v>
      </c>
      <c r="AW1030">
        <v>1692.642556387179</v>
      </c>
      <c r="AX1030">
        <v>817.00439085832284</v>
      </c>
      <c r="AY1030">
        <v>5.1508127384050342</v>
      </c>
      <c r="AZ1030" t="s">
        <v>97</v>
      </c>
      <c r="BA1030" t="str">
        <f>VLOOKUP($AZ1030,Sheet1!$A$2:$B$58,2)</f>
        <v>1,3-Butanediol (PW2)</v>
      </c>
      <c r="BB1030" t="s">
        <v>153</v>
      </c>
      <c r="BC1030">
        <v>90.119200000000006</v>
      </c>
      <c r="BD1030">
        <v>5.5</v>
      </c>
      <c r="BE1030">
        <v>207</v>
      </c>
      <c r="BF1030" t="s">
        <v>216</v>
      </c>
      <c r="BG1030">
        <v>0.1156021032724618</v>
      </c>
      <c r="BH1030">
        <v>0.23603174603174601</v>
      </c>
      <c r="BI1030">
        <v>0.66386668003443305</v>
      </c>
      <c r="BJ1030">
        <v>80</v>
      </c>
      <c r="BK1030">
        <v>3187.0905094592672</v>
      </c>
      <c r="BL1030">
        <v>1538.3442478540021</v>
      </c>
      <c r="BM1030">
        <v>9.5829053179349781</v>
      </c>
      <c r="BN1030">
        <v>1629.0939040489459</v>
      </c>
      <c r="BO1030">
        <v>1557.9966054103211</v>
      </c>
    </row>
    <row r="1031" spans="1:67" x14ac:dyDescent="0.25">
      <c r="A1031" s="1">
        <v>1029</v>
      </c>
      <c r="B1031" t="s">
        <v>78</v>
      </c>
      <c r="C1031" t="s">
        <v>87</v>
      </c>
      <c r="D1031">
        <v>1</v>
      </c>
      <c r="E1031">
        <v>4</v>
      </c>
      <c r="F1031">
        <v>1</v>
      </c>
      <c r="G1031">
        <v>32.041060000000002</v>
      </c>
      <c r="H1031">
        <v>6</v>
      </c>
      <c r="I1031" t="s">
        <v>89</v>
      </c>
      <c r="J1031">
        <v>2.5</v>
      </c>
      <c r="K1031">
        <v>200</v>
      </c>
      <c r="L1031">
        <v>50</v>
      </c>
      <c r="N1031" t="s">
        <v>90</v>
      </c>
      <c r="O1031">
        <v>50</v>
      </c>
      <c r="P1031">
        <v>0.3125</v>
      </c>
      <c r="Q1031">
        <v>3.2500000000000001E-2</v>
      </c>
      <c r="R1031">
        <v>77.5</v>
      </c>
      <c r="S1031">
        <v>170</v>
      </c>
      <c r="T1031">
        <v>50</v>
      </c>
      <c r="U1031">
        <v>1812.1301775147931</v>
      </c>
      <c r="V1031">
        <v>20</v>
      </c>
      <c r="W1031">
        <v>0.95</v>
      </c>
      <c r="X1031">
        <v>1</v>
      </c>
      <c r="Y1031">
        <v>171257.49671827929</v>
      </c>
      <c r="Z1031">
        <v>342514993.43655872</v>
      </c>
      <c r="AA1031">
        <v>856287483.59139669</v>
      </c>
      <c r="AB1031">
        <v>856287.48359139671</v>
      </c>
      <c r="AC1031">
        <v>0</v>
      </c>
      <c r="AD1031">
        <v>3549.9177247131479</v>
      </c>
      <c r="AE1031">
        <v>2129950.634827889</v>
      </c>
      <c r="AF1031">
        <v>1064975.317413945</v>
      </c>
      <c r="AG1031">
        <v>34.12293804377925</v>
      </c>
      <c r="AH1031">
        <v>351.52172789540782</v>
      </c>
      <c r="AI1031">
        <v>175.76086394770391</v>
      </c>
      <c r="AJ1031">
        <v>27829.34321672039</v>
      </c>
      <c r="AK1031">
        <v>854.70085470085473</v>
      </c>
      <c r="AL1031" t="s">
        <v>93</v>
      </c>
      <c r="AM1031">
        <v>27242.933911894099</v>
      </c>
      <c r="AN1031">
        <v>1911.195625312758</v>
      </c>
      <c r="AO1031">
        <v>29879.346871109661</v>
      </c>
      <c r="AP1031">
        <v>57838.173608628109</v>
      </c>
      <c r="AQ1031">
        <v>27958.826737518451</v>
      </c>
      <c r="AR1031">
        <v>2.6131444327083329E-2</v>
      </c>
      <c r="AS1031">
        <v>815.56116829728273</v>
      </c>
      <c r="AT1031">
        <v>798.37597445278027</v>
      </c>
      <c r="AU1031">
        <v>56.009116883801759</v>
      </c>
      <c r="AV1031">
        <v>875.63816552885589</v>
      </c>
      <c r="AW1031">
        <v>1694.993951998581</v>
      </c>
      <c r="AX1031">
        <v>819.35578646972533</v>
      </c>
      <c r="AY1031">
        <v>5.1508127384050333</v>
      </c>
      <c r="AZ1031" t="s">
        <v>98</v>
      </c>
      <c r="BA1031" t="str">
        <f>VLOOKUP($AZ1031,Sheet1!$A$2:$B$58,2)</f>
        <v>1,3-Diaminopropane</v>
      </c>
      <c r="BB1031" t="s">
        <v>154</v>
      </c>
      <c r="BC1031">
        <v>76.139580000000009</v>
      </c>
      <c r="BD1031">
        <v>6</v>
      </c>
      <c r="BE1031">
        <v>139.30000000000001</v>
      </c>
      <c r="BF1031" t="s">
        <v>216</v>
      </c>
      <c r="BG1031">
        <v>0.1407304302847108</v>
      </c>
      <c r="BH1031">
        <v>0.30831168831168898</v>
      </c>
      <c r="BI1031">
        <v>0.73264500166794999</v>
      </c>
      <c r="BJ1031">
        <v>80</v>
      </c>
      <c r="BK1031">
        <v>2891.9086804314061</v>
      </c>
      <c r="BL1031">
        <v>1397.9413368759231</v>
      </c>
      <c r="BM1031">
        <v>8.6473127671004821</v>
      </c>
      <c r="BN1031">
        <v>1470.043170407082</v>
      </c>
      <c r="BO1031">
        <v>1421.8655100243241</v>
      </c>
    </row>
    <row r="1032" spans="1:67" x14ac:dyDescent="0.25">
      <c r="A1032" s="1">
        <v>1030</v>
      </c>
      <c r="B1032" t="s">
        <v>78</v>
      </c>
      <c r="C1032" t="s">
        <v>87</v>
      </c>
      <c r="D1032">
        <v>1</v>
      </c>
      <c r="E1032">
        <v>4</v>
      </c>
      <c r="F1032">
        <v>1</v>
      </c>
      <c r="G1032">
        <v>32.041060000000002</v>
      </c>
      <c r="H1032">
        <v>6</v>
      </c>
      <c r="I1032" t="s">
        <v>89</v>
      </c>
      <c r="J1032">
        <v>2.5</v>
      </c>
      <c r="K1032">
        <v>200</v>
      </c>
      <c r="L1032">
        <v>50</v>
      </c>
      <c r="N1032" t="s">
        <v>90</v>
      </c>
      <c r="O1032">
        <v>50</v>
      </c>
      <c r="P1032">
        <v>0.3125</v>
      </c>
      <c r="Q1032">
        <v>3.2500000000000001E-2</v>
      </c>
      <c r="R1032">
        <v>77.5</v>
      </c>
      <c r="S1032">
        <v>170</v>
      </c>
      <c r="T1032">
        <v>50</v>
      </c>
      <c r="U1032">
        <v>1812.1301775147931</v>
      </c>
      <c r="V1032">
        <v>20</v>
      </c>
      <c r="W1032">
        <v>0.95</v>
      </c>
      <c r="X1032">
        <v>1</v>
      </c>
      <c r="Y1032">
        <v>151166.93862020361</v>
      </c>
      <c r="Z1032">
        <v>302333877.24040729</v>
      </c>
      <c r="AA1032">
        <v>755834693.10101819</v>
      </c>
      <c r="AB1032">
        <v>755834.6931010182</v>
      </c>
      <c r="AC1032">
        <v>0</v>
      </c>
      <c r="AD1032">
        <v>3133.469804718965</v>
      </c>
      <c r="AE1032">
        <v>1880081.8828313791</v>
      </c>
      <c r="AF1032">
        <v>940040.94141568942</v>
      </c>
      <c r="AG1032">
        <v>30.119908206356591</v>
      </c>
      <c r="AH1032">
        <v>310.28401373778371</v>
      </c>
      <c r="AI1032">
        <v>155.1420068688918</v>
      </c>
      <c r="AJ1032">
        <v>24564.627525783089</v>
      </c>
      <c r="AK1032">
        <v>854.70085470085473</v>
      </c>
      <c r="AL1032" t="s">
        <v>93</v>
      </c>
      <c r="AM1032">
        <v>24047.01106467823</v>
      </c>
      <c r="AN1032">
        <v>1686.9894592592059</v>
      </c>
      <c r="AO1032">
        <v>26374.141167711608</v>
      </c>
      <c r="AP1032">
        <v>51153.328904421382</v>
      </c>
      <c r="AQ1032">
        <v>24779.18773670977</v>
      </c>
      <c r="AR1032">
        <v>2.6131444327083329E-2</v>
      </c>
      <c r="AS1032">
        <v>815.56116829728273</v>
      </c>
      <c r="AT1032">
        <v>798.37597445278016</v>
      </c>
      <c r="AU1032">
        <v>56.009116883801752</v>
      </c>
      <c r="AV1032">
        <v>875.63816552885567</v>
      </c>
      <c r="AW1032">
        <v>1698.3228685147801</v>
      </c>
      <c r="AX1032">
        <v>822.68470298592422</v>
      </c>
      <c r="AY1032">
        <v>5.1508127384050333</v>
      </c>
      <c r="AZ1032" t="s">
        <v>99</v>
      </c>
      <c r="BA1032" t="str">
        <f>VLOOKUP($AZ1032,Sheet1!$A$2:$B$58,2)</f>
        <v>1,3-Propanediol</v>
      </c>
      <c r="BB1032" t="s">
        <v>155</v>
      </c>
      <c r="BC1032">
        <v>76.092820000000003</v>
      </c>
      <c r="BD1032">
        <v>5.333333333333333</v>
      </c>
      <c r="BE1032">
        <v>213</v>
      </c>
      <c r="BF1032" t="s">
        <v>216</v>
      </c>
      <c r="BG1032">
        <v>-8.0269642174618044E-2</v>
      </c>
      <c r="BH1032">
        <v>0.34950191570881201</v>
      </c>
      <c r="BI1032">
        <v>0.83001580976677503</v>
      </c>
      <c r="BJ1032">
        <v>80</v>
      </c>
      <c r="BK1032">
        <v>2557.6664452210689</v>
      </c>
      <c r="BL1032">
        <v>1238.9593868354891</v>
      </c>
      <c r="BM1032">
        <v>7.8373699856192092</v>
      </c>
      <c r="BN1032">
        <v>1332.3528975552661</v>
      </c>
      <c r="BO1032">
        <v>1225.313547665804</v>
      </c>
    </row>
    <row r="1033" spans="1:67" x14ac:dyDescent="0.25">
      <c r="A1033" s="1">
        <v>1031</v>
      </c>
      <c r="B1033" t="s">
        <v>78</v>
      </c>
      <c r="C1033" t="s">
        <v>87</v>
      </c>
      <c r="D1033">
        <v>1</v>
      </c>
      <c r="E1033">
        <v>4</v>
      </c>
      <c r="F1033">
        <v>1</v>
      </c>
      <c r="G1033">
        <v>32.041060000000002</v>
      </c>
      <c r="H1033">
        <v>6</v>
      </c>
      <c r="I1033" t="s">
        <v>89</v>
      </c>
      <c r="J1033">
        <v>2.5</v>
      </c>
      <c r="K1033">
        <v>200</v>
      </c>
      <c r="L1033">
        <v>50</v>
      </c>
      <c r="N1033" t="s">
        <v>90</v>
      </c>
      <c r="O1033">
        <v>50</v>
      </c>
      <c r="P1033">
        <v>0.3125</v>
      </c>
      <c r="Q1033">
        <v>3.2500000000000001E-2</v>
      </c>
      <c r="R1033">
        <v>77.5</v>
      </c>
      <c r="S1033">
        <v>170</v>
      </c>
      <c r="T1033">
        <v>50</v>
      </c>
      <c r="U1033">
        <v>1812.1301775147931</v>
      </c>
      <c r="V1033">
        <v>20</v>
      </c>
      <c r="W1033">
        <v>0.95</v>
      </c>
      <c r="X1033">
        <v>1</v>
      </c>
      <c r="Y1033">
        <v>179218.2097958019</v>
      </c>
      <c r="Z1033">
        <v>358436419.59160382</v>
      </c>
      <c r="AA1033">
        <v>896091048.97900939</v>
      </c>
      <c r="AB1033">
        <v>896091.04897900939</v>
      </c>
      <c r="AC1033">
        <v>0</v>
      </c>
      <c r="AD1033">
        <v>3714.9316773679679</v>
      </c>
      <c r="AE1033">
        <v>2228959.0064207809</v>
      </c>
      <c r="AF1033">
        <v>1114479.50321039</v>
      </c>
      <c r="AG1033">
        <v>35.709104631134323</v>
      </c>
      <c r="AH1033">
        <v>367.86182202216958</v>
      </c>
      <c r="AI1033">
        <v>183.93091101108479</v>
      </c>
      <c r="AJ1033">
        <v>29122.959091817811</v>
      </c>
      <c r="AK1033">
        <v>854.70085470085473</v>
      </c>
      <c r="AL1033" t="s">
        <v>93</v>
      </c>
      <c r="AM1033">
        <v>28509.291206718139</v>
      </c>
      <c r="AN1033">
        <v>2000.035415101109</v>
      </c>
      <c r="AO1033">
        <v>31268.254871884419</v>
      </c>
      <c r="AP1033">
        <v>60486.98656833791</v>
      </c>
      <c r="AQ1033">
        <v>29218.731696453491</v>
      </c>
      <c r="AR1033">
        <v>2.6131444327083329E-2</v>
      </c>
      <c r="AS1033">
        <v>815.56116829728273</v>
      </c>
      <c r="AT1033">
        <v>798.37597445278016</v>
      </c>
      <c r="AU1033">
        <v>56.009116883801767</v>
      </c>
      <c r="AV1033">
        <v>875.63816552885567</v>
      </c>
      <c r="AW1033">
        <v>1693.881355837751</v>
      </c>
      <c r="AX1033">
        <v>818.24319030889558</v>
      </c>
      <c r="AY1033">
        <v>5.1508127384050333</v>
      </c>
      <c r="AZ1033" t="s">
        <v>100</v>
      </c>
      <c r="BA1033" t="str">
        <f>VLOOKUP($AZ1033,Sheet1!$A$2:$B$58,2)</f>
        <v>1,4-Butanediol</v>
      </c>
      <c r="BB1033" t="s">
        <v>153</v>
      </c>
      <c r="BC1033">
        <v>90.119200000000006</v>
      </c>
      <c r="BD1033">
        <v>5.5</v>
      </c>
      <c r="BE1033">
        <v>230</v>
      </c>
      <c r="BF1033" t="s">
        <v>216</v>
      </c>
      <c r="BG1033">
        <v>8.5169041997896558E-3</v>
      </c>
      <c r="BH1033">
        <v>0.24891472868217099</v>
      </c>
      <c r="BI1033">
        <v>0.70010156396368495</v>
      </c>
      <c r="BJ1033">
        <v>80</v>
      </c>
      <c r="BK1033">
        <v>3024.3493284168958</v>
      </c>
      <c r="BL1033">
        <v>1460.9365848226751</v>
      </c>
      <c r="BM1033">
        <v>9.1880286463544518</v>
      </c>
      <c r="BN1033">
        <v>1561.9648698802571</v>
      </c>
      <c r="BO1033">
        <v>1462.3844585366389</v>
      </c>
    </row>
    <row r="1034" spans="1:67" x14ac:dyDescent="0.25">
      <c r="A1034" s="1">
        <v>1032</v>
      </c>
      <c r="B1034" t="s">
        <v>78</v>
      </c>
      <c r="C1034" t="s">
        <v>87</v>
      </c>
      <c r="D1034">
        <v>1</v>
      </c>
      <c r="E1034">
        <v>4</v>
      </c>
      <c r="F1034">
        <v>1</v>
      </c>
      <c r="G1034">
        <v>32.041060000000002</v>
      </c>
      <c r="H1034">
        <v>6</v>
      </c>
      <c r="I1034" t="s">
        <v>89</v>
      </c>
      <c r="J1034">
        <v>2.5</v>
      </c>
      <c r="K1034">
        <v>200</v>
      </c>
      <c r="L1034">
        <v>50</v>
      </c>
      <c r="N1034" t="s">
        <v>90</v>
      </c>
      <c r="O1034">
        <v>50</v>
      </c>
      <c r="P1034">
        <v>0.3125</v>
      </c>
      <c r="Q1034">
        <v>3.2500000000000001E-2</v>
      </c>
      <c r="R1034">
        <v>77.5</v>
      </c>
      <c r="S1034">
        <v>170</v>
      </c>
      <c r="T1034">
        <v>50</v>
      </c>
      <c r="U1034">
        <v>1812.1301775147931</v>
      </c>
      <c r="V1034">
        <v>20</v>
      </c>
      <c r="W1034">
        <v>0.95</v>
      </c>
      <c r="X1034">
        <v>1</v>
      </c>
      <c r="Y1034">
        <v>221560.9419149172</v>
      </c>
      <c r="Z1034">
        <v>443121883.82983452</v>
      </c>
      <c r="AA1034">
        <v>1107804709.5745859</v>
      </c>
      <c r="AB1034">
        <v>1107804.709574586</v>
      </c>
      <c r="AC1034">
        <v>0</v>
      </c>
      <c r="AD1034">
        <v>4592.6346576333844</v>
      </c>
      <c r="AE1034">
        <v>2755580.7945800298</v>
      </c>
      <c r="AF1034">
        <v>1377790.3972900149</v>
      </c>
      <c r="AG1034">
        <v>44.145864786993222</v>
      </c>
      <c r="AH1034">
        <v>454.77416538550182</v>
      </c>
      <c r="AI1034">
        <v>227.38708269275091</v>
      </c>
      <c r="AJ1034">
        <v>36003.65306117406</v>
      </c>
      <c r="AK1034">
        <v>854.70085470085473</v>
      </c>
      <c r="AL1034" t="s">
        <v>93</v>
      </c>
      <c r="AM1034">
        <v>35244.997817376388</v>
      </c>
      <c r="AN1034">
        <v>2472.570900791211</v>
      </c>
      <c r="AO1034">
        <v>38655.804057767651</v>
      </c>
      <c r="AP1034">
        <v>74575.922634042523</v>
      </c>
      <c r="AQ1034">
        <v>35920.118576274872</v>
      </c>
      <c r="AR1034">
        <v>2.613144432708334E-2</v>
      </c>
      <c r="AS1034">
        <v>815.56116829728285</v>
      </c>
      <c r="AT1034">
        <v>798.37597445278027</v>
      </c>
      <c r="AU1034">
        <v>56.009116883801752</v>
      </c>
      <c r="AV1034">
        <v>875.63816552885578</v>
      </c>
      <c r="AW1034">
        <v>1689.3070957806899</v>
      </c>
      <c r="AX1034">
        <v>813.6689302518339</v>
      </c>
      <c r="AY1034">
        <v>5.1508127384050342</v>
      </c>
      <c r="AZ1034" t="s">
        <v>101</v>
      </c>
      <c r="BA1034" t="str">
        <f>VLOOKUP($AZ1034,Sheet1!$A$2:$B$58,2)</f>
        <v>1-Propanol (PW1)</v>
      </c>
      <c r="BB1034" t="s">
        <v>156</v>
      </c>
      <c r="BC1034">
        <v>60.093820000000001</v>
      </c>
      <c r="BD1034">
        <v>6</v>
      </c>
      <c r="BE1034">
        <v>97</v>
      </c>
      <c r="BF1034" t="s">
        <v>216</v>
      </c>
      <c r="BG1034">
        <v>0.22839769194916359</v>
      </c>
      <c r="BH1034">
        <v>0.30194444444444402</v>
      </c>
      <c r="BI1034">
        <v>0.56630445729462298</v>
      </c>
      <c r="BJ1034">
        <v>80</v>
      </c>
      <c r="BK1034">
        <v>3728.7961317021259</v>
      </c>
      <c r="BL1034">
        <v>1796.0059288137429</v>
      </c>
      <c r="BM1034">
        <v>11.140956442688379</v>
      </c>
      <c r="BN1034">
        <v>1893.962595257025</v>
      </c>
      <c r="BO1034">
        <v>1834.8335364451009</v>
      </c>
    </row>
    <row r="1035" spans="1:67" x14ac:dyDescent="0.25">
      <c r="A1035" s="1">
        <v>1033</v>
      </c>
      <c r="B1035" t="s">
        <v>78</v>
      </c>
      <c r="C1035" t="s">
        <v>87</v>
      </c>
      <c r="D1035">
        <v>1</v>
      </c>
      <c r="E1035">
        <v>4</v>
      </c>
      <c r="F1035">
        <v>1</v>
      </c>
      <c r="G1035">
        <v>32.041060000000002</v>
      </c>
      <c r="H1035">
        <v>6</v>
      </c>
      <c r="I1035" t="s">
        <v>89</v>
      </c>
      <c r="J1035">
        <v>2.5</v>
      </c>
      <c r="K1035">
        <v>200</v>
      </c>
      <c r="L1035">
        <v>50</v>
      </c>
      <c r="N1035" t="s">
        <v>90</v>
      </c>
      <c r="O1035">
        <v>50</v>
      </c>
      <c r="P1035">
        <v>0.3125</v>
      </c>
      <c r="Q1035">
        <v>3.2500000000000001E-2</v>
      </c>
      <c r="R1035">
        <v>77.5</v>
      </c>
      <c r="S1035">
        <v>170</v>
      </c>
      <c r="T1035">
        <v>50</v>
      </c>
      <c r="U1035">
        <v>1812.1301775147931</v>
      </c>
      <c r="V1035">
        <v>20</v>
      </c>
      <c r="W1035">
        <v>0.95</v>
      </c>
      <c r="X1035">
        <v>1</v>
      </c>
      <c r="Y1035">
        <v>247983.1678813684</v>
      </c>
      <c r="Z1035">
        <v>495966335.76273668</v>
      </c>
      <c r="AA1035">
        <v>1239915839.406842</v>
      </c>
      <c r="AB1035">
        <v>1239915.8394068419</v>
      </c>
      <c r="AC1035">
        <v>0</v>
      </c>
      <c r="AD1035">
        <v>5140.3288028945253</v>
      </c>
      <c r="AE1035">
        <v>3084197.2817367162</v>
      </c>
      <c r="AF1035">
        <v>1542098.6408683581</v>
      </c>
      <c r="AG1035">
        <v>49.410475077981509</v>
      </c>
      <c r="AH1035">
        <v>509.00820888462317</v>
      </c>
      <c r="AI1035">
        <v>254.50410444231159</v>
      </c>
      <c r="AJ1035">
        <v>40297.264780722347</v>
      </c>
      <c r="AK1035">
        <v>854.70085470085473</v>
      </c>
      <c r="AL1035" t="s">
        <v>93</v>
      </c>
      <c r="AM1035">
        <v>39448.136188558303</v>
      </c>
      <c r="AN1035">
        <v>2767.4370739268402</v>
      </c>
      <c r="AO1035">
        <v>43265.697755192967</v>
      </c>
      <c r="AP1035">
        <v>83367.538897908351</v>
      </c>
      <c r="AQ1035">
        <v>40101.841142715377</v>
      </c>
      <c r="AR1035">
        <v>2.6131444327083329E-2</v>
      </c>
      <c r="AS1035">
        <v>815.56116829728251</v>
      </c>
      <c r="AT1035">
        <v>798.37597445278016</v>
      </c>
      <c r="AU1035">
        <v>56.009116883801752</v>
      </c>
      <c r="AV1035">
        <v>875.63816552885555</v>
      </c>
      <c r="AW1035">
        <v>1687.2442284016599</v>
      </c>
      <c r="AX1035">
        <v>811.60606287280439</v>
      </c>
      <c r="AY1035">
        <v>5.1508127384050333</v>
      </c>
      <c r="AZ1035" t="s">
        <v>102</v>
      </c>
      <c r="BA1035" t="str">
        <f>VLOOKUP($AZ1035,Sheet1!$A$2:$B$58,2)</f>
        <v>1-Propanol (PW2)</v>
      </c>
      <c r="BB1035" t="s">
        <v>156</v>
      </c>
      <c r="BC1035">
        <v>60.093820000000001</v>
      </c>
      <c r="BD1035">
        <v>6</v>
      </c>
      <c r="BE1035">
        <v>97</v>
      </c>
      <c r="BF1035" t="s">
        <v>216</v>
      </c>
      <c r="BG1035">
        <v>0.51764592394449138</v>
      </c>
      <c r="BH1035">
        <v>0.269772727272728</v>
      </c>
      <c r="BI1035">
        <v>0.50596558645801404</v>
      </c>
      <c r="BJ1035">
        <v>80</v>
      </c>
      <c r="BK1035">
        <v>4168.3769448954172</v>
      </c>
      <c r="BL1035">
        <v>2005.092057135769</v>
      </c>
      <c r="BM1035">
        <v>12.207559298171089</v>
      </c>
      <c r="BN1035">
        <v>2075.2850806890851</v>
      </c>
      <c r="BO1035">
        <v>2093.091864206332</v>
      </c>
    </row>
    <row r="1036" spans="1:67" x14ac:dyDescent="0.25">
      <c r="A1036" s="1">
        <v>1034</v>
      </c>
      <c r="B1036" t="s">
        <v>78</v>
      </c>
      <c r="C1036" t="s">
        <v>87</v>
      </c>
      <c r="D1036">
        <v>1</v>
      </c>
      <c r="E1036">
        <v>4</v>
      </c>
      <c r="F1036">
        <v>1</v>
      </c>
      <c r="G1036">
        <v>32.041060000000002</v>
      </c>
      <c r="H1036">
        <v>6</v>
      </c>
      <c r="I1036" t="s">
        <v>89</v>
      </c>
      <c r="J1036">
        <v>2.5</v>
      </c>
      <c r="K1036">
        <v>200</v>
      </c>
      <c r="L1036">
        <v>50</v>
      </c>
      <c r="N1036" t="s">
        <v>90</v>
      </c>
      <c r="O1036">
        <v>50</v>
      </c>
      <c r="P1036">
        <v>0.3125</v>
      </c>
      <c r="Q1036">
        <v>3.2500000000000001E-2</v>
      </c>
      <c r="R1036">
        <v>77.5</v>
      </c>
      <c r="S1036">
        <v>170</v>
      </c>
      <c r="T1036">
        <v>50</v>
      </c>
      <c r="U1036">
        <v>1812.1301775147931</v>
      </c>
      <c r="V1036">
        <v>20</v>
      </c>
      <c r="W1036">
        <v>0.95</v>
      </c>
      <c r="X1036">
        <v>1</v>
      </c>
      <c r="Y1036">
        <v>193659.07277160339</v>
      </c>
      <c r="Z1036">
        <v>387318145.54320681</v>
      </c>
      <c r="AA1036">
        <v>968295363.85801697</v>
      </c>
      <c r="AB1036">
        <v>968295.36385801702</v>
      </c>
      <c r="AC1036">
        <v>0</v>
      </c>
      <c r="AD1036">
        <v>4014.2696708590288</v>
      </c>
      <c r="AE1036">
        <v>2408561.8025154169</v>
      </c>
      <c r="AF1036">
        <v>1204280.9012577089</v>
      </c>
      <c r="AG1036">
        <v>38.586436614052317</v>
      </c>
      <c r="AH1036">
        <v>397.5030184826382</v>
      </c>
      <c r="AI1036">
        <v>198.7515092413191</v>
      </c>
      <c r="AJ1036">
        <v>31469.599325385559</v>
      </c>
      <c r="AK1036">
        <v>854.70085470085473</v>
      </c>
      <c r="AL1036" t="s">
        <v>93</v>
      </c>
      <c r="AM1036">
        <v>30806.483932404459</v>
      </c>
      <c r="AN1036">
        <v>2161.1922384458639</v>
      </c>
      <c r="AO1036">
        <v>33787.756571024249</v>
      </c>
      <c r="AP1036">
        <v>65291.976350936733</v>
      </c>
      <c r="AQ1036">
        <v>31504.219779912481</v>
      </c>
      <c r="AR1036">
        <v>2.6131444327083329E-2</v>
      </c>
      <c r="AS1036">
        <v>815.56116829728273</v>
      </c>
      <c r="AT1036">
        <v>798.37597445278016</v>
      </c>
      <c r="AU1036">
        <v>56.009116883801759</v>
      </c>
      <c r="AV1036">
        <v>875.63816552885578</v>
      </c>
      <c r="AW1036">
        <v>1692.096552060442</v>
      </c>
      <c r="AX1036">
        <v>816.45838653158626</v>
      </c>
      <c r="AY1036">
        <v>5.1508127384050342</v>
      </c>
      <c r="AZ1036" t="s">
        <v>103</v>
      </c>
      <c r="BA1036" t="str">
        <f>VLOOKUP($AZ1036,Sheet1!$A$2:$B$58,2)</f>
        <v>2,3-Butanediol</v>
      </c>
      <c r="BB1036" t="s">
        <v>153</v>
      </c>
      <c r="BC1036">
        <v>90.119200000000006</v>
      </c>
      <c r="BD1036">
        <v>5.5</v>
      </c>
      <c r="BE1036">
        <v>177</v>
      </c>
      <c r="BF1036" t="s">
        <v>216</v>
      </c>
      <c r="BG1036">
        <v>0.16660328532228449</v>
      </c>
      <c r="BH1036">
        <v>0.230353535353535</v>
      </c>
      <c r="BI1036">
        <v>0.64789605347739099</v>
      </c>
      <c r="BJ1036">
        <v>80</v>
      </c>
      <c r="BK1036">
        <v>3264.598817546836</v>
      </c>
      <c r="BL1036">
        <v>1575.2109889956239</v>
      </c>
      <c r="BM1036">
        <v>9.7709721767436726</v>
      </c>
      <c r="BN1036">
        <v>1661.0652700464241</v>
      </c>
      <c r="BO1036">
        <v>1603.5335475004119</v>
      </c>
    </row>
    <row r="1037" spans="1:67" x14ac:dyDescent="0.25">
      <c r="A1037" s="1">
        <v>1035</v>
      </c>
      <c r="B1037" t="s">
        <v>78</v>
      </c>
      <c r="C1037" t="s">
        <v>87</v>
      </c>
      <c r="D1037">
        <v>1</v>
      </c>
      <c r="E1037">
        <v>4</v>
      </c>
      <c r="F1037">
        <v>1</v>
      </c>
      <c r="G1037">
        <v>32.041060000000002</v>
      </c>
      <c r="H1037">
        <v>6</v>
      </c>
      <c r="I1037" t="s">
        <v>89</v>
      </c>
      <c r="J1037">
        <v>2.5</v>
      </c>
      <c r="K1037">
        <v>200</v>
      </c>
      <c r="L1037">
        <v>50</v>
      </c>
      <c r="N1037" t="s">
        <v>90</v>
      </c>
      <c r="O1037">
        <v>50</v>
      </c>
      <c r="P1037">
        <v>0.3125</v>
      </c>
      <c r="Q1037">
        <v>3.2500000000000001E-2</v>
      </c>
      <c r="R1037">
        <v>77.5</v>
      </c>
      <c r="S1037">
        <v>170</v>
      </c>
      <c r="T1037">
        <v>50</v>
      </c>
      <c r="U1037">
        <v>1812.1301775147931</v>
      </c>
      <c r="V1037">
        <v>20</v>
      </c>
      <c r="W1037">
        <v>0.95</v>
      </c>
      <c r="X1037">
        <v>1</v>
      </c>
      <c r="Y1037">
        <v>269990.3756012058</v>
      </c>
      <c r="Z1037">
        <v>539980751.20241153</v>
      </c>
      <c r="AA1037">
        <v>1349951878.0060289</v>
      </c>
      <c r="AB1037">
        <v>1349951.8780060289</v>
      </c>
      <c r="AC1037">
        <v>0</v>
      </c>
      <c r="AD1037">
        <v>5596.5060696019173</v>
      </c>
      <c r="AE1037">
        <v>3357903.6417611502</v>
      </c>
      <c r="AF1037">
        <v>1678951.8208805751</v>
      </c>
      <c r="AG1037">
        <v>53.795396029943767</v>
      </c>
      <c r="AH1037">
        <v>554.18002227715579</v>
      </c>
      <c r="AI1037">
        <v>277.09001113857789</v>
      </c>
      <c r="AJ1037">
        <v>43873.43603519594</v>
      </c>
      <c r="AK1037">
        <v>854.70085470085473</v>
      </c>
      <c r="AL1037" t="s">
        <v>93</v>
      </c>
      <c r="AM1037">
        <v>42948.951726479572</v>
      </c>
      <c r="AN1037">
        <v>3013.032624051526</v>
      </c>
      <c r="AO1037">
        <v>47105.301893558237</v>
      </c>
      <c r="AP1037">
        <v>90690.121240427907</v>
      </c>
      <c r="AQ1037">
        <v>43584.819346869663</v>
      </c>
      <c r="AR1037">
        <v>2.613144432708334E-2</v>
      </c>
      <c r="AS1037">
        <v>815.56116829728285</v>
      </c>
      <c r="AT1037">
        <v>798.37597445278016</v>
      </c>
      <c r="AU1037">
        <v>56.009116883801781</v>
      </c>
      <c r="AV1037">
        <v>875.63816552885567</v>
      </c>
      <c r="AW1037">
        <v>1685.8342522461901</v>
      </c>
      <c r="AX1037">
        <v>810.19608671733465</v>
      </c>
      <c r="AY1037">
        <v>5.1508127384050333</v>
      </c>
      <c r="AZ1037" t="s">
        <v>104</v>
      </c>
      <c r="BA1037" t="str">
        <f>VLOOKUP($AZ1037,Sheet1!$A$2:$B$58,2)</f>
        <v>2-Methyl-1-Butanol</v>
      </c>
      <c r="BB1037" t="s">
        <v>157</v>
      </c>
      <c r="BC1037">
        <v>88.14658</v>
      </c>
      <c r="BD1037">
        <v>6</v>
      </c>
      <c r="BE1037">
        <v>129</v>
      </c>
      <c r="BF1037" t="s">
        <v>216</v>
      </c>
      <c r="BG1037">
        <v>0.4592168283363357</v>
      </c>
      <c r="BH1037">
        <v>0.16892592592592601</v>
      </c>
      <c r="BI1037">
        <v>0.464723783910512</v>
      </c>
      <c r="BJ1037">
        <v>80</v>
      </c>
      <c r="BK1037">
        <v>4534.5060620213953</v>
      </c>
      <c r="BL1037">
        <v>2179.240967343484</v>
      </c>
      <c r="BM1037">
        <v>13.39528372859256</v>
      </c>
      <c r="BN1037">
        <v>2277.1982338607349</v>
      </c>
      <c r="BO1037">
        <v>2257.3078281606599</v>
      </c>
    </row>
    <row r="1038" spans="1:67" x14ac:dyDescent="0.25">
      <c r="A1038" s="1">
        <v>1036</v>
      </c>
      <c r="B1038" t="s">
        <v>78</v>
      </c>
      <c r="C1038" t="s">
        <v>87</v>
      </c>
      <c r="D1038">
        <v>1</v>
      </c>
      <c r="E1038">
        <v>4</v>
      </c>
      <c r="F1038">
        <v>1</v>
      </c>
      <c r="G1038">
        <v>32.041060000000002</v>
      </c>
      <c r="H1038">
        <v>6</v>
      </c>
      <c r="I1038" t="s">
        <v>89</v>
      </c>
      <c r="J1038">
        <v>2.5</v>
      </c>
      <c r="K1038">
        <v>200</v>
      </c>
      <c r="L1038">
        <v>50</v>
      </c>
      <c r="N1038" t="s">
        <v>90</v>
      </c>
      <c r="O1038">
        <v>50</v>
      </c>
      <c r="P1038">
        <v>0.3125</v>
      </c>
      <c r="Q1038">
        <v>3.2500000000000001E-2</v>
      </c>
      <c r="R1038">
        <v>77.5</v>
      </c>
      <c r="S1038">
        <v>170</v>
      </c>
      <c r="T1038">
        <v>50</v>
      </c>
      <c r="U1038">
        <v>1812.1301775147931</v>
      </c>
      <c r="V1038">
        <v>20</v>
      </c>
      <c r="W1038">
        <v>0.95</v>
      </c>
      <c r="X1038">
        <v>1</v>
      </c>
      <c r="Y1038">
        <v>120385.70809839539</v>
      </c>
      <c r="Z1038">
        <v>240771416.1967909</v>
      </c>
      <c r="AA1038">
        <v>601928540.49197721</v>
      </c>
      <c r="AB1038">
        <v>601928.54049197724</v>
      </c>
      <c r="AC1038">
        <v>0</v>
      </c>
      <c r="AD1038">
        <v>2495.4198628959789</v>
      </c>
      <c r="AE1038">
        <v>1497251.9177375881</v>
      </c>
      <c r="AF1038">
        <v>748625.95886879379</v>
      </c>
      <c r="AG1038">
        <v>23.98676926567256</v>
      </c>
      <c r="AH1038">
        <v>247.10271337361709</v>
      </c>
      <c r="AI1038">
        <v>123.5513566868086</v>
      </c>
      <c r="AJ1038">
        <v>19562.677565989259</v>
      </c>
      <c r="AK1038">
        <v>1835.336538461539</v>
      </c>
      <c r="AL1038" t="s">
        <v>94</v>
      </c>
      <c r="AM1038">
        <v>19150.460286455331</v>
      </c>
      <c r="AN1038">
        <v>1343.4777634658381</v>
      </c>
      <c r="AO1038">
        <v>21003.73063675746</v>
      </c>
      <c r="AP1038">
        <v>41891.952154371967</v>
      </c>
      <c r="AQ1038">
        <v>20888.221517614511</v>
      </c>
      <c r="AR1038">
        <v>2.6131444327083329E-2</v>
      </c>
      <c r="AS1038">
        <v>815.56116829728273</v>
      </c>
      <c r="AT1038">
        <v>798.37597445278038</v>
      </c>
      <c r="AU1038">
        <v>56.009116883801752</v>
      </c>
      <c r="AV1038">
        <v>875.63816552885578</v>
      </c>
      <c r="AW1038">
        <v>1746.460796382592</v>
      </c>
      <c r="AX1038">
        <v>870.82263085373597</v>
      </c>
      <c r="AY1038">
        <v>5.1508127384050342</v>
      </c>
      <c r="AZ1038" t="s">
        <v>105</v>
      </c>
      <c r="BA1038" t="str">
        <f>VLOOKUP($AZ1038,Sheet1!$A$2:$B$58,2)</f>
        <v>2-Pyrone-4,6-Dicarboxylate</v>
      </c>
      <c r="BB1038" t="s">
        <v>158</v>
      </c>
      <c r="BC1038">
        <v>182.08457999999999</v>
      </c>
      <c r="BD1038">
        <v>2.5714285714285721</v>
      </c>
      <c r="BE1038">
        <v>355.5</v>
      </c>
      <c r="BF1038" t="s">
        <v>216</v>
      </c>
      <c r="BG1038">
        <v>-0.37402489820219742</v>
      </c>
      <c r="BH1038">
        <v>0.183401109057301</v>
      </c>
      <c r="BI1038">
        <v>1.04224123403636</v>
      </c>
      <c r="BJ1038">
        <v>80</v>
      </c>
      <c r="BK1038">
        <v>2094.5976077185978</v>
      </c>
      <c r="BL1038">
        <v>1044.411075880726</v>
      </c>
      <c r="BM1038">
        <v>6.551592732542626</v>
      </c>
      <c r="BN1038">
        <v>1113.7707645322459</v>
      </c>
      <c r="BO1038">
        <v>980.82684318635188</v>
      </c>
    </row>
    <row r="1039" spans="1:67" x14ac:dyDescent="0.25">
      <c r="A1039" s="1">
        <v>1037</v>
      </c>
      <c r="B1039" t="s">
        <v>78</v>
      </c>
      <c r="C1039" t="s">
        <v>87</v>
      </c>
      <c r="D1039">
        <v>1</v>
      </c>
      <c r="E1039">
        <v>4</v>
      </c>
      <c r="F1039">
        <v>1</v>
      </c>
      <c r="G1039">
        <v>32.041060000000002</v>
      </c>
      <c r="H1039">
        <v>6</v>
      </c>
      <c r="I1039" t="s">
        <v>89</v>
      </c>
      <c r="J1039">
        <v>2.5</v>
      </c>
      <c r="K1039">
        <v>200</v>
      </c>
      <c r="L1039">
        <v>50</v>
      </c>
      <c r="N1039" t="s">
        <v>90</v>
      </c>
      <c r="O1039">
        <v>50</v>
      </c>
      <c r="P1039">
        <v>0.3125</v>
      </c>
      <c r="Q1039">
        <v>3.2500000000000001E-2</v>
      </c>
      <c r="R1039">
        <v>77.5</v>
      </c>
      <c r="S1039">
        <v>170</v>
      </c>
      <c r="T1039">
        <v>50</v>
      </c>
      <c r="U1039">
        <v>1812.1301775147931</v>
      </c>
      <c r="V1039">
        <v>20</v>
      </c>
      <c r="W1039">
        <v>0.95</v>
      </c>
      <c r="X1039">
        <v>1</v>
      </c>
      <c r="Y1039">
        <v>296361.05816190707</v>
      </c>
      <c r="Z1039">
        <v>592722116.32381427</v>
      </c>
      <c r="AA1039">
        <v>1481805290.809536</v>
      </c>
      <c r="AB1039">
        <v>1481805.2908095359</v>
      </c>
      <c r="AC1039">
        <v>0</v>
      </c>
      <c r="AD1039">
        <v>6143.1317953592743</v>
      </c>
      <c r="AE1039">
        <v>3685879.0772155649</v>
      </c>
      <c r="AF1039">
        <v>1842939.538607782</v>
      </c>
      <c r="AG1039">
        <v>59.049736332904281</v>
      </c>
      <c r="AH1039">
        <v>608.30826820596371</v>
      </c>
      <c r="AI1039">
        <v>304.15413410298191</v>
      </c>
      <c r="AJ1039">
        <v>48158.671951309909</v>
      </c>
      <c r="AK1039">
        <v>854.70085470085473</v>
      </c>
      <c r="AL1039" t="s">
        <v>93</v>
      </c>
      <c r="AM1039">
        <v>47143.89078596219</v>
      </c>
      <c r="AN1039">
        <v>3307.323584227312</v>
      </c>
      <c r="AO1039">
        <v>51706.202797506907</v>
      </c>
      <c r="AP1039">
        <v>99464.587176200264</v>
      </c>
      <c r="AQ1039">
        <v>47758.38437869335</v>
      </c>
      <c r="AR1039">
        <v>2.6131444327083329E-2</v>
      </c>
      <c r="AS1039">
        <v>815.56116829728273</v>
      </c>
      <c r="AT1039">
        <v>798.37597445278016</v>
      </c>
      <c r="AU1039">
        <v>56.009116883801767</v>
      </c>
      <c r="AV1039">
        <v>875.63816552885555</v>
      </c>
      <c r="AW1039">
        <v>1684.4205131662141</v>
      </c>
      <c r="AX1039">
        <v>808.7823476373585</v>
      </c>
      <c r="AY1039">
        <v>5.1508127384050324</v>
      </c>
      <c r="AZ1039" t="s">
        <v>106</v>
      </c>
      <c r="BA1039" t="str">
        <f>VLOOKUP($AZ1039,Sheet1!$A$2:$B$58,2)</f>
        <v>3-Methyl-1-Pentanol</v>
      </c>
      <c r="BB1039" t="s">
        <v>159</v>
      </c>
      <c r="BC1039">
        <v>102.17296</v>
      </c>
      <c r="BD1039">
        <v>6</v>
      </c>
      <c r="BE1039">
        <v>153</v>
      </c>
      <c r="BF1039" t="s">
        <v>216</v>
      </c>
      <c r="BG1039">
        <v>0.65986963570151869</v>
      </c>
      <c r="BH1039">
        <v>0.13276785714285699</v>
      </c>
      <c r="BI1039">
        <v>0.42337191582122702</v>
      </c>
      <c r="BJ1039">
        <v>80</v>
      </c>
      <c r="BK1039">
        <v>4973.2293588100129</v>
      </c>
      <c r="BL1039">
        <v>2387.9192189346668</v>
      </c>
      <c r="BM1039">
        <v>14.547837069447571</v>
      </c>
      <c r="BN1039">
        <v>2473.1323018060871</v>
      </c>
      <c r="BO1039">
        <v>2500.0970570039258</v>
      </c>
    </row>
    <row r="1040" spans="1:67" x14ac:dyDescent="0.25">
      <c r="A1040" s="1">
        <v>1038</v>
      </c>
      <c r="B1040" t="s">
        <v>78</v>
      </c>
      <c r="C1040" t="s">
        <v>87</v>
      </c>
      <c r="D1040">
        <v>1</v>
      </c>
      <c r="E1040">
        <v>4</v>
      </c>
      <c r="F1040">
        <v>1</v>
      </c>
      <c r="G1040">
        <v>32.041060000000002</v>
      </c>
      <c r="H1040">
        <v>6</v>
      </c>
      <c r="I1040" t="s">
        <v>89</v>
      </c>
      <c r="J1040">
        <v>2.5</v>
      </c>
      <c r="K1040">
        <v>200</v>
      </c>
      <c r="L1040">
        <v>50</v>
      </c>
      <c r="N1040" t="s">
        <v>90</v>
      </c>
      <c r="O1040">
        <v>50</v>
      </c>
      <c r="P1040">
        <v>0.3125</v>
      </c>
      <c r="Q1040">
        <v>3.2500000000000001E-2</v>
      </c>
      <c r="R1040">
        <v>77.5</v>
      </c>
      <c r="S1040">
        <v>170</v>
      </c>
      <c r="T1040">
        <v>50</v>
      </c>
      <c r="U1040">
        <v>1812.1301775147931</v>
      </c>
      <c r="V1040">
        <v>20</v>
      </c>
      <c r="W1040">
        <v>0.95</v>
      </c>
      <c r="X1040">
        <v>1</v>
      </c>
      <c r="Y1040">
        <v>280582.17251951201</v>
      </c>
      <c r="Z1040">
        <v>561164345.03902388</v>
      </c>
      <c r="AA1040">
        <v>1402910862.5975599</v>
      </c>
      <c r="AB1040">
        <v>1402910.86259756</v>
      </c>
      <c r="AC1040">
        <v>0</v>
      </c>
      <c r="AD1040">
        <v>5816.0585466459424</v>
      </c>
      <c r="AE1040">
        <v>3489635.127987565</v>
      </c>
      <c r="AF1040">
        <v>1744817.563993783</v>
      </c>
      <c r="AG1040">
        <v>55.905804256978641</v>
      </c>
      <c r="AH1040">
        <v>575.92065743524768</v>
      </c>
      <c r="AI1040">
        <v>287.96032871762378</v>
      </c>
      <c r="AJ1040">
        <v>45594.603034420688</v>
      </c>
      <c r="AK1040">
        <v>854.70085470085473</v>
      </c>
      <c r="AL1040" t="s">
        <v>93</v>
      </c>
      <c r="AM1040">
        <v>44633.850951231703</v>
      </c>
      <c r="AN1040">
        <v>3131.2347251120591</v>
      </c>
      <c r="AO1040">
        <v>48953.255881996047</v>
      </c>
      <c r="AP1040">
        <v>94214.389565465317</v>
      </c>
      <c r="AQ1040">
        <v>45261.133683469263</v>
      </c>
      <c r="AR1040">
        <v>2.6131444327083329E-2</v>
      </c>
      <c r="AS1040">
        <v>815.56116829728262</v>
      </c>
      <c r="AT1040">
        <v>798.37597445278004</v>
      </c>
      <c r="AU1040">
        <v>56.009116883801767</v>
      </c>
      <c r="AV1040">
        <v>875.63816552885555</v>
      </c>
      <c r="AW1040">
        <v>1685.2344907229319</v>
      </c>
      <c r="AX1040">
        <v>809.59632519407637</v>
      </c>
      <c r="AY1040">
        <v>5.1508127384050324</v>
      </c>
      <c r="AZ1040" t="s">
        <v>107</v>
      </c>
      <c r="BA1040" t="str">
        <f>VLOOKUP($AZ1040,Sheet1!$A$2:$B$58,2)</f>
        <v>4-Hydroxystyrene</v>
      </c>
      <c r="BB1040" t="s">
        <v>160</v>
      </c>
      <c r="BC1040">
        <v>120.14731999999999</v>
      </c>
      <c r="BD1040">
        <v>4.75</v>
      </c>
      <c r="BE1040">
        <v>229</v>
      </c>
      <c r="BF1040" t="s">
        <v>216</v>
      </c>
      <c r="BG1040">
        <v>0.14117439705335991</v>
      </c>
      <c r="BH1040">
        <v>0.11925480769230801</v>
      </c>
      <c r="BI1040">
        <v>0.44718075935522</v>
      </c>
      <c r="BJ1040">
        <v>80</v>
      </c>
      <c r="BK1040">
        <v>4710.7194782732658</v>
      </c>
      <c r="BL1040">
        <v>2263.0566841734631</v>
      </c>
      <c r="BM1040">
        <v>14.256842038827831</v>
      </c>
      <c r="BN1040">
        <v>2423.6631466007311</v>
      </c>
      <c r="BO1040">
        <v>2287.0563316725352</v>
      </c>
    </row>
    <row r="1041" spans="1:67" x14ac:dyDescent="0.25">
      <c r="A1041" s="1">
        <v>1039</v>
      </c>
      <c r="B1041" t="s">
        <v>78</v>
      </c>
      <c r="C1041" t="s">
        <v>87</v>
      </c>
      <c r="D1041">
        <v>1</v>
      </c>
      <c r="E1041">
        <v>4</v>
      </c>
      <c r="F1041">
        <v>1</v>
      </c>
      <c r="G1041">
        <v>32.041060000000002</v>
      </c>
      <c r="H1041">
        <v>6</v>
      </c>
      <c r="I1041" t="s">
        <v>89</v>
      </c>
      <c r="J1041">
        <v>2.5</v>
      </c>
      <c r="K1041">
        <v>200</v>
      </c>
      <c r="L1041">
        <v>50</v>
      </c>
      <c r="N1041" t="s">
        <v>90</v>
      </c>
      <c r="O1041">
        <v>50</v>
      </c>
      <c r="P1041">
        <v>0.3125</v>
      </c>
      <c r="Q1041">
        <v>3.2500000000000001E-2</v>
      </c>
      <c r="R1041">
        <v>77.5</v>
      </c>
      <c r="S1041">
        <v>170</v>
      </c>
      <c r="T1041">
        <v>50</v>
      </c>
      <c r="U1041">
        <v>1812.1301775147931</v>
      </c>
      <c r="V1041">
        <v>20</v>
      </c>
      <c r="W1041">
        <v>0.95</v>
      </c>
      <c r="X1041">
        <v>1</v>
      </c>
      <c r="Y1041">
        <v>196385.22580121079</v>
      </c>
      <c r="Z1041">
        <v>392770451.60242152</v>
      </c>
      <c r="AA1041">
        <v>981926129.00605381</v>
      </c>
      <c r="AB1041">
        <v>981926.12900605379</v>
      </c>
      <c r="AC1041">
        <v>0</v>
      </c>
      <c r="AD1041">
        <v>4070.7788406503141</v>
      </c>
      <c r="AE1041">
        <v>2442467.3043901878</v>
      </c>
      <c r="AF1041">
        <v>1221233.6521950939</v>
      </c>
      <c r="AG1041">
        <v>39.129620724002137</v>
      </c>
      <c r="AH1041">
        <v>403.09869774829559</v>
      </c>
      <c r="AI1041">
        <v>201.5493488741478</v>
      </c>
      <c r="AJ1041">
        <v>31912.599192696751</v>
      </c>
      <c r="AK1041">
        <v>854.70085470085473</v>
      </c>
      <c r="AL1041" t="s">
        <v>93</v>
      </c>
      <c r="AM1041">
        <v>31240.149075492911</v>
      </c>
      <c r="AN1041">
        <v>2191.6155007494681</v>
      </c>
      <c r="AO1041">
        <v>34263.389308605132</v>
      </c>
      <c r="AP1041">
        <v>66199.064623639992</v>
      </c>
      <c r="AQ1041">
        <v>31935.67531503486</v>
      </c>
      <c r="AR1041">
        <v>2.6131444327083329E-2</v>
      </c>
      <c r="AS1041">
        <v>815.56116829728262</v>
      </c>
      <c r="AT1041">
        <v>798.37597445278016</v>
      </c>
      <c r="AU1041">
        <v>56.009116883801752</v>
      </c>
      <c r="AV1041">
        <v>875.63816552885567</v>
      </c>
      <c r="AW1041">
        <v>1691.789069221247</v>
      </c>
      <c r="AX1041">
        <v>816.1509036923909</v>
      </c>
      <c r="AY1041">
        <v>5.1508127384050333</v>
      </c>
      <c r="AZ1041" t="s">
        <v>108</v>
      </c>
      <c r="BA1041" t="str">
        <f>VLOOKUP($AZ1041,Sheet1!$A$2:$B$58,2)</f>
        <v>5-Aminopentanoate</v>
      </c>
      <c r="BB1041" t="s">
        <v>161</v>
      </c>
      <c r="BC1041">
        <v>117.14444</v>
      </c>
      <c r="BD1041">
        <v>4.8</v>
      </c>
      <c r="BE1041">
        <v>247.5</v>
      </c>
      <c r="BF1041" t="s">
        <v>216</v>
      </c>
      <c r="BG1041">
        <v>0.27140949355415439</v>
      </c>
      <c r="BH1041">
        <v>0.174750957854406</v>
      </c>
      <c r="BI1041">
        <v>0.63890218043092295</v>
      </c>
      <c r="BJ1041">
        <v>80</v>
      </c>
      <c r="BK1041">
        <v>3309.9532311819989</v>
      </c>
      <c r="BL1041">
        <v>1596.783765751743</v>
      </c>
      <c r="BM1041">
        <v>9.806057950153237</v>
      </c>
      <c r="BN1041">
        <v>1667.0298515260499</v>
      </c>
      <c r="BO1041">
        <v>1642.923379655949</v>
      </c>
    </row>
    <row r="1042" spans="1:67" x14ac:dyDescent="0.25">
      <c r="A1042" s="1">
        <v>1040</v>
      </c>
      <c r="B1042" t="s">
        <v>78</v>
      </c>
      <c r="C1042" t="s">
        <v>87</v>
      </c>
      <c r="D1042">
        <v>1</v>
      </c>
      <c r="E1042">
        <v>4</v>
      </c>
      <c r="F1042">
        <v>1</v>
      </c>
      <c r="G1042">
        <v>32.041060000000002</v>
      </c>
      <c r="H1042">
        <v>6</v>
      </c>
      <c r="I1042" t="s">
        <v>89</v>
      </c>
      <c r="J1042">
        <v>2.5</v>
      </c>
      <c r="K1042">
        <v>200</v>
      </c>
      <c r="L1042">
        <v>50</v>
      </c>
      <c r="N1042" t="s">
        <v>90</v>
      </c>
      <c r="O1042">
        <v>50</v>
      </c>
      <c r="P1042">
        <v>0.3125</v>
      </c>
      <c r="Q1042">
        <v>3.2500000000000001E-2</v>
      </c>
      <c r="R1042">
        <v>77.5</v>
      </c>
      <c r="S1042">
        <v>170</v>
      </c>
      <c r="T1042">
        <v>50</v>
      </c>
      <c r="U1042">
        <v>1812.1301775147931</v>
      </c>
      <c r="V1042">
        <v>20</v>
      </c>
      <c r="W1042">
        <v>0.95</v>
      </c>
      <c r="X1042">
        <v>1</v>
      </c>
      <c r="Y1042">
        <v>235081.12923494171</v>
      </c>
      <c r="Z1042">
        <v>470162258.46988332</v>
      </c>
      <c r="AA1042">
        <v>1175405646.1747079</v>
      </c>
      <c r="AB1042">
        <v>1175405.6461747079</v>
      </c>
      <c r="AC1042">
        <v>0</v>
      </c>
      <c r="AD1042">
        <v>4872.8883897532096</v>
      </c>
      <c r="AE1042">
        <v>2923733.0338519262</v>
      </c>
      <c r="AF1042">
        <v>1461866.5169259631</v>
      </c>
      <c r="AG1042">
        <v>46.839752780815793</v>
      </c>
      <c r="AH1042">
        <v>482.52559057433717</v>
      </c>
      <c r="AI1042">
        <v>241.26279528716859</v>
      </c>
      <c r="AJ1042">
        <v>38200.683500678017</v>
      </c>
      <c r="AK1042">
        <v>854.70085470085473</v>
      </c>
      <c r="AL1042" t="s">
        <v>93</v>
      </c>
      <c r="AM1042">
        <v>37395.733269511133</v>
      </c>
      <c r="AN1042">
        <v>2623.4531883090908</v>
      </c>
      <c r="AO1042">
        <v>41014.675198818673</v>
      </c>
      <c r="AP1042">
        <v>79074.570813199112</v>
      </c>
      <c r="AQ1042">
        <v>38059.895614380453</v>
      </c>
      <c r="AR1042">
        <v>2.6131444327083329E-2</v>
      </c>
      <c r="AS1042">
        <v>815.56116829728273</v>
      </c>
      <c r="AT1042">
        <v>798.37597445278027</v>
      </c>
      <c r="AU1042">
        <v>56.009116883801767</v>
      </c>
      <c r="AV1042">
        <v>875.63816552885578</v>
      </c>
      <c r="AW1042">
        <v>1688.193598784017</v>
      </c>
      <c r="AX1042">
        <v>812.55543325516169</v>
      </c>
      <c r="AY1042">
        <v>5.1508127384050342</v>
      </c>
      <c r="AZ1042" t="s">
        <v>109</v>
      </c>
      <c r="BA1042" t="str">
        <f>VLOOKUP($AZ1042,Sheet1!$A$2:$B$58,2)</f>
        <v>Acetone</v>
      </c>
      <c r="BB1042" t="s">
        <v>162</v>
      </c>
      <c r="BC1042">
        <v>58.078139999999998</v>
      </c>
      <c r="BD1042">
        <v>5.333333333333333</v>
      </c>
      <c r="BE1042">
        <v>56</v>
      </c>
      <c r="BF1042" t="s">
        <v>216</v>
      </c>
      <c r="BG1042">
        <v>0.30015321224901159</v>
      </c>
      <c r="BH1042">
        <v>0.294455445544554</v>
      </c>
      <c r="BI1042">
        <v>0.53373467014196696</v>
      </c>
      <c r="BJ1042">
        <v>80</v>
      </c>
      <c r="BK1042">
        <v>3953.7285406599549</v>
      </c>
      <c r="BL1042">
        <v>1902.9947807190219</v>
      </c>
      <c r="BM1042">
        <v>11.762986552109419</v>
      </c>
      <c r="BN1042">
        <v>1999.7077138586019</v>
      </c>
      <c r="BO1042">
        <v>1954.0208268013539</v>
      </c>
    </row>
    <row r="1043" spans="1:67" x14ac:dyDescent="0.25">
      <c r="A1043" s="1">
        <v>1041</v>
      </c>
      <c r="B1043" t="s">
        <v>78</v>
      </c>
      <c r="C1043" t="s">
        <v>87</v>
      </c>
      <c r="D1043">
        <v>1</v>
      </c>
      <c r="E1043">
        <v>4</v>
      </c>
      <c r="F1043">
        <v>1</v>
      </c>
      <c r="G1043">
        <v>32.041060000000002</v>
      </c>
      <c r="H1043">
        <v>6</v>
      </c>
      <c r="I1043" t="s">
        <v>89</v>
      </c>
      <c r="J1043">
        <v>2.5</v>
      </c>
      <c r="K1043">
        <v>200</v>
      </c>
      <c r="L1043">
        <v>50</v>
      </c>
      <c r="N1043" t="s">
        <v>90</v>
      </c>
      <c r="O1043">
        <v>50</v>
      </c>
      <c r="P1043">
        <v>0.3125</v>
      </c>
      <c r="Q1043">
        <v>3.2500000000000001E-2</v>
      </c>
      <c r="R1043">
        <v>77.5</v>
      </c>
      <c r="S1043">
        <v>170</v>
      </c>
      <c r="T1043">
        <v>50</v>
      </c>
      <c r="U1043">
        <v>1812.1301775147931</v>
      </c>
      <c r="V1043">
        <v>20</v>
      </c>
      <c r="W1043">
        <v>0.95</v>
      </c>
      <c r="X1043">
        <v>1</v>
      </c>
      <c r="Y1043">
        <v>157388.75800171701</v>
      </c>
      <c r="Z1043">
        <v>314777516.00343412</v>
      </c>
      <c r="AA1043">
        <v>786943790.00858521</v>
      </c>
      <c r="AB1043">
        <v>786943.7900085852</v>
      </c>
      <c r="AC1043">
        <v>0</v>
      </c>
      <c r="AD1043">
        <v>3262.4390313259109</v>
      </c>
      <c r="AE1043">
        <v>1957463.418795547</v>
      </c>
      <c r="AF1043">
        <v>978731.70939777337</v>
      </c>
      <c r="AG1043">
        <v>31.359601424716619</v>
      </c>
      <c r="AH1043">
        <v>323.05486897946997</v>
      </c>
      <c r="AI1043">
        <v>161.52743448973499</v>
      </c>
      <c r="AJ1043">
        <v>25575.673175279018</v>
      </c>
      <c r="AK1043">
        <v>854.70085470085473</v>
      </c>
      <c r="AL1043" t="s">
        <v>93</v>
      </c>
      <c r="AM1043">
        <v>25036.752345908921</v>
      </c>
      <c r="AN1043">
        <v>1756.4235816263899</v>
      </c>
      <c r="AO1043">
        <v>27459.663863254951</v>
      </c>
      <c r="AP1043">
        <v>53223.549957515177</v>
      </c>
      <c r="AQ1043">
        <v>25763.88609426024</v>
      </c>
      <c r="AR1043">
        <v>2.6131444327083329E-2</v>
      </c>
      <c r="AS1043">
        <v>815.56116829728273</v>
      </c>
      <c r="AT1043">
        <v>798.37597445278004</v>
      </c>
      <c r="AU1043">
        <v>56.009116883801767</v>
      </c>
      <c r="AV1043">
        <v>875.63816552885555</v>
      </c>
      <c r="AW1043">
        <v>1697.2010975740941</v>
      </c>
      <c r="AX1043">
        <v>821.56293204523877</v>
      </c>
      <c r="AY1043">
        <v>5.1508127384050324</v>
      </c>
      <c r="AZ1043" t="s">
        <v>110</v>
      </c>
      <c r="BA1043" t="str">
        <f>VLOOKUP($AZ1043,Sheet1!$A$2:$B$58,2)</f>
        <v>Acrylate (PW1)</v>
      </c>
      <c r="BB1043" t="s">
        <v>163</v>
      </c>
      <c r="BC1043">
        <v>71.053619999999995</v>
      </c>
      <c r="BD1043">
        <v>3.666666666666667</v>
      </c>
      <c r="BE1043">
        <v>80</v>
      </c>
      <c r="BF1043" t="s">
        <v>216</v>
      </c>
      <c r="BG1043">
        <v>-0.13521484950908891</v>
      </c>
      <c r="BH1043">
        <v>0.359492753623188</v>
      </c>
      <c r="BI1043">
        <v>0.79720400975172501</v>
      </c>
      <c r="BJ1043">
        <v>80</v>
      </c>
      <c r="BK1043">
        <v>2661.1774978757589</v>
      </c>
      <c r="BL1043">
        <v>1288.1943047130119</v>
      </c>
      <c r="BM1043">
        <v>8.211586573995838</v>
      </c>
      <c r="BN1043">
        <v>1395.9697175792919</v>
      </c>
      <c r="BO1043">
        <v>1265.207780296467</v>
      </c>
    </row>
    <row r="1044" spans="1:67" x14ac:dyDescent="0.25">
      <c r="A1044" s="1">
        <v>1042</v>
      </c>
      <c r="B1044" t="s">
        <v>78</v>
      </c>
      <c r="C1044" t="s">
        <v>87</v>
      </c>
      <c r="D1044">
        <v>1</v>
      </c>
      <c r="E1044">
        <v>4</v>
      </c>
      <c r="F1044">
        <v>1</v>
      </c>
      <c r="G1044">
        <v>32.041060000000002</v>
      </c>
      <c r="H1044">
        <v>6</v>
      </c>
      <c r="I1044" t="s">
        <v>89</v>
      </c>
      <c r="J1044">
        <v>2.5</v>
      </c>
      <c r="K1044">
        <v>200</v>
      </c>
      <c r="L1044">
        <v>50</v>
      </c>
      <c r="N1044" t="s">
        <v>90</v>
      </c>
      <c r="O1044">
        <v>50</v>
      </c>
      <c r="P1044">
        <v>0.3125</v>
      </c>
      <c r="Q1044">
        <v>3.2500000000000001E-2</v>
      </c>
      <c r="R1044">
        <v>77.5</v>
      </c>
      <c r="S1044">
        <v>170</v>
      </c>
      <c r="T1044">
        <v>50</v>
      </c>
      <c r="U1044">
        <v>1812.1301775147931</v>
      </c>
      <c r="V1044">
        <v>20</v>
      </c>
      <c r="W1044">
        <v>0.95</v>
      </c>
      <c r="X1044">
        <v>1</v>
      </c>
      <c r="Y1044">
        <v>137697.72195514489</v>
      </c>
      <c r="Z1044">
        <v>275395443.9102897</v>
      </c>
      <c r="AA1044">
        <v>688488609.77572429</v>
      </c>
      <c r="AB1044">
        <v>688488.60977572424</v>
      </c>
      <c r="AC1044">
        <v>0</v>
      </c>
      <c r="AD1044">
        <v>2854.2726198158739</v>
      </c>
      <c r="AE1044">
        <v>1712563.5718895241</v>
      </c>
      <c r="AF1044">
        <v>856281.78594476217</v>
      </c>
      <c r="AG1044">
        <v>27.436176080363278</v>
      </c>
      <c r="AH1044">
        <v>282.63721049571728</v>
      </c>
      <c r="AI1044">
        <v>141.3186052478587</v>
      </c>
      <c r="AJ1044">
        <v>22375.87981771104</v>
      </c>
      <c r="AK1044">
        <v>854.70085470085473</v>
      </c>
      <c r="AL1044" t="s">
        <v>93</v>
      </c>
      <c r="AM1044">
        <v>21904.383813418099</v>
      </c>
      <c r="AN1044">
        <v>1536.6759929296329</v>
      </c>
      <c r="AO1044">
        <v>24024.16289213597</v>
      </c>
      <c r="AP1044">
        <v>46671.640478759618</v>
      </c>
      <c r="AQ1044">
        <v>22647.477586623649</v>
      </c>
      <c r="AR1044">
        <v>2.6131444327083329E-2</v>
      </c>
      <c r="AS1044">
        <v>815.56116829728273</v>
      </c>
      <c r="AT1044">
        <v>798.37597445278016</v>
      </c>
      <c r="AU1044">
        <v>56.009116883801767</v>
      </c>
      <c r="AV1044">
        <v>875.63816552885555</v>
      </c>
      <c r="AW1044">
        <v>1701.098591219627</v>
      </c>
      <c r="AX1044">
        <v>825.4604256907719</v>
      </c>
      <c r="AY1044">
        <v>5.1508127384050333</v>
      </c>
      <c r="AZ1044" t="s">
        <v>111</v>
      </c>
      <c r="BA1044" t="str">
        <f>VLOOKUP($AZ1044,Sheet1!$A$2:$B$58,2)</f>
        <v>Acrylate (PW2)</v>
      </c>
      <c r="BB1044" t="s">
        <v>163</v>
      </c>
      <c r="BC1044">
        <v>71.053619999999995</v>
      </c>
      <c r="BD1044">
        <v>3.666666666666667</v>
      </c>
      <c r="BE1044">
        <v>80</v>
      </c>
      <c r="BF1044" t="s">
        <v>216</v>
      </c>
      <c r="BG1044">
        <v>-0.35077569475576642</v>
      </c>
      <c r="BH1044">
        <v>0.41090090090090098</v>
      </c>
      <c r="BI1044">
        <v>0.91120569888356595</v>
      </c>
      <c r="BJ1044">
        <v>80</v>
      </c>
      <c r="BK1044">
        <v>2333.5820239379809</v>
      </c>
      <c r="BL1044">
        <v>1132.373879331182</v>
      </c>
      <c r="BM1044">
        <v>7.4167059571487002</v>
      </c>
      <c r="BN1044">
        <v>1260.840012715279</v>
      </c>
      <c r="BO1044">
        <v>1072.7420112227021</v>
      </c>
    </row>
    <row r="1045" spans="1:67" x14ac:dyDescent="0.25">
      <c r="A1045" s="1">
        <v>1043</v>
      </c>
      <c r="B1045" t="s">
        <v>78</v>
      </c>
      <c r="C1045" t="s">
        <v>87</v>
      </c>
      <c r="D1045">
        <v>1</v>
      </c>
      <c r="E1045">
        <v>4</v>
      </c>
      <c r="F1045">
        <v>1</v>
      </c>
      <c r="G1045">
        <v>32.041060000000002</v>
      </c>
      <c r="H1045">
        <v>6</v>
      </c>
      <c r="I1045" t="s">
        <v>89</v>
      </c>
      <c r="J1045">
        <v>2.5</v>
      </c>
      <c r="K1045">
        <v>200</v>
      </c>
      <c r="L1045">
        <v>50</v>
      </c>
      <c r="N1045" t="s">
        <v>90</v>
      </c>
      <c r="O1045">
        <v>50</v>
      </c>
      <c r="P1045">
        <v>0.3125</v>
      </c>
      <c r="Q1045">
        <v>3.2500000000000001E-2</v>
      </c>
      <c r="R1045">
        <v>77.5</v>
      </c>
      <c r="S1045">
        <v>170</v>
      </c>
      <c r="T1045">
        <v>50</v>
      </c>
      <c r="U1045">
        <v>1812.1301775147931</v>
      </c>
      <c r="V1045">
        <v>20</v>
      </c>
      <c r="W1045">
        <v>0.95</v>
      </c>
      <c r="X1045">
        <v>1</v>
      </c>
      <c r="Y1045">
        <v>171493.48173025149</v>
      </c>
      <c r="Z1045">
        <v>342986963.46050298</v>
      </c>
      <c r="AA1045">
        <v>857467408.65125763</v>
      </c>
      <c r="AB1045">
        <v>857467.40865125763</v>
      </c>
      <c r="AC1045">
        <v>0</v>
      </c>
      <c r="AD1045">
        <v>3554.8093492716039</v>
      </c>
      <c r="AE1045">
        <v>2132885.6095629619</v>
      </c>
      <c r="AF1045">
        <v>1066442.8047814809</v>
      </c>
      <c r="AG1045">
        <v>34.169957894571731</v>
      </c>
      <c r="AH1045">
        <v>352.00610878824727</v>
      </c>
      <c r="AI1045">
        <v>176.00305439412369</v>
      </c>
      <c r="AJ1045">
        <v>27867.690781165871</v>
      </c>
      <c r="AK1045">
        <v>854.70085470085473</v>
      </c>
      <c r="AL1045" t="s">
        <v>93</v>
      </c>
      <c r="AM1045">
        <v>27280.473431089169</v>
      </c>
      <c r="AN1045">
        <v>1913.829165631653</v>
      </c>
      <c r="AO1045">
        <v>29920.519247001019</v>
      </c>
      <c r="AP1045">
        <v>57916.694232587543</v>
      </c>
      <c r="AQ1045">
        <v>27996.17498558652</v>
      </c>
      <c r="AR1045">
        <v>2.6131444327083329E-2</v>
      </c>
      <c r="AS1045">
        <v>815.56116829728273</v>
      </c>
      <c r="AT1045">
        <v>798.37597445278016</v>
      </c>
      <c r="AU1045">
        <v>56.009116883801767</v>
      </c>
      <c r="AV1045">
        <v>875.63816552885555</v>
      </c>
      <c r="AW1045">
        <v>1694.9594849160831</v>
      </c>
      <c r="AX1045">
        <v>819.3213193872275</v>
      </c>
      <c r="AY1045">
        <v>5.1508127384050324</v>
      </c>
      <c r="AZ1045" t="s">
        <v>112</v>
      </c>
      <c r="BA1045" t="str">
        <f>VLOOKUP($AZ1045,Sheet1!$A$2:$B$58,2)</f>
        <v>Adipate</v>
      </c>
      <c r="BB1045" t="s">
        <v>164</v>
      </c>
      <c r="BC1045">
        <v>144.12291999999999</v>
      </c>
      <c r="BD1045">
        <v>4</v>
      </c>
      <c r="BE1045">
        <v>337.5</v>
      </c>
      <c r="BF1045" t="s">
        <v>216</v>
      </c>
      <c r="BG1045">
        <v>4.5179887886439507E-2</v>
      </c>
      <c r="BH1045">
        <v>0.16265573770491801</v>
      </c>
      <c r="BI1045">
        <v>0.73163683950490099</v>
      </c>
      <c r="BJ1045">
        <v>80</v>
      </c>
      <c r="BK1045">
        <v>2895.8347116293771</v>
      </c>
      <c r="BL1045">
        <v>1399.8087492793261</v>
      </c>
      <c r="BM1045">
        <v>8.7549728318197442</v>
      </c>
      <c r="BN1045">
        <v>1488.3453814093571</v>
      </c>
      <c r="BO1045">
        <v>1407.489330220021</v>
      </c>
    </row>
    <row r="1046" spans="1:67" x14ac:dyDescent="0.25">
      <c r="A1046" s="1">
        <v>1044</v>
      </c>
      <c r="B1046" t="s">
        <v>78</v>
      </c>
      <c r="C1046" t="s">
        <v>87</v>
      </c>
      <c r="D1046">
        <v>1</v>
      </c>
      <c r="E1046">
        <v>4</v>
      </c>
      <c r="F1046">
        <v>1</v>
      </c>
      <c r="G1046">
        <v>32.041060000000002</v>
      </c>
      <c r="H1046">
        <v>6</v>
      </c>
      <c r="I1046" t="s">
        <v>89</v>
      </c>
      <c r="J1046">
        <v>2.5</v>
      </c>
      <c r="K1046">
        <v>200</v>
      </c>
      <c r="L1046">
        <v>50</v>
      </c>
      <c r="N1046" t="s">
        <v>90</v>
      </c>
      <c r="O1046">
        <v>50</v>
      </c>
      <c r="P1046">
        <v>0.3125</v>
      </c>
      <c r="Q1046">
        <v>3.2500000000000001E-2</v>
      </c>
      <c r="R1046">
        <v>77.5</v>
      </c>
      <c r="S1046">
        <v>170</v>
      </c>
      <c r="T1046">
        <v>50</v>
      </c>
      <c r="U1046">
        <v>1812.1301775147931</v>
      </c>
      <c r="V1046">
        <v>20</v>
      </c>
      <c r="W1046">
        <v>0.95</v>
      </c>
      <c r="X1046">
        <v>1</v>
      </c>
      <c r="Y1046">
        <v>225153.32499174919</v>
      </c>
      <c r="Z1046">
        <v>450306649.98349839</v>
      </c>
      <c r="AA1046">
        <v>1125766624.958746</v>
      </c>
      <c r="AB1046">
        <v>1125766.6249587459</v>
      </c>
      <c r="AC1046">
        <v>0</v>
      </c>
      <c r="AD1046">
        <v>4667.0995108677134</v>
      </c>
      <c r="AE1046">
        <v>2800259.7065206282</v>
      </c>
      <c r="AF1046">
        <v>1400129.8532603141</v>
      </c>
      <c r="AG1046">
        <v>44.861644636104913</v>
      </c>
      <c r="AH1046">
        <v>462.14786131489802</v>
      </c>
      <c r="AI1046">
        <v>231.07393065744901</v>
      </c>
      <c r="AJ1046">
        <v>36587.415311159253</v>
      </c>
      <c r="AK1046">
        <v>854.70085470085473</v>
      </c>
      <c r="AL1046" t="s">
        <v>93</v>
      </c>
      <c r="AM1046">
        <v>35816.459251904598</v>
      </c>
      <c r="AN1046">
        <v>2512.6610980231781</v>
      </c>
      <c r="AO1046">
        <v>39282.568211766331</v>
      </c>
      <c r="AP1046">
        <v>75771.236515787881</v>
      </c>
      <c r="AQ1046">
        <v>36488.66830402155</v>
      </c>
      <c r="AR1046">
        <v>2.6131444327083329E-2</v>
      </c>
      <c r="AS1046">
        <v>815.56116829728273</v>
      </c>
      <c r="AT1046">
        <v>798.37597445278016</v>
      </c>
      <c r="AU1046">
        <v>56.009116883801752</v>
      </c>
      <c r="AV1046">
        <v>875.63816552885555</v>
      </c>
      <c r="AW1046">
        <v>1688.9981883278249</v>
      </c>
      <c r="AX1046">
        <v>813.36002279896934</v>
      </c>
      <c r="AY1046">
        <v>5.1508127384050333</v>
      </c>
      <c r="AZ1046" t="s">
        <v>113</v>
      </c>
      <c r="BA1046" t="str">
        <f>VLOOKUP($AZ1046,Sheet1!$A$2:$B$58,2)</f>
        <v>Benzoate (PW1)</v>
      </c>
      <c r="BB1046" t="s">
        <v>165</v>
      </c>
      <c r="BC1046">
        <v>121.1121</v>
      </c>
      <c r="BD1046">
        <v>4.1428571428571432</v>
      </c>
      <c r="BE1046">
        <v>249.2</v>
      </c>
      <c r="BF1046" t="s">
        <v>216</v>
      </c>
      <c r="BG1046">
        <v>-7.8887884558478977E-2</v>
      </c>
      <c r="BH1046">
        <v>0.1474294205052</v>
      </c>
      <c r="BI1046">
        <v>0.55726891429833703</v>
      </c>
      <c r="BJ1046">
        <v>80</v>
      </c>
      <c r="BK1046">
        <v>3788.5618257893939</v>
      </c>
      <c r="BL1046">
        <v>1824.4334152010781</v>
      </c>
      <c r="BM1046">
        <v>11.63258441743093</v>
      </c>
      <c r="BN1046">
        <v>1977.5393509632579</v>
      </c>
      <c r="BO1046">
        <v>1811.022474826136</v>
      </c>
    </row>
    <row r="1047" spans="1:67" x14ac:dyDescent="0.25">
      <c r="A1047" s="1">
        <v>1045</v>
      </c>
      <c r="B1047" t="s">
        <v>78</v>
      </c>
      <c r="C1047" t="s">
        <v>87</v>
      </c>
      <c r="D1047">
        <v>1</v>
      </c>
      <c r="E1047">
        <v>4</v>
      </c>
      <c r="F1047">
        <v>1</v>
      </c>
      <c r="G1047">
        <v>32.041060000000002</v>
      </c>
      <c r="H1047">
        <v>6</v>
      </c>
      <c r="I1047" t="s">
        <v>89</v>
      </c>
      <c r="J1047">
        <v>2.5</v>
      </c>
      <c r="K1047">
        <v>200</v>
      </c>
      <c r="L1047">
        <v>50</v>
      </c>
      <c r="N1047" t="s">
        <v>90</v>
      </c>
      <c r="O1047">
        <v>50</v>
      </c>
      <c r="P1047">
        <v>0.3125</v>
      </c>
      <c r="Q1047">
        <v>3.2500000000000001E-2</v>
      </c>
      <c r="R1047">
        <v>77.5</v>
      </c>
      <c r="S1047">
        <v>170</v>
      </c>
      <c r="T1047">
        <v>50</v>
      </c>
      <c r="U1047">
        <v>1812.1301775147931</v>
      </c>
      <c r="V1047">
        <v>20</v>
      </c>
      <c r="W1047">
        <v>0.95</v>
      </c>
      <c r="X1047">
        <v>1</v>
      </c>
      <c r="Y1047">
        <v>225153.32499174881</v>
      </c>
      <c r="Z1047">
        <v>450306649.98349762</v>
      </c>
      <c r="AA1047">
        <v>1125766624.958744</v>
      </c>
      <c r="AB1047">
        <v>1125766.624958744</v>
      </c>
      <c r="AC1047">
        <v>0</v>
      </c>
      <c r="AD1047">
        <v>4667.0995108677043</v>
      </c>
      <c r="AE1047">
        <v>2800259.7065206231</v>
      </c>
      <c r="AF1047">
        <v>1400129.8532603111</v>
      </c>
      <c r="AG1047">
        <v>44.861644636104828</v>
      </c>
      <c r="AH1047">
        <v>462.14786131489723</v>
      </c>
      <c r="AI1047">
        <v>231.07393065744861</v>
      </c>
      <c r="AJ1047">
        <v>36587.41531115918</v>
      </c>
      <c r="AK1047">
        <v>854.70085470085473</v>
      </c>
      <c r="AL1047" t="s">
        <v>93</v>
      </c>
      <c r="AM1047">
        <v>35816.459251904533</v>
      </c>
      <c r="AN1047">
        <v>2512.661098023174</v>
      </c>
      <c r="AO1047">
        <v>39282.568211766273</v>
      </c>
      <c r="AP1047">
        <v>75771.23651578775</v>
      </c>
      <c r="AQ1047">
        <v>36488.668304021478</v>
      </c>
      <c r="AR1047">
        <v>2.6131444327083329E-2</v>
      </c>
      <c r="AS1047">
        <v>815.56116829728273</v>
      </c>
      <c r="AT1047">
        <v>798.37597445278016</v>
      </c>
      <c r="AU1047">
        <v>56.009116883801759</v>
      </c>
      <c r="AV1047">
        <v>875.63816552885567</v>
      </c>
      <c r="AW1047">
        <v>1688.9981883278249</v>
      </c>
      <c r="AX1047">
        <v>813.36002279896945</v>
      </c>
      <c r="AY1047">
        <v>5.1508127384050342</v>
      </c>
      <c r="AZ1047" t="s">
        <v>114</v>
      </c>
      <c r="BA1047" t="str">
        <f>VLOOKUP($AZ1047,Sheet1!$A$2:$B$58,2)</f>
        <v>Benzoate (PW2)</v>
      </c>
      <c r="BB1047" t="s">
        <v>165</v>
      </c>
      <c r="BC1047">
        <v>121.1121</v>
      </c>
      <c r="BD1047">
        <v>4.1428571428571432</v>
      </c>
      <c r="BE1047">
        <v>249.2</v>
      </c>
      <c r="BF1047" t="s">
        <v>216</v>
      </c>
      <c r="BG1047">
        <v>-7.8887884558476715E-2</v>
      </c>
      <c r="BH1047">
        <v>0.147429420505201</v>
      </c>
      <c r="BI1047">
        <v>0.55726891429833803</v>
      </c>
      <c r="BJ1047">
        <v>80</v>
      </c>
      <c r="BK1047">
        <v>3788.561825789388</v>
      </c>
      <c r="BL1047">
        <v>1824.433415201074</v>
      </c>
      <c r="BM1047">
        <v>11.632584417430911</v>
      </c>
      <c r="BN1047">
        <v>1977.539350963254</v>
      </c>
      <c r="BO1047">
        <v>1811.022474826133</v>
      </c>
    </row>
    <row r="1048" spans="1:67" x14ac:dyDescent="0.25">
      <c r="A1048" s="1">
        <v>1046</v>
      </c>
      <c r="B1048" t="s">
        <v>78</v>
      </c>
      <c r="C1048" t="s">
        <v>87</v>
      </c>
      <c r="D1048">
        <v>1</v>
      </c>
      <c r="E1048">
        <v>4</v>
      </c>
      <c r="F1048">
        <v>1</v>
      </c>
      <c r="G1048">
        <v>32.041060000000002</v>
      </c>
      <c r="H1048">
        <v>6</v>
      </c>
      <c r="I1048" t="s">
        <v>89</v>
      </c>
      <c r="J1048">
        <v>2.5</v>
      </c>
      <c r="K1048">
        <v>200</v>
      </c>
      <c r="L1048">
        <v>50</v>
      </c>
      <c r="N1048" t="s">
        <v>90</v>
      </c>
      <c r="O1048">
        <v>50</v>
      </c>
      <c r="P1048">
        <v>0.3125</v>
      </c>
      <c r="Q1048">
        <v>3.2500000000000001E-2</v>
      </c>
      <c r="R1048">
        <v>77.5</v>
      </c>
      <c r="S1048">
        <v>170</v>
      </c>
      <c r="T1048">
        <v>50</v>
      </c>
      <c r="U1048">
        <v>1812.1301775147931</v>
      </c>
      <c r="V1048">
        <v>20</v>
      </c>
      <c r="W1048">
        <v>0.95</v>
      </c>
      <c r="X1048">
        <v>1</v>
      </c>
      <c r="Y1048">
        <v>309498.17444791878</v>
      </c>
      <c r="Z1048">
        <v>618996348.89583766</v>
      </c>
      <c r="AA1048">
        <v>1547490872.239594</v>
      </c>
      <c r="AB1048">
        <v>1547490.8722395941</v>
      </c>
      <c r="AC1048">
        <v>0</v>
      </c>
      <c r="AD1048">
        <v>6415.4450245549988</v>
      </c>
      <c r="AE1048">
        <v>3849267.0147329988</v>
      </c>
      <c r="AF1048">
        <v>1924633.5073664989</v>
      </c>
      <c r="AG1048">
        <v>61.667297687540447</v>
      </c>
      <c r="AH1048">
        <v>635.27340494399732</v>
      </c>
      <c r="AI1048">
        <v>317.63670247199872</v>
      </c>
      <c r="AJ1048">
        <v>50293.45334778681</v>
      </c>
      <c r="AK1048">
        <v>854.70085470085473</v>
      </c>
      <c r="AL1048" t="s">
        <v>93</v>
      </c>
      <c r="AM1048">
        <v>49233.68888315979</v>
      </c>
      <c r="AN1048">
        <v>3453.930884089652</v>
      </c>
      <c r="AO1048">
        <v>53998.23942023977</v>
      </c>
      <c r="AP1048">
        <v>103835.7739697371</v>
      </c>
      <c r="AQ1048">
        <v>49837.534549497337</v>
      </c>
      <c r="AR1048">
        <v>2.6131444327083329E-2</v>
      </c>
      <c r="AS1048">
        <v>815.56116829728273</v>
      </c>
      <c r="AT1048">
        <v>798.37597445278027</v>
      </c>
      <c r="AU1048">
        <v>56.009116883801767</v>
      </c>
      <c r="AV1048">
        <v>875.63816552885578</v>
      </c>
      <c r="AW1048">
        <v>1683.806131668983</v>
      </c>
      <c r="AX1048">
        <v>808.16796614012742</v>
      </c>
      <c r="AY1048">
        <v>5.1508127384050342</v>
      </c>
      <c r="AZ1048" t="s">
        <v>115</v>
      </c>
      <c r="BA1048" t="str">
        <f>VLOOKUP($AZ1048,Sheet1!$A$2:$B$58,2)</f>
        <v>Benzyl Alcohol</v>
      </c>
      <c r="BB1048" t="s">
        <v>166</v>
      </c>
      <c r="BC1048">
        <v>108.13661999999999</v>
      </c>
      <c r="BD1048">
        <v>4.8571428571428568</v>
      </c>
      <c r="BE1048">
        <v>205</v>
      </c>
      <c r="BF1048" t="s">
        <v>216</v>
      </c>
      <c r="BG1048">
        <v>0.53922867999313906</v>
      </c>
      <c r="BH1048">
        <v>0.120121065375302</v>
      </c>
      <c r="BI1048">
        <v>0.40540125702720903</v>
      </c>
      <c r="BJ1048">
        <v>80</v>
      </c>
      <c r="BK1048">
        <v>5191.7886984868564</v>
      </c>
      <c r="BL1048">
        <v>2491.876727474867</v>
      </c>
      <c r="BM1048">
        <v>15.342606443606799</v>
      </c>
      <c r="BN1048">
        <v>2608.2430954131551</v>
      </c>
      <c r="BO1048">
        <v>2583.5456030737</v>
      </c>
    </row>
    <row r="1049" spans="1:67" x14ac:dyDescent="0.25">
      <c r="A1049" s="1">
        <v>1047</v>
      </c>
      <c r="B1049" t="s">
        <v>78</v>
      </c>
      <c r="C1049" t="s">
        <v>87</v>
      </c>
      <c r="D1049">
        <v>1</v>
      </c>
      <c r="E1049">
        <v>4</v>
      </c>
      <c r="F1049">
        <v>1</v>
      </c>
      <c r="G1049">
        <v>32.041060000000002</v>
      </c>
      <c r="H1049">
        <v>6</v>
      </c>
      <c r="I1049" t="s">
        <v>89</v>
      </c>
      <c r="J1049">
        <v>2.5</v>
      </c>
      <c r="K1049">
        <v>200</v>
      </c>
      <c r="L1049">
        <v>50</v>
      </c>
      <c r="N1049" t="s">
        <v>90</v>
      </c>
      <c r="O1049">
        <v>50</v>
      </c>
      <c r="P1049">
        <v>0.3125</v>
      </c>
      <c r="Q1049">
        <v>3.2500000000000001E-2</v>
      </c>
      <c r="R1049">
        <v>77.5</v>
      </c>
      <c r="S1049">
        <v>170</v>
      </c>
      <c r="T1049">
        <v>50</v>
      </c>
      <c r="U1049">
        <v>1812.1301775147931</v>
      </c>
      <c r="V1049">
        <v>20</v>
      </c>
      <c r="W1049">
        <v>0.95</v>
      </c>
      <c r="X1049">
        <v>1</v>
      </c>
      <c r="Y1049">
        <v>337468.1281020529</v>
      </c>
      <c r="Z1049">
        <v>674936256.20410573</v>
      </c>
      <c r="AA1049">
        <v>1687340640.5102639</v>
      </c>
      <c r="AB1049">
        <v>1687340.6405102641</v>
      </c>
      <c r="AC1049">
        <v>0</v>
      </c>
      <c r="AD1049">
        <v>6995.2213037771025</v>
      </c>
      <c r="AE1049">
        <v>4197132.782266262</v>
      </c>
      <c r="AF1049">
        <v>2098566.391133131</v>
      </c>
      <c r="AG1049">
        <v>67.240291652280121</v>
      </c>
      <c r="AH1049">
        <v>692.68430155326803</v>
      </c>
      <c r="AI1049">
        <v>346.34215077663401</v>
      </c>
      <c r="AJ1049">
        <v>54838.570816583589</v>
      </c>
      <c r="AK1049">
        <v>854.70085470085473</v>
      </c>
      <c r="AL1049" t="s">
        <v>93</v>
      </c>
      <c r="AM1049">
        <v>53683.033370378267</v>
      </c>
      <c r="AN1049">
        <v>3766.069354453477</v>
      </c>
      <c r="AO1049">
        <v>58878.165632027783</v>
      </c>
      <c r="AP1049">
        <v>113142.3743961162</v>
      </c>
      <c r="AQ1049">
        <v>54264.208764088413</v>
      </c>
      <c r="AR1049">
        <v>2.6131444327083329E-2</v>
      </c>
      <c r="AS1049">
        <v>815.56116829728262</v>
      </c>
      <c r="AT1049">
        <v>798.37597445278004</v>
      </c>
      <c r="AU1049">
        <v>56.009116883801752</v>
      </c>
      <c r="AV1049">
        <v>875.63816552885555</v>
      </c>
      <c r="AW1049">
        <v>1682.6574010298709</v>
      </c>
      <c r="AX1049">
        <v>807.01923550101537</v>
      </c>
      <c r="AY1049">
        <v>5.1508127384050324</v>
      </c>
      <c r="AZ1049" t="s">
        <v>116</v>
      </c>
      <c r="BA1049" t="str">
        <f>VLOOKUP($AZ1049,Sheet1!$A$2:$B$58,2)</f>
        <v>Beta Carotene</v>
      </c>
      <c r="BB1049" t="s">
        <v>167</v>
      </c>
      <c r="BC1049">
        <v>536.86703999999997</v>
      </c>
      <c r="BD1049">
        <v>5.4</v>
      </c>
      <c r="BE1049">
        <v>633</v>
      </c>
      <c r="BF1049" t="s">
        <v>216</v>
      </c>
      <c r="BG1049">
        <v>0.41529210539101957</v>
      </c>
      <c r="BH1049">
        <v>2.2189655172413801E-2</v>
      </c>
      <c r="BI1049">
        <v>0.37180088583319298</v>
      </c>
      <c r="BJ1049">
        <v>80</v>
      </c>
      <c r="BK1049">
        <v>5657.1187198058096</v>
      </c>
      <c r="BL1049">
        <v>2713.2104382044199</v>
      </c>
      <c r="BM1049">
        <v>16.901815433440682</v>
      </c>
      <c r="BN1049">
        <v>2873.3086236849158</v>
      </c>
      <c r="BO1049">
        <v>2783.8100961208938</v>
      </c>
    </row>
    <row r="1050" spans="1:67" x14ac:dyDescent="0.25">
      <c r="A1050" s="1">
        <v>1048</v>
      </c>
      <c r="B1050" t="s">
        <v>78</v>
      </c>
      <c r="C1050" t="s">
        <v>87</v>
      </c>
      <c r="D1050">
        <v>1</v>
      </c>
      <c r="E1050">
        <v>4</v>
      </c>
      <c r="F1050">
        <v>1</v>
      </c>
      <c r="G1050">
        <v>32.041060000000002</v>
      </c>
      <c r="H1050">
        <v>6</v>
      </c>
      <c r="I1050" t="s">
        <v>89</v>
      </c>
      <c r="J1050">
        <v>2.5</v>
      </c>
      <c r="K1050">
        <v>200</v>
      </c>
      <c r="L1050">
        <v>50</v>
      </c>
      <c r="N1050" t="s">
        <v>90</v>
      </c>
      <c r="O1050">
        <v>50</v>
      </c>
      <c r="P1050">
        <v>0.3125</v>
      </c>
      <c r="Q1050">
        <v>3.2500000000000001E-2</v>
      </c>
      <c r="R1050">
        <v>77.5</v>
      </c>
      <c r="S1050">
        <v>170</v>
      </c>
      <c r="T1050">
        <v>50</v>
      </c>
      <c r="U1050">
        <v>1812.1301775147931</v>
      </c>
      <c r="V1050">
        <v>20</v>
      </c>
      <c r="W1050">
        <v>0.95</v>
      </c>
      <c r="X1050">
        <v>1</v>
      </c>
      <c r="Y1050">
        <v>359662.71446318051</v>
      </c>
      <c r="Z1050">
        <v>719325428.92636085</v>
      </c>
      <c r="AA1050">
        <v>1798313572.315902</v>
      </c>
      <c r="AB1050">
        <v>1798313.572315902</v>
      </c>
      <c r="AC1050">
        <v>66773.504273504266</v>
      </c>
      <c r="AD1050">
        <v>7455.2826559855393</v>
      </c>
      <c r="AE1050">
        <v>4473169.5935913241</v>
      </c>
      <c r="AF1050">
        <v>2236584.796795662</v>
      </c>
      <c r="AG1050">
        <v>71.662547669217616</v>
      </c>
      <c r="AH1050">
        <v>738.24072680232803</v>
      </c>
      <c r="AI1050">
        <v>369.12036340116401</v>
      </c>
      <c r="AJ1050">
        <v>58445.191100266828</v>
      </c>
      <c r="AK1050">
        <v>2170.1388888888891</v>
      </c>
      <c r="AL1050" t="s">
        <v>95</v>
      </c>
      <c r="AM1050">
        <v>57213.656327180419</v>
      </c>
      <c r="AN1050">
        <v>4013.756008596225</v>
      </c>
      <c r="AO1050">
        <v>62750.461778197881</v>
      </c>
      <c r="AP1050">
        <v>121842.7423249323</v>
      </c>
      <c r="AQ1050">
        <v>59092.280546734473</v>
      </c>
      <c r="AR1050">
        <v>2.6131444327083329E-2</v>
      </c>
      <c r="AS1050">
        <v>815.56116829728273</v>
      </c>
      <c r="AT1050">
        <v>798.37597445278004</v>
      </c>
      <c r="AU1050">
        <v>56.009116883801759</v>
      </c>
      <c r="AV1050">
        <v>875.63816552885555</v>
      </c>
      <c r="AW1050">
        <v>1700.229007868073</v>
      </c>
      <c r="AX1050">
        <v>824.59084233921726</v>
      </c>
      <c r="AY1050">
        <v>5.1508127384050333</v>
      </c>
      <c r="AZ1050" t="s">
        <v>117</v>
      </c>
      <c r="BA1050" t="str">
        <f>VLOOKUP($AZ1050,Sheet1!$A$2:$B$58,2)</f>
        <v>Butane</v>
      </c>
      <c r="BB1050" t="s">
        <v>168</v>
      </c>
      <c r="BC1050">
        <v>58.121200000000002</v>
      </c>
      <c r="BD1050">
        <v>6.5</v>
      </c>
      <c r="BE1050">
        <v>-1</v>
      </c>
      <c r="BF1050" t="s">
        <v>216</v>
      </c>
      <c r="BG1050">
        <v>0.90844070029512358</v>
      </c>
      <c r="BH1050">
        <v>0.19231805929919199</v>
      </c>
      <c r="BI1050">
        <v>0.34885725965808301</v>
      </c>
      <c r="BJ1050">
        <v>80</v>
      </c>
      <c r="BK1050">
        <v>6092.1371162466157</v>
      </c>
      <c r="BL1050">
        <v>2954.6140273367232</v>
      </c>
      <c r="BM1050">
        <v>17.54757746976308</v>
      </c>
      <c r="BN1050">
        <v>2983.0881698597232</v>
      </c>
      <c r="BO1050">
        <v>3109.048946386893</v>
      </c>
    </row>
    <row r="1051" spans="1:67" x14ac:dyDescent="0.25">
      <c r="A1051" s="1">
        <v>1049</v>
      </c>
      <c r="B1051" t="s">
        <v>78</v>
      </c>
      <c r="C1051" t="s">
        <v>87</v>
      </c>
      <c r="D1051">
        <v>1</v>
      </c>
      <c r="E1051">
        <v>4</v>
      </c>
      <c r="F1051">
        <v>1</v>
      </c>
      <c r="G1051">
        <v>32.041060000000002</v>
      </c>
      <c r="H1051">
        <v>6</v>
      </c>
      <c r="I1051" t="s">
        <v>89</v>
      </c>
      <c r="J1051">
        <v>2.5</v>
      </c>
      <c r="K1051">
        <v>200</v>
      </c>
      <c r="L1051">
        <v>50</v>
      </c>
      <c r="N1051" t="s">
        <v>90</v>
      </c>
      <c r="O1051">
        <v>50</v>
      </c>
      <c r="P1051">
        <v>0.3125</v>
      </c>
      <c r="Q1051">
        <v>3.2500000000000001E-2</v>
      </c>
      <c r="R1051">
        <v>77.5</v>
      </c>
      <c r="S1051">
        <v>170</v>
      </c>
      <c r="T1051">
        <v>50</v>
      </c>
      <c r="U1051">
        <v>1812.1301775147931</v>
      </c>
      <c r="V1051">
        <v>20</v>
      </c>
      <c r="W1051">
        <v>0.95</v>
      </c>
      <c r="X1051">
        <v>1</v>
      </c>
      <c r="Y1051">
        <v>242562.77484138581</v>
      </c>
      <c r="Z1051">
        <v>485125549.68277162</v>
      </c>
      <c r="AA1051">
        <v>1212813874.206929</v>
      </c>
      <c r="AB1051">
        <v>1212813.874206929</v>
      </c>
      <c r="AC1051">
        <v>0</v>
      </c>
      <c r="AD1051">
        <v>5027.9719735803656</v>
      </c>
      <c r="AE1051">
        <v>3016783.1841482189</v>
      </c>
      <c r="AF1051">
        <v>1508391.5920741099</v>
      </c>
      <c r="AG1051">
        <v>48.33046550514208</v>
      </c>
      <c r="AH1051">
        <v>497.88235475386182</v>
      </c>
      <c r="AI1051">
        <v>248.94117737693091</v>
      </c>
      <c r="AJ1051">
        <v>39416.450911725187</v>
      </c>
      <c r="AK1051">
        <v>854.70085470085473</v>
      </c>
      <c r="AL1051" t="s">
        <v>93</v>
      </c>
      <c r="AM1051">
        <v>38585.882493424288</v>
      </c>
      <c r="AN1051">
        <v>2706.9466915260518</v>
      </c>
      <c r="AO1051">
        <v>42320.000154078247</v>
      </c>
      <c r="AP1051">
        <v>81563.980951376405</v>
      </c>
      <c r="AQ1051">
        <v>39243.980797298158</v>
      </c>
      <c r="AR1051">
        <v>2.613144432708334E-2</v>
      </c>
      <c r="AS1051">
        <v>815.56116829728285</v>
      </c>
      <c r="AT1051">
        <v>798.37597445278027</v>
      </c>
      <c r="AU1051">
        <v>56.009116883801767</v>
      </c>
      <c r="AV1051">
        <v>875.63816552885567</v>
      </c>
      <c r="AW1051">
        <v>1687.6307748928771</v>
      </c>
      <c r="AX1051">
        <v>811.99260936402163</v>
      </c>
      <c r="AY1051">
        <v>5.1508127384050333</v>
      </c>
      <c r="AZ1051" t="s">
        <v>118</v>
      </c>
      <c r="BA1051" t="str">
        <f>VLOOKUP($AZ1051,Sheet1!$A$2:$B$58,2)</f>
        <v>Butanol (PW1)</v>
      </c>
      <c r="BB1051" t="s">
        <v>169</v>
      </c>
      <c r="BC1051">
        <v>74.120199999999997</v>
      </c>
      <c r="BD1051">
        <v>6</v>
      </c>
      <c r="BE1051">
        <v>117.7</v>
      </c>
      <c r="BF1051" t="s">
        <v>216</v>
      </c>
      <c r="BG1051">
        <v>0.28031150920277531</v>
      </c>
      <c r="BH1051">
        <v>0.22360902255639101</v>
      </c>
      <c r="BI1051">
        <v>0.51727207132611097</v>
      </c>
      <c r="BJ1051">
        <v>80</v>
      </c>
      <c r="BK1051">
        <v>4078.1990475688199</v>
      </c>
      <c r="BL1051">
        <v>1962.1990398649079</v>
      </c>
      <c r="BM1051">
        <v>12.16674735964377</v>
      </c>
      <c r="BN1051">
        <v>2068.3470511394412</v>
      </c>
      <c r="BO1051">
        <v>2009.8519964293789</v>
      </c>
    </row>
    <row r="1052" spans="1:67" x14ac:dyDescent="0.25">
      <c r="A1052" s="1">
        <v>1050</v>
      </c>
      <c r="B1052" t="s">
        <v>78</v>
      </c>
      <c r="C1052" t="s">
        <v>87</v>
      </c>
      <c r="D1052">
        <v>1</v>
      </c>
      <c r="E1052">
        <v>4</v>
      </c>
      <c r="F1052">
        <v>1</v>
      </c>
      <c r="G1052">
        <v>32.041060000000002</v>
      </c>
      <c r="H1052">
        <v>6</v>
      </c>
      <c r="I1052" t="s">
        <v>89</v>
      </c>
      <c r="J1052">
        <v>2.5</v>
      </c>
      <c r="K1052">
        <v>200</v>
      </c>
      <c r="L1052">
        <v>50</v>
      </c>
      <c r="N1052" t="s">
        <v>90</v>
      </c>
      <c r="O1052">
        <v>50</v>
      </c>
      <c r="P1052">
        <v>0.3125</v>
      </c>
      <c r="Q1052">
        <v>3.2500000000000001E-2</v>
      </c>
      <c r="R1052">
        <v>77.5</v>
      </c>
      <c r="S1052">
        <v>170</v>
      </c>
      <c r="T1052">
        <v>50</v>
      </c>
      <c r="U1052">
        <v>1812.1301775147931</v>
      </c>
      <c r="V1052">
        <v>20</v>
      </c>
      <c r="W1052">
        <v>0.95</v>
      </c>
      <c r="X1052">
        <v>1</v>
      </c>
      <c r="Y1052">
        <v>277214.59981872671</v>
      </c>
      <c r="Z1052">
        <v>554429199.63745344</v>
      </c>
      <c r="AA1052">
        <v>1386072999.0936339</v>
      </c>
      <c r="AB1052">
        <v>1386072.9990936341</v>
      </c>
      <c r="AC1052">
        <v>0</v>
      </c>
      <c r="AD1052">
        <v>5746.2536840918483</v>
      </c>
      <c r="AE1052">
        <v>3447752.2104551089</v>
      </c>
      <c r="AF1052">
        <v>1723876.105227554</v>
      </c>
      <c r="AG1052">
        <v>55.23481772016239</v>
      </c>
      <c r="AH1052">
        <v>569.00840543298511</v>
      </c>
      <c r="AI1052">
        <v>284.50420271649261</v>
      </c>
      <c r="AJ1052">
        <v>45047.372470543087</v>
      </c>
      <c r="AK1052">
        <v>854.70085470085473</v>
      </c>
      <c r="AL1052" t="s">
        <v>93</v>
      </c>
      <c r="AM1052">
        <v>44098.151421056347</v>
      </c>
      <c r="AN1052">
        <v>3093.65336174406</v>
      </c>
      <c r="AO1052">
        <v>48365.714461803727</v>
      </c>
      <c r="AP1052">
        <v>93093.878108044359</v>
      </c>
      <c r="AQ1052">
        <v>44728.163646240617</v>
      </c>
      <c r="AR1052">
        <v>2.613144432708334E-2</v>
      </c>
      <c r="AS1052">
        <v>815.56116829728285</v>
      </c>
      <c r="AT1052">
        <v>798.37597445278038</v>
      </c>
      <c r="AU1052">
        <v>56.009116883801767</v>
      </c>
      <c r="AV1052">
        <v>875.63816552885589</v>
      </c>
      <c r="AW1052">
        <v>1685.420210485501</v>
      </c>
      <c r="AX1052">
        <v>809.78204495664488</v>
      </c>
      <c r="AY1052">
        <v>5.1508127384050342</v>
      </c>
      <c r="AZ1052" t="s">
        <v>119</v>
      </c>
      <c r="BA1052" t="str">
        <f>VLOOKUP($AZ1052,Sheet1!$A$2:$B$58,2)</f>
        <v>Butanol (PW2)</v>
      </c>
      <c r="BB1052" t="s">
        <v>169</v>
      </c>
      <c r="BC1052">
        <v>74.120199999999997</v>
      </c>
      <c r="BD1052">
        <v>6</v>
      </c>
      <c r="BE1052">
        <v>117.7</v>
      </c>
      <c r="BF1052" t="s">
        <v>216</v>
      </c>
      <c r="BG1052">
        <v>0.65965044615810031</v>
      </c>
      <c r="BH1052">
        <v>0.195657894736842</v>
      </c>
      <c r="BI1052">
        <v>0.45261306241034699</v>
      </c>
      <c r="BJ1052">
        <v>80</v>
      </c>
      <c r="BK1052">
        <v>4654.6939054022178</v>
      </c>
      <c r="BL1052">
        <v>2236.4081823120309</v>
      </c>
      <c r="BM1052">
        <v>13.56555968966653</v>
      </c>
      <c r="BN1052">
        <v>2306.14514724331</v>
      </c>
      <c r="BO1052">
        <v>2348.5487581589082</v>
      </c>
    </row>
    <row r="1053" spans="1:67" x14ac:dyDescent="0.25">
      <c r="A1053" s="1">
        <v>1051</v>
      </c>
      <c r="B1053" t="s">
        <v>78</v>
      </c>
      <c r="C1053" t="s">
        <v>87</v>
      </c>
      <c r="D1053">
        <v>1</v>
      </c>
      <c r="E1053">
        <v>4</v>
      </c>
      <c r="F1053">
        <v>1</v>
      </c>
      <c r="G1053">
        <v>32.041060000000002</v>
      </c>
      <c r="H1053">
        <v>6</v>
      </c>
      <c r="I1053" t="s">
        <v>89</v>
      </c>
      <c r="J1053">
        <v>2.5</v>
      </c>
      <c r="K1053">
        <v>200</v>
      </c>
      <c r="L1053">
        <v>50</v>
      </c>
      <c r="N1053" t="s">
        <v>90</v>
      </c>
      <c r="O1053">
        <v>50</v>
      </c>
      <c r="P1053">
        <v>0.3125</v>
      </c>
      <c r="Q1053">
        <v>3.2500000000000001E-2</v>
      </c>
      <c r="R1053">
        <v>77.5</v>
      </c>
      <c r="S1053">
        <v>170</v>
      </c>
      <c r="T1053">
        <v>50</v>
      </c>
      <c r="U1053">
        <v>1812.1301775147931</v>
      </c>
      <c r="V1053">
        <v>20</v>
      </c>
      <c r="W1053">
        <v>0.95</v>
      </c>
      <c r="X1053">
        <v>1</v>
      </c>
      <c r="Y1053">
        <v>180040.60708474519</v>
      </c>
      <c r="Z1053">
        <v>360081214.1694904</v>
      </c>
      <c r="AA1053">
        <v>900203035.42372596</v>
      </c>
      <c r="AB1053">
        <v>900203.03542372596</v>
      </c>
      <c r="AC1053">
        <v>0</v>
      </c>
      <c r="AD1053">
        <v>3731.978771765117</v>
      </c>
      <c r="AE1053">
        <v>2239187.2630590699</v>
      </c>
      <c r="AF1053">
        <v>1119593.6315295349</v>
      </c>
      <c r="AG1053">
        <v>35.872966723455733</v>
      </c>
      <c r="AH1053">
        <v>369.54986792711128</v>
      </c>
      <c r="AI1053">
        <v>184.77493396355561</v>
      </c>
      <c r="AJ1053">
        <v>29256.598651271099</v>
      </c>
      <c r="AK1053">
        <v>854.70085470085473</v>
      </c>
      <c r="AL1053" t="s">
        <v>93</v>
      </c>
      <c r="AM1053">
        <v>28640.114764351121</v>
      </c>
      <c r="AN1053">
        <v>2009.2131861827629</v>
      </c>
      <c r="AO1053">
        <v>31411.73877380446</v>
      </c>
      <c r="AP1053">
        <v>60760.627456505827</v>
      </c>
      <c r="AQ1053">
        <v>29348.88868270137</v>
      </c>
      <c r="AR1053">
        <v>2.6131444327083329E-2</v>
      </c>
      <c r="AS1053">
        <v>815.56116829728262</v>
      </c>
      <c r="AT1053">
        <v>798.37597445278016</v>
      </c>
      <c r="AU1053">
        <v>56.009116883801752</v>
      </c>
      <c r="AV1053">
        <v>875.63816552885567</v>
      </c>
      <c r="AW1053">
        <v>1693.7720240678391</v>
      </c>
      <c r="AX1053">
        <v>818.13385853898296</v>
      </c>
      <c r="AY1053">
        <v>5.1508127384050342</v>
      </c>
      <c r="AZ1053" t="s">
        <v>120</v>
      </c>
      <c r="BA1053" t="str">
        <f>VLOOKUP($AZ1053,Sheet1!$A$2:$B$58,2)</f>
        <v>Butyrate</v>
      </c>
      <c r="BB1053" t="s">
        <v>170</v>
      </c>
      <c r="BC1053">
        <v>87.095680000000002</v>
      </c>
      <c r="BD1053">
        <v>4.75</v>
      </c>
      <c r="BE1053">
        <v>163.5</v>
      </c>
      <c r="BF1053" t="s">
        <v>216</v>
      </c>
      <c r="BG1053">
        <v>-5.0292763635139098E-2</v>
      </c>
      <c r="BH1053">
        <v>0.25637931034483002</v>
      </c>
      <c r="BI1053">
        <v>0.69690360969374798</v>
      </c>
      <c r="BJ1053">
        <v>80</v>
      </c>
      <c r="BK1053">
        <v>3038.0313728252909</v>
      </c>
      <c r="BL1053">
        <v>1467.4444341350691</v>
      </c>
      <c r="BM1053">
        <v>9.2890394618129228</v>
      </c>
      <c r="BN1053">
        <v>1579.136708508197</v>
      </c>
      <c r="BO1053">
        <v>1458.8946643170941</v>
      </c>
    </row>
    <row r="1054" spans="1:67" x14ac:dyDescent="0.25">
      <c r="A1054" s="1">
        <v>1052</v>
      </c>
      <c r="B1054" t="s">
        <v>78</v>
      </c>
      <c r="C1054" t="s">
        <v>87</v>
      </c>
      <c r="D1054">
        <v>1</v>
      </c>
      <c r="E1054">
        <v>4</v>
      </c>
      <c r="F1054">
        <v>1</v>
      </c>
      <c r="G1054">
        <v>32.041060000000002</v>
      </c>
      <c r="H1054">
        <v>6</v>
      </c>
      <c r="I1054" t="s">
        <v>89</v>
      </c>
      <c r="J1054">
        <v>2.5</v>
      </c>
      <c r="K1054">
        <v>200</v>
      </c>
      <c r="L1054">
        <v>50</v>
      </c>
      <c r="N1054" t="s">
        <v>90</v>
      </c>
      <c r="O1054">
        <v>50</v>
      </c>
      <c r="P1054">
        <v>0.3125</v>
      </c>
      <c r="Q1054">
        <v>3.2500000000000001E-2</v>
      </c>
      <c r="R1054">
        <v>77.5</v>
      </c>
      <c r="S1054">
        <v>170</v>
      </c>
      <c r="T1054">
        <v>50</v>
      </c>
      <c r="U1054">
        <v>1812.1301775147931</v>
      </c>
      <c r="V1054">
        <v>20</v>
      </c>
      <c r="W1054">
        <v>0.95</v>
      </c>
      <c r="X1054">
        <v>1</v>
      </c>
      <c r="Y1054">
        <v>206806.1195563596</v>
      </c>
      <c r="Z1054">
        <v>413612239.11271918</v>
      </c>
      <c r="AA1054">
        <v>1034030597.781798</v>
      </c>
      <c r="AB1054">
        <v>1034030.597781798</v>
      </c>
      <c r="AC1054">
        <v>0</v>
      </c>
      <c r="AD1054">
        <v>4286.7887447867142</v>
      </c>
      <c r="AE1054">
        <v>2572073.2468720279</v>
      </c>
      <c r="AF1054">
        <v>1286036.6234360139</v>
      </c>
      <c r="AG1054">
        <v>41.205976613710739</v>
      </c>
      <c r="AH1054">
        <v>424.48853848064238</v>
      </c>
      <c r="AI1054">
        <v>212.24426924032119</v>
      </c>
      <c r="AJ1054">
        <v>33605.994427908438</v>
      </c>
      <c r="AK1054">
        <v>854.70085470085473</v>
      </c>
      <c r="AL1054" t="s">
        <v>93</v>
      </c>
      <c r="AM1054">
        <v>32897.861732249788</v>
      </c>
      <c r="AN1054">
        <v>2307.910360468527</v>
      </c>
      <c r="AO1054">
        <v>36081.525770854612</v>
      </c>
      <c r="AP1054">
        <v>69666.467375327615</v>
      </c>
      <c r="AQ1054">
        <v>33584.94160447301</v>
      </c>
      <c r="AR1054">
        <v>2.6131444327083329E-2</v>
      </c>
      <c r="AS1054">
        <v>815.56116829728273</v>
      </c>
      <c r="AT1054">
        <v>798.37597445278038</v>
      </c>
      <c r="AU1054">
        <v>56.009116883801767</v>
      </c>
      <c r="AV1054">
        <v>875.63816552885578</v>
      </c>
      <c r="AW1054">
        <v>1690.688417081396</v>
      </c>
      <c r="AX1054">
        <v>815.05025155253998</v>
      </c>
      <c r="AY1054">
        <v>5.1508127384050342</v>
      </c>
      <c r="AZ1054" t="s">
        <v>121</v>
      </c>
      <c r="BA1054" t="str">
        <f>VLOOKUP($AZ1054,Sheet1!$A$2:$B$58,2)</f>
        <v>Catechol</v>
      </c>
      <c r="BB1054" t="s">
        <v>171</v>
      </c>
      <c r="BC1054">
        <v>110.10924</v>
      </c>
      <c r="BD1054">
        <v>4.333333333333333</v>
      </c>
      <c r="BE1054">
        <v>245</v>
      </c>
      <c r="BF1054" t="s">
        <v>216</v>
      </c>
      <c r="BG1054">
        <v>-0.1342249879210016</v>
      </c>
      <c r="BH1054">
        <v>0.17654804270462601</v>
      </c>
      <c r="BI1054">
        <v>0.60670810534027197</v>
      </c>
      <c r="BJ1054">
        <v>80</v>
      </c>
      <c r="BK1054">
        <v>3483.323368766381</v>
      </c>
      <c r="BL1054">
        <v>1679.247080223651</v>
      </c>
      <c r="BM1054">
        <v>10.74643844993706</v>
      </c>
      <c r="BN1054">
        <v>1826.8945364893009</v>
      </c>
      <c r="BO1054">
        <v>1656.4288322770799</v>
      </c>
    </row>
    <row r="1055" spans="1:67" x14ac:dyDescent="0.25">
      <c r="A1055" s="1">
        <v>1053</v>
      </c>
      <c r="B1055" t="s">
        <v>78</v>
      </c>
      <c r="C1055" t="s">
        <v>87</v>
      </c>
      <c r="D1055">
        <v>1</v>
      </c>
      <c r="E1055">
        <v>4</v>
      </c>
      <c r="F1055">
        <v>1</v>
      </c>
      <c r="G1055">
        <v>32.041060000000002</v>
      </c>
      <c r="H1055">
        <v>6</v>
      </c>
      <c r="I1055" t="s">
        <v>89</v>
      </c>
      <c r="J1055">
        <v>2.5</v>
      </c>
      <c r="K1055">
        <v>200</v>
      </c>
      <c r="L1055">
        <v>50</v>
      </c>
      <c r="N1055" t="s">
        <v>90</v>
      </c>
      <c r="O1055">
        <v>50</v>
      </c>
      <c r="P1055">
        <v>0.3125</v>
      </c>
      <c r="Q1055">
        <v>3.2500000000000001E-2</v>
      </c>
      <c r="R1055">
        <v>77.5</v>
      </c>
      <c r="S1055">
        <v>170</v>
      </c>
      <c r="T1055">
        <v>50</v>
      </c>
      <c r="U1055">
        <v>1812.1301775147931</v>
      </c>
      <c r="V1055">
        <v>20</v>
      </c>
      <c r="W1055">
        <v>0.95</v>
      </c>
      <c r="X1055">
        <v>1</v>
      </c>
      <c r="Y1055">
        <v>164280.9476797088</v>
      </c>
      <c r="Z1055">
        <v>328561895.35941768</v>
      </c>
      <c r="AA1055">
        <v>821404738.39854419</v>
      </c>
      <c r="AB1055">
        <v>821404.73839854414</v>
      </c>
      <c r="AC1055">
        <v>0</v>
      </c>
      <c r="AD1055">
        <v>3405.3040548655008</v>
      </c>
      <c r="AE1055">
        <v>2043182.4329193011</v>
      </c>
      <c r="AF1055">
        <v>1021591.21645965</v>
      </c>
      <c r="AG1055">
        <v>32.732865462056637</v>
      </c>
      <c r="AH1055">
        <v>337.20172077291897</v>
      </c>
      <c r="AI1055">
        <v>168.60086038645949</v>
      </c>
      <c r="AJ1055">
        <v>26695.65399795269</v>
      </c>
      <c r="AK1055">
        <v>854.70085470085473</v>
      </c>
      <c r="AL1055" t="s">
        <v>93</v>
      </c>
      <c r="AM1055">
        <v>26133.133359901221</v>
      </c>
      <c r="AN1055">
        <v>1833.338887606089</v>
      </c>
      <c r="AO1055">
        <v>28662.146265698109</v>
      </c>
      <c r="AP1055">
        <v>55516.827100160837</v>
      </c>
      <c r="AQ1055">
        <v>26854.680834462732</v>
      </c>
      <c r="AR1055">
        <v>2.6131444327083329E-2</v>
      </c>
      <c r="AS1055">
        <v>815.56116829728262</v>
      </c>
      <c r="AT1055">
        <v>798.37597445278004</v>
      </c>
      <c r="AU1055">
        <v>56.009116883801767</v>
      </c>
      <c r="AV1055">
        <v>875.63816552885544</v>
      </c>
      <c r="AW1055">
        <v>1696.057656929393</v>
      </c>
      <c r="AX1055">
        <v>820.41949140053759</v>
      </c>
      <c r="AY1055">
        <v>5.1508127384050324</v>
      </c>
      <c r="AZ1055" t="s">
        <v>122</v>
      </c>
      <c r="BA1055" t="str">
        <f>VLOOKUP($AZ1055,Sheet1!$A$2:$B$58,2)</f>
        <v>cis,cis-Muconate</v>
      </c>
      <c r="BB1055" t="s">
        <v>172</v>
      </c>
      <c r="BC1055">
        <v>140.09155999999999</v>
      </c>
      <c r="BD1055">
        <v>3.333333333333333</v>
      </c>
      <c r="BE1055">
        <v>345.4</v>
      </c>
      <c r="BF1055" t="s">
        <v>216</v>
      </c>
      <c r="BG1055">
        <v>-8.6500948464941801E-2</v>
      </c>
      <c r="BH1055">
        <v>0.17468309859154901</v>
      </c>
      <c r="BI1055">
        <v>0.76375837089421805</v>
      </c>
      <c r="BJ1055">
        <v>80</v>
      </c>
      <c r="BK1055">
        <v>2775.8413550080418</v>
      </c>
      <c r="BL1055">
        <v>1342.7340417231369</v>
      </c>
      <c r="BM1055">
        <v>8.516543967787916</v>
      </c>
      <c r="BN1055">
        <v>1447.8124745239461</v>
      </c>
      <c r="BO1055">
        <v>1328.028880484097</v>
      </c>
    </row>
    <row r="1056" spans="1:67" x14ac:dyDescent="0.25">
      <c r="A1056" s="1">
        <v>1054</v>
      </c>
      <c r="B1056" t="s">
        <v>78</v>
      </c>
      <c r="C1056" t="s">
        <v>87</v>
      </c>
      <c r="D1056">
        <v>1</v>
      </c>
      <c r="E1056">
        <v>4</v>
      </c>
      <c r="F1056">
        <v>1</v>
      </c>
      <c r="G1056">
        <v>32.041060000000002</v>
      </c>
      <c r="H1056">
        <v>6</v>
      </c>
      <c r="I1056" t="s">
        <v>89</v>
      </c>
      <c r="J1056">
        <v>2.5</v>
      </c>
      <c r="K1056">
        <v>200</v>
      </c>
      <c r="L1056">
        <v>50</v>
      </c>
      <c r="N1056" t="s">
        <v>90</v>
      </c>
      <c r="O1056">
        <v>50</v>
      </c>
      <c r="P1056">
        <v>0.3125</v>
      </c>
      <c r="Q1056">
        <v>3.2500000000000001E-2</v>
      </c>
      <c r="R1056">
        <v>77.5</v>
      </c>
      <c r="S1056">
        <v>170</v>
      </c>
      <c r="T1056">
        <v>50</v>
      </c>
      <c r="U1056">
        <v>1812.1301775147931</v>
      </c>
      <c r="V1056">
        <v>20</v>
      </c>
      <c r="W1056">
        <v>0.95</v>
      </c>
      <c r="X1056">
        <v>1</v>
      </c>
      <c r="Y1056">
        <v>88066.228185594693</v>
      </c>
      <c r="Z1056">
        <v>176132456.37118939</v>
      </c>
      <c r="AA1056">
        <v>440331140.92797339</v>
      </c>
      <c r="AB1056">
        <v>440331.14092797338</v>
      </c>
      <c r="AC1056">
        <v>0</v>
      </c>
      <c r="AD1056">
        <v>1825.4842583560121</v>
      </c>
      <c r="AE1056">
        <v>1095290.555013607</v>
      </c>
      <c r="AF1056">
        <v>547645.27750680351</v>
      </c>
      <c r="AG1056">
        <v>17.547135195312141</v>
      </c>
      <c r="AH1056">
        <v>180.7640149730581</v>
      </c>
      <c r="AI1056">
        <v>90.382007486529062</v>
      </c>
      <c r="AJ1056">
        <v>14310.76208015914</v>
      </c>
      <c r="AK1056">
        <v>854.70085470085473</v>
      </c>
      <c r="AL1056" t="s">
        <v>93</v>
      </c>
      <c r="AM1056">
        <v>14009.211160412009</v>
      </c>
      <c r="AN1056">
        <v>982.79954613010955</v>
      </c>
      <c r="AO1056">
        <v>15364.941272709941</v>
      </c>
      <c r="AP1056">
        <v>30157.47364140211</v>
      </c>
      <c r="AQ1056">
        <v>14792.532368692169</v>
      </c>
      <c r="AR1056">
        <v>2.6131444327083329E-2</v>
      </c>
      <c r="AS1056">
        <v>815.56116829728262</v>
      </c>
      <c r="AT1056">
        <v>798.37597445278004</v>
      </c>
      <c r="AU1056">
        <v>56.009116883801767</v>
      </c>
      <c r="AV1056">
        <v>875.63816552885555</v>
      </c>
      <c r="AW1056">
        <v>1718.655114109961</v>
      </c>
      <c r="AX1056">
        <v>843.01694858110568</v>
      </c>
      <c r="AY1056">
        <v>5.1508127384050333</v>
      </c>
      <c r="AZ1056" t="s">
        <v>123</v>
      </c>
      <c r="BA1056" t="str">
        <f>VLOOKUP($AZ1056,Sheet1!$A$2:$B$58,2)</f>
        <v>Citrate</v>
      </c>
      <c r="BB1056" t="s">
        <v>173</v>
      </c>
      <c r="BC1056">
        <v>189.09639999999999</v>
      </c>
      <c r="BD1056">
        <v>2.5</v>
      </c>
      <c r="BF1056" t="s">
        <v>216</v>
      </c>
      <c r="BG1056">
        <v>-0.4323558571268013</v>
      </c>
      <c r="BH1056">
        <v>0.241411192214112</v>
      </c>
      <c r="BI1056">
        <v>1.4247339934258301</v>
      </c>
      <c r="BJ1056">
        <v>80</v>
      </c>
      <c r="BK1056">
        <v>1507.8736820701049</v>
      </c>
      <c r="BL1056">
        <v>739.62661843460819</v>
      </c>
      <c r="BM1056">
        <v>4.9514562314532542</v>
      </c>
      <c r="BN1056">
        <v>841.7475593470532</v>
      </c>
      <c r="BO1056">
        <v>666.12612272305194</v>
      </c>
    </row>
    <row r="1057" spans="1:67" x14ac:dyDescent="0.25">
      <c r="A1057" s="1">
        <v>1055</v>
      </c>
      <c r="B1057" t="s">
        <v>78</v>
      </c>
      <c r="C1057" t="s">
        <v>87</v>
      </c>
      <c r="D1057">
        <v>1</v>
      </c>
      <c r="E1057">
        <v>4</v>
      </c>
      <c r="F1057">
        <v>1</v>
      </c>
      <c r="G1057">
        <v>32.041060000000002</v>
      </c>
      <c r="H1057">
        <v>6</v>
      </c>
      <c r="I1057" t="s">
        <v>89</v>
      </c>
      <c r="J1057">
        <v>2.5</v>
      </c>
      <c r="K1057">
        <v>200</v>
      </c>
      <c r="L1057">
        <v>50</v>
      </c>
      <c r="N1057" t="s">
        <v>90</v>
      </c>
      <c r="O1057">
        <v>50</v>
      </c>
      <c r="P1057">
        <v>0.3125</v>
      </c>
      <c r="Q1057">
        <v>3.2500000000000001E-2</v>
      </c>
      <c r="R1057">
        <v>77.5</v>
      </c>
      <c r="S1057">
        <v>170</v>
      </c>
      <c r="T1057">
        <v>50</v>
      </c>
      <c r="U1057">
        <v>1812.1301775147931</v>
      </c>
      <c r="V1057">
        <v>20</v>
      </c>
      <c r="W1057">
        <v>0.95</v>
      </c>
      <c r="X1057">
        <v>1</v>
      </c>
      <c r="Y1057">
        <v>207374.36888055681</v>
      </c>
      <c r="Z1057">
        <v>414748737.76111352</v>
      </c>
      <c r="AA1057">
        <v>1036871844.402784</v>
      </c>
      <c r="AB1057">
        <v>1036871.844402784</v>
      </c>
      <c r="AC1057">
        <v>0</v>
      </c>
      <c r="AD1057">
        <v>4298.5677231478312</v>
      </c>
      <c r="AE1057">
        <v>2579140.6338886991</v>
      </c>
      <c r="AF1057">
        <v>1289570.3169443491</v>
      </c>
      <c r="AG1057">
        <v>41.31919989943291</v>
      </c>
      <c r="AH1057">
        <v>425.65492236540621</v>
      </c>
      <c r="AI1057">
        <v>212.8274611827031</v>
      </c>
      <c r="AJ1057">
        <v>33698.334943090478</v>
      </c>
      <c r="AK1057">
        <v>854.70085470085473</v>
      </c>
      <c r="AL1057" t="s">
        <v>93</v>
      </c>
      <c r="AM1057">
        <v>32988.256483318983</v>
      </c>
      <c r="AN1057">
        <v>2314.2518967125088</v>
      </c>
      <c r="AO1057">
        <v>36180.66840105952</v>
      </c>
      <c r="AP1057">
        <v>69855.544177822827</v>
      </c>
      <c r="AQ1057">
        <v>33674.875776763307</v>
      </c>
      <c r="AR1057">
        <v>2.613144432708334E-2</v>
      </c>
      <c r="AS1057">
        <v>815.56116829728285</v>
      </c>
      <c r="AT1057">
        <v>798.37597445278027</v>
      </c>
      <c r="AU1057">
        <v>56.009116883801767</v>
      </c>
      <c r="AV1057">
        <v>875.63816552885578</v>
      </c>
      <c r="AW1057">
        <v>1690.631579213652</v>
      </c>
      <c r="AX1057">
        <v>814.993413684796</v>
      </c>
      <c r="AY1057">
        <v>5.1508127384050351</v>
      </c>
      <c r="AZ1057" t="s">
        <v>124</v>
      </c>
      <c r="BA1057" t="str">
        <f>VLOOKUP($AZ1057,Sheet1!$A$2:$B$58,2)</f>
        <v>Coumaric Acid</v>
      </c>
      <c r="BB1057" t="s">
        <v>174</v>
      </c>
      <c r="BC1057">
        <v>163.14818</v>
      </c>
      <c r="BD1057">
        <v>4.1111111111111107</v>
      </c>
      <c r="BE1057">
        <v>346</v>
      </c>
      <c r="BF1057" t="s">
        <v>216</v>
      </c>
      <c r="BG1057">
        <v>-0.15763335663869901</v>
      </c>
      <c r="BH1057">
        <v>0.118826347305389</v>
      </c>
      <c r="BI1057">
        <v>0.60504559770875699</v>
      </c>
      <c r="BJ1057">
        <v>80</v>
      </c>
      <c r="BK1057">
        <v>3492.777208891142</v>
      </c>
      <c r="BL1057">
        <v>1683.7437888381651</v>
      </c>
      <c r="BM1057">
        <v>10.799006415773849</v>
      </c>
      <c r="BN1057">
        <v>1835.831090681555</v>
      </c>
      <c r="BO1057">
        <v>1656.9461182095861</v>
      </c>
    </row>
    <row r="1058" spans="1:67" x14ac:dyDescent="0.25">
      <c r="A1058" s="1">
        <v>1056</v>
      </c>
      <c r="B1058" t="s">
        <v>78</v>
      </c>
      <c r="C1058" t="s">
        <v>87</v>
      </c>
      <c r="D1058">
        <v>1</v>
      </c>
      <c r="E1058">
        <v>4</v>
      </c>
      <c r="F1058">
        <v>1</v>
      </c>
      <c r="G1058">
        <v>32.041060000000002</v>
      </c>
      <c r="H1058">
        <v>6</v>
      </c>
      <c r="I1058" t="s">
        <v>89</v>
      </c>
      <c r="J1058">
        <v>2.5</v>
      </c>
      <c r="K1058">
        <v>200</v>
      </c>
      <c r="L1058">
        <v>50</v>
      </c>
      <c r="N1058" t="s">
        <v>90</v>
      </c>
      <c r="O1058">
        <v>50</v>
      </c>
      <c r="P1058">
        <v>0.3125</v>
      </c>
      <c r="Q1058">
        <v>3.2500000000000001E-2</v>
      </c>
      <c r="R1058">
        <v>77.5</v>
      </c>
      <c r="S1058">
        <v>170</v>
      </c>
      <c r="T1058">
        <v>50</v>
      </c>
      <c r="U1058">
        <v>1812.1301775147931</v>
      </c>
      <c r="V1058">
        <v>20</v>
      </c>
      <c r="W1058">
        <v>0.95</v>
      </c>
      <c r="X1058">
        <v>1</v>
      </c>
      <c r="Y1058">
        <v>182584.03268084579</v>
      </c>
      <c r="Z1058">
        <v>365168065.36169159</v>
      </c>
      <c r="AA1058">
        <v>912920163.40422893</v>
      </c>
      <c r="AB1058">
        <v>912920.16340422898</v>
      </c>
      <c r="AC1058">
        <v>0</v>
      </c>
      <c r="AD1058">
        <v>3784.7002687979698</v>
      </c>
      <c r="AE1058">
        <v>2270820.1612787819</v>
      </c>
      <c r="AF1058">
        <v>1135410.080639391</v>
      </c>
      <c r="AG1058">
        <v>36.379742518371557</v>
      </c>
      <c r="AH1058">
        <v>374.77048236704701</v>
      </c>
      <c r="AI1058">
        <v>187.3852411835235</v>
      </c>
      <c r="AJ1058">
        <v>29669.905310637441</v>
      </c>
      <c r="AK1058">
        <v>854.70085470085473</v>
      </c>
      <c r="AL1058" t="s">
        <v>93</v>
      </c>
      <c r="AM1058">
        <v>29044.712383446142</v>
      </c>
      <c r="AN1058">
        <v>2037.5972509140861</v>
      </c>
      <c r="AO1058">
        <v>31855.491001199</v>
      </c>
      <c r="AP1058">
        <v>61606.915799698523</v>
      </c>
      <c r="AQ1058">
        <v>29751.424798499531</v>
      </c>
      <c r="AR1058">
        <v>2.6131444327083329E-2</v>
      </c>
      <c r="AS1058">
        <v>815.56116829728273</v>
      </c>
      <c r="AT1058">
        <v>798.37597445278027</v>
      </c>
      <c r="AU1058">
        <v>56.009116883801752</v>
      </c>
      <c r="AV1058">
        <v>875.63816552885578</v>
      </c>
      <c r="AW1058">
        <v>1693.440127251791</v>
      </c>
      <c r="AX1058">
        <v>817.80196172293495</v>
      </c>
      <c r="AY1058">
        <v>5.1508127384050342</v>
      </c>
      <c r="AZ1058" t="s">
        <v>125</v>
      </c>
      <c r="BA1058" t="str">
        <f>VLOOKUP($AZ1058,Sheet1!$A$2:$B$58,2)</f>
        <v>Ethyl Acetate</v>
      </c>
      <c r="BB1058" t="s">
        <v>175</v>
      </c>
      <c r="BC1058">
        <v>88.103520000000003</v>
      </c>
      <c r="BD1058">
        <v>5</v>
      </c>
      <c r="BE1058">
        <v>77.099999999999994</v>
      </c>
      <c r="BF1058" t="s">
        <v>216</v>
      </c>
      <c r="BG1058">
        <v>6.7185744738061952E-4</v>
      </c>
      <c r="BH1058">
        <v>0.249915966386555</v>
      </c>
      <c r="BI1058">
        <v>0.68719562782433496</v>
      </c>
      <c r="BJ1058">
        <v>80</v>
      </c>
      <c r="BK1058">
        <v>3080.3457899849259</v>
      </c>
      <c r="BL1058">
        <v>1487.5712399249769</v>
      </c>
      <c r="BM1058">
        <v>9.3685902017287948</v>
      </c>
      <c r="BN1058">
        <v>1592.6603342938949</v>
      </c>
      <c r="BO1058">
        <v>1487.6854556910309</v>
      </c>
    </row>
    <row r="1059" spans="1:67" x14ac:dyDescent="0.25">
      <c r="A1059" s="1">
        <v>1057</v>
      </c>
      <c r="B1059" t="s">
        <v>78</v>
      </c>
      <c r="C1059" t="s">
        <v>87</v>
      </c>
      <c r="D1059">
        <v>1</v>
      </c>
      <c r="E1059">
        <v>4</v>
      </c>
      <c r="F1059">
        <v>1</v>
      </c>
      <c r="G1059">
        <v>32.041060000000002</v>
      </c>
      <c r="H1059">
        <v>6</v>
      </c>
      <c r="I1059" t="s">
        <v>89</v>
      </c>
      <c r="J1059">
        <v>2.5</v>
      </c>
      <c r="K1059">
        <v>200</v>
      </c>
      <c r="L1059">
        <v>50</v>
      </c>
      <c r="N1059" t="s">
        <v>90</v>
      </c>
      <c r="O1059">
        <v>50</v>
      </c>
      <c r="P1059">
        <v>0.3125</v>
      </c>
      <c r="Q1059">
        <v>3.2500000000000001E-2</v>
      </c>
      <c r="R1059">
        <v>77.5</v>
      </c>
      <c r="S1059">
        <v>170</v>
      </c>
      <c r="T1059">
        <v>50</v>
      </c>
      <c r="U1059">
        <v>1812.1301775147931</v>
      </c>
      <c r="V1059">
        <v>20</v>
      </c>
      <c r="W1059">
        <v>0.95</v>
      </c>
      <c r="X1059">
        <v>1</v>
      </c>
      <c r="Y1059">
        <v>329326.92028691323</v>
      </c>
      <c r="Z1059">
        <v>658653840.57382643</v>
      </c>
      <c r="AA1059">
        <v>1646634601.434566</v>
      </c>
      <c r="AB1059">
        <v>1646634.6014345661</v>
      </c>
      <c r="AC1059">
        <v>0</v>
      </c>
      <c r="AD1059">
        <v>6826.4659588880013</v>
      </c>
      <c r="AE1059">
        <v>4095879.5753327999</v>
      </c>
      <c r="AF1059">
        <v>2047939.7876664</v>
      </c>
      <c r="AG1059">
        <v>65.618161613006393</v>
      </c>
      <c r="AH1059">
        <v>675.97372541398715</v>
      </c>
      <c r="AI1059">
        <v>337.98686270699358</v>
      </c>
      <c r="AJ1059">
        <v>53515.624546623403</v>
      </c>
      <c r="AK1059">
        <v>1835.336538461539</v>
      </c>
      <c r="AL1059" t="s">
        <v>94</v>
      </c>
      <c r="AM1059">
        <v>52387.963719583997</v>
      </c>
      <c r="AN1059">
        <v>3675.2152834830699</v>
      </c>
      <c r="AO1059">
        <v>57457.766660188907</v>
      </c>
      <c r="AP1059">
        <v>111414.14008815199</v>
      </c>
      <c r="AQ1059">
        <v>53956.373427963088</v>
      </c>
      <c r="AR1059">
        <v>2.6131444327083329E-2</v>
      </c>
      <c r="AS1059">
        <v>815.56116829728273</v>
      </c>
      <c r="AT1059">
        <v>798.37597445278038</v>
      </c>
      <c r="AU1059">
        <v>56.009116883801767</v>
      </c>
      <c r="AV1059">
        <v>875.63816552885589</v>
      </c>
      <c r="AW1059">
        <v>1697.9162071810961</v>
      </c>
      <c r="AX1059">
        <v>822.27804165223995</v>
      </c>
      <c r="AY1059">
        <v>5.1508127384050342</v>
      </c>
      <c r="AZ1059" t="s">
        <v>126</v>
      </c>
      <c r="BA1059" t="str">
        <f>VLOOKUP($AZ1059,Sheet1!$A$2:$B$58,2)</f>
        <v>Farnesene</v>
      </c>
      <c r="BB1059" t="s">
        <v>176</v>
      </c>
      <c r="BC1059">
        <v>204.34866</v>
      </c>
      <c r="BD1059">
        <v>5.6</v>
      </c>
      <c r="BE1059" t="s">
        <v>198</v>
      </c>
      <c r="BF1059" t="s">
        <v>216</v>
      </c>
      <c r="BG1059">
        <v>0.3746851088345754</v>
      </c>
      <c r="BH1059">
        <v>5.9738048461034698E-2</v>
      </c>
      <c r="BI1059">
        <v>0.38099208184833799</v>
      </c>
      <c r="BJ1059">
        <v>80</v>
      </c>
      <c r="BK1059">
        <v>5570.7070044075981</v>
      </c>
      <c r="BL1059">
        <v>2697.818671398154</v>
      </c>
      <c r="BM1059">
        <v>16.524658026515102</v>
      </c>
      <c r="BN1059">
        <v>2809.191864507568</v>
      </c>
      <c r="BO1059">
        <v>2761.515139900031</v>
      </c>
    </row>
    <row r="1060" spans="1:67" x14ac:dyDescent="0.25">
      <c r="A1060" s="1">
        <v>1058</v>
      </c>
      <c r="B1060" t="s">
        <v>78</v>
      </c>
      <c r="C1060" t="s">
        <v>87</v>
      </c>
      <c r="D1060">
        <v>1</v>
      </c>
      <c r="E1060">
        <v>4</v>
      </c>
      <c r="F1060">
        <v>1</v>
      </c>
      <c r="G1060">
        <v>32.041060000000002</v>
      </c>
      <c r="H1060">
        <v>6</v>
      </c>
      <c r="I1060" t="s">
        <v>89</v>
      </c>
      <c r="J1060">
        <v>2.5</v>
      </c>
      <c r="K1060">
        <v>200</v>
      </c>
      <c r="L1060">
        <v>50</v>
      </c>
      <c r="N1060" t="s">
        <v>90</v>
      </c>
      <c r="O1060">
        <v>50</v>
      </c>
      <c r="P1060">
        <v>0.3125</v>
      </c>
      <c r="Q1060">
        <v>3.2500000000000001E-2</v>
      </c>
      <c r="R1060">
        <v>77.5</v>
      </c>
      <c r="S1060">
        <v>170</v>
      </c>
      <c r="T1060">
        <v>50</v>
      </c>
      <c r="U1060">
        <v>1812.1301775147931</v>
      </c>
      <c r="V1060">
        <v>20</v>
      </c>
      <c r="W1060">
        <v>0.95</v>
      </c>
      <c r="X1060">
        <v>1</v>
      </c>
      <c r="Y1060">
        <v>189206.07522422739</v>
      </c>
      <c r="Z1060">
        <v>378412150.44845492</v>
      </c>
      <c r="AA1060">
        <v>946030376.12113726</v>
      </c>
      <c r="AB1060">
        <v>946030.37612113729</v>
      </c>
      <c r="AC1060">
        <v>0</v>
      </c>
      <c r="AD1060">
        <v>3921.9655368827039</v>
      </c>
      <c r="AE1060">
        <v>2353179.322129623</v>
      </c>
      <c r="AF1060">
        <v>1176589.6610648111</v>
      </c>
      <c r="AG1060">
        <v>37.699179925557289</v>
      </c>
      <c r="AH1060">
        <v>388.36283237596763</v>
      </c>
      <c r="AI1060">
        <v>194.18141618798381</v>
      </c>
      <c r="AJ1060">
        <v>30745.987223936962</v>
      </c>
      <c r="AK1060">
        <v>1835.336538461539</v>
      </c>
      <c r="AL1060" t="s">
        <v>94</v>
      </c>
      <c r="AM1060">
        <v>30098.11950913749</v>
      </c>
      <c r="AN1060">
        <v>2111.4977748740112</v>
      </c>
      <c r="AO1060">
        <v>33010.840751957243</v>
      </c>
      <c r="AP1060">
        <v>64790.94104641</v>
      </c>
      <c r="AQ1060">
        <v>31780.100294452761</v>
      </c>
      <c r="AR1060">
        <v>2.6131444327083329E-2</v>
      </c>
      <c r="AS1060">
        <v>815.56116829728262</v>
      </c>
      <c r="AT1060">
        <v>798.37597445278016</v>
      </c>
      <c r="AU1060">
        <v>56.009116883801767</v>
      </c>
      <c r="AV1060">
        <v>875.63816552885567</v>
      </c>
      <c r="AW1060">
        <v>1718.6299854360091</v>
      </c>
      <c r="AX1060">
        <v>842.9918199071534</v>
      </c>
      <c r="AY1060">
        <v>5.1508127384050333</v>
      </c>
      <c r="AZ1060" t="s">
        <v>127</v>
      </c>
      <c r="BA1060" t="str">
        <f>VLOOKUP($AZ1060,Sheet1!$A$2:$B$58,2)</f>
        <v>Gamma Butyrolactone</v>
      </c>
      <c r="BB1060" t="s">
        <v>177</v>
      </c>
      <c r="BC1060">
        <v>86.08784</v>
      </c>
      <c r="BD1060">
        <v>4.5</v>
      </c>
      <c r="BE1060">
        <v>204</v>
      </c>
      <c r="BF1060" t="s">
        <v>216</v>
      </c>
      <c r="BG1060">
        <v>2.638033435177365E-2</v>
      </c>
      <c r="BH1060">
        <v>0.24681592039801001</v>
      </c>
      <c r="BI1060">
        <v>0.663144398614672</v>
      </c>
      <c r="BJ1060">
        <v>80</v>
      </c>
      <c r="BK1060">
        <v>3239.5470523204999</v>
      </c>
      <c r="BL1060">
        <v>1589.005014722638</v>
      </c>
      <c r="BM1060">
        <v>9.6826904750474156</v>
      </c>
      <c r="BN1060">
        <v>1646.0573807580611</v>
      </c>
      <c r="BO1060">
        <v>1593.4896715624391</v>
      </c>
    </row>
    <row r="1061" spans="1:67" x14ac:dyDescent="0.25">
      <c r="A1061" s="1">
        <v>1059</v>
      </c>
      <c r="B1061" t="s">
        <v>78</v>
      </c>
      <c r="C1061" t="s">
        <v>87</v>
      </c>
      <c r="D1061">
        <v>1</v>
      </c>
      <c r="E1061">
        <v>4</v>
      </c>
      <c r="F1061">
        <v>1</v>
      </c>
      <c r="G1061">
        <v>32.041060000000002</v>
      </c>
      <c r="H1061">
        <v>6</v>
      </c>
      <c r="I1061" t="s">
        <v>89</v>
      </c>
      <c r="J1061">
        <v>2.5</v>
      </c>
      <c r="K1061">
        <v>200</v>
      </c>
      <c r="L1061">
        <v>50</v>
      </c>
      <c r="N1061" t="s">
        <v>90</v>
      </c>
      <c r="O1061">
        <v>50</v>
      </c>
      <c r="P1061">
        <v>0.3125</v>
      </c>
      <c r="Q1061">
        <v>3.2500000000000001E-2</v>
      </c>
      <c r="R1061">
        <v>77.5</v>
      </c>
      <c r="S1061">
        <v>170</v>
      </c>
      <c r="T1061">
        <v>50</v>
      </c>
      <c r="U1061">
        <v>1812.1301775147931</v>
      </c>
      <c r="V1061">
        <v>20</v>
      </c>
      <c r="W1061">
        <v>0.95</v>
      </c>
      <c r="X1061">
        <v>1</v>
      </c>
      <c r="Y1061">
        <v>111473.19136311259</v>
      </c>
      <c r="Z1061">
        <v>222946382.72622529</v>
      </c>
      <c r="AA1061">
        <v>557365956.8155632</v>
      </c>
      <c r="AB1061">
        <v>557365.95681556326</v>
      </c>
      <c r="AC1061">
        <v>0</v>
      </c>
      <c r="AD1061">
        <v>2310.676410862291</v>
      </c>
      <c r="AE1061">
        <v>1386405.846517374</v>
      </c>
      <c r="AF1061">
        <v>693202.92325868714</v>
      </c>
      <c r="AG1061">
        <v>22.210956456306992</v>
      </c>
      <c r="AH1061">
        <v>228.80895489461119</v>
      </c>
      <c r="AI1061">
        <v>114.4044774473056</v>
      </c>
      <c r="AJ1061">
        <v>18114.393596505812</v>
      </c>
      <c r="AK1061">
        <v>854.70085470085473</v>
      </c>
      <c r="AL1061" t="s">
        <v>93</v>
      </c>
      <c r="AM1061">
        <v>17732.69400433237</v>
      </c>
      <c r="AN1061">
        <v>1244.01605626233</v>
      </c>
      <c r="AO1061">
        <v>19448.76116604195</v>
      </c>
      <c r="AP1061">
        <v>37945.804511801347</v>
      </c>
      <c r="AQ1061">
        <v>18497.043345759401</v>
      </c>
      <c r="AR1061">
        <v>2.613144432708334E-2</v>
      </c>
      <c r="AS1061">
        <v>815.56116829728296</v>
      </c>
      <c r="AT1061">
        <v>798.37597445278027</v>
      </c>
      <c r="AU1061">
        <v>56.009116883801767</v>
      </c>
      <c r="AV1061">
        <v>875.63816552885578</v>
      </c>
      <c r="AW1061">
        <v>1708.427306426343</v>
      </c>
      <c r="AX1061">
        <v>832.78914089748764</v>
      </c>
      <c r="AY1061">
        <v>5.1508127384050342</v>
      </c>
      <c r="AZ1061" t="s">
        <v>128</v>
      </c>
      <c r="BA1061" t="str">
        <f>VLOOKUP($AZ1061,Sheet1!$A$2:$B$58,2)</f>
        <v>L-Glutamate</v>
      </c>
      <c r="BB1061" t="s">
        <v>178</v>
      </c>
      <c r="BC1061">
        <v>146.11892</v>
      </c>
      <c r="BD1061">
        <v>3.4</v>
      </c>
      <c r="BE1061">
        <v>333.8</v>
      </c>
      <c r="BF1061" t="s">
        <v>216</v>
      </c>
      <c r="BG1061">
        <v>-0.2856507151652779</v>
      </c>
      <c r="BH1061">
        <v>0.24681592039801001</v>
      </c>
      <c r="BI1061">
        <v>1.1255706186800001</v>
      </c>
      <c r="BJ1061">
        <v>80</v>
      </c>
      <c r="BK1061">
        <v>1897.2902255900669</v>
      </c>
      <c r="BL1061">
        <v>924.85216728797013</v>
      </c>
      <c r="BM1061">
        <v>6.0058745875305561</v>
      </c>
      <c r="BN1061">
        <v>1020.998679880195</v>
      </c>
      <c r="BO1061">
        <v>876.29154570987282</v>
      </c>
    </row>
    <row r="1062" spans="1:67" x14ac:dyDescent="0.25">
      <c r="A1062" s="1">
        <v>1060</v>
      </c>
      <c r="B1062" t="s">
        <v>78</v>
      </c>
      <c r="C1062" t="s">
        <v>87</v>
      </c>
      <c r="D1062">
        <v>1</v>
      </c>
      <c r="E1062">
        <v>4</v>
      </c>
      <c r="F1062">
        <v>1</v>
      </c>
      <c r="G1062">
        <v>32.041060000000002</v>
      </c>
      <c r="H1062">
        <v>6</v>
      </c>
      <c r="I1062" t="s">
        <v>89</v>
      </c>
      <c r="J1062">
        <v>2.5</v>
      </c>
      <c r="K1062">
        <v>200</v>
      </c>
      <c r="L1062">
        <v>50</v>
      </c>
      <c r="N1062" t="s">
        <v>90</v>
      </c>
      <c r="O1062">
        <v>50</v>
      </c>
      <c r="P1062">
        <v>0.3125</v>
      </c>
      <c r="Q1062">
        <v>3.2500000000000001E-2</v>
      </c>
      <c r="R1062">
        <v>77.5</v>
      </c>
      <c r="S1062">
        <v>170</v>
      </c>
      <c r="T1062">
        <v>50</v>
      </c>
      <c r="U1062">
        <v>1812.1301775147931</v>
      </c>
      <c r="V1062">
        <v>20</v>
      </c>
      <c r="W1062">
        <v>0.95</v>
      </c>
      <c r="X1062">
        <v>1</v>
      </c>
      <c r="Y1062">
        <v>162605.59353956571</v>
      </c>
      <c r="Z1062">
        <v>325211187.07913142</v>
      </c>
      <c r="AA1062">
        <v>813027967.69782853</v>
      </c>
      <c r="AB1062">
        <v>813027.96769782854</v>
      </c>
      <c r="AC1062">
        <v>0</v>
      </c>
      <c r="AD1062">
        <v>3370.576410988695</v>
      </c>
      <c r="AE1062">
        <v>2022345.846593217</v>
      </c>
      <c r="AF1062">
        <v>1011172.923296608</v>
      </c>
      <c r="AG1062">
        <v>32.39905230572203</v>
      </c>
      <c r="AH1062">
        <v>333.762902657128</v>
      </c>
      <c r="AI1062">
        <v>166.881451328564</v>
      </c>
      <c r="AJ1062">
        <v>26423.40895017943</v>
      </c>
      <c r="AK1062">
        <v>854.70085470085473</v>
      </c>
      <c r="AL1062" t="s">
        <v>93</v>
      </c>
      <c r="AM1062">
        <v>25866.624955927418</v>
      </c>
      <c r="AN1062">
        <v>1814.6423075155919</v>
      </c>
      <c r="AO1062">
        <v>28369.846725855881</v>
      </c>
      <c r="AP1062">
        <v>54959.377068323287</v>
      </c>
      <c r="AQ1062">
        <v>26589.530342467409</v>
      </c>
      <c r="AR1062">
        <v>2.6131444327083329E-2</v>
      </c>
      <c r="AS1062">
        <v>815.56116829728273</v>
      </c>
      <c r="AT1062">
        <v>798.37597445278004</v>
      </c>
      <c r="AU1062">
        <v>56.009116883801752</v>
      </c>
      <c r="AV1062">
        <v>875.63816552885567</v>
      </c>
      <c r="AW1062">
        <v>1696.326687265999</v>
      </c>
      <c r="AX1062">
        <v>820.68852173714356</v>
      </c>
      <c r="AY1062">
        <v>5.1508127384050333</v>
      </c>
      <c r="AZ1062" t="s">
        <v>129</v>
      </c>
      <c r="BA1062" t="str">
        <f>VLOOKUP($AZ1062,Sheet1!$A$2:$B$58,2)</f>
        <v>Glutarate</v>
      </c>
      <c r="BB1062" t="s">
        <v>179</v>
      </c>
      <c r="BC1062">
        <v>130.09654</v>
      </c>
      <c r="BD1062">
        <v>3.6</v>
      </c>
      <c r="BE1062">
        <v>200</v>
      </c>
      <c r="BF1062" t="s">
        <v>216</v>
      </c>
      <c r="BG1062">
        <v>8.8632593038947535E-2</v>
      </c>
      <c r="BH1062">
        <v>0.190041666666667</v>
      </c>
      <c r="BI1062">
        <v>0.77162750823994697</v>
      </c>
      <c r="BJ1062">
        <v>80</v>
      </c>
      <c r="BK1062">
        <v>2747.9688534161642</v>
      </c>
      <c r="BL1062">
        <v>1329.4765171233701</v>
      </c>
      <c r="BM1062">
        <v>8.2554399733892527</v>
      </c>
      <c r="BN1062">
        <v>1403.4247954761729</v>
      </c>
      <c r="BO1062">
        <v>1344.544057939991</v>
      </c>
    </row>
    <row r="1063" spans="1:67" x14ac:dyDescent="0.25">
      <c r="A1063" s="1">
        <v>1061</v>
      </c>
      <c r="B1063" t="s">
        <v>78</v>
      </c>
      <c r="C1063" t="s">
        <v>87</v>
      </c>
      <c r="D1063">
        <v>1</v>
      </c>
      <c r="E1063">
        <v>4</v>
      </c>
      <c r="F1063">
        <v>1</v>
      </c>
      <c r="G1063">
        <v>32.041060000000002</v>
      </c>
      <c r="H1063">
        <v>6</v>
      </c>
      <c r="I1063" t="s">
        <v>89</v>
      </c>
      <c r="J1063">
        <v>2.5</v>
      </c>
      <c r="K1063">
        <v>200</v>
      </c>
      <c r="L1063">
        <v>50</v>
      </c>
      <c r="N1063" t="s">
        <v>90</v>
      </c>
      <c r="O1063">
        <v>50</v>
      </c>
      <c r="P1063">
        <v>0.3125</v>
      </c>
      <c r="Q1063">
        <v>3.2500000000000001E-2</v>
      </c>
      <c r="R1063">
        <v>77.5</v>
      </c>
      <c r="S1063">
        <v>170</v>
      </c>
      <c r="T1063">
        <v>50</v>
      </c>
      <c r="U1063">
        <v>1812.1301775147931</v>
      </c>
      <c r="V1063">
        <v>20</v>
      </c>
      <c r="W1063">
        <v>0.95</v>
      </c>
      <c r="X1063">
        <v>1</v>
      </c>
      <c r="Y1063">
        <v>88267.583383702033</v>
      </c>
      <c r="Z1063">
        <v>176535166.76740411</v>
      </c>
      <c r="AA1063">
        <v>441337916.9185102</v>
      </c>
      <c r="AB1063">
        <v>441337.91691851022</v>
      </c>
      <c r="AC1063">
        <v>0</v>
      </c>
      <c r="AD1063">
        <v>1829.658057462163</v>
      </c>
      <c r="AE1063">
        <v>1097794.834477297</v>
      </c>
      <c r="AF1063">
        <v>548897.41723864875</v>
      </c>
      <c r="AG1063">
        <v>17.58725507958858</v>
      </c>
      <c r="AH1063">
        <v>181.177314995047</v>
      </c>
      <c r="AI1063">
        <v>90.588657497523485</v>
      </c>
      <c r="AJ1063">
        <v>14343.482299851579</v>
      </c>
      <c r="AK1063">
        <v>854.70085470085473</v>
      </c>
      <c r="AL1063" t="s">
        <v>93</v>
      </c>
      <c r="AM1063">
        <v>14041.24191211614</v>
      </c>
      <c r="AN1063">
        <v>985.04662541791322</v>
      </c>
      <c r="AO1063">
        <v>15400.07177457899</v>
      </c>
      <c r="AP1063">
        <v>30224.471692086488</v>
      </c>
      <c r="AQ1063">
        <v>14824.399917507501</v>
      </c>
      <c r="AR1063">
        <v>2.613144432708334E-2</v>
      </c>
      <c r="AS1063">
        <v>815.56116829728285</v>
      </c>
      <c r="AT1063">
        <v>798.37597445278016</v>
      </c>
      <c r="AU1063">
        <v>56.009116883801767</v>
      </c>
      <c r="AV1063">
        <v>875.63816552885555</v>
      </c>
      <c r="AW1063">
        <v>1718.543999919829</v>
      </c>
      <c r="AX1063">
        <v>842.9058343909735</v>
      </c>
      <c r="AY1063">
        <v>5.1508127384050333</v>
      </c>
      <c r="AZ1063" t="s">
        <v>130</v>
      </c>
      <c r="BA1063" t="str">
        <f>VLOOKUP($AZ1063,Sheet1!$A$2:$B$58,2)</f>
        <v>Glycolate</v>
      </c>
      <c r="BB1063" t="s">
        <v>180</v>
      </c>
      <c r="BC1063">
        <v>75.041920000000005</v>
      </c>
      <c r="BD1063">
        <v>2.5</v>
      </c>
      <c r="BE1063">
        <v>112</v>
      </c>
      <c r="BF1063" t="s">
        <v>216</v>
      </c>
      <c r="BG1063">
        <v>-0.20666538896850009</v>
      </c>
      <c r="BH1063">
        <v>0.60693877551020503</v>
      </c>
      <c r="BI1063">
        <v>1.42148390336446</v>
      </c>
      <c r="BJ1063">
        <v>80</v>
      </c>
      <c r="BK1063">
        <v>1511.223584604325</v>
      </c>
      <c r="BL1063">
        <v>741.21999587537482</v>
      </c>
      <c r="BM1063">
        <v>4.7360982638446742</v>
      </c>
      <c r="BN1063">
        <v>805.13670485359467</v>
      </c>
      <c r="BO1063">
        <v>706.08687975072985</v>
      </c>
    </row>
    <row r="1064" spans="1:67" x14ac:dyDescent="0.25">
      <c r="A1064" s="1">
        <v>1062</v>
      </c>
      <c r="B1064" t="s">
        <v>78</v>
      </c>
      <c r="C1064" t="s">
        <v>87</v>
      </c>
      <c r="D1064">
        <v>1</v>
      </c>
      <c r="E1064">
        <v>4</v>
      </c>
      <c r="F1064">
        <v>1</v>
      </c>
      <c r="G1064">
        <v>32.041060000000002</v>
      </c>
      <c r="H1064">
        <v>6</v>
      </c>
      <c r="I1064" t="s">
        <v>89</v>
      </c>
      <c r="J1064">
        <v>2.5</v>
      </c>
      <c r="K1064">
        <v>200</v>
      </c>
      <c r="L1064">
        <v>50</v>
      </c>
      <c r="N1064" t="s">
        <v>90</v>
      </c>
      <c r="O1064">
        <v>50</v>
      </c>
      <c r="P1064">
        <v>0.3125</v>
      </c>
      <c r="Q1064">
        <v>3.2500000000000001E-2</v>
      </c>
      <c r="R1064">
        <v>77.5</v>
      </c>
      <c r="S1064">
        <v>170</v>
      </c>
      <c r="T1064">
        <v>50</v>
      </c>
      <c r="U1064">
        <v>1812.1301775147931</v>
      </c>
      <c r="V1064">
        <v>20</v>
      </c>
      <c r="W1064">
        <v>0.95</v>
      </c>
      <c r="X1064">
        <v>1</v>
      </c>
      <c r="Y1064">
        <v>341612.0389724822</v>
      </c>
      <c r="Z1064">
        <v>683224077.94496441</v>
      </c>
      <c r="AA1064">
        <v>1708060194.862411</v>
      </c>
      <c r="AB1064">
        <v>1708060.1948624109</v>
      </c>
      <c r="AC1064">
        <v>0</v>
      </c>
      <c r="AD1064">
        <v>7081.118522470937</v>
      </c>
      <c r="AE1064">
        <v>4248671.1134825619</v>
      </c>
      <c r="AF1064">
        <v>2124335.5567412809</v>
      </c>
      <c r="AG1064">
        <v>68.065963033680802</v>
      </c>
      <c r="AH1064">
        <v>701.19005889137827</v>
      </c>
      <c r="AI1064">
        <v>350.59502944568908</v>
      </c>
      <c r="AJ1064">
        <v>55511.956333028364</v>
      </c>
      <c r="AK1064">
        <v>854.70085470085473</v>
      </c>
      <c r="AL1064" t="s">
        <v>93</v>
      </c>
      <c r="AM1064">
        <v>54342.229564081819</v>
      </c>
      <c r="AN1064">
        <v>3812.3144793619581</v>
      </c>
      <c r="AO1064">
        <v>59601.155005767163</v>
      </c>
      <c r="AP1064">
        <v>114521.20123117301</v>
      </c>
      <c r="AQ1064">
        <v>54920.046225405837</v>
      </c>
      <c r="AR1064">
        <v>2.613144432708334E-2</v>
      </c>
      <c r="AS1064">
        <v>815.56116829728285</v>
      </c>
      <c r="AT1064">
        <v>798.37597445278027</v>
      </c>
      <c r="AU1064">
        <v>56.009116883801759</v>
      </c>
      <c r="AV1064">
        <v>875.63816552885578</v>
      </c>
      <c r="AW1064">
        <v>1682.503209048919</v>
      </c>
      <c r="AX1064">
        <v>806.86504352006273</v>
      </c>
      <c r="AY1064">
        <v>5.1508127384050324</v>
      </c>
      <c r="AZ1064" t="s">
        <v>131</v>
      </c>
      <c r="BA1064" t="str">
        <f>VLOOKUP($AZ1064,Sheet1!$A$2:$B$58,2)</f>
        <v>Heptane</v>
      </c>
      <c r="BB1064" t="s">
        <v>181</v>
      </c>
      <c r="BC1064">
        <v>100.20034</v>
      </c>
      <c r="BD1064">
        <v>6.2857142857142856</v>
      </c>
      <c r="BE1064">
        <v>98</v>
      </c>
      <c r="BF1064" t="s">
        <v>216</v>
      </c>
      <c r="BG1064">
        <v>0.66513984845619456</v>
      </c>
      <c r="BH1064">
        <v>0.11744855967078199</v>
      </c>
      <c r="BI1064">
        <v>0.36729077039032498</v>
      </c>
      <c r="BJ1064">
        <v>80</v>
      </c>
      <c r="BK1064">
        <v>5726.0600615586491</v>
      </c>
      <c r="BL1064">
        <v>2746.002311270292</v>
      </c>
      <c r="BM1064">
        <v>16.86461162382826</v>
      </c>
      <c r="BN1064">
        <v>2866.983976050803</v>
      </c>
      <c r="BO1064">
        <v>2859.0760855078461</v>
      </c>
    </row>
    <row r="1065" spans="1:67" x14ac:dyDescent="0.25">
      <c r="A1065" s="1">
        <v>1063</v>
      </c>
      <c r="B1065" t="s">
        <v>78</v>
      </c>
      <c r="C1065" t="s">
        <v>87</v>
      </c>
      <c r="D1065">
        <v>1</v>
      </c>
      <c r="E1065">
        <v>4</v>
      </c>
      <c r="F1065">
        <v>1</v>
      </c>
      <c r="G1065">
        <v>32.041060000000002</v>
      </c>
      <c r="H1065">
        <v>6</v>
      </c>
      <c r="I1065" t="s">
        <v>89</v>
      </c>
      <c r="J1065">
        <v>2.5</v>
      </c>
      <c r="K1065">
        <v>200</v>
      </c>
      <c r="L1065">
        <v>50</v>
      </c>
      <c r="N1065" t="s">
        <v>90</v>
      </c>
      <c r="O1065">
        <v>50</v>
      </c>
      <c r="P1065">
        <v>0.3125</v>
      </c>
      <c r="Q1065">
        <v>3.2500000000000001E-2</v>
      </c>
      <c r="R1065">
        <v>77.5</v>
      </c>
      <c r="S1065">
        <v>170</v>
      </c>
      <c r="T1065">
        <v>50</v>
      </c>
      <c r="U1065">
        <v>1812.1301775147931</v>
      </c>
      <c r="V1065">
        <v>20</v>
      </c>
      <c r="W1065">
        <v>0.95</v>
      </c>
      <c r="X1065">
        <v>1</v>
      </c>
      <c r="Y1065">
        <v>335753.4451254115</v>
      </c>
      <c r="Z1065">
        <v>671506890.25082302</v>
      </c>
      <c r="AA1065">
        <v>1678767225.627058</v>
      </c>
      <c r="AB1065">
        <v>1678767.225627057</v>
      </c>
      <c r="AC1065">
        <v>0</v>
      </c>
      <c r="AD1065">
        <v>6959.67843057339</v>
      </c>
      <c r="AE1065">
        <v>4175807.058344034</v>
      </c>
      <c r="AF1065">
        <v>2087903.529172017</v>
      </c>
      <c r="AG1065">
        <v>66.898642252412344</v>
      </c>
      <c r="AH1065">
        <v>689.16475739145346</v>
      </c>
      <c r="AI1065">
        <v>344.58237869572667</v>
      </c>
      <c r="AJ1065">
        <v>54559.934832879371</v>
      </c>
      <c r="AK1065">
        <v>854.70085470085473</v>
      </c>
      <c r="AL1065" t="s">
        <v>93</v>
      </c>
      <c r="AM1065">
        <v>53410.268697837637</v>
      </c>
      <c r="AN1065">
        <v>3746.933873283002</v>
      </c>
      <c r="AO1065">
        <v>58579.004378273537</v>
      </c>
      <c r="AP1065">
        <v>112571.8382587009</v>
      </c>
      <c r="AQ1065">
        <v>53992.833880427337</v>
      </c>
      <c r="AR1065">
        <v>2.6131444327083329E-2</v>
      </c>
      <c r="AS1065">
        <v>815.56116829728273</v>
      </c>
      <c r="AT1065">
        <v>798.37597445278016</v>
      </c>
      <c r="AU1065">
        <v>56.009116883801759</v>
      </c>
      <c r="AV1065">
        <v>875.63816552885567</v>
      </c>
      <c r="AW1065">
        <v>1682.7223164554071</v>
      </c>
      <c r="AX1065">
        <v>807.08415092655139</v>
      </c>
      <c r="AY1065">
        <v>5.1508127384050342</v>
      </c>
      <c r="AZ1065" t="s">
        <v>132</v>
      </c>
      <c r="BA1065" t="str">
        <f>VLOOKUP($AZ1065,Sheet1!$A$2:$B$58,2)</f>
        <v>Hexane</v>
      </c>
      <c r="BB1065" t="s">
        <v>182</v>
      </c>
      <c r="BC1065">
        <v>86.173959999999994</v>
      </c>
      <c r="BD1065">
        <v>6.333333333333333</v>
      </c>
      <c r="BE1065">
        <v>69</v>
      </c>
      <c r="BF1065" t="s">
        <v>216</v>
      </c>
      <c r="BG1065">
        <v>0.61127862674435385</v>
      </c>
      <c r="BH1065">
        <v>0.13894839337877299</v>
      </c>
      <c r="BI1065">
        <v>0.37369966203011401</v>
      </c>
      <c r="BJ1065">
        <v>80</v>
      </c>
      <c r="BK1065">
        <v>5628.5919129350441</v>
      </c>
      <c r="BL1065">
        <v>2699.6416940213671</v>
      </c>
      <c r="BM1065">
        <v>16.617840308041981</v>
      </c>
      <c r="BN1065">
        <v>2825.0328523671369</v>
      </c>
      <c r="BO1065">
        <v>2803.5590605679072</v>
      </c>
    </row>
    <row r="1066" spans="1:67" x14ac:dyDescent="0.25">
      <c r="A1066" s="1">
        <v>1064</v>
      </c>
      <c r="B1066" t="s">
        <v>78</v>
      </c>
      <c r="C1066" t="s">
        <v>87</v>
      </c>
      <c r="D1066">
        <v>1</v>
      </c>
      <c r="E1066">
        <v>4</v>
      </c>
      <c r="F1066">
        <v>1</v>
      </c>
      <c r="G1066">
        <v>32.041060000000002</v>
      </c>
      <c r="H1066">
        <v>6</v>
      </c>
      <c r="I1066" t="s">
        <v>89</v>
      </c>
      <c r="J1066">
        <v>2.5</v>
      </c>
      <c r="K1066">
        <v>200</v>
      </c>
      <c r="L1066">
        <v>50</v>
      </c>
      <c r="N1066" t="s">
        <v>90</v>
      </c>
      <c r="O1066">
        <v>50</v>
      </c>
      <c r="P1066">
        <v>0.3125</v>
      </c>
      <c r="Q1066">
        <v>3.2500000000000001E-2</v>
      </c>
      <c r="R1066">
        <v>77.5</v>
      </c>
      <c r="S1066">
        <v>170</v>
      </c>
      <c r="T1066">
        <v>50</v>
      </c>
      <c r="U1066">
        <v>1812.1301775147931</v>
      </c>
      <c r="V1066">
        <v>20</v>
      </c>
      <c r="W1066">
        <v>0.95</v>
      </c>
      <c r="X1066">
        <v>1</v>
      </c>
      <c r="Y1066">
        <v>216441.91716360551</v>
      </c>
      <c r="Z1066">
        <v>432883834.3272109</v>
      </c>
      <c r="AA1066">
        <v>1082209585.818027</v>
      </c>
      <c r="AB1066">
        <v>1082209.5858180269</v>
      </c>
      <c r="AC1066">
        <v>0</v>
      </c>
      <c r="AD1066">
        <v>4486.5247526881976</v>
      </c>
      <c r="AE1066">
        <v>2691914.851612919</v>
      </c>
      <c r="AF1066">
        <v>1345957.425806459</v>
      </c>
      <c r="AG1066">
        <v>43.125902637710311</v>
      </c>
      <c r="AH1066">
        <v>444.26689732306698</v>
      </c>
      <c r="AI1066">
        <v>222.13344866153349</v>
      </c>
      <c r="AJ1066">
        <v>35171.81153908588</v>
      </c>
      <c r="AK1066">
        <v>854.70085470085473</v>
      </c>
      <c r="AL1066" t="s">
        <v>93</v>
      </c>
      <c r="AM1066">
        <v>34430.684542537689</v>
      </c>
      <c r="AN1066">
        <v>2415.4437215549719</v>
      </c>
      <c r="AO1066">
        <v>37762.686272460691</v>
      </c>
      <c r="AP1066">
        <v>72872.640657879398</v>
      </c>
      <c r="AQ1066">
        <v>35109.954385418707</v>
      </c>
      <c r="AR1066">
        <v>2.6131444327083329E-2</v>
      </c>
      <c r="AS1066">
        <v>815.56116829728262</v>
      </c>
      <c r="AT1066">
        <v>798.37597445278004</v>
      </c>
      <c r="AU1066">
        <v>56.009116883801767</v>
      </c>
      <c r="AV1066">
        <v>875.63816552885555</v>
      </c>
      <c r="AW1066">
        <v>1689.7649950672071</v>
      </c>
      <c r="AX1066">
        <v>814.1268295383511</v>
      </c>
      <c r="AY1066">
        <v>5.1508127384050333</v>
      </c>
      <c r="AZ1066" t="s">
        <v>133</v>
      </c>
      <c r="BA1066" t="str">
        <f>VLOOKUP($AZ1066,Sheet1!$A$2:$B$58,2)</f>
        <v>Isobutanol</v>
      </c>
      <c r="BB1066" t="s">
        <v>183</v>
      </c>
      <c r="BC1066">
        <v>86.130899999999997</v>
      </c>
      <c r="BD1066">
        <v>5.6</v>
      </c>
      <c r="BE1066">
        <v>108</v>
      </c>
      <c r="BF1066" t="s">
        <v>216</v>
      </c>
      <c r="BG1066">
        <v>0.32555766206356451</v>
      </c>
      <c r="BH1066">
        <v>0.21565011820330901</v>
      </c>
      <c r="BI1066">
        <v>0.57969801142525901</v>
      </c>
      <c r="BJ1066">
        <v>80</v>
      </c>
      <c r="BK1066">
        <v>3643.6320328939701</v>
      </c>
      <c r="BL1066">
        <v>1755.497719270935</v>
      </c>
      <c r="BM1066">
        <v>10.78111477101311</v>
      </c>
      <c r="BN1066">
        <v>1832.7895110722291</v>
      </c>
      <c r="BO1066">
        <v>1810.842521821741</v>
      </c>
    </row>
    <row r="1067" spans="1:67" x14ac:dyDescent="0.25">
      <c r="A1067" s="1">
        <v>1065</v>
      </c>
      <c r="B1067" t="s">
        <v>78</v>
      </c>
      <c r="C1067" t="s">
        <v>87</v>
      </c>
      <c r="D1067">
        <v>1</v>
      </c>
      <c r="E1067">
        <v>4</v>
      </c>
      <c r="F1067">
        <v>1</v>
      </c>
      <c r="G1067">
        <v>32.041060000000002</v>
      </c>
      <c r="H1067">
        <v>6</v>
      </c>
      <c r="I1067" t="s">
        <v>89</v>
      </c>
      <c r="J1067">
        <v>2.5</v>
      </c>
      <c r="K1067">
        <v>200</v>
      </c>
      <c r="L1067">
        <v>50</v>
      </c>
      <c r="N1067" t="s">
        <v>90</v>
      </c>
      <c r="O1067">
        <v>50</v>
      </c>
      <c r="P1067">
        <v>0.3125</v>
      </c>
      <c r="Q1067">
        <v>3.2500000000000001E-2</v>
      </c>
      <c r="R1067">
        <v>77.5</v>
      </c>
      <c r="S1067">
        <v>170</v>
      </c>
      <c r="T1067">
        <v>50</v>
      </c>
      <c r="U1067">
        <v>1812.1301775147931</v>
      </c>
      <c r="V1067">
        <v>20</v>
      </c>
      <c r="W1067">
        <v>0.95</v>
      </c>
      <c r="X1067">
        <v>1</v>
      </c>
      <c r="Y1067">
        <v>191273.6632805811</v>
      </c>
      <c r="Z1067">
        <v>382547326.56116217</v>
      </c>
      <c r="AA1067">
        <v>956368316.40290558</v>
      </c>
      <c r="AB1067">
        <v>956368.31640290562</v>
      </c>
      <c r="AC1067">
        <v>0</v>
      </c>
      <c r="AD1067">
        <v>3964.8236168459371</v>
      </c>
      <c r="AE1067">
        <v>2378894.1701075621</v>
      </c>
      <c r="AF1067">
        <v>1189447.085053781</v>
      </c>
      <c r="AG1067">
        <v>38.111145419033313</v>
      </c>
      <c r="AH1067">
        <v>392.60674659912678</v>
      </c>
      <c r="AI1067">
        <v>196.30337329956339</v>
      </c>
      <c r="AJ1067">
        <v>31081.97028309443</v>
      </c>
      <c r="AK1067">
        <v>854.70085470085473</v>
      </c>
      <c r="AL1067" t="s">
        <v>93</v>
      </c>
      <c r="AM1067">
        <v>30427.022861432331</v>
      </c>
      <c r="AN1067">
        <v>2134.5715983502018</v>
      </c>
      <c r="AO1067">
        <v>33371.573460925778</v>
      </c>
      <c r="AP1067">
        <v>64498.265597577818</v>
      </c>
      <c r="AQ1067">
        <v>31126.69213665204</v>
      </c>
      <c r="AR1067">
        <v>2.6131444327083329E-2</v>
      </c>
      <c r="AS1067">
        <v>815.56116829728273</v>
      </c>
      <c r="AT1067">
        <v>798.37597445278038</v>
      </c>
      <c r="AU1067">
        <v>56.009116883801752</v>
      </c>
      <c r="AV1067">
        <v>875.63816552885578</v>
      </c>
      <c r="AW1067">
        <v>1692.372792484121</v>
      </c>
      <c r="AX1067">
        <v>816.73462695526541</v>
      </c>
      <c r="AY1067">
        <v>5.1508127384050342</v>
      </c>
      <c r="AZ1067" t="s">
        <v>134</v>
      </c>
      <c r="BA1067" t="str">
        <f>VLOOKUP($AZ1067,Sheet1!$A$2:$B$58,2)</f>
        <v>Isobutyrate</v>
      </c>
      <c r="BB1067" t="s">
        <v>170</v>
      </c>
      <c r="BC1067">
        <v>87.095680000000002</v>
      </c>
      <c r="BD1067">
        <v>4.75</v>
      </c>
      <c r="BE1067">
        <v>155</v>
      </c>
      <c r="BF1067" t="s">
        <v>216</v>
      </c>
      <c r="BG1067">
        <v>7.2677255948932831E-2</v>
      </c>
      <c r="BH1067">
        <v>0.24132275132275099</v>
      </c>
      <c r="BI1067">
        <v>0.655976085870004</v>
      </c>
      <c r="BJ1067">
        <v>80</v>
      </c>
      <c r="BK1067">
        <v>3224.913279878891</v>
      </c>
      <c r="BL1067">
        <v>1556.334606832602</v>
      </c>
      <c r="BM1067">
        <v>9.7424914090292365</v>
      </c>
      <c r="BN1067">
        <v>1656.2235395349701</v>
      </c>
      <c r="BO1067">
        <v>1568.68974034392</v>
      </c>
    </row>
    <row r="1068" spans="1:67" x14ac:dyDescent="0.25">
      <c r="A1068" s="1">
        <v>1066</v>
      </c>
      <c r="B1068" t="s">
        <v>78</v>
      </c>
      <c r="C1068" t="s">
        <v>87</v>
      </c>
      <c r="D1068">
        <v>1</v>
      </c>
      <c r="E1068">
        <v>4</v>
      </c>
      <c r="F1068">
        <v>1</v>
      </c>
      <c r="G1068">
        <v>32.041060000000002</v>
      </c>
      <c r="H1068">
        <v>6</v>
      </c>
      <c r="I1068" t="s">
        <v>89</v>
      </c>
      <c r="J1068">
        <v>2.5</v>
      </c>
      <c r="K1068">
        <v>200</v>
      </c>
      <c r="L1068">
        <v>50</v>
      </c>
      <c r="N1068" t="s">
        <v>90</v>
      </c>
      <c r="O1068">
        <v>50</v>
      </c>
      <c r="P1068">
        <v>0.3125</v>
      </c>
      <c r="Q1068">
        <v>3.2500000000000001E-2</v>
      </c>
      <c r="R1068">
        <v>77.5</v>
      </c>
      <c r="S1068">
        <v>170</v>
      </c>
      <c r="T1068">
        <v>50</v>
      </c>
      <c r="U1068">
        <v>1812.1301775147931</v>
      </c>
      <c r="V1068">
        <v>20</v>
      </c>
      <c r="W1068">
        <v>0.95</v>
      </c>
      <c r="X1068">
        <v>1</v>
      </c>
      <c r="Y1068">
        <v>329973.92798885232</v>
      </c>
      <c r="Z1068">
        <v>659947855.97770452</v>
      </c>
      <c r="AA1068">
        <v>1649869639.9442611</v>
      </c>
      <c r="AB1068">
        <v>1649869.6399442609</v>
      </c>
      <c r="AC1068">
        <v>66773.504273504266</v>
      </c>
      <c r="AD1068">
        <v>6839.8774833651914</v>
      </c>
      <c r="AE1068">
        <v>4103926.4900191142</v>
      </c>
      <c r="AF1068">
        <v>2051963.2450095571</v>
      </c>
      <c r="AG1068">
        <v>65.747077451145913</v>
      </c>
      <c r="AH1068">
        <v>677.30176809652949</v>
      </c>
      <c r="AI1068">
        <v>338.65088404826469</v>
      </c>
      <c r="AJ1068">
        <v>53620.763298188504</v>
      </c>
      <c r="AK1068">
        <v>2170.1388888888891</v>
      </c>
      <c r="AL1068" t="s">
        <v>95</v>
      </c>
      <c r="AM1068">
        <v>52490.887027481032</v>
      </c>
      <c r="AN1068">
        <v>3682.4357457295991</v>
      </c>
      <c r="AO1068">
        <v>57570.650288204997</v>
      </c>
      <c r="AP1068">
        <v>111964.224960288</v>
      </c>
      <c r="AQ1068">
        <v>54393.574672083007</v>
      </c>
      <c r="AR1068">
        <v>2.613144432708334E-2</v>
      </c>
      <c r="AS1068">
        <v>815.56116829728285</v>
      </c>
      <c r="AT1068">
        <v>798.37597445278016</v>
      </c>
      <c r="AU1068">
        <v>56.009116883801767</v>
      </c>
      <c r="AV1068">
        <v>875.63816552885567</v>
      </c>
      <c r="AW1068">
        <v>1702.953641452493</v>
      </c>
      <c r="AX1068">
        <v>827.31547592363711</v>
      </c>
      <c r="AY1068">
        <v>5.1508127384050342</v>
      </c>
      <c r="AZ1068" t="s">
        <v>135</v>
      </c>
      <c r="BA1068" t="str">
        <f>VLOOKUP($AZ1068,Sheet1!$A$2:$B$58,2)</f>
        <v>Isoprene</v>
      </c>
      <c r="BB1068" t="s">
        <v>184</v>
      </c>
      <c r="BC1068">
        <v>68.116219999999998</v>
      </c>
      <c r="BD1068">
        <v>5.6</v>
      </c>
      <c r="BE1068">
        <v>34.07</v>
      </c>
      <c r="BF1068" t="s">
        <v>216</v>
      </c>
      <c r="BG1068">
        <v>0.38176800314146569</v>
      </c>
      <c r="BH1068">
        <v>0.17886274509803901</v>
      </c>
      <c r="BI1068">
        <v>0.38024503855059599</v>
      </c>
      <c r="BJ1068">
        <v>80</v>
      </c>
      <c r="BK1068">
        <v>5598.2112480144006</v>
      </c>
      <c r="BL1068">
        <v>2719.6787336041511</v>
      </c>
      <c r="BM1068">
        <v>16.55077619927177</v>
      </c>
      <c r="BN1068">
        <v>2813.6319538762009</v>
      </c>
      <c r="BO1068">
        <v>2784.5792941381992</v>
      </c>
    </row>
    <row r="1069" spans="1:67" x14ac:dyDescent="0.25">
      <c r="A1069" s="1">
        <v>1067</v>
      </c>
      <c r="B1069" t="s">
        <v>78</v>
      </c>
      <c r="C1069" t="s">
        <v>87</v>
      </c>
      <c r="D1069">
        <v>1</v>
      </c>
      <c r="E1069">
        <v>4</v>
      </c>
      <c r="F1069">
        <v>1</v>
      </c>
      <c r="G1069">
        <v>32.041060000000002</v>
      </c>
      <c r="H1069">
        <v>6</v>
      </c>
      <c r="I1069" t="s">
        <v>89</v>
      </c>
      <c r="J1069">
        <v>2.5</v>
      </c>
      <c r="K1069">
        <v>200</v>
      </c>
      <c r="L1069">
        <v>50</v>
      </c>
      <c r="N1069" t="s">
        <v>90</v>
      </c>
      <c r="O1069">
        <v>50</v>
      </c>
      <c r="P1069">
        <v>0.3125</v>
      </c>
      <c r="Q1069">
        <v>3.2500000000000001E-2</v>
      </c>
      <c r="R1069">
        <v>77.5</v>
      </c>
      <c r="S1069">
        <v>170</v>
      </c>
      <c r="T1069">
        <v>50</v>
      </c>
      <c r="U1069">
        <v>1812.1301775147931</v>
      </c>
      <c r="V1069">
        <v>20</v>
      </c>
      <c r="W1069">
        <v>0.95</v>
      </c>
      <c r="X1069">
        <v>1</v>
      </c>
      <c r="Y1069">
        <v>247441.1737350242</v>
      </c>
      <c r="Z1069">
        <v>494882347.47004843</v>
      </c>
      <c r="AA1069">
        <v>1237205868.6751211</v>
      </c>
      <c r="AB1069">
        <v>1237205.8686751211</v>
      </c>
      <c r="AC1069">
        <v>0</v>
      </c>
      <c r="AD1069">
        <v>5129.0940560153103</v>
      </c>
      <c r="AE1069">
        <v>3077456.4336091871</v>
      </c>
      <c r="AF1069">
        <v>1538728.2168045931</v>
      </c>
      <c r="AG1069">
        <v>49.302483118328993</v>
      </c>
      <c r="AH1069">
        <v>507.89571616177608</v>
      </c>
      <c r="AI1069">
        <v>253.9478580808881</v>
      </c>
      <c r="AJ1069">
        <v>40209.190731941439</v>
      </c>
      <c r="AK1069">
        <v>854.70085470085473</v>
      </c>
      <c r="AL1069" t="s">
        <v>93</v>
      </c>
      <c r="AM1069">
        <v>39361.918002537648</v>
      </c>
      <c r="AN1069">
        <v>2761.3885396361511</v>
      </c>
      <c r="AO1069">
        <v>43171.135873750973</v>
      </c>
      <c r="AP1069">
        <v>83187.198128816104</v>
      </c>
      <c r="AQ1069">
        <v>40016.062255065131</v>
      </c>
      <c r="AR1069">
        <v>2.6131444327083329E-2</v>
      </c>
      <c r="AS1069">
        <v>815.56116829728262</v>
      </c>
      <c r="AT1069">
        <v>798.37597445278016</v>
      </c>
      <c r="AU1069">
        <v>56.009116883801752</v>
      </c>
      <c r="AV1069">
        <v>875.63816552885578</v>
      </c>
      <c r="AW1069">
        <v>1687.282117802499</v>
      </c>
      <c r="AX1069">
        <v>811.64395227364344</v>
      </c>
      <c r="AY1069">
        <v>5.1508127384050333</v>
      </c>
      <c r="AZ1069" t="s">
        <v>136</v>
      </c>
      <c r="BA1069" t="str">
        <f>VLOOKUP($AZ1069,Sheet1!$A$2:$B$58,2)</f>
        <v>Isopropanol</v>
      </c>
      <c r="BB1069" t="s">
        <v>156</v>
      </c>
      <c r="BC1069">
        <v>60.093820000000001</v>
      </c>
      <c r="BD1069">
        <v>6</v>
      </c>
      <c r="BE1069">
        <v>82.5</v>
      </c>
      <c r="BF1069" t="s">
        <v>216</v>
      </c>
      <c r="BG1069">
        <v>0.51171262942262796</v>
      </c>
      <c r="BH1069">
        <v>0.27036363636363703</v>
      </c>
      <c r="BI1069">
        <v>0.50707385143256301</v>
      </c>
      <c r="BJ1069">
        <v>80</v>
      </c>
      <c r="BK1069">
        <v>4159.3599064408036</v>
      </c>
      <c r="BL1069">
        <v>2000.8031127532561</v>
      </c>
      <c r="BM1069">
        <v>12.185680274621779</v>
      </c>
      <c r="BN1069">
        <v>2071.5656466857022</v>
      </c>
      <c r="BO1069">
        <v>2087.7942597551018</v>
      </c>
    </row>
    <row r="1070" spans="1:67" x14ac:dyDescent="0.25">
      <c r="A1070" s="1">
        <v>1068</v>
      </c>
      <c r="B1070" t="s">
        <v>78</v>
      </c>
      <c r="C1070" t="s">
        <v>87</v>
      </c>
      <c r="D1070">
        <v>1</v>
      </c>
      <c r="E1070">
        <v>4</v>
      </c>
      <c r="F1070">
        <v>1</v>
      </c>
      <c r="G1070">
        <v>32.041060000000002</v>
      </c>
      <c r="H1070">
        <v>6</v>
      </c>
      <c r="I1070" t="s">
        <v>89</v>
      </c>
      <c r="J1070">
        <v>2.5</v>
      </c>
      <c r="K1070">
        <v>200</v>
      </c>
      <c r="L1070">
        <v>50</v>
      </c>
      <c r="N1070" t="s">
        <v>90</v>
      </c>
      <c r="O1070">
        <v>50</v>
      </c>
      <c r="P1070">
        <v>0.3125</v>
      </c>
      <c r="Q1070">
        <v>3.2500000000000001E-2</v>
      </c>
      <c r="R1070">
        <v>77.5</v>
      </c>
      <c r="S1070">
        <v>170</v>
      </c>
      <c r="T1070">
        <v>50</v>
      </c>
      <c r="U1070">
        <v>1812.1301775147931</v>
      </c>
      <c r="V1070">
        <v>20</v>
      </c>
      <c r="W1070">
        <v>0.95</v>
      </c>
      <c r="X1070">
        <v>1</v>
      </c>
      <c r="Y1070">
        <v>127172.33731043999</v>
      </c>
      <c r="Z1070">
        <v>254344674.6208801</v>
      </c>
      <c r="AA1070">
        <v>635861686.5522002</v>
      </c>
      <c r="AB1070">
        <v>635861.68655220023</v>
      </c>
      <c r="AC1070">
        <v>0</v>
      </c>
      <c r="AD1070">
        <v>2636.096772184947</v>
      </c>
      <c r="AE1070">
        <v>1581658.063310968</v>
      </c>
      <c r="AF1070">
        <v>790829.03165548411</v>
      </c>
      <c r="AG1070">
        <v>25.33900045301527</v>
      </c>
      <c r="AH1070">
        <v>261.03289262368389</v>
      </c>
      <c r="AI1070">
        <v>130.516446311842</v>
      </c>
      <c r="AJ1070">
        <v>20665.50481294651</v>
      </c>
      <c r="AK1070">
        <v>854.70085470085473</v>
      </c>
      <c r="AL1070" t="s">
        <v>93</v>
      </c>
      <c r="AM1070">
        <v>20230.04917833551</v>
      </c>
      <c r="AN1070">
        <v>1419.215038091638</v>
      </c>
      <c r="AO1070">
        <v>22187.795873013139</v>
      </c>
      <c r="AP1070">
        <v>43169.469884074497</v>
      </c>
      <c r="AQ1070">
        <v>20981.674011061361</v>
      </c>
      <c r="AR1070">
        <v>2.6131444327083329E-2</v>
      </c>
      <c r="AS1070">
        <v>815.56116829728273</v>
      </c>
      <c r="AT1070">
        <v>798.37597445278038</v>
      </c>
      <c r="AU1070">
        <v>56.009116883801767</v>
      </c>
      <c r="AV1070">
        <v>875.63816552885589</v>
      </c>
      <c r="AW1070">
        <v>1703.676905650691</v>
      </c>
      <c r="AX1070">
        <v>828.03874012183462</v>
      </c>
      <c r="AY1070">
        <v>5.1508127384050342</v>
      </c>
      <c r="AZ1070" t="s">
        <v>137</v>
      </c>
      <c r="BA1070" t="str">
        <f>VLOOKUP($AZ1070,Sheet1!$A$2:$B$58,2)</f>
        <v>Itaconate</v>
      </c>
      <c r="BB1070" t="s">
        <v>185</v>
      </c>
      <c r="BC1070">
        <v>128.08086</v>
      </c>
      <c r="BD1070">
        <v>3.2</v>
      </c>
      <c r="BE1070">
        <v>381</v>
      </c>
      <c r="BF1070" t="s">
        <v>216</v>
      </c>
      <c r="BG1070">
        <v>-0.32587986992887169</v>
      </c>
      <c r="BH1070">
        <v>0.24681592039801001</v>
      </c>
      <c r="BI1070">
        <v>0.98662139599216403</v>
      </c>
      <c r="BJ1070">
        <v>80</v>
      </c>
      <c r="BK1070">
        <v>2158.4734942037239</v>
      </c>
      <c r="BL1070">
        <v>1049.083700553068</v>
      </c>
      <c r="BM1070">
        <v>6.8517021855209697</v>
      </c>
      <c r="BN1070">
        <v>1164.7893715385651</v>
      </c>
      <c r="BO1070">
        <v>993.68412266515952</v>
      </c>
    </row>
    <row r="1071" spans="1:67" x14ac:dyDescent="0.25">
      <c r="A1071" s="1">
        <v>1069</v>
      </c>
      <c r="B1071" t="s">
        <v>78</v>
      </c>
      <c r="C1071" t="s">
        <v>87</v>
      </c>
      <c r="D1071">
        <v>1</v>
      </c>
      <c r="E1071">
        <v>4</v>
      </c>
      <c r="F1071">
        <v>1</v>
      </c>
      <c r="G1071">
        <v>32.041060000000002</v>
      </c>
      <c r="H1071">
        <v>6</v>
      </c>
      <c r="I1071" t="s">
        <v>89</v>
      </c>
      <c r="J1071">
        <v>2.5</v>
      </c>
      <c r="K1071">
        <v>200</v>
      </c>
      <c r="L1071">
        <v>50</v>
      </c>
      <c r="N1071" t="s">
        <v>90</v>
      </c>
      <c r="O1071">
        <v>50</v>
      </c>
      <c r="P1071">
        <v>0.3125</v>
      </c>
      <c r="Q1071">
        <v>3.2500000000000001E-2</v>
      </c>
      <c r="R1071">
        <v>77.5</v>
      </c>
      <c r="S1071">
        <v>170</v>
      </c>
      <c r="T1071">
        <v>50</v>
      </c>
      <c r="U1071">
        <v>1812.1301775147931</v>
      </c>
      <c r="V1071">
        <v>20</v>
      </c>
      <c r="W1071">
        <v>0.95</v>
      </c>
      <c r="X1071">
        <v>1</v>
      </c>
      <c r="Y1071">
        <v>329003.41643594409</v>
      </c>
      <c r="Z1071">
        <v>658006832.87188816</v>
      </c>
      <c r="AA1071">
        <v>1645017082.1797199</v>
      </c>
      <c r="AB1071">
        <v>1645017.082179721</v>
      </c>
      <c r="AC1071">
        <v>0</v>
      </c>
      <c r="AD1071">
        <v>6819.7601966494149</v>
      </c>
      <c r="AE1071">
        <v>4091856.1179896491</v>
      </c>
      <c r="AF1071">
        <v>2045928.0589948241</v>
      </c>
      <c r="AG1071">
        <v>65.553703693936711</v>
      </c>
      <c r="AH1071">
        <v>675.30970407271661</v>
      </c>
      <c r="AI1071">
        <v>337.65485203635831</v>
      </c>
      <c r="AJ1071">
        <v>53463.055170840918</v>
      </c>
      <c r="AK1071">
        <v>854.70085470085473</v>
      </c>
      <c r="AL1071" t="s">
        <v>93</v>
      </c>
      <c r="AM1071">
        <v>52336.502065635541</v>
      </c>
      <c r="AN1071">
        <v>3671.6050523598101</v>
      </c>
      <c r="AO1071">
        <v>57401.324846180913</v>
      </c>
      <c r="AP1071">
        <v>110325.86314353711</v>
      </c>
      <c r="AQ1071">
        <v>52924.538297356208</v>
      </c>
      <c r="AR1071">
        <v>2.6131444327083329E-2</v>
      </c>
      <c r="AS1071">
        <v>815.56116829728273</v>
      </c>
      <c r="AT1071">
        <v>798.37597445278027</v>
      </c>
      <c r="AU1071">
        <v>56.009116883801781</v>
      </c>
      <c r="AV1071">
        <v>875.63816552885567</v>
      </c>
      <c r="AW1071">
        <v>1682.9844375938981</v>
      </c>
      <c r="AX1071">
        <v>807.34627206504263</v>
      </c>
      <c r="AY1071">
        <v>5.1508127384050333</v>
      </c>
      <c r="AZ1071" t="s">
        <v>138</v>
      </c>
      <c r="BA1071" t="str">
        <f>VLOOKUP($AZ1071,Sheet1!$A$2:$B$58,2)</f>
        <v>Limonene</v>
      </c>
      <c r="BB1071" t="s">
        <v>186</v>
      </c>
      <c r="BC1071">
        <v>136.23244</v>
      </c>
      <c r="BD1071">
        <v>5.6</v>
      </c>
      <c r="BE1071">
        <v>176</v>
      </c>
      <c r="BF1071" t="s">
        <v>216</v>
      </c>
      <c r="BG1071">
        <v>0.3711436616811305</v>
      </c>
      <c r="BH1071">
        <v>8.9695181907571406E-2</v>
      </c>
      <c r="BI1071">
        <v>0.38136670533098099</v>
      </c>
      <c r="BJ1071">
        <v>80</v>
      </c>
      <c r="BK1071">
        <v>5516.2931571768559</v>
      </c>
      <c r="BL1071">
        <v>2646.226914867811</v>
      </c>
      <c r="BM1071">
        <v>16.511598940136778</v>
      </c>
      <c r="BN1071">
        <v>2806.9718198232531</v>
      </c>
      <c r="BO1071">
        <v>2709.3213373536032</v>
      </c>
    </row>
    <row r="1072" spans="1:67" x14ac:dyDescent="0.25">
      <c r="A1072" s="1">
        <v>1070</v>
      </c>
      <c r="B1072" t="s">
        <v>78</v>
      </c>
      <c r="C1072" t="s">
        <v>87</v>
      </c>
      <c r="D1072">
        <v>1</v>
      </c>
      <c r="E1072">
        <v>4</v>
      </c>
      <c r="F1072">
        <v>1</v>
      </c>
      <c r="G1072">
        <v>32.041060000000002</v>
      </c>
      <c r="H1072">
        <v>6</v>
      </c>
      <c r="I1072" t="s">
        <v>89</v>
      </c>
      <c r="J1072">
        <v>2.5</v>
      </c>
      <c r="K1072">
        <v>200</v>
      </c>
      <c r="L1072">
        <v>50</v>
      </c>
      <c r="N1072" t="s">
        <v>90</v>
      </c>
      <c r="O1072">
        <v>50</v>
      </c>
      <c r="P1072">
        <v>0.3125</v>
      </c>
      <c r="Q1072">
        <v>3.2500000000000001E-2</v>
      </c>
      <c r="R1072">
        <v>77.5</v>
      </c>
      <c r="S1072">
        <v>170</v>
      </c>
      <c r="T1072">
        <v>50</v>
      </c>
      <c r="U1072">
        <v>1812.1301775147931</v>
      </c>
      <c r="V1072">
        <v>20</v>
      </c>
      <c r="W1072">
        <v>0.95</v>
      </c>
      <c r="X1072">
        <v>1</v>
      </c>
      <c r="Y1072">
        <v>158090.64287316409</v>
      </c>
      <c r="Z1072">
        <v>316181285.74632812</v>
      </c>
      <c r="AA1072">
        <v>790453214.36582029</v>
      </c>
      <c r="AB1072">
        <v>790453.21436582028</v>
      </c>
      <c r="AC1072">
        <v>0</v>
      </c>
      <c r="AD1072">
        <v>3276.9880793594498</v>
      </c>
      <c r="AE1072">
        <v>1966192.8476156699</v>
      </c>
      <c r="AF1072">
        <v>983096.42380783497</v>
      </c>
      <c r="AG1072">
        <v>31.49945150101227</v>
      </c>
      <c r="AH1072">
        <v>324.49555208837108</v>
      </c>
      <c r="AI1072">
        <v>162.2477760441856</v>
      </c>
      <c r="AJ1072">
        <v>25689.729466889159</v>
      </c>
      <c r="AK1072">
        <v>854.70085470085473</v>
      </c>
      <c r="AL1072" t="s">
        <v>93</v>
      </c>
      <c r="AM1072">
        <v>25148.40528684876</v>
      </c>
      <c r="AN1072">
        <v>1764.2564608958421</v>
      </c>
      <c r="AO1072">
        <v>27582.121927511551</v>
      </c>
      <c r="AP1072">
        <v>53457.092069334612</v>
      </c>
      <c r="AQ1072">
        <v>25874.970141823069</v>
      </c>
      <c r="AR1072">
        <v>2.6131444327083329E-2</v>
      </c>
      <c r="AS1072">
        <v>815.56116829728262</v>
      </c>
      <c r="AT1072">
        <v>798.37597445278027</v>
      </c>
      <c r="AU1072">
        <v>56.009116883801767</v>
      </c>
      <c r="AV1072">
        <v>875.63816552885578</v>
      </c>
      <c r="AW1072">
        <v>1697.0800925729361</v>
      </c>
      <c r="AX1072">
        <v>821.4419270440801</v>
      </c>
      <c r="AY1072">
        <v>5.1508127384050342</v>
      </c>
      <c r="AZ1072" t="s">
        <v>139</v>
      </c>
      <c r="BA1072" t="str">
        <f>VLOOKUP($AZ1072,Sheet1!$A$2:$B$58,2)</f>
        <v>L-Lysine</v>
      </c>
      <c r="BB1072" t="s">
        <v>187</v>
      </c>
      <c r="BC1072">
        <v>147.19319999999999</v>
      </c>
      <c r="BD1072">
        <v>4.833333333333333</v>
      </c>
      <c r="BF1072" t="s">
        <v>216</v>
      </c>
      <c r="BG1072">
        <v>-6.3325798649973064E-2</v>
      </c>
      <c r="BH1072">
        <v>0.17276515151515101</v>
      </c>
      <c r="BI1072">
        <v>0.793664613467844</v>
      </c>
      <c r="BJ1072">
        <v>80</v>
      </c>
      <c r="BK1072">
        <v>2672.8546034667302</v>
      </c>
      <c r="BL1072">
        <v>1293.748507091153</v>
      </c>
      <c r="BM1072">
        <v>8.1757146008592514</v>
      </c>
      <c r="BN1072">
        <v>1389.871482146073</v>
      </c>
      <c r="BO1072">
        <v>1282.9831213206569</v>
      </c>
    </row>
    <row r="1073" spans="1:67" x14ac:dyDescent="0.25">
      <c r="A1073" s="1">
        <v>1071</v>
      </c>
      <c r="B1073" t="s">
        <v>78</v>
      </c>
      <c r="C1073" t="s">
        <v>87</v>
      </c>
      <c r="D1073">
        <v>1</v>
      </c>
      <c r="E1073">
        <v>4</v>
      </c>
      <c r="F1073">
        <v>1</v>
      </c>
      <c r="G1073">
        <v>32.041060000000002</v>
      </c>
      <c r="H1073">
        <v>6</v>
      </c>
      <c r="I1073" t="s">
        <v>89</v>
      </c>
      <c r="J1073">
        <v>2.5</v>
      </c>
      <c r="K1073">
        <v>200</v>
      </c>
      <c r="L1073">
        <v>50</v>
      </c>
      <c r="N1073" t="s">
        <v>90</v>
      </c>
      <c r="O1073">
        <v>50</v>
      </c>
      <c r="P1073">
        <v>0.3125</v>
      </c>
      <c r="Q1073">
        <v>3.2500000000000001E-2</v>
      </c>
      <c r="R1073">
        <v>77.5</v>
      </c>
      <c r="S1073">
        <v>170</v>
      </c>
      <c r="T1073">
        <v>50</v>
      </c>
      <c r="U1073">
        <v>1812.1301775147931</v>
      </c>
      <c r="V1073">
        <v>20</v>
      </c>
      <c r="W1073">
        <v>0.95</v>
      </c>
      <c r="X1073">
        <v>1</v>
      </c>
      <c r="Y1073">
        <v>78232.930751774504</v>
      </c>
      <c r="Z1073">
        <v>156465861.50354901</v>
      </c>
      <c r="AA1073">
        <v>391164653.75887251</v>
      </c>
      <c r="AB1073">
        <v>391164.65375887248</v>
      </c>
      <c r="AC1073">
        <v>0</v>
      </c>
      <c r="AD1073">
        <v>1621.6543675681201</v>
      </c>
      <c r="AE1073">
        <v>972992.62054087198</v>
      </c>
      <c r="AF1073">
        <v>486496.31027043599</v>
      </c>
      <c r="AG1073">
        <v>15.587857467153659</v>
      </c>
      <c r="AH1073">
        <v>160.5802696125142</v>
      </c>
      <c r="AI1073">
        <v>80.290134806257086</v>
      </c>
      <c r="AJ1073">
        <v>12712.85124716336</v>
      </c>
      <c r="AK1073">
        <v>854.70085470085473</v>
      </c>
      <c r="AL1073" t="s">
        <v>93</v>
      </c>
      <c r="AM1073">
        <v>12444.970894969851</v>
      </c>
      <c r="AN1073">
        <v>873.06213084585124</v>
      </c>
      <c r="AO1073">
        <v>13649.322917063701</v>
      </c>
      <c r="AP1073">
        <v>26885.585127679911</v>
      </c>
      <c r="AQ1073">
        <v>13236.262210616211</v>
      </c>
      <c r="AR1073">
        <v>2.613144432708334E-2</v>
      </c>
      <c r="AS1073">
        <v>815.56116829728285</v>
      </c>
      <c r="AT1073">
        <v>798.37597445278038</v>
      </c>
      <c r="AU1073">
        <v>56.009116883801759</v>
      </c>
      <c r="AV1073">
        <v>875.63816552885578</v>
      </c>
      <c r="AW1073">
        <v>1724.7774547805909</v>
      </c>
      <c r="AX1073">
        <v>849.13928925173514</v>
      </c>
      <c r="AY1073">
        <v>5.1508127384050342</v>
      </c>
      <c r="AZ1073" t="s">
        <v>140</v>
      </c>
      <c r="BA1073" t="str">
        <f>VLOOKUP($AZ1073,Sheet1!$A$2:$B$58,2)</f>
        <v>L-Malate</v>
      </c>
      <c r="BB1073" t="s">
        <v>188</v>
      </c>
      <c r="BC1073">
        <v>132.06916000000001</v>
      </c>
      <c r="BD1073">
        <v>2.5</v>
      </c>
      <c r="BF1073" t="s">
        <v>216</v>
      </c>
      <c r="BG1073">
        <v>-0.47650988031631009</v>
      </c>
      <c r="BH1073">
        <v>0.38909803921568598</v>
      </c>
      <c r="BI1073">
        <v>1.6038124580417401</v>
      </c>
      <c r="BJ1073">
        <v>80</v>
      </c>
      <c r="BK1073">
        <v>1344.279256383996</v>
      </c>
      <c r="BL1073">
        <v>661.81311053081038</v>
      </c>
      <c r="BM1073">
        <v>4.4910166206291633</v>
      </c>
      <c r="BN1073">
        <v>763.47282550695775</v>
      </c>
      <c r="BO1073">
        <v>580.80643087703777</v>
      </c>
    </row>
    <row r="1074" spans="1:67" x14ac:dyDescent="0.25">
      <c r="A1074" s="1">
        <v>1072</v>
      </c>
      <c r="B1074" t="s">
        <v>78</v>
      </c>
      <c r="C1074" t="s">
        <v>87</v>
      </c>
      <c r="D1074">
        <v>1</v>
      </c>
      <c r="E1074">
        <v>4</v>
      </c>
      <c r="F1074">
        <v>1</v>
      </c>
      <c r="G1074">
        <v>32.041060000000002</v>
      </c>
      <c r="H1074">
        <v>6</v>
      </c>
      <c r="I1074" t="s">
        <v>89</v>
      </c>
      <c r="J1074">
        <v>2.5</v>
      </c>
      <c r="K1074">
        <v>200</v>
      </c>
      <c r="L1074">
        <v>50</v>
      </c>
      <c r="N1074" t="s">
        <v>90</v>
      </c>
      <c r="O1074">
        <v>50</v>
      </c>
      <c r="P1074">
        <v>0.3125</v>
      </c>
      <c r="Q1074">
        <v>3.2500000000000001E-2</v>
      </c>
      <c r="R1074">
        <v>77.5</v>
      </c>
      <c r="S1074">
        <v>170</v>
      </c>
      <c r="T1074">
        <v>50</v>
      </c>
      <c r="U1074">
        <v>1812.1301775147931</v>
      </c>
      <c r="V1074">
        <v>20</v>
      </c>
      <c r="W1074">
        <v>0.95</v>
      </c>
      <c r="X1074">
        <v>1</v>
      </c>
      <c r="Y1074">
        <v>79810.559403675783</v>
      </c>
      <c r="Z1074">
        <v>159621118.80735159</v>
      </c>
      <c r="AA1074">
        <v>399052797.01837891</v>
      </c>
      <c r="AB1074">
        <v>399052.79701837891</v>
      </c>
      <c r="AC1074">
        <v>0</v>
      </c>
      <c r="AD1074">
        <v>1654.356304836376</v>
      </c>
      <c r="AE1074">
        <v>992613.78290182538</v>
      </c>
      <c r="AF1074">
        <v>496306.89145091269</v>
      </c>
      <c r="AG1074">
        <v>15.90219888739218</v>
      </c>
      <c r="AH1074">
        <v>163.81849719566</v>
      </c>
      <c r="AI1074">
        <v>81.909248597829986</v>
      </c>
      <c r="AJ1074">
        <v>12969.215903097311</v>
      </c>
      <c r="AK1074">
        <v>854.70085470085473</v>
      </c>
      <c r="AL1074" t="s">
        <v>93</v>
      </c>
      <c r="AM1074">
        <v>12695.93353266365</v>
      </c>
      <c r="AN1074">
        <v>890.66811619341104</v>
      </c>
      <c r="AO1074">
        <v>13924.5722616311</v>
      </c>
      <c r="AP1074">
        <v>27410.518406655228</v>
      </c>
      <c r="AQ1074">
        <v>13485.946145024131</v>
      </c>
      <c r="AR1074">
        <v>2.6131444327083329E-2</v>
      </c>
      <c r="AS1074">
        <v>815.56116829728262</v>
      </c>
      <c r="AT1074">
        <v>798.37597445278004</v>
      </c>
      <c r="AU1074">
        <v>56.009116883801759</v>
      </c>
      <c r="AV1074">
        <v>875.63816552885555</v>
      </c>
      <c r="AW1074">
        <v>1723.693597392197</v>
      </c>
      <c r="AX1074">
        <v>848.05543186334194</v>
      </c>
      <c r="AY1074">
        <v>5.1508127384050324</v>
      </c>
      <c r="AZ1074" t="s">
        <v>141</v>
      </c>
      <c r="BA1074" t="str">
        <f>VLOOKUP($AZ1074,Sheet1!$A$2:$B$58,2)</f>
        <v>Malonate</v>
      </c>
      <c r="BB1074" t="s">
        <v>189</v>
      </c>
      <c r="BC1074">
        <v>102.04378</v>
      </c>
      <c r="BD1074">
        <v>2</v>
      </c>
      <c r="BE1074">
        <v>199</v>
      </c>
      <c r="BF1074" t="s">
        <v>216</v>
      </c>
      <c r="BG1074">
        <v>-0.42015776952391432</v>
      </c>
      <c r="BH1074">
        <v>0.49363184079602002</v>
      </c>
      <c r="BI1074">
        <v>1.57210962943124</v>
      </c>
      <c r="BJ1074">
        <v>80</v>
      </c>
      <c r="BK1074">
        <v>1370.525920332761</v>
      </c>
      <c r="BL1074">
        <v>674.29730725120658</v>
      </c>
      <c r="BM1074">
        <v>4.5156201994154133</v>
      </c>
      <c r="BN1074">
        <v>767.65543390062021</v>
      </c>
      <c r="BO1074">
        <v>602.87048643214121</v>
      </c>
    </row>
    <row r="1075" spans="1:67" x14ac:dyDescent="0.25">
      <c r="A1075" s="1">
        <v>1073</v>
      </c>
      <c r="B1075" t="s">
        <v>78</v>
      </c>
      <c r="C1075" t="s">
        <v>87</v>
      </c>
      <c r="D1075">
        <v>1</v>
      </c>
      <c r="E1075">
        <v>4</v>
      </c>
      <c r="F1075">
        <v>1</v>
      </c>
      <c r="G1075">
        <v>32.041060000000002</v>
      </c>
      <c r="H1075">
        <v>6</v>
      </c>
      <c r="I1075" t="s">
        <v>89</v>
      </c>
      <c r="J1075">
        <v>2.5</v>
      </c>
      <c r="K1075">
        <v>200</v>
      </c>
      <c r="L1075">
        <v>50</v>
      </c>
      <c r="N1075" t="s">
        <v>90</v>
      </c>
      <c r="O1075">
        <v>50</v>
      </c>
      <c r="P1075">
        <v>0.3125</v>
      </c>
      <c r="Q1075">
        <v>3.2500000000000001E-2</v>
      </c>
      <c r="R1075">
        <v>77.5</v>
      </c>
      <c r="S1075">
        <v>170</v>
      </c>
      <c r="T1075">
        <v>50</v>
      </c>
      <c r="U1075">
        <v>1812.1301775147931</v>
      </c>
      <c r="V1075">
        <v>20</v>
      </c>
      <c r="W1075">
        <v>0.95</v>
      </c>
      <c r="X1075">
        <v>1</v>
      </c>
      <c r="Y1075">
        <v>337183.71662275487</v>
      </c>
      <c r="Z1075">
        <v>674367433.24550998</v>
      </c>
      <c r="AA1075">
        <v>1685918583.113775</v>
      </c>
      <c r="AB1075">
        <v>1685918.5831137749</v>
      </c>
      <c r="AC1075">
        <v>0</v>
      </c>
      <c r="AD1075">
        <v>6989.3258692950003</v>
      </c>
      <c r="AE1075">
        <v>4193595.5215770002</v>
      </c>
      <c r="AF1075">
        <v>2096797.7607885001</v>
      </c>
      <c r="AG1075">
        <v>67.183622861289976</v>
      </c>
      <c r="AH1075">
        <v>692.10052089226429</v>
      </c>
      <c r="AI1075">
        <v>346.05026044613209</v>
      </c>
      <c r="AJ1075">
        <v>54792.353951197692</v>
      </c>
      <c r="AK1075">
        <v>854.70085470085473</v>
      </c>
      <c r="AL1075" t="s">
        <v>93</v>
      </c>
      <c r="AM1075">
        <v>53637.790369150483</v>
      </c>
      <c r="AN1075">
        <v>3762.8953855152472</v>
      </c>
      <c r="AO1075">
        <v>58828.544275842462</v>
      </c>
      <c r="AP1075">
        <v>113047.7405605643</v>
      </c>
      <c r="AQ1075">
        <v>54219.196284721816</v>
      </c>
      <c r="AR1075">
        <v>2.613144432708334E-2</v>
      </c>
      <c r="AS1075">
        <v>815.56116829728285</v>
      </c>
      <c r="AT1075">
        <v>798.37597445278038</v>
      </c>
      <c r="AU1075">
        <v>56.009116883801759</v>
      </c>
      <c r="AV1075">
        <v>875.63816552885589</v>
      </c>
      <c r="AW1075">
        <v>1682.6681227650849</v>
      </c>
      <c r="AX1075">
        <v>807.02995723622951</v>
      </c>
      <c r="AY1075">
        <v>5.1508127384050351</v>
      </c>
      <c r="AZ1075" t="s">
        <v>142</v>
      </c>
      <c r="BA1075" t="str">
        <f>VLOOKUP($AZ1075,Sheet1!$A$2:$B$58,2)</f>
        <v>Nonane</v>
      </c>
      <c r="BB1075" t="s">
        <v>190</v>
      </c>
      <c r="BC1075">
        <v>128.25309999999999</v>
      </c>
      <c r="BD1075">
        <v>6.2222222222222223</v>
      </c>
      <c r="BE1075">
        <v>151</v>
      </c>
      <c r="BF1075" t="s">
        <v>216</v>
      </c>
      <c r="BG1075">
        <v>0.60285637554898097</v>
      </c>
      <c r="BH1075">
        <v>9.2964169381107506E-2</v>
      </c>
      <c r="BI1075">
        <v>0.37211449658819401</v>
      </c>
      <c r="BJ1075">
        <v>80</v>
      </c>
      <c r="BK1075">
        <v>5652.3870280282126</v>
      </c>
      <c r="BL1075">
        <v>2710.959814236091</v>
      </c>
      <c r="BM1075">
        <v>16.699656646757621</v>
      </c>
      <c r="BN1075">
        <v>2838.9416299487962</v>
      </c>
      <c r="BO1075">
        <v>2813.445398079416</v>
      </c>
    </row>
    <row r="1076" spans="1:67" x14ac:dyDescent="0.25">
      <c r="A1076" s="1">
        <v>1074</v>
      </c>
      <c r="B1076" t="s">
        <v>78</v>
      </c>
      <c r="C1076" t="s">
        <v>87</v>
      </c>
      <c r="D1076">
        <v>1</v>
      </c>
      <c r="E1076">
        <v>4</v>
      </c>
      <c r="F1076">
        <v>1</v>
      </c>
      <c r="G1076">
        <v>32.041060000000002</v>
      </c>
      <c r="H1076">
        <v>6</v>
      </c>
      <c r="I1076" t="s">
        <v>89</v>
      </c>
      <c r="J1076">
        <v>2.5</v>
      </c>
      <c r="K1076">
        <v>200</v>
      </c>
      <c r="L1076">
        <v>50</v>
      </c>
      <c r="N1076" t="s">
        <v>90</v>
      </c>
      <c r="O1076">
        <v>50</v>
      </c>
      <c r="P1076">
        <v>0.3125</v>
      </c>
      <c r="Q1076">
        <v>3.2500000000000001E-2</v>
      </c>
      <c r="R1076">
        <v>77.5</v>
      </c>
      <c r="S1076">
        <v>170</v>
      </c>
      <c r="T1076">
        <v>50</v>
      </c>
      <c r="U1076">
        <v>1812.1301775147931</v>
      </c>
      <c r="V1076">
        <v>20</v>
      </c>
      <c r="W1076">
        <v>0.95</v>
      </c>
      <c r="X1076">
        <v>1</v>
      </c>
      <c r="Y1076">
        <v>332220.15324744652</v>
      </c>
      <c r="Z1076">
        <v>664440306.49489295</v>
      </c>
      <c r="AA1076">
        <v>1661100766.237232</v>
      </c>
      <c r="AB1076">
        <v>1661100.7662372319</v>
      </c>
      <c r="AC1076">
        <v>0</v>
      </c>
      <c r="AD1076">
        <v>6886.4384515679376</v>
      </c>
      <c r="AE1076">
        <v>4131863.0709407632</v>
      </c>
      <c r="AF1076">
        <v>2065931.5354703809</v>
      </c>
      <c r="AG1076">
        <v>66.194636283898618</v>
      </c>
      <c r="AH1076">
        <v>681.91235157038602</v>
      </c>
      <c r="AI1076">
        <v>340.95617578519301</v>
      </c>
      <c r="AJ1076">
        <v>53985.774902710051</v>
      </c>
      <c r="AK1076">
        <v>854.70085470085473</v>
      </c>
      <c r="AL1076" t="s">
        <v>93</v>
      </c>
      <c r="AM1076">
        <v>52848.207246704907</v>
      </c>
      <c r="AN1076">
        <v>3707.5031207056231</v>
      </c>
      <c r="AO1076">
        <v>57962.54988348281</v>
      </c>
      <c r="AP1076">
        <v>111396.1861248214</v>
      </c>
      <c r="AQ1076">
        <v>53433.63624133863</v>
      </c>
      <c r="AR1076">
        <v>2.6131444327083329E-2</v>
      </c>
      <c r="AS1076">
        <v>815.56116829728262</v>
      </c>
      <c r="AT1076">
        <v>798.37597445278004</v>
      </c>
      <c r="AU1076">
        <v>56.009116883801752</v>
      </c>
      <c r="AV1076">
        <v>875.63816552885555</v>
      </c>
      <c r="AW1076">
        <v>1682.8581948401429</v>
      </c>
      <c r="AX1076">
        <v>807.22002931128713</v>
      </c>
      <c r="AY1076">
        <v>5.1508127384050333</v>
      </c>
      <c r="AZ1076" t="s">
        <v>143</v>
      </c>
      <c r="BA1076" t="str">
        <f>VLOOKUP($AZ1076,Sheet1!$A$2:$B$58,2)</f>
        <v>Octane</v>
      </c>
      <c r="BB1076" t="s">
        <v>191</v>
      </c>
      <c r="BC1076">
        <v>114.22672</v>
      </c>
      <c r="BD1076">
        <v>6.25</v>
      </c>
      <c r="BE1076">
        <v>126</v>
      </c>
      <c r="BF1076" t="s">
        <v>216</v>
      </c>
      <c r="BG1076">
        <v>0.55457479638726248</v>
      </c>
      <c r="BH1076">
        <v>0.105939123979213</v>
      </c>
      <c r="BI1076">
        <v>0.377674104783639</v>
      </c>
      <c r="BJ1076">
        <v>80</v>
      </c>
      <c r="BK1076">
        <v>5569.8093062410726</v>
      </c>
      <c r="BL1076">
        <v>2671.6818120669318</v>
      </c>
      <c r="BM1076">
        <v>16.493233992872391</v>
      </c>
      <c r="BN1076">
        <v>2803.849778788307</v>
      </c>
      <c r="BO1076">
        <v>2765.959527452766</v>
      </c>
    </row>
    <row r="1077" spans="1:67" x14ac:dyDescent="0.25">
      <c r="A1077" s="1">
        <v>1075</v>
      </c>
      <c r="B1077" t="s">
        <v>78</v>
      </c>
      <c r="C1077" t="s">
        <v>87</v>
      </c>
      <c r="D1077">
        <v>1</v>
      </c>
      <c r="E1077">
        <v>4</v>
      </c>
      <c r="F1077">
        <v>1</v>
      </c>
      <c r="G1077">
        <v>32.041060000000002</v>
      </c>
      <c r="H1077">
        <v>6</v>
      </c>
      <c r="I1077" t="s">
        <v>89</v>
      </c>
      <c r="J1077">
        <v>2.5</v>
      </c>
      <c r="K1077">
        <v>200</v>
      </c>
      <c r="L1077">
        <v>50</v>
      </c>
      <c r="N1077" t="s">
        <v>90</v>
      </c>
      <c r="O1077">
        <v>50</v>
      </c>
      <c r="P1077">
        <v>0.3125</v>
      </c>
      <c r="Q1077">
        <v>3.2500000000000001E-2</v>
      </c>
      <c r="R1077">
        <v>77.5</v>
      </c>
      <c r="S1077">
        <v>170</v>
      </c>
      <c r="T1077">
        <v>50</v>
      </c>
      <c r="U1077">
        <v>1812.1301775147931</v>
      </c>
      <c r="V1077">
        <v>20</v>
      </c>
      <c r="W1077">
        <v>0.95</v>
      </c>
      <c r="X1077">
        <v>1</v>
      </c>
      <c r="Y1077">
        <v>351436.46822286531</v>
      </c>
      <c r="Z1077">
        <v>702872936.44573045</v>
      </c>
      <c r="AA1077">
        <v>1757182341.114326</v>
      </c>
      <c r="AB1077">
        <v>1757182.3411143259</v>
      </c>
      <c r="AC1077">
        <v>66773.504273504266</v>
      </c>
      <c r="AD1077">
        <v>7284.7645887713006</v>
      </c>
      <c r="AE1077">
        <v>4370858.7532627806</v>
      </c>
      <c r="AF1077">
        <v>2185429.3766313898</v>
      </c>
      <c r="AG1077">
        <v>70.023473782408985</v>
      </c>
      <c r="AH1077">
        <v>721.35560149160597</v>
      </c>
      <c r="AI1077">
        <v>360.67780074580298</v>
      </c>
      <c r="AJ1077">
        <v>57108.426086215593</v>
      </c>
      <c r="AK1077">
        <v>2170.1388888888891</v>
      </c>
      <c r="AL1077" t="s">
        <v>95</v>
      </c>
      <c r="AM1077">
        <v>55905.059115599463</v>
      </c>
      <c r="AN1077">
        <v>3921.9529276887729</v>
      </c>
      <c r="AO1077">
        <v>61315.226126786511</v>
      </c>
      <c r="AP1077">
        <v>119105.57701839269</v>
      </c>
      <c r="AQ1077">
        <v>57790.350891606213</v>
      </c>
      <c r="AR1077">
        <v>2.6131444327083329E-2</v>
      </c>
      <c r="AS1077">
        <v>815.56116829728251</v>
      </c>
      <c r="AT1077">
        <v>798.37597445278004</v>
      </c>
      <c r="AU1077">
        <v>56.009116883801759</v>
      </c>
      <c r="AV1077">
        <v>875.63816552885555</v>
      </c>
      <c r="AW1077">
        <v>1700.9378510483721</v>
      </c>
      <c r="AX1077">
        <v>825.29968551951629</v>
      </c>
      <c r="AY1077">
        <v>5.1508127384050324</v>
      </c>
      <c r="AZ1077" t="s">
        <v>144</v>
      </c>
      <c r="BA1077" t="str">
        <f>VLOOKUP($AZ1077,Sheet1!$A$2:$B$58,2)</f>
        <v>Pentane</v>
      </c>
      <c r="BB1077" t="s">
        <v>192</v>
      </c>
      <c r="BC1077">
        <v>72.147580000000005</v>
      </c>
      <c r="BD1077">
        <v>6.4</v>
      </c>
      <c r="BE1077">
        <v>36.1</v>
      </c>
      <c r="BF1077" t="s">
        <v>216</v>
      </c>
      <c r="BG1077">
        <v>0.79723152401886821</v>
      </c>
      <c r="BH1077">
        <v>0.158555555555556</v>
      </c>
      <c r="BI1077">
        <v>0.35702313309512501</v>
      </c>
      <c r="BJ1077">
        <v>80</v>
      </c>
      <c r="BK1077">
        <v>5955.2788509196371</v>
      </c>
      <c r="BL1077">
        <v>2889.5175445803111</v>
      </c>
      <c r="BM1077">
        <v>17.23665851327128</v>
      </c>
      <c r="BN1077">
        <v>2930.231947256118</v>
      </c>
      <c r="BO1077">
        <v>3025.04690366352</v>
      </c>
    </row>
    <row r="1078" spans="1:67" x14ac:dyDescent="0.25">
      <c r="A1078" s="1">
        <v>1076</v>
      </c>
      <c r="B1078" t="s">
        <v>78</v>
      </c>
      <c r="C1078" t="s">
        <v>87</v>
      </c>
      <c r="D1078">
        <v>1</v>
      </c>
      <c r="E1078">
        <v>4</v>
      </c>
      <c r="F1078">
        <v>1</v>
      </c>
      <c r="G1078">
        <v>32.041060000000002</v>
      </c>
      <c r="H1078">
        <v>6</v>
      </c>
      <c r="I1078" t="s">
        <v>89</v>
      </c>
      <c r="J1078">
        <v>2.5</v>
      </c>
      <c r="K1078">
        <v>200</v>
      </c>
      <c r="L1078">
        <v>50</v>
      </c>
      <c r="N1078" t="s">
        <v>90</v>
      </c>
      <c r="O1078">
        <v>50</v>
      </c>
      <c r="P1078">
        <v>0.3125</v>
      </c>
      <c r="Q1078">
        <v>3.2500000000000001E-2</v>
      </c>
      <c r="R1078">
        <v>77.5</v>
      </c>
      <c r="S1078">
        <v>170</v>
      </c>
      <c r="T1078">
        <v>50</v>
      </c>
      <c r="U1078">
        <v>1812.1301775147931</v>
      </c>
      <c r="V1078">
        <v>20</v>
      </c>
      <c r="W1078">
        <v>0.95</v>
      </c>
      <c r="X1078">
        <v>1</v>
      </c>
      <c r="Y1078">
        <v>254841.3121620749</v>
      </c>
      <c r="Z1078">
        <v>509682624.32414979</v>
      </c>
      <c r="AA1078">
        <v>1274206560.810374</v>
      </c>
      <c r="AB1078">
        <v>1274206.560810375</v>
      </c>
      <c r="AC1078">
        <v>0</v>
      </c>
      <c r="AD1078">
        <v>5282.4881150837573</v>
      </c>
      <c r="AE1078">
        <v>3169492.869050255</v>
      </c>
      <c r="AF1078">
        <v>1584746.4345251271</v>
      </c>
      <c r="AG1078">
        <v>50.776955593405681</v>
      </c>
      <c r="AH1078">
        <v>523.08517937588135</v>
      </c>
      <c r="AI1078">
        <v>261.54258968794068</v>
      </c>
      <c r="AJ1078">
        <v>41411.713226337182</v>
      </c>
      <c r="AK1078">
        <v>854.70085470085473</v>
      </c>
      <c r="AL1078" t="s">
        <v>93</v>
      </c>
      <c r="AM1078">
        <v>40539.101401630804</v>
      </c>
      <c r="AN1078">
        <v>2843.972440834671</v>
      </c>
      <c r="AO1078">
        <v>44462.240246949907</v>
      </c>
      <c r="AP1078">
        <v>85649.487923503504</v>
      </c>
      <c r="AQ1078">
        <v>41187.24767655359</v>
      </c>
      <c r="AR1078">
        <v>2.6131444327083329E-2</v>
      </c>
      <c r="AS1078">
        <v>815.56116829728273</v>
      </c>
      <c r="AT1078">
        <v>798.37597445278016</v>
      </c>
      <c r="AU1078">
        <v>56.009116883801767</v>
      </c>
      <c r="AV1078">
        <v>875.63816552885567</v>
      </c>
      <c r="AW1078">
        <v>1686.778715316022</v>
      </c>
      <c r="AX1078">
        <v>811.14054978716592</v>
      </c>
      <c r="AY1078">
        <v>5.1508127384050333</v>
      </c>
      <c r="AZ1078" t="s">
        <v>145</v>
      </c>
      <c r="BA1078" t="str">
        <f>VLOOKUP($AZ1078,Sheet1!$A$2:$B$58,2)</f>
        <v>Pentanol (PW1)</v>
      </c>
      <c r="BB1078" t="s">
        <v>157</v>
      </c>
      <c r="BC1078">
        <v>88.14658</v>
      </c>
      <c r="BD1078">
        <v>6</v>
      </c>
      <c r="BE1078">
        <v>138</v>
      </c>
      <c r="BF1078" t="s">
        <v>216</v>
      </c>
      <c r="BG1078">
        <v>0.29337766619619432</v>
      </c>
      <c r="BH1078">
        <v>0.17896774193548401</v>
      </c>
      <c r="BI1078">
        <v>0.492349328703092</v>
      </c>
      <c r="BJ1078">
        <v>80</v>
      </c>
      <c r="BK1078">
        <v>4282.4743961751756</v>
      </c>
      <c r="BL1078">
        <v>2059.3623838276799</v>
      </c>
      <c r="BM1078">
        <v>12.783751818200839</v>
      </c>
      <c r="BN1078">
        <v>2173.237809094142</v>
      </c>
      <c r="BO1078">
        <v>2109.2365870810331</v>
      </c>
    </row>
    <row r="1079" spans="1:67" x14ac:dyDescent="0.25">
      <c r="A1079" s="1">
        <v>1077</v>
      </c>
      <c r="B1079" t="s">
        <v>78</v>
      </c>
      <c r="C1079" t="s">
        <v>87</v>
      </c>
      <c r="D1079">
        <v>1</v>
      </c>
      <c r="E1079">
        <v>4</v>
      </c>
      <c r="F1079">
        <v>1</v>
      </c>
      <c r="G1079">
        <v>32.041060000000002</v>
      </c>
      <c r="H1079">
        <v>6</v>
      </c>
      <c r="I1079" t="s">
        <v>89</v>
      </c>
      <c r="J1079">
        <v>2.5</v>
      </c>
      <c r="K1079">
        <v>200</v>
      </c>
      <c r="L1079">
        <v>50</v>
      </c>
      <c r="N1079" t="s">
        <v>90</v>
      </c>
      <c r="O1079">
        <v>50</v>
      </c>
      <c r="P1079">
        <v>0.3125</v>
      </c>
      <c r="Q1079">
        <v>3.2500000000000001E-2</v>
      </c>
      <c r="R1079">
        <v>77.5</v>
      </c>
      <c r="S1079">
        <v>170</v>
      </c>
      <c r="T1079">
        <v>50</v>
      </c>
      <c r="U1079">
        <v>1812.1301775147931</v>
      </c>
      <c r="V1079">
        <v>20</v>
      </c>
      <c r="W1079">
        <v>0.95</v>
      </c>
      <c r="X1079">
        <v>1</v>
      </c>
      <c r="Y1079">
        <v>303646.87590872281</v>
      </c>
      <c r="Z1079">
        <v>607293751.81744564</v>
      </c>
      <c r="AA1079">
        <v>1518234379.5436139</v>
      </c>
      <c r="AB1079">
        <v>1518234.3795436141</v>
      </c>
      <c r="AC1079">
        <v>0</v>
      </c>
      <c r="AD1079">
        <v>6294.1561537323123</v>
      </c>
      <c r="AE1079">
        <v>3776493.692239387</v>
      </c>
      <c r="AF1079">
        <v>1888246.8461196939</v>
      </c>
      <c r="AG1079">
        <v>60.501430491331867</v>
      </c>
      <c r="AH1079">
        <v>623.26307773295775</v>
      </c>
      <c r="AI1079">
        <v>311.63153886647888</v>
      </c>
      <c r="AJ1079">
        <v>49342.617335167459</v>
      </c>
      <c r="AK1079">
        <v>854.70085470085473</v>
      </c>
      <c r="AL1079" t="s">
        <v>93</v>
      </c>
      <c r="AM1079">
        <v>48302.888524304217</v>
      </c>
      <c r="AN1079">
        <v>3388.6316920262152</v>
      </c>
      <c r="AO1079">
        <v>52977.361607301413</v>
      </c>
      <c r="AP1079">
        <v>101888.8384061988</v>
      </c>
      <c r="AQ1079">
        <v>48911.476798897347</v>
      </c>
      <c r="AR1079">
        <v>2.6131444327083329E-2</v>
      </c>
      <c r="AS1079">
        <v>815.56116829728262</v>
      </c>
      <c r="AT1079">
        <v>798.37597445278004</v>
      </c>
      <c r="AU1079">
        <v>56.009116883801752</v>
      </c>
      <c r="AV1079">
        <v>875.63816552885555</v>
      </c>
      <c r="AW1079">
        <v>1684.0732124639021</v>
      </c>
      <c r="AX1079">
        <v>808.43504693504678</v>
      </c>
      <c r="AY1079">
        <v>5.1508127384050324</v>
      </c>
      <c r="AZ1079" t="s">
        <v>146</v>
      </c>
      <c r="BA1079" t="str">
        <f>VLOOKUP($AZ1079,Sheet1!$A$2:$B$58,2)</f>
        <v>Pentanol (PW2)</v>
      </c>
      <c r="BB1079" t="s">
        <v>157</v>
      </c>
      <c r="BC1079">
        <v>88.14658</v>
      </c>
      <c r="BD1079">
        <v>6</v>
      </c>
      <c r="BE1079">
        <v>138</v>
      </c>
      <c r="BF1079" t="s">
        <v>216</v>
      </c>
      <c r="BG1079">
        <v>0.8276597907672697</v>
      </c>
      <c r="BH1079">
        <v>0.15020202020202</v>
      </c>
      <c r="BI1079">
        <v>0.413213370278605</v>
      </c>
      <c r="BJ1079">
        <v>80</v>
      </c>
      <c r="BK1079">
        <v>5094.4419203099378</v>
      </c>
      <c r="BL1079">
        <v>2445.5738399448669</v>
      </c>
      <c r="BM1079">
        <v>14.753917152556671</v>
      </c>
      <c r="BN1079">
        <v>2508.1659159346341</v>
      </c>
      <c r="BO1079">
        <v>2586.2760043753042</v>
      </c>
    </row>
    <row r="1080" spans="1:67" x14ac:dyDescent="0.25">
      <c r="A1080" s="1">
        <v>1078</v>
      </c>
      <c r="B1080" t="s">
        <v>78</v>
      </c>
      <c r="C1080" t="s">
        <v>87</v>
      </c>
      <c r="D1080">
        <v>1</v>
      </c>
      <c r="E1080">
        <v>4</v>
      </c>
      <c r="F1080">
        <v>1</v>
      </c>
      <c r="G1080">
        <v>32.041060000000002</v>
      </c>
      <c r="H1080">
        <v>6</v>
      </c>
      <c r="I1080" t="s">
        <v>89</v>
      </c>
      <c r="J1080">
        <v>2.5</v>
      </c>
      <c r="K1080">
        <v>200</v>
      </c>
      <c r="L1080">
        <v>50</v>
      </c>
      <c r="N1080" t="s">
        <v>90</v>
      </c>
      <c r="O1080">
        <v>50</v>
      </c>
      <c r="P1080">
        <v>0.3125</v>
      </c>
      <c r="Q1080">
        <v>3.2500000000000001E-2</v>
      </c>
      <c r="R1080">
        <v>77.5</v>
      </c>
      <c r="S1080">
        <v>170</v>
      </c>
      <c r="T1080">
        <v>50</v>
      </c>
      <c r="U1080">
        <v>1812.1301775147931</v>
      </c>
      <c r="V1080">
        <v>20</v>
      </c>
      <c r="W1080">
        <v>0.95</v>
      </c>
      <c r="X1080">
        <v>1</v>
      </c>
      <c r="Y1080">
        <v>271671.02009867749</v>
      </c>
      <c r="Z1080">
        <v>543342040.19735503</v>
      </c>
      <c r="AA1080">
        <v>1358355100.4933879</v>
      </c>
      <c r="AB1080">
        <v>1358355.100493388</v>
      </c>
      <c r="AC1080">
        <v>0</v>
      </c>
      <c r="AD1080">
        <v>5631.3433748577036</v>
      </c>
      <c r="AE1080">
        <v>3378806.0249146218</v>
      </c>
      <c r="AF1080">
        <v>1689403.0124573109</v>
      </c>
      <c r="AG1080">
        <v>54.130263286325452</v>
      </c>
      <c r="AH1080">
        <v>557.6296993368469</v>
      </c>
      <c r="AI1080">
        <v>278.81484966842339</v>
      </c>
      <c r="AJ1080">
        <v>44146.540766035097</v>
      </c>
      <c r="AK1080">
        <v>854.70085470085473</v>
      </c>
      <c r="AL1080" t="s">
        <v>93</v>
      </c>
      <c r="AM1080">
        <v>43216.301698605632</v>
      </c>
      <c r="AN1080">
        <v>3031.7882433547661</v>
      </c>
      <c r="AO1080">
        <v>47398.524443631977</v>
      </c>
      <c r="AP1080">
        <v>91249.331562696359</v>
      </c>
      <c r="AQ1080">
        <v>43850.807119064382</v>
      </c>
      <c r="AR1080">
        <v>2.613144432708334E-2</v>
      </c>
      <c r="AS1080">
        <v>815.56116829728285</v>
      </c>
      <c r="AT1080">
        <v>798.37597445278004</v>
      </c>
      <c r="AU1080">
        <v>56.009116883801752</v>
      </c>
      <c r="AV1080">
        <v>875.63816552885555</v>
      </c>
      <c r="AW1080">
        <v>1685.7359640027471</v>
      </c>
      <c r="AX1080">
        <v>810.09779847389177</v>
      </c>
      <c r="AY1080">
        <v>5.1508127384050333</v>
      </c>
      <c r="AZ1080" t="s">
        <v>147</v>
      </c>
      <c r="BA1080" t="str">
        <f>VLOOKUP($AZ1080,Sheet1!$A$2:$B$58,2)</f>
        <v>Phenol</v>
      </c>
      <c r="BB1080" t="s">
        <v>193</v>
      </c>
      <c r="BC1080">
        <v>94.11023999999999</v>
      </c>
      <c r="BD1080">
        <v>4.666666666666667</v>
      </c>
      <c r="BE1080">
        <v>181.7</v>
      </c>
      <c r="BF1080" t="s">
        <v>216</v>
      </c>
      <c r="BG1080">
        <v>0.1681667420799913</v>
      </c>
      <c r="BH1080">
        <v>0.15724247226624399</v>
      </c>
      <c r="BI1080">
        <v>0.46184885278981402</v>
      </c>
      <c r="BJ1080">
        <v>80</v>
      </c>
      <c r="BK1080">
        <v>4562.4665781348176</v>
      </c>
      <c r="BL1080">
        <v>2192.5403559532192</v>
      </c>
      <c r="BM1080">
        <v>13.77257574134118</v>
      </c>
      <c r="BN1080">
        <v>2341.3378760280011</v>
      </c>
      <c r="BO1080">
        <v>2221.128702106816</v>
      </c>
    </row>
    <row r="1081" spans="1:67" x14ac:dyDescent="0.25">
      <c r="A1081" s="1">
        <v>1079</v>
      </c>
      <c r="B1081" t="s">
        <v>78</v>
      </c>
      <c r="C1081" t="s">
        <v>87</v>
      </c>
      <c r="D1081">
        <v>1</v>
      </c>
      <c r="E1081">
        <v>4</v>
      </c>
      <c r="F1081">
        <v>1</v>
      </c>
      <c r="G1081">
        <v>32.041060000000002</v>
      </c>
      <c r="H1081">
        <v>6</v>
      </c>
      <c r="I1081" t="s">
        <v>89</v>
      </c>
      <c r="J1081">
        <v>2.5</v>
      </c>
      <c r="K1081">
        <v>200</v>
      </c>
      <c r="L1081">
        <v>50</v>
      </c>
      <c r="N1081" t="s">
        <v>90</v>
      </c>
      <c r="O1081">
        <v>50</v>
      </c>
      <c r="P1081">
        <v>0.3125</v>
      </c>
      <c r="Q1081">
        <v>3.2500000000000001E-2</v>
      </c>
      <c r="R1081">
        <v>77.5</v>
      </c>
      <c r="S1081">
        <v>170</v>
      </c>
      <c r="T1081">
        <v>50</v>
      </c>
      <c r="U1081">
        <v>1812.1301775147931</v>
      </c>
      <c r="V1081">
        <v>20</v>
      </c>
      <c r="W1081">
        <v>0.95</v>
      </c>
      <c r="X1081">
        <v>1</v>
      </c>
      <c r="Y1081">
        <v>370566.79747808678</v>
      </c>
      <c r="Z1081">
        <v>741133594.95617366</v>
      </c>
      <c r="AA1081">
        <v>1852833987.390434</v>
      </c>
      <c r="AB1081">
        <v>1852833.9873904339</v>
      </c>
      <c r="AC1081">
        <v>66773.504273504266</v>
      </c>
      <c r="AD1081">
        <v>7681.3083676075876</v>
      </c>
      <c r="AE1081">
        <v>4608785.0205645524</v>
      </c>
      <c r="AF1081">
        <v>2304392.5102822762</v>
      </c>
      <c r="AG1081">
        <v>73.835178685505028</v>
      </c>
      <c r="AH1081">
        <v>760.62235783142216</v>
      </c>
      <c r="AI1081">
        <v>380.31117891571108</v>
      </c>
      <c r="AJ1081">
        <v>60217.104590189119</v>
      </c>
      <c r="AK1081">
        <v>2170.1388888888891</v>
      </c>
      <c r="AL1081" t="s">
        <v>95</v>
      </c>
      <c r="AM1081">
        <v>58948.232731935219</v>
      </c>
      <c r="AN1081">
        <v>4135.4431531328401</v>
      </c>
      <c r="AO1081">
        <v>64652.900415670883</v>
      </c>
      <c r="AP1081">
        <v>125470.9193641461</v>
      </c>
      <c r="AQ1081">
        <v>60818.01894847519</v>
      </c>
      <c r="AR1081">
        <v>2.613144432708334E-2</v>
      </c>
      <c r="AS1081">
        <v>815.56116829728296</v>
      </c>
      <c r="AT1081">
        <v>798.37597445278004</v>
      </c>
      <c r="AU1081">
        <v>56.009116883801759</v>
      </c>
      <c r="AV1081">
        <v>875.63816552885555</v>
      </c>
      <c r="AW1081">
        <v>1699.3379253347421</v>
      </c>
      <c r="AX1081">
        <v>823.69975980588652</v>
      </c>
      <c r="AY1081">
        <v>5.1508127384050333</v>
      </c>
      <c r="AZ1081" t="s">
        <v>148</v>
      </c>
      <c r="BA1081" t="str">
        <f>VLOOKUP($AZ1081,Sheet1!$A$2:$B$58,2)</f>
        <v>Propane (PW1)</v>
      </c>
      <c r="BB1081" t="s">
        <v>194</v>
      </c>
      <c r="BC1081">
        <v>44.094819999999999</v>
      </c>
      <c r="BD1081">
        <v>6.666666666666667</v>
      </c>
      <c r="BE1081">
        <v>-42</v>
      </c>
      <c r="BF1081" t="s">
        <v>216</v>
      </c>
      <c r="BG1081">
        <v>1.0624233209617799</v>
      </c>
      <c r="BH1081">
        <v>0.246034482758621</v>
      </c>
      <c r="BI1081">
        <v>0.33859198887410402</v>
      </c>
      <c r="BJ1081">
        <v>80</v>
      </c>
      <c r="BK1081">
        <v>6273.5459682073042</v>
      </c>
      <c r="BL1081">
        <v>3040.90094742376</v>
      </c>
      <c r="BM1081">
        <v>17.953135624823769</v>
      </c>
      <c r="BN1081">
        <v>3052.033056220042</v>
      </c>
      <c r="BO1081">
        <v>3221.5129119872631</v>
      </c>
    </row>
    <row r="1082" spans="1:67" x14ac:dyDescent="0.25">
      <c r="A1082" s="1">
        <v>1080</v>
      </c>
      <c r="B1082" t="s">
        <v>78</v>
      </c>
      <c r="C1082" t="s">
        <v>87</v>
      </c>
      <c r="D1082">
        <v>1</v>
      </c>
      <c r="E1082">
        <v>4</v>
      </c>
      <c r="F1082">
        <v>1</v>
      </c>
      <c r="G1082">
        <v>32.041060000000002</v>
      </c>
      <c r="H1082">
        <v>6</v>
      </c>
      <c r="I1082" t="s">
        <v>89</v>
      </c>
      <c r="J1082">
        <v>2.5</v>
      </c>
      <c r="K1082">
        <v>200</v>
      </c>
      <c r="L1082">
        <v>50</v>
      </c>
      <c r="N1082" t="s">
        <v>90</v>
      </c>
      <c r="O1082">
        <v>50</v>
      </c>
      <c r="P1082">
        <v>0.3125</v>
      </c>
      <c r="Q1082">
        <v>3.2500000000000001E-2</v>
      </c>
      <c r="R1082">
        <v>77.5</v>
      </c>
      <c r="S1082">
        <v>170</v>
      </c>
      <c r="T1082">
        <v>50</v>
      </c>
      <c r="U1082">
        <v>1812.1301775147931</v>
      </c>
      <c r="V1082">
        <v>20</v>
      </c>
      <c r="W1082">
        <v>0.95</v>
      </c>
      <c r="X1082">
        <v>1</v>
      </c>
      <c r="Y1082">
        <v>439031.51048975717</v>
      </c>
      <c r="Z1082">
        <v>878063020.9795146</v>
      </c>
      <c r="AA1082">
        <v>2195157552.4487872</v>
      </c>
      <c r="AB1082">
        <v>2195157.5524487868</v>
      </c>
      <c r="AC1082">
        <v>66773.504273504266</v>
      </c>
      <c r="AD1082">
        <v>9100.4818513665996</v>
      </c>
      <c r="AE1082">
        <v>5460289.11081996</v>
      </c>
      <c r="AF1082">
        <v>2730144.55540998</v>
      </c>
      <c r="AG1082">
        <v>87.476725508564499</v>
      </c>
      <c r="AH1082">
        <v>901.1524641269491</v>
      </c>
      <c r="AI1082">
        <v>450.57623206347449</v>
      </c>
      <c r="AJ1082">
        <v>71342.620454585573</v>
      </c>
      <c r="AK1082">
        <v>2170.1388888888891</v>
      </c>
      <c r="AL1082" t="s">
        <v>95</v>
      </c>
      <c r="AM1082">
        <v>69839.315969838557</v>
      </c>
      <c r="AN1082">
        <v>4899.4941436214312</v>
      </c>
      <c r="AO1082">
        <v>76597.959450790673</v>
      </c>
      <c r="AP1082">
        <v>148251.56945693441</v>
      </c>
      <c r="AQ1082">
        <v>71653.610006143761</v>
      </c>
      <c r="AR1082">
        <v>2.6131444327083329E-2</v>
      </c>
      <c r="AS1082">
        <v>815.56116829728273</v>
      </c>
      <c r="AT1082">
        <v>798.37597445278016</v>
      </c>
      <c r="AU1082">
        <v>56.009116883801752</v>
      </c>
      <c r="AV1082">
        <v>875.63816552885567</v>
      </c>
      <c r="AW1082">
        <v>1694.7544457687741</v>
      </c>
      <c r="AX1082">
        <v>819.11628023991864</v>
      </c>
      <c r="AY1082">
        <v>5.1508127384050333</v>
      </c>
      <c r="AZ1082" t="s">
        <v>149</v>
      </c>
      <c r="BA1082" t="str">
        <f>VLOOKUP($AZ1082,Sheet1!$A$2:$B$58,2)</f>
        <v>Propane (PW2)</v>
      </c>
      <c r="BB1082" t="s">
        <v>194</v>
      </c>
      <c r="BC1082">
        <v>44.094819999999999</v>
      </c>
      <c r="BD1082">
        <v>6.666666666666667</v>
      </c>
      <c r="BE1082">
        <v>-42</v>
      </c>
      <c r="BF1082" t="s">
        <v>216</v>
      </c>
      <c r="BG1082">
        <v>1.8119172212045911</v>
      </c>
      <c r="BH1082">
        <v>0.207666666666667</v>
      </c>
      <c r="BI1082">
        <v>0.28579030427416202</v>
      </c>
      <c r="BJ1082">
        <v>80</v>
      </c>
      <c r="BK1082">
        <v>7412.5784728467224</v>
      </c>
      <c r="BL1082">
        <v>3582.6805003071881</v>
      </c>
      <c r="BM1082">
        <v>20.71689438196913</v>
      </c>
      <c r="BN1082">
        <v>3521.8720449347529</v>
      </c>
      <c r="BO1082">
        <v>3890.7064279119691</v>
      </c>
    </row>
    <row r="1083" spans="1:67" x14ac:dyDescent="0.25">
      <c r="A1083" s="1">
        <v>1081</v>
      </c>
      <c r="B1083" t="s">
        <v>78</v>
      </c>
      <c r="C1083" t="s">
        <v>87</v>
      </c>
      <c r="D1083">
        <v>1</v>
      </c>
      <c r="E1083">
        <v>4</v>
      </c>
      <c r="F1083">
        <v>1</v>
      </c>
      <c r="G1083">
        <v>32.041060000000002</v>
      </c>
      <c r="H1083">
        <v>6</v>
      </c>
      <c r="I1083" t="s">
        <v>89</v>
      </c>
      <c r="J1083">
        <v>2.5</v>
      </c>
      <c r="K1083">
        <v>200</v>
      </c>
      <c r="L1083">
        <v>50</v>
      </c>
      <c r="N1083" t="s">
        <v>90</v>
      </c>
      <c r="O1083">
        <v>50</v>
      </c>
      <c r="P1083">
        <v>0.3125</v>
      </c>
      <c r="Q1083">
        <v>3.2500000000000001E-2</v>
      </c>
      <c r="R1083">
        <v>77.5</v>
      </c>
      <c r="S1083">
        <v>170</v>
      </c>
      <c r="T1083">
        <v>50</v>
      </c>
      <c r="U1083">
        <v>1812.1301775147931</v>
      </c>
      <c r="V1083">
        <v>20</v>
      </c>
      <c r="W1083">
        <v>0.95</v>
      </c>
      <c r="X1083">
        <v>1</v>
      </c>
      <c r="Y1083">
        <v>138539.6145236305</v>
      </c>
      <c r="Z1083">
        <v>277079229.04726088</v>
      </c>
      <c r="AA1083">
        <v>692698072.61815238</v>
      </c>
      <c r="AB1083">
        <v>692698.07261815236</v>
      </c>
      <c r="AC1083">
        <v>0</v>
      </c>
      <c r="AD1083">
        <v>2871.7238228781712</v>
      </c>
      <c r="AE1083">
        <v>1723034.293726902</v>
      </c>
      <c r="AF1083">
        <v>861517.14686345123</v>
      </c>
      <c r="AG1083">
        <v>27.60392259368065</v>
      </c>
      <c r="AH1083">
        <v>284.36527225095369</v>
      </c>
      <c r="AI1083">
        <v>142.18263612547679</v>
      </c>
      <c r="AJ1083">
        <v>22512.687360089949</v>
      </c>
      <c r="AK1083">
        <v>854.70085470085473</v>
      </c>
      <c r="AL1083" t="s">
        <v>93</v>
      </c>
      <c r="AM1083">
        <v>22038.308599448908</v>
      </c>
      <c r="AN1083">
        <v>1546.071327000876</v>
      </c>
      <c r="AO1083">
        <v>24171.048141331059</v>
      </c>
      <c r="AP1083">
        <v>46951.768141240587</v>
      </c>
      <c r="AQ1083">
        <v>22780.719999909528</v>
      </c>
      <c r="AR1083">
        <v>2.6131444327083329E-2</v>
      </c>
      <c r="AS1083">
        <v>815.56116829728273</v>
      </c>
      <c r="AT1083">
        <v>798.37597445278038</v>
      </c>
      <c r="AU1083">
        <v>56.009116883801767</v>
      </c>
      <c r="AV1083">
        <v>875.63816552885578</v>
      </c>
      <c r="AW1083">
        <v>1700.909281349356</v>
      </c>
      <c r="AX1083">
        <v>825.27111582049974</v>
      </c>
      <c r="AY1083">
        <v>5.1508127384050342</v>
      </c>
      <c r="AZ1083" t="s">
        <v>150</v>
      </c>
      <c r="BA1083" t="str">
        <f>VLOOKUP($AZ1083,Sheet1!$A$2:$B$58,2)</f>
        <v>Shikimate</v>
      </c>
      <c r="BB1083" t="s">
        <v>195</v>
      </c>
      <c r="BC1083">
        <v>173.14045999999999</v>
      </c>
      <c r="BD1083">
        <v>3.8571428571428572</v>
      </c>
      <c r="BE1083">
        <v>400.5</v>
      </c>
      <c r="BF1083" t="s">
        <v>216</v>
      </c>
      <c r="BG1083">
        <v>-0.26269202717669299</v>
      </c>
      <c r="BH1083">
        <v>0.16760135135135101</v>
      </c>
      <c r="BI1083">
        <v>0.905668385178099</v>
      </c>
      <c r="BJ1083">
        <v>80</v>
      </c>
      <c r="BK1083">
        <v>2347.58840706203</v>
      </c>
      <c r="BL1083">
        <v>1139.0359999954769</v>
      </c>
      <c r="BM1083">
        <v>7.3718238334505353</v>
      </c>
      <c r="BN1083">
        <v>1253.210051686591</v>
      </c>
      <c r="BO1083">
        <v>1094.378355375439</v>
      </c>
    </row>
    <row r="1084" spans="1:67" x14ac:dyDescent="0.25">
      <c r="A1084" s="1">
        <v>1082</v>
      </c>
      <c r="B1084" t="s">
        <v>78</v>
      </c>
      <c r="C1084" t="s">
        <v>87</v>
      </c>
      <c r="D1084">
        <v>1</v>
      </c>
      <c r="E1084">
        <v>4</v>
      </c>
      <c r="F1084">
        <v>1</v>
      </c>
      <c r="G1084">
        <v>32.041060000000002</v>
      </c>
      <c r="H1084">
        <v>6</v>
      </c>
      <c r="I1084" t="s">
        <v>89</v>
      </c>
      <c r="J1084">
        <v>2.5</v>
      </c>
      <c r="K1084">
        <v>200</v>
      </c>
      <c r="L1084">
        <v>50</v>
      </c>
      <c r="N1084" t="s">
        <v>90</v>
      </c>
      <c r="O1084">
        <v>50</v>
      </c>
      <c r="P1084">
        <v>0.3125</v>
      </c>
      <c r="Q1084">
        <v>3.2500000000000001E-2</v>
      </c>
      <c r="R1084">
        <v>77.5</v>
      </c>
      <c r="S1084">
        <v>170</v>
      </c>
      <c r="T1084">
        <v>50</v>
      </c>
      <c r="U1084">
        <v>1812.1301775147931</v>
      </c>
      <c r="V1084">
        <v>20</v>
      </c>
      <c r="W1084">
        <v>0.95</v>
      </c>
      <c r="X1084">
        <v>1</v>
      </c>
      <c r="Y1084">
        <v>331854.41323103342</v>
      </c>
      <c r="Z1084">
        <v>663708826.46206677</v>
      </c>
      <c r="AA1084">
        <v>1659272066.1551671</v>
      </c>
      <c r="AB1084">
        <v>1659272.0661551671</v>
      </c>
      <c r="AC1084">
        <v>0</v>
      </c>
      <c r="AD1084">
        <v>6878.8571953205828</v>
      </c>
      <c r="AE1084">
        <v>4127314.31719235</v>
      </c>
      <c r="AF1084">
        <v>2063657.158596175</v>
      </c>
      <c r="AG1084">
        <v>66.121762838009559</v>
      </c>
      <c r="AH1084">
        <v>681.16163662363238</v>
      </c>
      <c r="AI1084">
        <v>340.58081831181619</v>
      </c>
      <c r="AJ1084">
        <v>53926.342150042918</v>
      </c>
      <c r="AK1084">
        <v>854.70085470085473</v>
      </c>
      <c r="AL1084" t="s">
        <v>93</v>
      </c>
      <c r="AM1084">
        <v>52790.026838331512</v>
      </c>
      <c r="AN1084">
        <v>3703.421543357098</v>
      </c>
      <c r="AO1084">
        <v>57898.739113008749</v>
      </c>
      <c r="AP1084">
        <v>111274.4913864324</v>
      </c>
      <c r="AQ1084">
        <v>53375.752273423641</v>
      </c>
      <c r="AR1084">
        <v>2.6131444327083329E-2</v>
      </c>
      <c r="AS1084">
        <v>815.56116829728273</v>
      </c>
      <c r="AT1084">
        <v>798.37597445278027</v>
      </c>
      <c r="AU1084">
        <v>56.009116883801767</v>
      </c>
      <c r="AV1084">
        <v>875.63816552885567</v>
      </c>
      <c r="AW1084">
        <v>1682.872425211071</v>
      </c>
      <c r="AX1084">
        <v>807.23425968221511</v>
      </c>
      <c r="AY1084">
        <v>5.1508127384050333</v>
      </c>
      <c r="AZ1084" t="s">
        <v>151</v>
      </c>
      <c r="BA1084" t="str">
        <f>VLOOKUP($AZ1084,Sheet1!$A$2:$B$58,2)</f>
        <v>Styrene</v>
      </c>
      <c r="BB1084" t="s">
        <v>196</v>
      </c>
      <c r="BC1084">
        <v>104.14832</v>
      </c>
      <c r="BD1084">
        <v>5</v>
      </c>
      <c r="BE1084">
        <v>145</v>
      </c>
      <c r="BF1084" t="s">
        <v>216</v>
      </c>
      <c r="BG1084">
        <v>0.25229865012010311</v>
      </c>
      <c r="BH1084">
        <v>0.116318874560375</v>
      </c>
      <c r="BI1084">
        <v>0.378090343133274</v>
      </c>
      <c r="BJ1084">
        <v>80</v>
      </c>
      <c r="BK1084">
        <v>5563.7245693216191</v>
      </c>
      <c r="BL1084">
        <v>2668.787613671182</v>
      </c>
      <c r="BM1084">
        <v>16.776742265470709</v>
      </c>
      <c r="BN1084">
        <v>2852.0461851300201</v>
      </c>
      <c r="BO1084">
        <v>2711.678384191599</v>
      </c>
    </row>
    <row r="1085" spans="1:67" x14ac:dyDescent="0.25">
      <c r="A1085" s="1">
        <v>1083</v>
      </c>
      <c r="B1085" t="s">
        <v>78</v>
      </c>
      <c r="C1085" t="s">
        <v>87</v>
      </c>
      <c r="D1085">
        <v>1</v>
      </c>
      <c r="E1085">
        <v>4</v>
      </c>
      <c r="F1085">
        <v>1</v>
      </c>
      <c r="G1085">
        <v>32.041060000000002</v>
      </c>
      <c r="H1085">
        <v>6</v>
      </c>
      <c r="I1085" t="s">
        <v>89</v>
      </c>
      <c r="J1085">
        <v>2.5</v>
      </c>
      <c r="K1085">
        <v>200</v>
      </c>
      <c r="L1085">
        <v>50</v>
      </c>
      <c r="N1085" t="s">
        <v>90</v>
      </c>
      <c r="O1085">
        <v>50</v>
      </c>
      <c r="P1085">
        <v>0.3125</v>
      </c>
      <c r="Q1085">
        <v>3.2500000000000001E-2</v>
      </c>
      <c r="R1085">
        <v>77.5</v>
      </c>
      <c r="S1085">
        <v>170</v>
      </c>
      <c r="T1085">
        <v>50</v>
      </c>
      <c r="U1085">
        <v>1812.1301775147931</v>
      </c>
      <c r="V1085">
        <v>20</v>
      </c>
      <c r="W1085">
        <v>0.95</v>
      </c>
      <c r="X1085">
        <v>1</v>
      </c>
      <c r="Y1085">
        <v>93205.49418371357</v>
      </c>
      <c r="Z1085">
        <v>186410988.36742711</v>
      </c>
      <c r="AA1085">
        <v>466027470.91856778</v>
      </c>
      <c r="AB1085">
        <v>466027.47091856791</v>
      </c>
      <c r="AC1085">
        <v>0</v>
      </c>
      <c r="AD1085">
        <v>1932.0137347779951</v>
      </c>
      <c r="AE1085">
        <v>1159208.240866797</v>
      </c>
      <c r="AF1085">
        <v>579604.12043339852</v>
      </c>
      <c r="AG1085">
        <v>18.57113039905375</v>
      </c>
      <c r="AH1085">
        <v>191.31283005205401</v>
      </c>
      <c r="AI1085">
        <v>95.656415026026991</v>
      </c>
      <c r="AJ1085">
        <v>15145.89280485346</v>
      </c>
      <c r="AK1085">
        <v>854.70085470085473</v>
      </c>
      <c r="AL1085" t="s">
        <v>93</v>
      </c>
      <c r="AM1085">
        <v>14826.74432903418</v>
      </c>
      <c r="AN1085">
        <v>1040.152613184925</v>
      </c>
      <c r="AO1085">
        <v>16261.590554424591</v>
      </c>
      <c r="AP1085">
        <v>31867.490601773421</v>
      </c>
      <c r="AQ1085">
        <v>15605.90004734883</v>
      </c>
      <c r="AR1085">
        <v>2.6131444327083329E-2</v>
      </c>
      <c r="AS1085">
        <v>815.56116829728273</v>
      </c>
      <c r="AT1085">
        <v>798.37597445278004</v>
      </c>
      <c r="AU1085">
        <v>56.009116883801759</v>
      </c>
      <c r="AV1085">
        <v>875.63816552885555</v>
      </c>
      <c r="AW1085">
        <v>1715.969352269324</v>
      </c>
      <c r="AX1085">
        <v>840.33118674046864</v>
      </c>
      <c r="AY1085">
        <v>5.1508127384050324</v>
      </c>
      <c r="AZ1085" t="s">
        <v>152</v>
      </c>
      <c r="BA1085" t="str">
        <f>VLOOKUP($AZ1085,Sheet1!$A$2:$B$58,2)</f>
        <v>Succinate</v>
      </c>
      <c r="BB1085" t="s">
        <v>197</v>
      </c>
      <c r="BC1085">
        <v>116.07016</v>
      </c>
      <c r="BD1085">
        <v>3</v>
      </c>
      <c r="BE1085">
        <v>235</v>
      </c>
      <c r="BF1085" t="s">
        <v>216</v>
      </c>
      <c r="BG1085">
        <v>-0.49633379010558321</v>
      </c>
      <c r="BH1085">
        <v>0.37161048689138598</v>
      </c>
      <c r="BI1085">
        <v>1.3461754595872</v>
      </c>
      <c r="BJ1085">
        <v>80</v>
      </c>
      <c r="BK1085">
        <v>1593.374530088671</v>
      </c>
      <c r="BL1085">
        <v>780.29500236744138</v>
      </c>
      <c r="BM1085">
        <v>5.2791545414069327</v>
      </c>
      <c r="BN1085">
        <v>897.45627203917854</v>
      </c>
      <c r="BO1085">
        <v>695.91825804949201</v>
      </c>
    </row>
    <row r="1086" spans="1:67" x14ac:dyDescent="0.25">
      <c r="A1086" s="1">
        <v>1084</v>
      </c>
      <c r="B1086" t="s">
        <v>78</v>
      </c>
      <c r="C1086" t="s">
        <v>87</v>
      </c>
      <c r="D1086">
        <v>1</v>
      </c>
      <c r="E1086">
        <v>4</v>
      </c>
      <c r="F1086">
        <v>1</v>
      </c>
      <c r="G1086">
        <v>32.041060000000002</v>
      </c>
      <c r="H1086">
        <v>6</v>
      </c>
      <c r="I1086" t="s">
        <v>89</v>
      </c>
      <c r="J1086">
        <v>2.5</v>
      </c>
      <c r="K1086">
        <v>200</v>
      </c>
      <c r="L1086">
        <v>50</v>
      </c>
      <c r="N1086" t="s">
        <v>90</v>
      </c>
      <c r="O1086">
        <v>50</v>
      </c>
      <c r="P1086">
        <v>0.3125</v>
      </c>
      <c r="Q1086">
        <v>3.2500000000000001E-2</v>
      </c>
      <c r="R1086">
        <v>77.5</v>
      </c>
      <c r="S1086">
        <v>170</v>
      </c>
      <c r="T1086">
        <v>50</v>
      </c>
      <c r="U1086">
        <v>1812.1301775147931</v>
      </c>
      <c r="V1086">
        <v>20</v>
      </c>
      <c r="W1086">
        <v>0.95</v>
      </c>
      <c r="X1086">
        <v>1</v>
      </c>
      <c r="Y1086">
        <v>256495.22608540519</v>
      </c>
      <c r="Z1086">
        <v>512990452.17081028</v>
      </c>
      <c r="AA1086">
        <v>1282476130.427026</v>
      </c>
      <c r="AB1086">
        <v>1282476.130427026</v>
      </c>
      <c r="AC1086">
        <v>0</v>
      </c>
      <c r="AD1086">
        <v>5316.7713345870661</v>
      </c>
      <c r="AE1086">
        <v>3190062.8007522398</v>
      </c>
      <c r="AF1086">
        <v>1595031.4003761199</v>
      </c>
      <c r="AG1086">
        <v>51.106496801335282</v>
      </c>
      <c r="AH1086">
        <v>526.47998947914778</v>
      </c>
      <c r="AI1086">
        <v>263.23999473957389</v>
      </c>
      <c r="AJ1086">
        <v>41680.474238878327</v>
      </c>
      <c r="AK1086">
        <v>854.70085470085473</v>
      </c>
      <c r="AL1086" t="s">
        <v>93</v>
      </c>
      <c r="AM1086">
        <v>40802.199184633952</v>
      </c>
      <c r="AN1086">
        <v>2862.4297528676288</v>
      </c>
      <c r="AO1086">
        <v>44750.799105727558</v>
      </c>
      <c r="AP1086">
        <v>86199.80403108077</v>
      </c>
      <c r="AQ1086">
        <v>41449.004925353212</v>
      </c>
      <c r="AR1086">
        <v>2.6131444327083329E-2</v>
      </c>
      <c r="AS1086">
        <v>815.56116829728262</v>
      </c>
      <c r="AT1086">
        <v>798.37597445278027</v>
      </c>
      <c r="AU1086">
        <v>56.009116883801767</v>
      </c>
      <c r="AV1086">
        <v>875.63816552885567</v>
      </c>
      <c r="AW1086">
        <v>1686.6701774954879</v>
      </c>
      <c r="AX1086">
        <v>811.03201196663247</v>
      </c>
      <c r="AY1086">
        <v>5.1508127384050342</v>
      </c>
      <c r="AZ1086" t="s">
        <v>96</v>
      </c>
      <c r="BA1086" t="str">
        <f>VLOOKUP($AZ1086,Sheet1!$A$2:$B$58,2)</f>
        <v>1,3-Butanediol (PW1)</v>
      </c>
      <c r="BB1086" t="s">
        <v>153</v>
      </c>
      <c r="BC1086">
        <v>90.119200000000006</v>
      </c>
      <c r="BD1086">
        <v>5.5</v>
      </c>
      <c r="BE1086">
        <v>207</v>
      </c>
      <c r="BF1086" t="s">
        <v>217</v>
      </c>
      <c r="BG1086">
        <v>0.8544804639703395</v>
      </c>
      <c r="BH1086">
        <v>0.17392156862745101</v>
      </c>
      <c r="BI1086">
        <v>0.48917459745248698</v>
      </c>
      <c r="BJ1086">
        <v>80</v>
      </c>
      <c r="BK1086">
        <v>4309.9902015540383</v>
      </c>
      <c r="BL1086">
        <v>2072.450246267661</v>
      </c>
      <c r="BM1086">
        <v>12.307519273008349</v>
      </c>
      <c r="BN1086">
        <v>2092.2782764114199</v>
      </c>
      <c r="BO1086">
        <v>2217.7119251426179</v>
      </c>
    </row>
    <row r="1087" spans="1:67" x14ac:dyDescent="0.25">
      <c r="A1087" s="1">
        <v>1085</v>
      </c>
      <c r="B1087" t="s">
        <v>78</v>
      </c>
      <c r="C1087" t="s">
        <v>87</v>
      </c>
      <c r="D1087">
        <v>1</v>
      </c>
      <c r="E1087">
        <v>4</v>
      </c>
      <c r="F1087">
        <v>1</v>
      </c>
      <c r="G1087">
        <v>32.041060000000002</v>
      </c>
      <c r="H1087">
        <v>6</v>
      </c>
      <c r="I1087" t="s">
        <v>89</v>
      </c>
      <c r="J1087">
        <v>2.5</v>
      </c>
      <c r="K1087">
        <v>200</v>
      </c>
      <c r="L1087">
        <v>50</v>
      </c>
      <c r="N1087" t="s">
        <v>90</v>
      </c>
      <c r="O1087">
        <v>50</v>
      </c>
      <c r="P1087">
        <v>0.3125</v>
      </c>
      <c r="Q1087">
        <v>3.2500000000000001E-2</v>
      </c>
      <c r="R1087">
        <v>77.5</v>
      </c>
      <c r="S1087">
        <v>170</v>
      </c>
      <c r="T1087">
        <v>50</v>
      </c>
      <c r="U1087">
        <v>1812.1301775147931</v>
      </c>
      <c r="V1087">
        <v>20</v>
      </c>
      <c r="W1087">
        <v>0.95</v>
      </c>
      <c r="X1087">
        <v>1</v>
      </c>
      <c r="Y1087">
        <v>251465.90792686859</v>
      </c>
      <c r="Z1087">
        <v>502931815.85373729</v>
      </c>
      <c r="AA1087">
        <v>1257329539.6343429</v>
      </c>
      <c r="AB1087">
        <v>1257329.539634343</v>
      </c>
      <c r="AC1087">
        <v>0</v>
      </c>
      <c r="AD1087">
        <v>5212.5209162618467</v>
      </c>
      <c r="AE1087">
        <v>3127512.5497571081</v>
      </c>
      <c r="AF1087">
        <v>1563756.274878554</v>
      </c>
      <c r="AG1087">
        <v>50.104408628760247</v>
      </c>
      <c r="AH1087">
        <v>516.15685243053872</v>
      </c>
      <c r="AI1087">
        <v>258.07842621526942</v>
      </c>
      <c r="AJ1087">
        <v>40863.210038116158</v>
      </c>
      <c r="AK1087">
        <v>854.70085470085473</v>
      </c>
      <c r="AL1087" t="s">
        <v>93</v>
      </c>
      <c r="AM1087">
        <v>40002.156063366747</v>
      </c>
      <c r="AN1087">
        <v>2806.303679281998</v>
      </c>
      <c r="AO1087">
        <v>43873.332456595788</v>
      </c>
      <c r="AP1087">
        <v>84526.370635465762</v>
      </c>
      <c r="AQ1087">
        <v>40653.038178869967</v>
      </c>
      <c r="AR1087">
        <v>2.6131444327083329E-2</v>
      </c>
      <c r="AS1087">
        <v>815.56116829728273</v>
      </c>
      <c r="AT1087">
        <v>798.37597445278027</v>
      </c>
      <c r="AU1087">
        <v>56.009116883801752</v>
      </c>
      <c r="AV1087">
        <v>875.63816552885567</v>
      </c>
      <c r="AW1087">
        <v>1687.0046558527199</v>
      </c>
      <c r="AX1087">
        <v>811.3664903238647</v>
      </c>
      <c r="AY1087">
        <v>5.1508127384050333</v>
      </c>
      <c r="AZ1087" t="s">
        <v>97</v>
      </c>
      <c r="BA1087" t="str">
        <f>VLOOKUP($AZ1087,Sheet1!$A$2:$B$58,2)</f>
        <v>1,3-Butanediol (PW2)</v>
      </c>
      <c r="BB1087" t="s">
        <v>153</v>
      </c>
      <c r="BC1087">
        <v>90.119200000000006</v>
      </c>
      <c r="BD1087">
        <v>5.5</v>
      </c>
      <c r="BE1087">
        <v>207</v>
      </c>
      <c r="BF1087" t="s">
        <v>217</v>
      </c>
      <c r="BG1087">
        <v>0.79942373304442027</v>
      </c>
      <c r="BH1087">
        <v>0.177399999999999</v>
      </c>
      <c r="BI1087">
        <v>0.49895808940153502</v>
      </c>
      <c r="BJ1087">
        <v>80</v>
      </c>
      <c r="BK1087">
        <v>4226.3185317732878</v>
      </c>
      <c r="BL1087">
        <v>2032.651908943498</v>
      </c>
      <c r="BM1087">
        <v>12.10449757771905</v>
      </c>
      <c r="BN1087">
        <v>2057.7645882122379</v>
      </c>
      <c r="BO1087">
        <v>2168.553943561049</v>
      </c>
    </row>
    <row r="1088" spans="1:67" x14ac:dyDescent="0.25">
      <c r="A1088" s="1">
        <v>1086</v>
      </c>
      <c r="B1088" t="s">
        <v>78</v>
      </c>
      <c r="C1088" t="s">
        <v>87</v>
      </c>
      <c r="D1088">
        <v>1</v>
      </c>
      <c r="E1088">
        <v>4</v>
      </c>
      <c r="F1088">
        <v>1</v>
      </c>
      <c r="G1088">
        <v>32.041060000000002</v>
      </c>
      <c r="H1088">
        <v>6</v>
      </c>
      <c r="I1088" t="s">
        <v>89</v>
      </c>
      <c r="J1088">
        <v>2.5</v>
      </c>
      <c r="K1088">
        <v>200</v>
      </c>
      <c r="L1088">
        <v>50</v>
      </c>
      <c r="N1088" t="s">
        <v>90</v>
      </c>
      <c r="O1088">
        <v>50</v>
      </c>
      <c r="P1088">
        <v>0.3125</v>
      </c>
      <c r="Q1088">
        <v>3.2500000000000001E-2</v>
      </c>
      <c r="R1088">
        <v>77.5</v>
      </c>
      <c r="S1088">
        <v>170</v>
      </c>
      <c r="T1088">
        <v>50</v>
      </c>
      <c r="U1088">
        <v>1812.1301775147931</v>
      </c>
      <c r="V1088">
        <v>20</v>
      </c>
      <c r="W1088">
        <v>0.95</v>
      </c>
      <c r="X1088">
        <v>1</v>
      </c>
      <c r="Y1088">
        <v>258943.6218480505</v>
      </c>
      <c r="Z1088">
        <v>517887243.69610101</v>
      </c>
      <c r="AA1088">
        <v>1294718109.240252</v>
      </c>
      <c r="AB1088">
        <v>1294718.109240253</v>
      </c>
      <c r="AC1088">
        <v>0</v>
      </c>
      <c r="AD1088">
        <v>5367.5230019971359</v>
      </c>
      <c r="AE1088">
        <v>3220513.8011982809</v>
      </c>
      <c r="AF1088">
        <v>1610256.9005991409</v>
      </c>
      <c r="AG1088">
        <v>51.594337967511102</v>
      </c>
      <c r="AH1088">
        <v>531.50554646526132</v>
      </c>
      <c r="AI1088">
        <v>265.75277323263072</v>
      </c>
      <c r="AJ1088">
        <v>42078.33855030821</v>
      </c>
      <c r="AK1088">
        <v>854.70085470085473</v>
      </c>
      <c r="AL1088" t="s">
        <v>93</v>
      </c>
      <c r="AM1088">
        <v>41191.67985105775</v>
      </c>
      <c r="AN1088">
        <v>2889.7533057647011</v>
      </c>
      <c r="AO1088">
        <v>45177.971449547207</v>
      </c>
      <c r="AP1088">
        <v>87014.472561831513</v>
      </c>
      <c r="AQ1088">
        <v>41836.501112284299</v>
      </c>
      <c r="AR1088">
        <v>2.613144432708334E-2</v>
      </c>
      <c r="AS1088">
        <v>815.56116829728285</v>
      </c>
      <c r="AT1088">
        <v>798.37597445278016</v>
      </c>
      <c r="AU1088">
        <v>56.009116883801767</v>
      </c>
      <c r="AV1088">
        <v>875.63816552885567</v>
      </c>
      <c r="AW1088">
        <v>1686.512047438702</v>
      </c>
      <c r="AX1088">
        <v>810.87388190984632</v>
      </c>
      <c r="AY1088">
        <v>5.1508127384050333</v>
      </c>
      <c r="AZ1088" t="s">
        <v>98</v>
      </c>
      <c r="BA1088" t="str">
        <f>VLOOKUP($AZ1088,Sheet1!$A$2:$B$58,2)</f>
        <v>1,3-Diaminopropane</v>
      </c>
      <c r="BB1088" t="s">
        <v>154</v>
      </c>
      <c r="BC1088">
        <v>76.139580000000009</v>
      </c>
      <c r="BD1088">
        <v>6</v>
      </c>
      <c r="BE1088">
        <v>139.30000000000001</v>
      </c>
      <c r="BF1088" t="s">
        <v>217</v>
      </c>
      <c r="BG1088">
        <v>1.100644129323924</v>
      </c>
      <c r="BH1088">
        <v>0.20390804597701201</v>
      </c>
      <c r="BI1088">
        <v>0.48454929329149399</v>
      </c>
      <c r="BJ1088">
        <v>80</v>
      </c>
      <c r="BK1088">
        <v>4350.7236280915749</v>
      </c>
      <c r="BL1088">
        <v>2091.8250556142152</v>
      </c>
      <c r="BM1088">
        <v>12.18699453230761</v>
      </c>
      <c r="BN1088">
        <v>2071.7890704922929</v>
      </c>
      <c r="BO1088">
        <v>2278.934557599282</v>
      </c>
    </row>
    <row r="1089" spans="1:67" x14ac:dyDescent="0.25">
      <c r="A1089" s="1">
        <v>1087</v>
      </c>
      <c r="B1089" t="s">
        <v>78</v>
      </c>
      <c r="C1089" t="s">
        <v>87</v>
      </c>
      <c r="D1089">
        <v>1</v>
      </c>
      <c r="E1089">
        <v>4</v>
      </c>
      <c r="F1089">
        <v>1</v>
      </c>
      <c r="G1089">
        <v>32.041060000000002</v>
      </c>
      <c r="H1089">
        <v>6</v>
      </c>
      <c r="I1089" t="s">
        <v>89</v>
      </c>
      <c r="J1089">
        <v>2.5</v>
      </c>
      <c r="K1089">
        <v>200</v>
      </c>
      <c r="L1089">
        <v>50</v>
      </c>
      <c r="N1089" t="s">
        <v>90</v>
      </c>
      <c r="O1089">
        <v>50</v>
      </c>
      <c r="P1089">
        <v>0.3125</v>
      </c>
      <c r="Q1089">
        <v>3.2500000000000001E-2</v>
      </c>
      <c r="R1089">
        <v>77.5</v>
      </c>
      <c r="S1089">
        <v>170</v>
      </c>
      <c r="T1089">
        <v>50</v>
      </c>
      <c r="U1089">
        <v>1812.1301775147931</v>
      </c>
      <c r="V1089">
        <v>20</v>
      </c>
      <c r="W1089">
        <v>0.95</v>
      </c>
      <c r="X1089">
        <v>1</v>
      </c>
      <c r="Y1089">
        <v>229320.82115270619</v>
      </c>
      <c r="Z1089">
        <v>458641642.30541241</v>
      </c>
      <c r="AA1089">
        <v>1146604105.763531</v>
      </c>
      <c r="AB1089">
        <v>1146604.1057635311</v>
      </c>
      <c r="AC1089">
        <v>0</v>
      </c>
      <c r="AD1089">
        <v>4753.4856181795112</v>
      </c>
      <c r="AE1089">
        <v>2852091.3709077062</v>
      </c>
      <c r="AF1089">
        <v>1426045.6854538531</v>
      </c>
      <c r="AG1089">
        <v>45.692015370368033</v>
      </c>
      <c r="AH1089">
        <v>470.7020296261806</v>
      </c>
      <c r="AI1089">
        <v>235.3510148130903</v>
      </c>
      <c r="AJ1089">
        <v>37264.633437314762</v>
      </c>
      <c r="AK1089">
        <v>854.70085470085473</v>
      </c>
      <c r="AL1089" t="s">
        <v>93</v>
      </c>
      <c r="AM1089">
        <v>36479.407296029</v>
      </c>
      <c r="AN1089">
        <v>2559.1694295354109</v>
      </c>
      <c r="AO1089">
        <v>40009.67251822535</v>
      </c>
      <c r="AP1089">
        <v>77157.911017580031</v>
      </c>
      <c r="AQ1089">
        <v>37148.23849935468</v>
      </c>
      <c r="AR1089">
        <v>2.613144432708334E-2</v>
      </c>
      <c r="AS1089">
        <v>815.56116829728296</v>
      </c>
      <c r="AT1089">
        <v>798.37597445278038</v>
      </c>
      <c r="AU1089">
        <v>56.009116883801781</v>
      </c>
      <c r="AV1089">
        <v>875.63816552885578</v>
      </c>
      <c r="AW1089">
        <v>1688.6519535668831</v>
      </c>
      <c r="AX1089">
        <v>813.01378803802731</v>
      </c>
      <c r="AY1089">
        <v>5.1508127384050351</v>
      </c>
      <c r="AZ1089" t="s">
        <v>99</v>
      </c>
      <c r="BA1089" t="str">
        <f>VLOOKUP($AZ1089,Sheet1!$A$2:$B$58,2)</f>
        <v>1,3-Propanediol</v>
      </c>
      <c r="BB1089" t="s">
        <v>155</v>
      </c>
      <c r="BC1089">
        <v>76.092820000000003</v>
      </c>
      <c r="BD1089">
        <v>5.333333333333333</v>
      </c>
      <c r="BE1089">
        <v>213</v>
      </c>
      <c r="BF1089" t="s">
        <v>217</v>
      </c>
      <c r="BG1089">
        <v>0.77529310923017225</v>
      </c>
      <c r="BH1089">
        <v>0.230389610389611</v>
      </c>
      <c r="BI1089">
        <v>0.54714154754077404</v>
      </c>
      <c r="BJ1089">
        <v>80</v>
      </c>
      <c r="BK1089">
        <v>3857.8955508790009</v>
      </c>
      <c r="BL1089">
        <v>1857.411924967734</v>
      </c>
      <c r="BM1089">
        <v>10.992257631424341</v>
      </c>
      <c r="BN1089">
        <v>1868.6837973421391</v>
      </c>
      <c r="BO1089">
        <v>1989.2117535368629</v>
      </c>
    </row>
    <row r="1090" spans="1:67" x14ac:dyDescent="0.25">
      <c r="A1090" s="1">
        <v>1088</v>
      </c>
      <c r="B1090" t="s">
        <v>78</v>
      </c>
      <c r="C1090" t="s">
        <v>87</v>
      </c>
      <c r="D1090">
        <v>1</v>
      </c>
      <c r="E1090">
        <v>4</v>
      </c>
      <c r="F1090">
        <v>1</v>
      </c>
      <c r="G1090">
        <v>32.041060000000002</v>
      </c>
      <c r="H1090">
        <v>6</v>
      </c>
      <c r="I1090" t="s">
        <v>89</v>
      </c>
      <c r="J1090">
        <v>2.5</v>
      </c>
      <c r="K1090">
        <v>200</v>
      </c>
      <c r="L1090">
        <v>50</v>
      </c>
      <c r="N1090" t="s">
        <v>90</v>
      </c>
      <c r="O1090">
        <v>50</v>
      </c>
      <c r="P1090">
        <v>0.3125</v>
      </c>
      <c r="Q1090">
        <v>3.2500000000000001E-2</v>
      </c>
      <c r="R1090">
        <v>77.5</v>
      </c>
      <c r="S1090">
        <v>170</v>
      </c>
      <c r="T1090">
        <v>50</v>
      </c>
      <c r="U1090">
        <v>1812.1301775147931</v>
      </c>
      <c r="V1090">
        <v>20</v>
      </c>
      <c r="W1090">
        <v>0.95</v>
      </c>
      <c r="X1090">
        <v>1</v>
      </c>
      <c r="Y1090">
        <v>259009.88516467391</v>
      </c>
      <c r="Z1090">
        <v>518019770.32934779</v>
      </c>
      <c r="AA1090">
        <v>1295049425.82337</v>
      </c>
      <c r="AB1090">
        <v>1295049.42582337</v>
      </c>
      <c r="AC1090">
        <v>0</v>
      </c>
      <c r="AD1090">
        <v>5368.8965437496854</v>
      </c>
      <c r="AE1090">
        <v>3221337.926249811</v>
      </c>
      <c r="AF1090">
        <v>1610668.9631249059</v>
      </c>
      <c r="AG1090">
        <v>51.607540887622903</v>
      </c>
      <c r="AH1090">
        <v>531.64155800345327</v>
      </c>
      <c r="AI1090">
        <v>265.82077900172658</v>
      </c>
      <c r="AJ1090">
        <v>42089.10633925951</v>
      </c>
      <c r="AK1090">
        <v>854.70085470085473</v>
      </c>
      <c r="AL1090" t="s">
        <v>93</v>
      </c>
      <c r="AM1090">
        <v>41202.22074526763</v>
      </c>
      <c r="AN1090">
        <v>2890.4927896604499</v>
      </c>
      <c r="AO1090">
        <v>45189.532430293533</v>
      </c>
      <c r="AP1090">
        <v>87036.520728888456</v>
      </c>
      <c r="AQ1090">
        <v>41846.98829859493</v>
      </c>
      <c r="AR1090">
        <v>2.6131444327083329E-2</v>
      </c>
      <c r="AS1090">
        <v>815.56116829728273</v>
      </c>
      <c r="AT1090">
        <v>798.37597445278027</v>
      </c>
      <c r="AU1090">
        <v>56.009116883801767</v>
      </c>
      <c r="AV1090">
        <v>875.63816552885567</v>
      </c>
      <c r="AW1090">
        <v>1686.50780936091</v>
      </c>
      <c r="AX1090">
        <v>810.86964383205384</v>
      </c>
      <c r="AY1090">
        <v>5.1508127384050333</v>
      </c>
      <c r="AZ1090" t="s">
        <v>100</v>
      </c>
      <c r="BA1090" t="str">
        <f>VLOOKUP($AZ1090,Sheet1!$A$2:$B$58,2)</f>
        <v>1,4-Butanediol</v>
      </c>
      <c r="BB1090" t="s">
        <v>153</v>
      </c>
      <c r="BC1090">
        <v>90.119200000000006</v>
      </c>
      <c r="BD1090">
        <v>5.5</v>
      </c>
      <c r="BE1090">
        <v>230</v>
      </c>
      <c r="BF1090" t="s">
        <v>217</v>
      </c>
      <c r="BG1090">
        <v>0.88200882943330228</v>
      </c>
      <c r="BH1090">
        <v>0.17223300970873801</v>
      </c>
      <c r="BI1090">
        <v>0.48442532951605499</v>
      </c>
      <c r="BJ1090">
        <v>80</v>
      </c>
      <c r="BK1090">
        <v>4351.8260364444222</v>
      </c>
      <c r="BL1090">
        <v>2092.3494149297462</v>
      </c>
      <c r="BM1090">
        <v>12.40903012065303</v>
      </c>
      <c r="BN1090">
        <v>2109.5351205110151</v>
      </c>
      <c r="BO1090">
        <v>2242.2909159334081</v>
      </c>
    </row>
    <row r="1091" spans="1:67" x14ac:dyDescent="0.25">
      <c r="A1091" s="1">
        <v>1089</v>
      </c>
      <c r="B1091" t="s">
        <v>78</v>
      </c>
      <c r="C1091" t="s">
        <v>87</v>
      </c>
      <c r="D1091">
        <v>1</v>
      </c>
      <c r="E1091">
        <v>4</v>
      </c>
      <c r="F1091">
        <v>1</v>
      </c>
      <c r="G1091">
        <v>32.041060000000002</v>
      </c>
      <c r="H1091">
        <v>6</v>
      </c>
      <c r="I1091" t="s">
        <v>89</v>
      </c>
      <c r="J1091">
        <v>2.5</v>
      </c>
      <c r="K1091">
        <v>200</v>
      </c>
      <c r="L1091">
        <v>50</v>
      </c>
      <c r="N1091" t="s">
        <v>90</v>
      </c>
      <c r="O1091">
        <v>50</v>
      </c>
      <c r="P1091">
        <v>0.3125</v>
      </c>
      <c r="Q1091">
        <v>3.2500000000000001E-2</v>
      </c>
      <c r="R1091">
        <v>77.5</v>
      </c>
      <c r="S1091">
        <v>170</v>
      </c>
      <c r="T1091">
        <v>50</v>
      </c>
      <c r="U1091">
        <v>1812.1301775147931</v>
      </c>
      <c r="V1091">
        <v>20</v>
      </c>
      <c r="W1091">
        <v>0.95</v>
      </c>
      <c r="X1091">
        <v>1</v>
      </c>
      <c r="Y1091">
        <v>331855.71620652388</v>
      </c>
      <c r="Z1091">
        <v>663711432.41304779</v>
      </c>
      <c r="AA1091">
        <v>1659278581.032619</v>
      </c>
      <c r="AB1091">
        <v>1659278.58103262</v>
      </c>
      <c r="AC1091">
        <v>0</v>
      </c>
      <c r="AD1091">
        <v>6878.8842040990439</v>
      </c>
      <c r="AE1091">
        <v>4127330.522459426</v>
      </c>
      <c r="AF1091">
        <v>2063665.261229713</v>
      </c>
      <c r="AG1091">
        <v>66.122022454976914</v>
      </c>
      <c r="AH1091">
        <v>681.16431110039775</v>
      </c>
      <c r="AI1091">
        <v>340.58215555019888</v>
      </c>
      <c r="AJ1091">
        <v>53926.55388356014</v>
      </c>
      <c r="AK1091">
        <v>854.70085470085473</v>
      </c>
      <c r="AL1091" t="s">
        <v>93</v>
      </c>
      <c r="AM1091">
        <v>52790.234110280828</v>
      </c>
      <c r="AN1091">
        <v>3703.436084274168</v>
      </c>
      <c r="AO1091">
        <v>57898.966443533813</v>
      </c>
      <c r="AP1091">
        <v>111274.92493281599</v>
      </c>
      <c r="AQ1091">
        <v>53375.958489282188</v>
      </c>
      <c r="AR1091">
        <v>2.613144432708334E-2</v>
      </c>
      <c r="AS1091">
        <v>815.56116829728285</v>
      </c>
      <c r="AT1091">
        <v>798.3759744527805</v>
      </c>
      <c r="AU1091">
        <v>56.009116883801767</v>
      </c>
      <c r="AV1091">
        <v>875.63816552885589</v>
      </c>
      <c r="AW1091">
        <v>1682.8723744586621</v>
      </c>
      <c r="AX1091">
        <v>807.23420892980641</v>
      </c>
      <c r="AY1091">
        <v>5.1508127384050351</v>
      </c>
      <c r="AZ1091" t="s">
        <v>101</v>
      </c>
      <c r="BA1091" t="str">
        <f>VLOOKUP($AZ1091,Sheet1!$A$2:$B$58,2)</f>
        <v>1-Propanol (PW1)</v>
      </c>
      <c r="BB1091" t="s">
        <v>156</v>
      </c>
      <c r="BC1091">
        <v>60.093820000000001</v>
      </c>
      <c r="BD1091">
        <v>6</v>
      </c>
      <c r="BE1091">
        <v>97</v>
      </c>
      <c r="BF1091" t="s">
        <v>217</v>
      </c>
      <c r="BG1091">
        <v>1.43581180242859</v>
      </c>
      <c r="BH1091">
        <v>0.20159090909090799</v>
      </c>
      <c r="BI1091">
        <v>0.37808885862531999</v>
      </c>
      <c r="BJ1091">
        <v>80</v>
      </c>
      <c r="BK1091">
        <v>5563.7462466407987</v>
      </c>
      <c r="BL1091">
        <v>2668.7979244641092</v>
      </c>
      <c r="BM1091">
        <v>15.59329597508135</v>
      </c>
      <c r="BN1091">
        <v>2650.8603157638299</v>
      </c>
      <c r="BO1091">
        <v>2912.8859308769688</v>
      </c>
    </row>
    <row r="1092" spans="1:67" x14ac:dyDescent="0.25">
      <c r="A1092" s="1">
        <v>1090</v>
      </c>
      <c r="B1092" t="s">
        <v>78</v>
      </c>
      <c r="C1092" t="s">
        <v>87</v>
      </c>
      <c r="D1092">
        <v>1</v>
      </c>
      <c r="E1092">
        <v>4</v>
      </c>
      <c r="F1092">
        <v>1</v>
      </c>
      <c r="G1092">
        <v>32.041060000000002</v>
      </c>
      <c r="H1092">
        <v>6</v>
      </c>
      <c r="I1092" t="s">
        <v>89</v>
      </c>
      <c r="J1092">
        <v>2.5</v>
      </c>
      <c r="K1092">
        <v>200</v>
      </c>
      <c r="L1092">
        <v>50</v>
      </c>
      <c r="N1092" t="s">
        <v>90</v>
      </c>
      <c r="O1092">
        <v>50</v>
      </c>
      <c r="P1092">
        <v>0.3125</v>
      </c>
      <c r="Q1092">
        <v>3.2500000000000001E-2</v>
      </c>
      <c r="R1092">
        <v>77.5</v>
      </c>
      <c r="S1092">
        <v>170</v>
      </c>
      <c r="T1092">
        <v>50</v>
      </c>
      <c r="U1092">
        <v>1812.1301775147931</v>
      </c>
      <c r="V1092">
        <v>20</v>
      </c>
      <c r="W1092">
        <v>0.95</v>
      </c>
      <c r="X1092">
        <v>1</v>
      </c>
      <c r="Y1092">
        <v>369566.59304817131</v>
      </c>
      <c r="Z1092">
        <v>739133186.09634244</v>
      </c>
      <c r="AA1092">
        <v>1847832965.2408559</v>
      </c>
      <c r="AB1092">
        <v>1847832.9652408559</v>
      </c>
      <c r="AC1092">
        <v>0</v>
      </c>
      <c r="AD1092">
        <v>7660.5755909284162</v>
      </c>
      <c r="AE1092">
        <v>4596345.3545570495</v>
      </c>
      <c r="AF1092">
        <v>2298172.6772785252</v>
      </c>
      <c r="AG1092">
        <v>73.635888643041852</v>
      </c>
      <c r="AH1092">
        <v>758.56934645270917</v>
      </c>
      <c r="AI1092">
        <v>379.28467322635458</v>
      </c>
      <c r="AJ1092">
        <v>60054.571370327831</v>
      </c>
      <c r="AK1092">
        <v>854.70085470085473</v>
      </c>
      <c r="AL1092" t="s">
        <v>93</v>
      </c>
      <c r="AM1092">
        <v>58789.12435008496</v>
      </c>
      <c r="AN1092">
        <v>4124.2810938507428</v>
      </c>
      <c r="AO1092">
        <v>64478.394448480278</v>
      </c>
      <c r="AP1092">
        <v>123822.6776689644</v>
      </c>
      <c r="AQ1092">
        <v>59344.283220484132</v>
      </c>
      <c r="AR1092">
        <v>2.613144432708334E-2</v>
      </c>
      <c r="AS1092">
        <v>815.56116829728285</v>
      </c>
      <c r="AT1092">
        <v>798.37597445278038</v>
      </c>
      <c r="AU1092">
        <v>56.009116883801767</v>
      </c>
      <c r="AV1092">
        <v>875.63816552885589</v>
      </c>
      <c r="AW1092">
        <v>1681.5533831500099</v>
      </c>
      <c r="AX1092">
        <v>805.91521762115383</v>
      </c>
      <c r="AY1092">
        <v>5.1508127384050342</v>
      </c>
      <c r="AZ1092" t="s">
        <v>102</v>
      </c>
      <c r="BA1092" t="str">
        <f>VLOOKUP($AZ1092,Sheet1!$A$2:$B$58,2)</f>
        <v>1-Propanol (PW2)</v>
      </c>
      <c r="BB1092" t="s">
        <v>156</v>
      </c>
      <c r="BC1092">
        <v>60.093820000000001</v>
      </c>
      <c r="BD1092">
        <v>6</v>
      </c>
      <c r="BE1092">
        <v>97</v>
      </c>
      <c r="BF1092" t="s">
        <v>217</v>
      </c>
      <c r="BG1092">
        <v>1.848638657640949</v>
      </c>
      <c r="BH1092">
        <v>0.18102040816326601</v>
      </c>
      <c r="BI1092">
        <v>0.33950836284722902</v>
      </c>
      <c r="BJ1092">
        <v>80</v>
      </c>
      <c r="BK1092">
        <v>6191.1338834482194</v>
      </c>
      <c r="BL1092">
        <v>2967.2141610242061</v>
      </c>
      <c r="BM1092">
        <v>17.11559500367677</v>
      </c>
      <c r="BN1092">
        <v>2909.6511506250508</v>
      </c>
      <c r="BO1092">
        <v>3281.4827328231681</v>
      </c>
    </row>
    <row r="1093" spans="1:67" x14ac:dyDescent="0.25">
      <c r="A1093" s="1">
        <v>1091</v>
      </c>
      <c r="B1093" t="s">
        <v>78</v>
      </c>
      <c r="C1093" t="s">
        <v>87</v>
      </c>
      <c r="D1093">
        <v>1</v>
      </c>
      <c r="E1093">
        <v>4</v>
      </c>
      <c r="F1093">
        <v>1</v>
      </c>
      <c r="G1093">
        <v>32.041060000000002</v>
      </c>
      <c r="H1093">
        <v>6</v>
      </c>
      <c r="I1093" t="s">
        <v>89</v>
      </c>
      <c r="J1093">
        <v>2.5</v>
      </c>
      <c r="K1093">
        <v>200</v>
      </c>
      <c r="L1093">
        <v>50</v>
      </c>
      <c r="N1093" t="s">
        <v>90</v>
      </c>
      <c r="O1093">
        <v>50</v>
      </c>
      <c r="P1093">
        <v>0.3125</v>
      </c>
      <c r="Q1093">
        <v>3.2500000000000001E-2</v>
      </c>
      <c r="R1093">
        <v>77.5</v>
      </c>
      <c r="S1093">
        <v>170</v>
      </c>
      <c r="T1093">
        <v>50</v>
      </c>
      <c r="U1093">
        <v>1812.1301775147931</v>
      </c>
      <c r="V1093">
        <v>20</v>
      </c>
      <c r="W1093">
        <v>0.95</v>
      </c>
      <c r="X1093">
        <v>1</v>
      </c>
      <c r="Y1093">
        <v>261524.54424394251</v>
      </c>
      <c r="Z1093">
        <v>523049088.48788488</v>
      </c>
      <c r="AA1093">
        <v>1307622721.219712</v>
      </c>
      <c r="AB1093">
        <v>1307622.7212197119</v>
      </c>
      <c r="AC1093">
        <v>0</v>
      </c>
      <c r="AD1093">
        <v>5421.0217529123011</v>
      </c>
      <c r="AE1093">
        <v>3252613.0517473798</v>
      </c>
      <c r="AF1093">
        <v>1626306.5258736899</v>
      </c>
      <c r="AG1093">
        <v>52.10858497391046</v>
      </c>
      <c r="AH1093">
        <v>536.80312652775831</v>
      </c>
      <c r="AI1093">
        <v>268.40156326387921</v>
      </c>
      <c r="AJ1093">
        <v>42497.738439640649</v>
      </c>
      <c r="AK1093">
        <v>854.70085470085473</v>
      </c>
      <c r="AL1093" t="s">
        <v>93</v>
      </c>
      <c r="AM1093">
        <v>41602.242305901273</v>
      </c>
      <c r="AN1093">
        <v>2918.5558264532669</v>
      </c>
      <c r="AO1093">
        <v>45628.265754859458</v>
      </c>
      <c r="AP1093">
        <v>87873.237426696054</v>
      </c>
      <c r="AQ1093">
        <v>42244.971671836603</v>
      </c>
      <c r="AR1093">
        <v>2.613144432708334E-2</v>
      </c>
      <c r="AS1093">
        <v>815.56116829728285</v>
      </c>
      <c r="AT1093">
        <v>798.37597445278027</v>
      </c>
      <c r="AU1093">
        <v>56.009116883801759</v>
      </c>
      <c r="AV1093">
        <v>875.63816552885578</v>
      </c>
      <c r="AW1093">
        <v>1686.348563690457</v>
      </c>
      <c r="AX1093">
        <v>810.71039816160169</v>
      </c>
      <c r="AY1093">
        <v>5.1508127384050342</v>
      </c>
      <c r="AZ1093" t="s">
        <v>103</v>
      </c>
      <c r="BA1093" t="str">
        <f>VLOOKUP($AZ1093,Sheet1!$A$2:$B$58,2)</f>
        <v>2,3-Butanediol</v>
      </c>
      <c r="BB1093" t="s">
        <v>153</v>
      </c>
      <c r="BC1093">
        <v>90.119200000000006</v>
      </c>
      <c r="BD1093">
        <v>5.5</v>
      </c>
      <c r="BE1093">
        <v>177</v>
      </c>
      <c r="BF1093" t="s">
        <v>217</v>
      </c>
      <c r="BG1093">
        <v>0.90953719489626494</v>
      </c>
      <c r="BH1093">
        <v>0.17057692307692299</v>
      </c>
      <c r="BI1093">
        <v>0.479767393655324</v>
      </c>
      <c r="BJ1093">
        <v>80</v>
      </c>
      <c r="BK1093">
        <v>4393.6618713348034</v>
      </c>
      <c r="BL1093">
        <v>2112.2485835918301</v>
      </c>
      <c r="BM1093">
        <v>12.51054096829769</v>
      </c>
      <c r="BN1093">
        <v>2126.791964610607</v>
      </c>
      <c r="BO1093">
        <v>2266.8699067241951</v>
      </c>
    </row>
    <row r="1094" spans="1:67" x14ac:dyDescent="0.25">
      <c r="A1094" s="1">
        <v>1092</v>
      </c>
      <c r="B1094" t="s">
        <v>78</v>
      </c>
      <c r="C1094" t="s">
        <v>87</v>
      </c>
      <c r="D1094">
        <v>1</v>
      </c>
      <c r="E1094">
        <v>4</v>
      </c>
      <c r="F1094">
        <v>1</v>
      </c>
      <c r="G1094">
        <v>32.041060000000002</v>
      </c>
      <c r="H1094">
        <v>6</v>
      </c>
      <c r="I1094" t="s">
        <v>89</v>
      </c>
      <c r="J1094">
        <v>2.5</v>
      </c>
      <c r="K1094">
        <v>200</v>
      </c>
      <c r="L1094">
        <v>50</v>
      </c>
      <c r="N1094" t="s">
        <v>90</v>
      </c>
      <c r="O1094">
        <v>50</v>
      </c>
      <c r="P1094">
        <v>0.3125</v>
      </c>
      <c r="Q1094">
        <v>3.2500000000000001E-2</v>
      </c>
      <c r="R1094">
        <v>77.5</v>
      </c>
      <c r="S1094">
        <v>170</v>
      </c>
      <c r="T1094">
        <v>50</v>
      </c>
      <c r="U1094">
        <v>1812.1301775147931</v>
      </c>
      <c r="V1094">
        <v>20</v>
      </c>
      <c r="W1094">
        <v>0.95</v>
      </c>
      <c r="X1094">
        <v>1</v>
      </c>
      <c r="Y1094">
        <v>401065.74822804332</v>
      </c>
      <c r="Z1094">
        <v>802131496.45608664</v>
      </c>
      <c r="AA1094">
        <v>2005328741.1402171</v>
      </c>
      <c r="AB1094">
        <v>2005328.7411402171</v>
      </c>
      <c r="AC1094">
        <v>0</v>
      </c>
      <c r="AD1094">
        <v>8313.5070621297164</v>
      </c>
      <c r="AE1094">
        <v>4988104.2372778291</v>
      </c>
      <c r="AF1094">
        <v>2494052.118638915</v>
      </c>
      <c r="AG1094">
        <v>79.912073576436583</v>
      </c>
      <c r="AH1094">
        <v>823.22425305973979</v>
      </c>
      <c r="AI1094">
        <v>411.6121265298699</v>
      </c>
      <c r="AJ1094">
        <v>65173.184087057038</v>
      </c>
      <c r="AK1094">
        <v>854.70085470085473</v>
      </c>
      <c r="AL1094" t="s">
        <v>93</v>
      </c>
      <c r="AM1094">
        <v>63799.879612129836</v>
      </c>
      <c r="AN1094">
        <v>4475.8046693696033</v>
      </c>
      <c r="AO1094">
        <v>69974.061510077881</v>
      </c>
      <c r="AP1094">
        <v>134303.56922325731</v>
      </c>
      <c r="AQ1094">
        <v>64329.507713179453</v>
      </c>
      <c r="AR1094">
        <v>2.613144432708334E-2</v>
      </c>
      <c r="AS1094">
        <v>815.56116829728296</v>
      </c>
      <c r="AT1094">
        <v>798.37597445278038</v>
      </c>
      <c r="AU1094">
        <v>56.009116883801767</v>
      </c>
      <c r="AV1094">
        <v>875.63816552885578</v>
      </c>
      <c r="AW1094">
        <v>1680.6417755484069</v>
      </c>
      <c r="AX1094">
        <v>805.00361001955139</v>
      </c>
      <c r="AY1094">
        <v>5.1508127384050342</v>
      </c>
      <c r="AZ1094" t="s">
        <v>104</v>
      </c>
      <c r="BA1094" t="str">
        <f>VLOOKUP($AZ1094,Sheet1!$A$2:$B$58,2)</f>
        <v>2-Methyl-1-Butanol</v>
      </c>
      <c r="BB1094" t="s">
        <v>157</v>
      </c>
      <c r="BC1094">
        <v>88.14658</v>
      </c>
      <c r="BD1094">
        <v>6</v>
      </c>
      <c r="BE1094">
        <v>129</v>
      </c>
      <c r="BF1094" t="s">
        <v>217</v>
      </c>
      <c r="BG1094">
        <v>1.894119392510099</v>
      </c>
      <c r="BH1094">
        <v>0.11371794871794901</v>
      </c>
      <c r="BI1094">
        <v>0.31284384050036301</v>
      </c>
      <c r="BJ1094">
        <v>80</v>
      </c>
      <c r="BK1094">
        <v>6715.1784611628664</v>
      </c>
      <c r="BL1094">
        <v>3216.4753856589718</v>
      </c>
      <c r="BM1094">
        <v>18.686486933983399</v>
      </c>
      <c r="BN1094">
        <v>3176.7027787771772</v>
      </c>
      <c r="BO1094">
        <v>3538.4756823856892</v>
      </c>
    </row>
    <row r="1095" spans="1:67" x14ac:dyDescent="0.25">
      <c r="A1095" s="1">
        <v>1093</v>
      </c>
      <c r="B1095" t="s">
        <v>78</v>
      </c>
      <c r="C1095" t="s">
        <v>87</v>
      </c>
      <c r="D1095">
        <v>1</v>
      </c>
      <c r="E1095">
        <v>4</v>
      </c>
      <c r="F1095">
        <v>1</v>
      </c>
      <c r="G1095">
        <v>32.041060000000002</v>
      </c>
      <c r="H1095">
        <v>6</v>
      </c>
      <c r="I1095" t="s">
        <v>89</v>
      </c>
      <c r="J1095">
        <v>2.5</v>
      </c>
      <c r="K1095">
        <v>200</v>
      </c>
      <c r="L1095">
        <v>50</v>
      </c>
      <c r="N1095" t="s">
        <v>90</v>
      </c>
      <c r="O1095">
        <v>50</v>
      </c>
      <c r="P1095">
        <v>0.3125</v>
      </c>
      <c r="Q1095">
        <v>3.2500000000000001E-2</v>
      </c>
      <c r="R1095">
        <v>77.5</v>
      </c>
      <c r="S1095">
        <v>170</v>
      </c>
      <c r="T1095">
        <v>50</v>
      </c>
      <c r="U1095">
        <v>1812.1301775147931</v>
      </c>
      <c r="V1095">
        <v>20</v>
      </c>
      <c r="W1095">
        <v>0.95</v>
      </c>
      <c r="X1095">
        <v>1</v>
      </c>
      <c r="Y1095">
        <v>173826.52249484661</v>
      </c>
      <c r="Z1095">
        <v>347653044.98969322</v>
      </c>
      <c r="AA1095">
        <v>869132612.47423291</v>
      </c>
      <c r="AB1095">
        <v>869132.61247423291</v>
      </c>
      <c r="AC1095">
        <v>0</v>
      </c>
      <c r="AD1095">
        <v>3603.1698760889408</v>
      </c>
      <c r="AE1095">
        <v>2161901.925653365</v>
      </c>
      <c r="AF1095">
        <v>1080950.962826682</v>
      </c>
      <c r="AG1095">
        <v>34.634814656987487</v>
      </c>
      <c r="AH1095">
        <v>356.79488905501711</v>
      </c>
      <c r="AI1095">
        <v>178.39744452750861</v>
      </c>
      <c r="AJ1095">
        <v>28246.809905412571</v>
      </c>
      <c r="AK1095">
        <v>1835.336538461539</v>
      </c>
      <c r="AL1095" t="s">
        <v>94</v>
      </c>
      <c r="AM1095">
        <v>27651.603901763821</v>
      </c>
      <c r="AN1095">
        <v>1939.8653823720231</v>
      </c>
      <c r="AO1095">
        <v>30327.565569676459</v>
      </c>
      <c r="AP1095">
        <v>59673.615728009958</v>
      </c>
      <c r="AQ1095">
        <v>29346.050158333499</v>
      </c>
      <c r="AR1095">
        <v>2.6131444327083329E-2</v>
      </c>
      <c r="AS1095">
        <v>815.56116829728262</v>
      </c>
      <c r="AT1095">
        <v>798.37597445278016</v>
      </c>
      <c r="AU1095">
        <v>56.009116883801759</v>
      </c>
      <c r="AV1095">
        <v>875.63816552885567</v>
      </c>
      <c r="AW1095">
        <v>1722.937348416586</v>
      </c>
      <c r="AX1095">
        <v>847.29918288773058</v>
      </c>
      <c r="AY1095">
        <v>5.1508127384050342</v>
      </c>
      <c r="AZ1095" t="s">
        <v>105</v>
      </c>
      <c r="BA1095" t="str">
        <f>VLOOKUP($AZ1095,Sheet1!$A$2:$B$58,2)</f>
        <v>2-Pyrone-4,6-Dicarboxylate</v>
      </c>
      <c r="BB1095" t="s">
        <v>158</v>
      </c>
      <c r="BC1095">
        <v>182.08457999999999</v>
      </c>
      <c r="BD1095">
        <v>2.5714285714285721</v>
      </c>
      <c r="BE1095">
        <v>355.5</v>
      </c>
      <c r="BF1095" t="s">
        <v>217</v>
      </c>
      <c r="BG1095">
        <v>0.21100003876526591</v>
      </c>
      <c r="BH1095">
        <v>0.127016706443914</v>
      </c>
      <c r="BI1095">
        <v>0.72181705742017899</v>
      </c>
      <c r="BJ1095">
        <v>80</v>
      </c>
      <c r="BK1095">
        <v>2983.6807864004968</v>
      </c>
      <c r="BL1095">
        <v>1467.302507916675</v>
      </c>
      <c r="BM1095">
        <v>8.7088721876101634</v>
      </c>
      <c r="BN1095">
        <v>1480.5082718937281</v>
      </c>
      <c r="BO1095">
        <v>1503.1725145067689</v>
      </c>
    </row>
    <row r="1096" spans="1:67" x14ac:dyDescent="0.25">
      <c r="A1096" s="1">
        <v>1094</v>
      </c>
      <c r="B1096" t="s">
        <v>78</v>
      </c>
      <c r="C1096" t="s">
        <v>87</v>
      </c>
      <c r="D1096">
        <v>1</v>
      </c>
      <c r="E1096">
        <v>4</v>
      </c>
      <c r="F1096">
        <v>1</v>
      </c>
      <c r="G1096">
        <v>32.041060000000002</v>
      </c>
      <c r="H1096">
        <v>6</v>
      </c>
      <c r="I1096" t="s">
        <v>89</v>
      </c>
      <c r="J1096">
        <v>2.5</v>
      </c>
      <c r="K1096">
        <v>200</v>
      </c>
      <c r="L1096">
        <v>50</v>
      </c>
      <c r="N1096" t="s">
        <v>90</v>
      </c>
      <c r="O1096">
        <v>50</v>
      </c>
      <c r="P1096">
        <v>0.3125</v>
      </c>
      <c r="Q1096">
        <v>3.2500000000000001E-2</v>
      </c>
      <c r="R1096">
        <v>77.5</v>
      </c>
      <c r="S1096">
        <v>170</v>
      </c>
      <c r="T1096">
        <v>50</v>
      </c>
      <c r="U1096">
        <v>1812.1301775147931</v>
      </c>
      <c r="V1096">
        <v>20</v>
      </c>
      <c r="W1096">
        <v>0.95</v>
      </c>
      <c r="X1096">
        <v>1</v>
      </c>
      <c r="Y1096">
        <v>423636.9516828928</v>
      </c>
      <c r="Z1096">
        <v>847273903.3657856</v>
      </c>
      <c r="AA1096">
        <v>2118184758.414464</v>
      </c>
      <c r="AB1096">
        <v>2118184.7584144641</v>
      </c>
      <c r="AC1096">
        <v>0</v>
      </c>
      <c r="AD1096">
        <v>8781.3751365082935</v>
      </c>
      <c r="AE1096">
        <v>5268825.0819049757</v>
      </c>
      <c r="AF1096">
        <v>2634412.5409524878</v>
      </c>
      <c r="AG1096">
        <v>84.409370289411129</v>
      </c>
      <c r="AH1096">
        <v>869.55371945489253</v>
      </c>
      <c r="AI1096">
        <v>434.77685972744632</v>
      </c>
      <c r="AJ1096">
        <v>68841.004648470087</v>
      </c>
      <c r="AK1096">
        <v>854.70085470085473</v>
      </c>
      <c r="AL1096" t="s">
        <v>93</v>
      </c>
      <c r="AM1096">
        <v>67390.413257754175</v>
      </c>
      <c r="AN1096">
        <v>4727.6942866277323</v>
      </c>
      <c r="AO1096">
        <v>73912.066153665859</v>
      </c>
      <c r="AP1096">
        <v>141813.8130475528</v>
      </c>
      <c r="AQ1096">
        <v>67901.746893886972</v>
      </c>
      <c r="AR1096">
        <v>2.613144432708334E-2</v>
      </c>
      <c r="AS1096">
        <v>815.56116829728285</v>
      </c>
      <c r="AT1096">
        <v>798.37597445278038</v>
      </c>
      <c r="AU1096">
        <v>56.009116883801767</v>
      </c>
      <c r="AV1096">
        <v>875.63816552885578</v>
      </c>
      <c r="AW1096">
        <v>1680.071922836544</v>
      </c>
      <c r="AX1096">
        <v>804.43375730768867</v>
      </c>
      <c r="AY1096">
        <v>5.1508127384050342</v>
      </c>
      <c r="AZ1096" t="s">
        <v>106</v>
      </c>
      <c r="BA1096" t="str">
        <f>VLOOKUP($AZ1096,Sheet1!$A$2:$B$58,2)</f>
        <v>3-Methyl-1-Pentanol</v>
      </c>
      <c r="BB1096" t="s">
        <v>159</v>
      </c>
      <c r="BC1096">
        <v>102.17296</v>
      </c>
      <c r="BD1096">
        <v>6</v>
      </c>
      <c r="BE1096">
        <v>153</v>
      </c>
      <c r="BF1096" t="s">
        <v>217</v>
      </c>
      <c r="BG1096">
        <v>2.0531787090291291</v>
      </c>
      <c r="BH1096">
        <v>9.2879581151832397E-2</v>
      </c>
      <c r="BI1096">
        <v>0.29617564867838098</v>
      </c>
      <c r="BJ1096">
        <v>80</v>
      </c>
      <c r="BK1096">
        <v>7090.6906523776424</v>
      </c>
      <c r="BL1096">
        <v>3395.0873446943492</v>
      </c>
      <c r="BM1096">
        <v>19.685664277343179</v>
      </c>
      <c r="BN1096">
        <v>3346.5629271483408</v>
      </c>
      <c r="BO1096">
        <v>3744.1277252293012</v>
      </c>
    </row>
    <row r="1097" spans="1:67" x14ac:dyDescent="0.25">
      <c r="A1097" s="1">
        <v>1095</v>
      </c>
      <c r="B1097" t="s">
        <v>78</v>
      </c>
      <c r="C1097" t="s">
        <v>87</v>
      </c>
      <c r="D1097">
        <v>1</v>
      </c>
      <c r="E1097">
        <v>4</v>
      </c>
      <c r="F1097">
        <v>1</v>
      </c>
      <c r="G1097">
        <v>32.041060000000002</v>
      </c>
      <c r="H1097">
        <v>6</v>
      </c>
      <c r="I1097" t="s">
        <v>89</v>
      </c>
      <c r="J1097">
        <v>2.5</v>
      </c>
      <c r="K1097">
        <v>200</v>
      </c>
      <c r="L1097">
        <v>50</v>
      </c>
      <c r="N1097" t="s">
        <v>90</v>
      </c>
      <c r="O1097">
        <v>50</v>
      </c>
      <c r="P1097">
        <v>0.3125</v>
      </c>
      <c r="Q1097">
        <v>3.2500000000000001E-2</v>
      </c>
      <c r="R1097">
        <v>77.5</v>
      </c>
      <c r="S1097">
        <v>170</v>
      </c>
      <c r="T1097">
        <v>50</v>
      </c>
      <c r="U1097">
        <v>1812.1301775147931</v>
      </c>
      <c r="V1097">
        <v>20</v>
      </c>
      <c r="W1097">
        <v>0.95</v>
      </c>
      <c r="X1097">
        <v>1</v>
      </c>
      <c r="Y1097">
        <v>412443.95161334227</v>
      </c>
      <c r="Z1097">
        <v>824887903.22668469</v>
      </c>
      <c r="AA1097">
        <v>2062219758.0667119</v>
      </c>
      <c r="AB1097">
        <v>2062219.7580667119</v>
      </c>
      <c r="AC1097">
        <v>0</v>
      </c>
      <c r="AD1097">
        <v>8549.3605964092058</v>
      </c>
      <c r="AE1097">
        <v>5129616.3578455234</v>
      </c>
      <c r="AF1097">
        <v>2564808.1789227622</v>
      </c>
      <c r="AG1097">
        <v>82.179172749354947</v>
      </c>
      <c r="AH1097">
        <v>846.57905965793066</v>
      </c>
      <c r="AI1097">
        <v>423.28952982896533</v>
      </c>
      <c r="AJ1097">
        <v>67022.142137168135</v>
      </c>
      <c r="AK1097">
        <v>854.70085470085473</v>
      </c>
      <c r="AL1097" t="s">
        <v>93</v>
      </c>
      <c r="AM1097">
        <v>65609.877123489627</v>
      </c>
      <c r="AN1097">
        <v>4602.7828919327576</v>
      </c>
      <c r="AO1097">
        <v>71959.220070924101</v>
      </c>
      <c r="AP1097">
        <v>138089.50300729141</v>
      </c>
      <c r="AQ1097">
        <v>66130.282936367279</v>
      </c>
      <c r="AR1097">
        <v>2.6131444327083329E-2</v>
      </c>
      <c r="AS1097">
        <v>815.56116829728273</v>
      </c>
      <c r="AT1097">
        <v>798.37597445278038</v>
      </c>
      <c r="AU1097">
        <v>56.009116883801752</v>
      </c>
      <c r="AV1097">
        <v>875.63816552885578</v>
      </c>
      <c r="AW1097">
        <v>1680.3467154440939</v>
      </c>
      <c r="AX1097">
        <v>804.70854991523834</v>
      </c>
      <c r="AY1097">
        <v>5.1508127384050342</v>
      </c>
      <c r="AZ1097" t="s">
        <v>107</v>
      </c>
      <c r="BA1097" t="str">
        <f>VLOOKUP($AZ1097,Sheet1!$A$2:$B$58,2)</f>
        <v>4-Hydroxystyrene</v>
      </c>
      <c r="BB1097" t="s">
        <v>160</v>
      </c>
      <c r="BC1097">
        <v>120.14731999999999</v>
      </c>
      <c r="BD1097">
        <v>4.75</v>
      </c>
      <c r="BE1097">
        <v>229</v>
      </c>
      <c r="BF1097" t="s">
        <v>217</v>
      </c>
      <c r="BG1097">
        <v>1.5846858755743121</v>
      </c>
      <c r="BH1097">
        <v>8.1128048780487697E-2</v>
      </c>
      <c r="BI1097">
        <v>0.30421333244920301</v>
      </c>
      <c r="BJ1097">
        <v>80</v>
      </c>
      <c r="BK1097">
        <v>6904.4751503645693</v>
      </c>
      <c r="BL1097">
        <v>3306.5141468183642</v>
      </c>
      <c r="BM1097">
        <v>19.57979061587395</v>
      </c>
      <c r="BN1097">
        <v>3328.5644046985722</v>
      </c>
      <c r="BO1097">
        <v>3575.9107456659981</v>
      </c>
    </row>
    <row r="1098" spans="1:67" x14ac:dyDescent="0.25">
      <c r="A1098" s="1">
        <v>1096</v>
      </c>
      <c r="B1098" t="s">
        <v>78</v>
      </c>
      <c r="C1098" t="s">
        <v>87</v>
      </c>
      <c r="D1098">
        <v>1</v>
      </c>
      <c r="E1098">
        <v>4</v>
      </c>
      <c r="F1098">
        <v>1</v>
      </c>
      <c r="G1098">
        <v>32.041060000000002</v>
      </c>
      <c r="H1098">
        <v>6</v>
      </c>
      <c r="I1098" t="s">
        <v>89</v>
      </c>
      <c r="J1098">
        <v>2.5</v>
      </c>
      <c r="K1098">
        <v>200</v>
      </c>
      <c r="L1098">
        <v>50</v>
      </c>
      <c r="N1098" t="s">
        <v>90</v>
      </c>
      <c r="O1098">
        <v>50</v>
      </c>
      <c r="P1098">
        <v>0.3125</v>
      </c>
      <c r="Q1098">
        <v>3.2500000000000001E-2</v>
      </c>
      <c r="R1098">
        <v>77.5</v>
      </c>
      <c r="S1098">
        <v>170</v>
      </c>
      <c r="T1098">
        <v>50</v>
      </c>
      <c r="U1098">
        <v>1812.1301775147931</v>
      </c>
      <c r="V1098">
        <v>20</v>
      </c>
      <c r="W1098">
        <v>0.95</v>
      </c>
      <c r="X1098">
        <v>1</v>
      </c>
      <c r="Y1098">
        <v>290179.0274849108</v>
      </c>
      <c r="Z1098">
        <v>580358054.96982157</v>
      </c>
      <c r="AA1098">
        <v>1450895137.4245541</v>
      </c>
      <c r="AB1098">
        <v>1450895.137424554</v>
      </c>
      <c r="AC1098">
        <v>0</v>
      </c>
      <c r="AD1098">
        <v>6014.9873304714647</v>
      </c>
      <c r="AE1098">
        <v>3608992.398282879</v>
      </c>
      <c r="AF1098">
        <v>1804496.1991414391</v>
      </c>
      <c r="AG1098">
        <v>57.817970986462811</v>
      </c>
      <c r="AH1098">
        <v>595.61908293161059</v>
      </c>
      <c r="AI1098">
        <v>297.8095414658053</v>
      </c>
      <c r="AJ1098">
        <v>47154.091966298009</v>
      </c>
      <c r="AK1098">
        <v>854.70085470085473</v>
      </c>
      <c r="AL1098" t="s">
        <v>93</v>
      </c>
      <c r="AM1098">
        <v>46160.478927199823</v>
      </c>
      <c r="AN1098">
        <v>3238.3334949650548</v>
      </c>
      <c r="AO1098">
        <v>50627.622049186903</v>
      </c>
      <c r="AP1098">
        <v>97407.605243163751</v>
      </c>
      <c r="AQ1098">
        <v>46779.983193976848</v>
      </c>
      <c r="AR1098">
        <v>2.613144432708334E-2</v>
      </c>
      <c r="AS1098">
        <v>815.56116829728285</v>
      </c>
      <c r="AT1098">
        <v>798.37597445278027</v>
      </c>
      <c r="AU1098">
        <v>56.009116883801767</v>
      </c>
      <c r="AV1098">
        <v>875.63816552885578</v>
      </c>
      <c r="AW1098">
        <v>1684.7288754904639</v>
      </c>
      <c r="AX1098">
        <v>809.09070996160813</v>
      </c>
      <c r="AY1098">
        <v>5.1508127384050333</v>
      </c>
      <c r="AZ1098" t="s">
        <v>108</v>
      </c>
      <c r="BA1098" t="str">
        <f>VLOOKUP($AZ1098,Sheet1!$A$2:$B$58,2)</f>
        <v>5-Aminopentanoate</v>
      </c>
      <c r="BB1098" t="s">
        <v>161</v>
      </c>
      <c r="BC1098">
        <v>117.14444</v>
      </c>
      <c r="BD1098">
        <v>4.8</v>
      </c>
      <c r="BE1098">
        <v>247.5</v>
      </c>
      <c r="BF1098" t="s">
        <v>217</v>
      </c>
      <c r="BG1098">
        <v>1.298184881198494</v>
      </c>
      <c r="BH1098">
        <v>0.11826666666666701</v>
      </c>
      <c r="BI1098">
        <v>0.43239151380551499</v>
      </c>
      <c r="BJ1098">
        <v>80</v>
      </c>
      <c r="BK1098">
        <v>4870.3802621581872</v>
      </c>
      <c r="BL1098">
        <v>2338.999159698843</v>
      </c>
      <c r="BM1098">
        <v>13.592292192091771</v>
      </c>
      <c r="BN1098">
        <v>2310.689672655601</v>
      </c>
      <c r="BO1098">
        <v>2559.6905895025861</v>
      </c>
    </row>
    <row r="1099" spans="1:67" x14ac:dyDescent="0.25">
      <c r="A1099" s="1">
        <v>1097</v>
      </c>
      <c r="B1099" t="s">
        <v>78</v>
      </c>
      <c r="C1099" t="s">
        <v>87</v>
      </c>
      <c r="D1099">
        <v>1</v>
      </c>
      <c r="E1099">
        <v>4</v>
      </c>
      <c r="F1099">
        <v>1</v>
      </c>
      <c r="G1099">
        <v>32.041060000000002</v>
      </c>
      <c r="H1099">
        <v>6</v>
      </c>
      <c r="I1099" t="s">
        <v>89</v>
      </c>
      <c r="J1099">
        <v>2.5</v>
      </c>
      <c r="K1099">
        <v>200</v>
      </c>
      <c r="L1099">
        <v>50</v>
      </c>
      <c r="N1099" t="s">
        <v>90</v>
      </c>
      <c r="O1099">
        <v>50</v>
      </c>
      <c r="P1099">
        <v>0.3125</v>
      </c>
      <c r="Q1099">
        <v>3.2500000000000001E-2</v>
      </c>
      <c r="R1099">
        <v>77.5</v>
      </c>
      <c r="S1099">
        <v>170</v>
      </c>
      <c r="T1099">
        <v>50</v>
      </c>
      <c r="U1099">
        <v>1812.1301775147931</v>
      </c>
      <c r="V1099">
        <v>20</v>
      </c>
      <c r="W1099">
        <v>0.95</v>
      </c>
      <c r="X1099">
        <v>1</v>
      </c>
      <c r="Y1099">
        <v>292647.62675306457</v>
      </c>
      <c r="Z1099">
        <v>585295253.50612926</v>
      </c>
      <c r="AA1099">
        <v>1463238133.7653229</v>
      </c>
      <c r="AB1099">
        <v>1463238.1337653231</v>
      </c>
      <c r="AC1099">
        <v>0</v>
      </c>
      <c r="AD1099">
        <v>6066.1577870363481</v>
      </c>
      <c r="AE1099">
        <v>3639694.6722218092</v>
      </c>
      <c r="AF1099">
        <v>1819847.336110905</v>
      </c>
      <c r="AG1099">
        <v>58.309837687169662</v>
      </c>
      <c r="AH1099">
        <v>600.68610946680678</v>
      </c>
      <c r="AI1099">
        <v>300.34305473340339</v>
      </c>
      <c r="AJ1099">
        <v>47555.239347372997</v>
      </c>
      <c r="AK1099">
        <v>854.70085470085473</v>
      </c>
      <c r="AL1099" t="s">
        <v>93</v>
      </c>
      <c r="AM1099">
        <v>46553.173483677529</v>
      </c>
      <c r="AN1099">
        <v>3265.8825144961952</v>
      </c>
      <c r="AO1099">
        <v>51058.319304678567</v>
      </c>
      <c r="AP1099">
        <v>98228.99620024758</v>
      </c>
      <c r="AQ1099">
        <v>47170.676895569013</v>
      </c>
      <c r="AR1099">
        <v>2.6131444327083329E-2</v>
      </c>
      <c r="AS1099">
        <v>815.56116829728262</v>
      </c>
      <c r="AT1099">
        <v>798.37597445278027</v>
      </c>
      <c r="AU1099">
        <v>56.009116883801759</v>
      </c>
      <c r="AV1099">
        <v>875.63816552885567</v>
      </c>
      <c r="AW1099">
        <v>1684.604178239063</v>
      </c>
      <c r="AX1099">
        <v>808.96601271020711</v>
      </c>
      <c r="AY1099">
        <v>5.1508127384050333</v>
      </c>
      <c r="AZ1099" t="s">
        <v>109</v>
      </c>
      <c r="BA1099" t="str">
        <f>VLOOKUP($AZ1099,Sheet1!$A$2:$B$58,2)</f>
        <v>Acetone</v>
      </c>
      <c r="BB1099" t="s">
        <v>162</v>
      </c>
      <c r="BC1099">
        <v>58.078139999999998</v>
      </c>
      <c r="BD1099">
        <v>5.333333333333333</v>
      </c>
      <c r="BE1099">
        <v>56</v>
      </c>
      <c r="BF1099" t="s">
        <v>217</v>
      </c>
      <c r="BG1099">
        <v>0.9303426463421921</v>
      </c>
      <c r="BH1099">
        <v>0.23653333333333301</v>
      </c>
      <c r="BI1099">
        <v>0.42874411920204902</v>
      </c>
      <c r="BJ1099">
        <v>80</v>
      </c>
      <c r="BK1099">
        <v>4911.4498100123792</v>
      </c>
      <c r="BL1099">
        <v>2358.5338447784502</v>
      </c>
      <c r="BM1099">
        <v>14.08681009032798</v>
      </c>
      <c r="BN1099">
        <v>2394.7577153557559</v>
      </c>
      <c r="BO1099">
        <v>2516.6920946566229</v>
      </c>
    </row>
    <row r="1100" spans="1:67" x14ac:dyDescent="0.25">
      <c r="A1100" s="1">
        <v>1098</v>
      </c>
      <c r="B1100" t="s">
        <v>78</v>
      </c>
      <c r="C1100" t="s">
        <v>87</v>
      </c>
      <c r="D1100">
        <v>1</v>
      </c>
      <c r="E1100">
        <v>4</v>
      </c>
      <c r="F1100">
        <v>1</v>
      </c>
      <c r="G1100">
        <v>32.041060000000002</v>
      </c>
      <c r="H1100">
        <v>6</v>
      </c>
      <c r="I1100" t="s">
        <v>89</v>
      </c>
      <c r="J1100">
        <v>2.5</v>
      </c>
      <c r="K1100">
        <v>200</v>
      </c>
      <c r="L1100">
        <v>50</v>
      </c>
      <c r="N1100" t="s">
        <v>90</v>
      </c>
      <c r="O1100">
        <v>50</v>
      </c>
      <c r="P1100">
        <v>0.3125</v>
      </c>
      <c r="Q1100">
        <v>3.2500000000000001E-2</v>
      </c>
      <c r="R1100">
        <v>77.5</v>
      </c>
      <c r="S1100">
        <v>170</v>
      </c>
      <c r="T1100">
        <v>50</v>
      </c>
      <c r="U1100">
        <v>1812.1301775147931</v>
      </c>
      <c r="V1100">
        <v>20</v>
      </c>
      <c r="W1100">
        <v>0.95</v>
      </c>
      <c r="X1100">
        <v>1</v>
      </c>
      <c r="Y1100">
        <v>236016.27577505261</v>
      </c>
      <c r="Z1100">
        <v>472032551.55010527</v>
      </c>
      <c r="AA1100">
        <v>1180081378.875263</v>
      </c>
      <c r="AB1100">
        <v>1180081.378875263</v>
      </c>
      <c r="AC1100">
        <v>0</v>
      </c>
      <c r="AD1100">
        <v>4892.2726114168318</v>
      </c>
      <c r="AE1100">
        <v>2935363.5668500988</v>
      </c>
      <c r="AF1100">
        <v>1467681.7834250501</v>
      </c>
      <c r="AG1100">
        <v>47.026080083629019</v>
      </c>
      <c r="AH1100">
        <v>484.44506466402322</v>
      </c>
      <c r="AI1100">
        <v>242.22253233201161</v>
      </c>
      <c r="AJ1100">
        <v>38352.644813446059</v>
      </c>
      <c r="AK1100">
        <v>854.70085470085473</v>
      </c>
      <c r="AL1100" t="s">
        <v>93</v>
      </c>
      <c r="AM1100">
        <v>37544.492511461787</v>
      </c>
      <c r="AN1100">
        <v>2633.8892159910001</v>
      </c>
      <c r="AO1100">
        <v>41177.830496441973</v>
      </c>
      <c r="AP1100">
        <v>79385.727395599708</v>
      </c>
      <c r="AQ1100">
        <v>38207.896899157742</v>
      </c>
      <c r="AR1100">
        <v>2.6131444327083329E-2</v>
      </c>
      <c r="AS1100">
        <v>815.56116829728262</v>
      </c>
      <c r="AT1100">
        <v>798.37597445278004</v>
      </c>
      <c r="AU1100">
        <v>56.009116883801759</v>
      </c>
      <c r="AV1100">
        <v>875.63816552885544</v>
      </c>
      <c r="AW1100">
        <v>1688.1212989563189</v>
      </c>
      <c r="AX1100">
        <v>812.48313342746349</v>
      </c>
      <c r="AY1100">
        <v>5.1508127384050333</v>
      </c>
      <c r="AZ1100" t="s">
        <v>110</v>
      </c>
      <c r="BA1100" t="str">
        <f>VLOOKUP($AZ1100,Sheet1!$A$2:$B$58,2)</f>
        <v>Acrylate (PW1)</v>
      </c>
      <c r="BB1100" t="s">
        <v>163</v>
      </c>
      <c r="BC1100">
        <v>71.053619999999995</v>
      </c>
      <c r="BD1100">
        <v>3.666666666666667</v>
      </c>
      <c r="BE1100">
        <v>80</v>
      </c>
      <c r="BF1100" t="s">
        <v>217</v>
      </c>
      <c r="BG1100">
        <v>0.72553286080853374</v>
      </c>
      <c r="BH1100">
        <v>0.23972972972973</v>
      </c>
      <c r="BI1100">
        <v>0.53161990018179595</v>
      </c>
      <c r="BJ1100">
        <v>80</v>
      </c>
      <c r="BK1100">
        <v>3969.2863697799839</v>
      </c>
      <c r="BL1100">
        <v>1910.394844957887</v>
      </c>
      <c r="BM1100">
        <v>11.385593755792049</v>
      </c>
      <c r="BN1100">
        <v>1935.550938484648</v>
      </c>
      <c r="BO1100">
        <v>2033.7354312953371</v>
      </c>
    </row>
    <row r="1101" spans="1:67" x14ac:dyDescent="0.25">
      <c r="A1101" s="1">
        <v>1099</v>
      </c>
      <c r="B1101" t="s">
        <v>78</v>
      </c>
      <c r="C1101" t="s">
        <v>87</v>
      </c>
      <c r="D1101">
        <v>1</v>
      </c>
      <c r="E1101">
        <v>4</v>
      </c>
      <c r="F1101">
        <v>1</v>
      </c>
      <c r="G1101">
        <v>32.041060000000002</v>
      </c>
      <c r="H1101">
        <v>6</v>
      </c>
      <c r="I1101" t="s">
        <v>89</v>
      </c>
      <c r="J1101">
        <v>2.5</v>
      </c>
      <c r="K1101">
        <v>200</v>
      </c>
      <c r="L1101">
        <v>50</v>
      </c>
      <c r="N1101" t="s">
        <v>90</v>
      </c>
      <c r="O1101">
        <v>50</v>
      </c>
      <c r="P1101">
        <v>0.3125</v>
      </c>
      <c r="Q1101">
        <v>3.2500000000000001E-2</v>
      </c>
      <c r="R1101">
        <v>77.5</v>
      </c>
      <c r="S1101">
        <v>170</v>
      </c>
      <c r="T1101">
        <v>50</v>
      </c>
      <c r="U1101">
        <v>1812.1301775147931</v>
      </c>
      <c r="V1101">
        <v>20</v>
      </c>
      <c r="W1101">
        <v>0.95</v>
      </c>
      <c r="X1101">
        <v>1</v>
      </c>
      <c r="Y1101">
        <v>191364.54792571929</v>
      </c>
      <c r="Z1101">
        <v>382729095.85143858</v>
      </c>
      <c r="AA1101">
        <v>956822739.62859654</v>
      </c>
      <c r="AB1101">
        <v>956822.73962859658</v>
      </c>
      <c r="AC1101">
        <v>0</v>
      </c>
      <c r="AD1101">
        <v>3966.707522770424</v>
      </c>
      <c r="AE1101">
        <v>2380024.513662254</v>
      </c>
      <c r="AF1101">
        <v>1190012.256831127</v>
      </c>
      <c r="AG1101">
        <v>38.129254121861557</v>
      </c>
      <c r="AH1101">
        <v>392.79329567353432</v>
      </c>
      <c r="AI1101">
        <v>196.3966478367671</v>
      </c>
      <c r="AJ1101">
        <v>31096.73903792939</v>
      </c>
      <c r="AK1101">
        <v>854.70085470085473</v>
      </c>
      <c r="AL1101" t="s">
        <v>93</v>
      </c>
      <c r="AM1101">
        <v>30441.480414698901</v>
      </c>
      <c r="AN1101">
        <v>2135.585850803524</v>
      </c>
      <c r="AO1101">
        <v>33387.430132250411</v>
      </c>
      <c r="AP1101">
        <v>64528.506158132674</v>
      </c>
      <c r="AQ1101">
        <v>31141.076025882259</v>
      </c>
      <c r="AR1101">
        <v>2.6131444327083329E-2</v>
      </c>
      <c r="AS1101">
        <v>815.56116829728262</v>
      </c>
      <c r="AT1101">
        <v>798.37597445278004</v>
      </c>
      <c r="AU1101">
        <v>56.009116883801767</v>
      </c>
      <c r="AV1101">
        <v>875.63816552885555</v>
      </c>
      <c r="AW1101">
        <v>1692.3621414648919</v>
      </c>
      <c r="AX1101">
        <v>816.72397593603614</v>
      </c>
      <c r="AY1101">
        <v>5.1508127384050324</v>
      </c>
      <c r="AZ1101" t="s">
        <v>111</v>
      </c>
      <c r="BA1101" t="str">
        <f>VLOOKUP($AZ1101,Sheet1!$A$2:$B$58,2)</f>
        <v>Acrylate (PW2)</v>
      </c>
      <c r="BB1101" t="s">
        <v>163</v>
      </c>
      <c r="BC1101">
        <v>71.053619999999995</v>
      </c>
      <c r="BD1101">
        <v>3.666666666666667</v>
      </c>
      <c r="BE1101">
        <v>80</v>
      </c>
      <c r="BF1101" t="s">
        <v>217</v>
      </c>
      <c r="BG1101">
        <v>0.23672342619257949</v>
      </c>
      <c r="BH1101">
        <v>0.29566666666666502</v>
      </c>
      <c r="BI1101">
        <v>0.655664543557545</v>
      </c>
      <c r="BJ1101">
        <v>80</v>
      </c>
      <c r="BK1101">
        <v>3226.4253079066339</v>
      </c>
      <c r="BL1101">
        <v>1557.0538012941131</v>
      </c>
      <c r="BM1101">
        <v>9.5831089656457742</v>
      </c>
      <c r="BN1101">
        <v>1629.128524159782</v>
      </c>
      <c r="BO1101">
        <v>1597.296783746852</v>
      </c>
    </row>
    <row r="1102" spans="1:67" x14ac:dyDescent="0.25">
      <c r="A1102" s="1">
        <v>1100</v>
      </c>
      <c r="B1102" t="s">
        <v>78</v>
      </c>
      <c r="C1102" t="s">
        <v>87</v>
      </c>
      <c r="D1102">
        <v>1</v>
      </c>
      <c r="E1102">
        <v>4</v>
      </c>
      <c r="F1102">
        <v>1</v>
      </c>
      <c r="G1102">
        <v>32.041060000000002</v>
      </c>
      <c r="H1102">
        <v>6</v>
      </c>
      <c r="I1102" t="s">
        <v>89</v>
      </c>
      <c r="J1102">
        <v>2.5</v>
      </c>
      <c r="K1102">
        <v>200</v>
      </c>
      <c r="L1102">
        <v>50</v>
      </c>
      <c r="N1102" t="s">
        <v>90</v>
      </c>
      <c r="O1102">
        <v>50</v>
      </c>
      <c r="P1102">
        <v>0.3125</v>
      </c>
      <c r="Q1102">
        <v>3.2500000000000001E-2</v>
      </c>
      <c r="R1102">
        <v>77.5</v>
      </c>
      <c r="S1102">
        <v>170</v>
      </c>
      <c r="T1102">
        <v>50</v>
      </c>
      <c r="U1102">
        <v>1812.1301775147931</v>
      </c>
      <c r="V1102">
        <v>20</v>
      </c>
      <c r="W1102">
        <v>0.95</v>
      </c>
      <c r="X1102">
        <v>1</v>
      </c>
      <c r="Y1102">
        <v>255777.27556971999</v>
      </c>
      <c r="Z1102">
        <v>511554551.13944</v>
      </c>
      <c r="AA1102">
        <v>1278886377.8485999</v>
      </c>
      <c r="AB1102">
        <v>1278886.3778486</v>
      </c>
      <c r="AC1102">
        <v>0</v>
      </c>
      <c r="AD1102">
        <v>5301.889269218037</v>
      </c>
      <c r="AE1102">
        <v>3181133.561530822</v>
      </c>
      <c r="AF1102">
        <v>1590566.780765411</v>
      </c>
      <c r="AG1102">
        <v>50.963445656511382</v>
      </c>
      <c r="AH1102">
        <v>525.00633016114307</v>
      </c>
      <c r="AI1102">
        <v>262.50316508057148</v>
      </c>
      <c r="AJ1102">
        <v>41563.807280079498</v>
      </c>
      <c r="AK1102">
        <v>854.70085470085473</v>
      </c>
      <c r="AL1102" t="s">
        <v>93</v>
      </c>
      <c r="AM1102">
        <v>40687.990587488588</v>
      </c>
      <c r="AN1102">
        <v>2854.4175845768259</v>
      </c>
      <c r="AO1102">
        <v>44625.53806369716</v>
      </c>
      <c r="AP1102">
        <v>85960.916306845786</v>
      </c>
      <c r="AQ1102">
        <v>41335.378243148632</v>
      </c>
      <c r="AR1102">
        <v>2.6131444327083329E-2</v>
      </c>
      <c r="AS1102">
        <v>815.56116829728273</v>
      </c>
      <c r="AT1102">
        <v>798.37597445278027</v>
      </c>
      <c r="AU1102">
        <v>56.009116883801781</v>
      </c>
      <c r="AV1102">
        <v>875.63816552885578</v>
      </c>
      <c r="AW1102">
        <v>1686.7171204673621</v>
      </c>
      <c r="AX1102">
        <v>811.07895493850651</v>
      </c>
      <c r="AY1102">
        <v>5.1508127384050342</v>
      </c>
      <c r="AZ1102" t="s">
        <v>112</v>
      </c>
      <c r="BA1102" t="str">
        <f>VLOOKUP($AZ1102,Sheet1!$A$2:$B$58,2)</f>
        <v>Adipate</v>
      </c>
      <c r="BB1102" t="s">
        <v>164</v>
      </c>
      <c r="BC1102">
        <v>144.12291999999999</v>
      </c>
      <c r="BD1102">
        <v>4</v>
      </c>
      <c r="BE1102">
        <v>337.5</v>
      </c>
      <c r="BF1102" t="s">
        <v>217</v>
      </c>
      <c r="BG1102">
        <v>0.96784773520853939</v>
      </c>
      <c r="BH1102">
        <v>0.10905737704918</v>
      </c>
      <c r="BI1102">
        <v>0.49054767937979599</v>
      </c>
      <c r="BJ1102">
        <v>80</v>
      </c>
      <c r="BK1102">
        <v>4298.0458153422887</v>
      </c>
      <c r="BL1102">
        <v>2066.7689121574308</v>
      </c>
      <c r="BM1102">
        <v>12.157310518820029</v>
      </c>
      <c r="BN1102">
        <v>2066.7427881994058</v>
      </c>
      <c r="BO1102">
        <v>2231.3030271428829</v>
      </c>
    </row>
    <row r="1103" spans="1:67" x14ac:dyDescent="0.25">
      <c r="A1103" s="1">
        <v>1101</v>
      </c>
      <c r="B1103" t="s">
        <v>78</v>
      </c>
      <c r="C1103" t="s">
        <v>87</v>
      </c>
      <c r="D1103">
        <v>1</v>
      </c>
      <c r="E1103">
        <v>4</v>
      </c>
      <c r="F1103">
        <v>1</v>
      </c>
      <c r="G1103">
        <v>32.041060000000002</v>
      </c>
      <c r="H1103">
        <v>6</v>
      </c>
      <c r="I1103" t="s">
        <v>89</v>
      </c>
      <c r="J1103">
        <v>2.5</v>
      </c>
      <c r="K1103">
        <v>200</v>
      </c>
      <c r="L1103">
        <v>50</v>
      </c>
      <c r="N1103" t="s">
        <v>90</v>
      </c>
      <c r="O1103">
        <v>50</v>
      </c>
      <c r="P1103">
        <v>0.3125</v>
      </c>
      <c r="Q1103">
        <v>3.2500000000000001E-2</v>
      </c>
      <c r="R1103">
        <v>77.5</v>
      </c>
      <c r="S1103">
        <v>170</v>
      </c>
      <c r="T1103">
        <v>50</v>
      </c>
      <c r="U1103">
        <v>1812.1301775147931</v>
      </c>
      <c r="V1103">
        <v>20</v>
      </c>
      <c r="W1103">
        <v>0.95</v>
      </c>
      <c r="X1103">
        <v>1</v>
      </c>
      <c r="Y1103">
        <v>343668.12382229179</v>
      </c>
      <c r="Z1103">
        <v>687336247.64458358</v>
      </c>
      <c r="AA1103">
        <v>1718340619.111459</v>
      </c>
      <c r="AB1103">
        <v>1718340.619111459</v>
      </c>
      <c r="AC1103">
        <v>0</v>
      </c>
      <c r="AD1103">
        <v>7123.7381577670203</v>
      </c>
      <c r="AE1103">
        <v>4274242.8946602121</v>
      </c>
      <c r="AF1103">
        <v>2137121.447330106</v>
      </c>
      <c r="AG1103">
        <v>68.475636521190779</v>
      </c>
      <c r="AH1103">
        <v>705.41036172748466</v>
      </c>
      <c r="AI1103">
        <v>352.70518086374233</v>
      </c>
      <c r="AJ1103">
        <v>55846.070121122422</v>
      </c>
      <c r="AK1103">
        <v>854.70085470085473</v>
      </c>
      <c r="AL1103" t="s">
        <v>93</v>
      </c>
      <c r="AM1103">
        <v>54669.30303388006</v>
      </c>
      <c r="AN1103">
        <v>3835.2599296080989</v>
      </c>
      <c r="AO1103">
        <v>59959.880746836199</v>
      </c>
      <c r="AP1103">
        <v>115205.3339393114</v>
      </c>
      <c r="AQ1103">
        <v>55245.453192475237</v>
      </c>
      <c r="AR1103">
        <v>2.6131444327083329E-2</v>
      </c>
      <c r="AS1103">
        <v>815.56116829728273</v>
      </c>
      <c r="AT1103">
        <v>798.37597445278016</v>
      </c>
      <c r="AU1103">
        <v>56.009116883801767</v>
      </c>
      <c r="AV1103">
        <v>875.63816552885567</v>
      </c>
      <c r="AW1103">
        <v>1682.428083799696</v>
      </c>
      <c r="AX1103">
        <v>806.78991827083985</v>
      </c>
      <c r="AY1103">
        <v>5.1508127384050324</v>
      </c>
      <c r="AZ1103" t="s">
        <v>113</v>
      </c>
      <c r="BA1103" t="str">
        <f>VLOOKUP($AZ1103,Sheet1!$A$2:$B$58,2)</f>
        <v>Benzoate (PW1)</v>
      </c>
      <c r="BB1103" t="s">
        <v>165</v>
      </c>
      <c r="BC1103">
        <v>121.1121</v>
      </c>
      <c r="BD1103">
        <v>4.1428571428571432</v>
      </c>
      <c r="BE1103">
        <v>249.2</v>
      </c>
      <c r="BF1103" t="s">
        <v>217</v>
      </c>
      <c r="BG1103">
        <v>1.2185121176419731</v>
      </c>
      <c r="BH1103">
        <v>9.6588021778584193E-2</v>
      </c>
      <c r="BI1103">
        <v>0.365093356850555</v>
      </c>
      <c r="BJ1103">
        <v>80</v>
      </c>
      <c r="BK1103">
        <v>5760.2666969655711</v>
      </c>
      <c r="BL1103">
        <v>2762.2726596237621</v>
      </c>
      <c r="BM1103">
        <v>16.416746925545141</v>
      </c>
      <c r="BN1103">
        <v>2790.8469773426741</v>
      </c>
      <c r="BO1103">
        <v>2969.419719622897</v>
      </c>
    </row>
    <row r="1104" spans="1:67" x14ac:dyDescent="0.25">
      <c r="A1104" s="1">
        <v>1102</v>
      </c>
      <c r="B1104" t="s">
        <v>78</v>
      </c>
      <c r="C1104" t="s">
        <v>87</v>
      </c>
      <c r="D1104">
        <v>1</v>
      </c>
      <c r="E1104">
        <v>4</v>
      </c>
      <c r="F1104">
        <v>1</v>
      </c>
      <c r="G1104">
        <v>32.041060000000002</v>
      </c>
      <c r="H1104">
        <v>6</v>
      </c>
      <c r="I1104" t="s">
        <v>89</v>
      </c>
      <c r="J1104">
        <v>2.5</v>
      </c>
      <c r="K1104">
        <v>200</v>
      </c>
      <c r="L1104">
        <v>50</v>
      </c>
      <c r="N1104" t="s">
        <v>90</v>
      </c>
      <c r="O1104">
        <v>50</v>
      </c>
      <c r="P1104">
        <v>0.3125</v>
      </c>
      <c r="Q1104">
        <v>3.2500000000000001E-2</v>
      </c>
      <c r="R1104">
        <v>77.5</v>
      </c>
      <c r="S1104">
        <v>170</v>
      </c>
      <c r="T1104">
        <v>50</v>
      </c>
      <c r="U1104">
        <v>1812.1301775147931</v>
      </c>
      <c r="V1104">
        <v>20</v>
      </c>
      <c r="W1104">
        <v>0.95</v>
      </c>
      <c r="X1104">
        <v>1</v>
      </c>
      <c r="Y1104">
        <v>343668.12382229068</v>
      </c>
      <c r="Z1104">
        <v>687336247.64458156</v>
      </c>
      <c r="AA1104">
        <v>1718340619.111454</v>
      </c>
      <c r="AB1104">
        <v>1718340.6191114541</v>
      </c>
      <c r="AC1104">
        <v>0</v>
      </c>
      <c r="AD1104">
        <v>7123.7381577669994</v>
      </c>
      <c r="AE1104">
        <v>4274242.8946602</v>
      </c>
      <c r="AF1104">
        <v>2137121.4473301</v>
      </c>
      <c r="AG1104">
        <v>68.47563652119058</v>
      </c>
      <c r="AH1104">
        <v>705.41036172748261</v>
      </c>
      <c r="AI1104">
        <v>352.7051808637413</v>
      </c>
      <c r="AJ1104">
        <v>55846.070121122262</v>
      </c>
      <c r="AK1104">
        <v>854.70085470085473</v>
      </c>
      <c r="AL1104" t="s">
        <v>93</v>
      </c>
      <c r="AM1104">
        <v>54669.3030338799</v>
      </c>
      <c r="AN1104">
        <v>3835.259929608088</v>
      </c>
      <c r="AO1104">
        <v>59959.880746836017</v>
      </c>
      <c r="AP1104">
        <v>115205.33393931109</v>
      </c>
      <c r="AQ1104">
        <v>55245.453192475077</v>
      </c>
      <c r="AR1104">
        <v>2.6131444327083329E-2</v>
      </c>
      <c r="AS1104">
        <v>815.56116829728273</v>
      </c>
      <c r="AT1104">
        <v>798.37597445278004</v>
      </c>
      <c r="AU1104">
        <v>56.009116883801752</v>
      </c>
      <c r="AV1104">
        <v>875.63816552885555</v>
      </c>
      <c r="AW1104">
        <v>1682.428083799696</v>
      </c>
      <c r="AX1104">
        <v>806.78991827083996</v>
      </c>
      <c r="AY1104">
        <v>5.1508127384050324</v>
      </c>
      <c r="AZ1104" t="s">
        <v>114</v>
      </c>
      <c r="BA1104" t="str">
        <f>VLOOKUP($AZ1104,Sheet1!$A$2:$B$58,2)</f>
        <v>Benzoate (PW2)</v>
      </c>
      <c r="BB1104" t="s">
        <v>165</v>
      </c>
      <c r="BC1104">
        <v>121.1121</v>
      </c>
      <c r="BD1104">
        <v>4.1428571428571432</v>
      </c>
      <c r="BE1104">
        <v>249.2</v>
      </c>
      <c r="BF1104" t="s">
        <v>217</v>
      </c>
      <c r="BG1104">
        <v>1.218512117641976</v>
      </c>
      <c r="BH1104">
        <v>9.6588021778584193E-2</v>
      </c>
      <c r="BI1104">
        <v>0.36509335685055599</v>
      </c>
      <c r="BJ1104">
        <v>80</v>
      </c>
      <c r="BK1104">
        <v>5760.2666969655565</v>
      </c>
      <c r="BL1104">
        <v>2762.2726596237549</v>
      </c>
      <c r="BM1104">
        <v>16.416746925545091</v>
      </c>
      <c r="BN1104">
        <v>2790.846977342665</v>
      </c>
      <c r="BO1104">
        <v>2969.4197196228911</v>
      </c>
    </row>
    <row r="1105" spans="1:67" x14ac:dyDescent="0.25">
      <c r="A1105" s="1">
        <v>1103</v>
      </c>
      <c r="B1105" t="s">
        <v>78</v>
      </c>
      <c r="C1105" t="s">
        <v>87</v>
      </c>
      <c r="D1105">
        <v>1</v>
      </c>
      <c r="E1105">
        <v>4</v>
      </c>
      <c r="F1105">
        <v>1</v>
      </c>
      <c r="G1105">
        <v>32.041060000000002</v>
      </c>
      <c r="H1105">
        <v>6</v>
      </c>
      <c r="I1105" t="s">
        <v>89</v>
      </c>
      <c r="J1105">
        <v>2.5</v>
      </c>
      <c r="K1105">
        <v>200</v>
      </c>
      <c r="L1105">
        <v>50</v>
      </c>
      <c r="N1105" t="s">
        <v>90</v>
      </c>
      <c r="O1105">
        <v>50</v>
      </c>
      <c r="P1105">
        <v>0.3125</v>
      </c>
      <c r="Q1105">
        <v>3.2500000000000001E-2</v>
      </c>
      <c r="R1105">
        <v>77.5</v>
      </c>
      <c r="S1105">
        <v>170</v>
      </c>
      <c r="T1105">
        <v>50</v>
      </c>
      <c r="U1105">
        <v>1812.1301775147931</v>
      </c>
      <c r="V1105">
        <v>20</v>
      </c>
      <c r="W1105">
        <v>0.95</v>
      </c>
      <c r="X1105">
        <v>1</v>
      </c>
      <c r="Y1105">
        <v>454062.62288908032</v>
      </c>
      <c r="Z1105">
        <v>908125245.77816045</v>
      </c>
      <c r="AA1105">
        <v>2270313114.4454012</v>
      </c>
      <c r="AB1105">
        <v>2270313.1144454009</v>
      </c>
      <c r="AC1105">
        <v>0</v>
      </c>
      <c r="AD1105">
        <v>9412.0548531388285</v>
      </c>
      <c r="AE1105">
        <v>5647232.9118832974</v>
      </c>
      <c r="AF1105">
        <v>2823616.4559416492</v>
      </c>
      <c r="AG1105">
        <v>90.47166428181373</v>
      </c>
      <c r="AH1105">
        <v>932.0052016949395</v>
      </c>
      <c r="AI1105">
        <v>466.00260084746981</v>
      </c>
      <c r="AJ1105">
        <v>73785.176219475543</v>
      </c>
      <c r="AK1105">
        <v>854.70085470085473</v>
      </c>
      <c r="AL1105" t="s">
        <v>93</v>
      </c>
      <c r="AM1105">
        <v>72230.403131357816</v>
      </c>
      <c r="AN1105">
        <v>5067.2380194321786</v>
      </c>
      <c r="AO1105">
        <v>79220.442144069864</v>
      </c>
      <c r="AP1105">
        <v>151937.51822496639</v>
      </c>
      <c r="AQ1105">
        <v>72717.076080896528</v>
      </c>
      <c r="AR1105">
        <v>2.6131444327083329E-2</v>
      </c>
      <c r="AS1105">
        <v>815.56116829728273</v>
      </c>
      <c r="AT1105">
        <v>798.37597445278016</v>
      </c>
      <c r="AU1105">
        <v>56.009116883801767</v>
      </c>
      <c r="AV1105">
        <v>875.63816552885567</v>
      </c>
      <c r="AW1105">
        <v>1679.393425898415</v>
      </c>
      <c r="AX1105">
        <v>803.7552603695591</v>
      </c>
      <c r="AY1105">
        <v>5.1508127384050324</v>
      </c>
      <c r="AZ1105" t="s">
        <v>115</v>
      </c>
      <c r="BA1105" t="str">
        <f>VLOOKUP($AZ1105,Sheet1!$A$2:$B$58,2)</f>
        <v>Benzyl Alcohol</v>
      </c>
      <c r="BB1105" t="s">
        <v>166</v>
      </c>
      <c r="BC1105">
        <v>108.13661999999999</v>
      </c>
      <c r="BD1105">
        <v>4.8571428571428568</v>
      </c>
      <c r="BE1105">
        <v>205</v>
      </c>
      <c r="BF1105" t="s">
        <v>217</v>
      </c>
      <c r="BG1105">
        <v>2.1217982626648491</v>
      </c>
      <c r="BH1105">
        <v>8.1876923076923097E-2</v>
      </c>
      <c r="BI1105">
        <v>0.27632961323809102</v>
      </c>
      <c r="BJ1105">
        <v>80</v>
      </c>
      <c r="BK1105">
        <v>7596.8759112483194</v>
      </c>
      <c r="BL1105">
        <v>3635.8538040448261</v>
      </c>
      <c r="BM1105">
        <v>21.178331779708639</v>
      </c>
      <c r="BN1105">
        <v>3600.316402550468</v>
      </c>
      <c r="BO1105">
        <v>3996.559508697851</v>
      </c>
    </row>
    <row r="1106" spans="1:67" x14ac:dyDescent="0.25">
      <c r="A1106" s="1">
        <v>1104</v>
      </c>
      <c r="B1106" t="s">
        <v>78</v>
      </c>
      <c r="C1106" t="s">
        <v>87</v>
      </c>
      <c r="D1106">
        <v>1</v>
      </c>
      <c r="E1106">
        <v>4</v>
      </c>
      <c r="F1106">
        <v>1</v>
      </c>
      <c r="G1106">
        <v>32.041060000000002</v>
      </c>
      <c r="H1106">
        <v>6</v>
      </c>
      <c r="I1106" t="s">
        <v>89</v>
      </c>
      <c r="J1106">
        <v>2.5</v>
      </c>
      <c r="K1106">
        <v>200</v>
      </c>
      <c r="L1106">
        <v>50</v>
      </c>
      <c r="N1106" t="s">
        <v>90</v>
      </c>
      <c r="O1106">
        <v>50</v>
      </c>
      <c r="P1106">
        <v>0.3125</v>
      </c>
      <c r="Q1106">
        <v>3.2500000000000001E-2</v>
      </c>
      <c r="R1106">
        <v>77.5</v>
      </c>
      <c r="S1106">
        <v>170</v>
      </c>
      <c r="T1106">
        <v>50</v>
      </c>
      <c r="U1106">
        <v>1812.1301775147931</v>
      </c>
      <c r="V1106">
        <v>20</v>
      </c>
      <c r="W1106">
        <v>0.95</v>
      </c>
      <c r="X1106">
        <v>1</v>
      </c>
      <c r="Y1106">
        <v>489652.17685156898</v>
      </c>
      <c r="Z1106">
        <v>979304353.70313799</v>
      </c>
      <c r="AA1106">
        <v>2448260884.2578449</v>
      </c>
      <c r="AB1106">
        <v>2448260.8842578451</v>
      </c>
      <c r="AC1106">
        <v>0</v>
      </c>
      <c r="AD1106">
        <v>10149.77431562697</v>
      </c>
      <c r="AE1106">
        <v>6089864.5893761823</v>
      </c>
      <c r="AF1106">
        <v>3044932.2946880911</v>
      </c>
      <c r="AG1106">
        <v>97.562858350038809</v>
      </c>
      <c r="AH1106">
        <v>1005.056027169172</v>
      </c>
      <c r="AI1106">
        <v>502.52801358458589</v>
      </c>
      <c r="AJ1106">
        <v>79568.47873837997</v>
      </c>
      <c r="AK1106">
        <v>854.70085470085473</v>
      </c>
      <c r="AL1106" t="s">
        <v>93</v>
      </c>
      <c r="AM1106">
        <v>77891.84210561082</v>
      </c>
      <c r="AN1106">
        <v>5464.4095368451199</v>
      </c>
      <c r="AO1106">
        <v>85429.762309379599</v>
      </c>
      <c r="AP1106">
        <v>163779.4312355367</v>
      </c>
      <c r="AQ1106">
        <v>78349.66892615713</v>
      </c>
      <c r="AR1106">
        <v>2.613144432708334E-2</v>
      </c>
      <c r="AS1106">
        <v>815.56116829728285</v>
      </c>
      <c r="AT1106">
        <v>798.37597445278038</v>
      </c>
      <c r="AU1106">
        <v>56.009116883801767</v>
      </c>
      <c r="AV1106">
        <v>875.63816552885578</v>
      </c>
      <c r="AW1106">
        <v>1678.706774333366</v>
      </c>
      <c r="AX1106">
        <v>803.06860880450972</v>
      </c>
      <c r="AY1106">
        <v>5.1508127384050342</v>
      </c>
      <c r="AZ1106" t="s">
        <v>116</v>
      </c>
      <c r="BA1106" t="str">
        <f>VLOOKUP($AZ1106,Sheet1!$A$2:$B$58,2)</f>
        <v>Beta Carotene</v>
      </c>
      <c r="BB1106" t="s">
        <v>167</v>
      </c>
      <c r="BC1106">
        <v>536.86703999999997</v>
      </c>
      <c r="BD1106">
        <v>5.4</v>
      </c>
      <c r="BE1106">
        <v>633</v>
      </c>
      <c r="BF1106" t="s">
        <v>217</v>
      </c>
      <c r="BG1106">
        <v>2.081274642009177</v>
      </c>
      <c r="BH1106">
        <v>1.52931034482759E-2</v>
      </c>
      <c r="BI1106">
        <v>0.256245054960406</v>
      </c>
      <c r="BJ1106">
        <v>80</v>
      </c>
      <c r="BK1106">
        <v>8188.9715617768352</v>
      </c>
      <c r="BL1106">
        <v>3917.483446307855</v>
      </c>
      <c r="BM1106">
        <v>23.045126037220111</v>
      </c>
      <c r="BN1106">
        <v>3917.6714263274189</v>
      </c>
      <c r="BO1106">
        <v>4271.3001354494163</v>
      </c>
    </row>
    <row r="1107" spans="1:67" x14ac:dyDescent="0.25">
      <c r="A1107" s="1">
        <v>1105</v>
      </c>
      <c r="B1107" t="s">
        <v>78</v>
      </c>
      <c r="C1107" t="s">
        <v>87</v>
      </c>
      <c r="D1107">
        <v>1</v>
      </c>
      <c r="E1107">
        <v>4</v>
      </c>
      <c r="F1107">
        <v>1</v>
      </c>
      <c r="G1107">
        <v>32.041060000000002</v>
      </c>
      <c r="H1107">
        <v>6</v>
      </c>
      <c r="I1107" t="s">
        <v>89</v>
      </c>
      <c r="J1107">
        <v>2.5</v>
      </c>
      <c r="K1107">
        <v>200</v>
      </c>
      <c r="L1107">
        <v>50</v>
      </c>
      <c r="N1107" t="s">
        <v>90</v>
      </c>
      <c r="O1107">
        <v>50</v>
      </c>
      <c r="P1107">
        <v>0.3125</v>
      </c>
      <c r="Q1107">
        <v>3.2500000000000001E-2</v>
      </c>
      <c r="R1107">
        <v>77.5</v>
      </c>
      <c r="S1107">
        <v>170</v>
      </c>
      <c r="T1107">
        <v>50</v>
      </c>
      <c r="U1107">
        <v>1812.1301775147931</v>
      </c>
      <c r="V1107">
        <v>20</v>
      </c>
      <c r="W1107">
        <v>0.95</v>
      </c>
      <c r="X1107">
        <v>1</v>
      </c>
      <c r="Y1107">
        <v>522476.38800509181</v>
      </c>
      <c r="Z1107">
        <v>1044952776.010184</v>
      </c>
      <c r="AA1107">
        <v>2612381940.0254588</v>
      </c>
      <c r="AB1107">
        <v>2612381.94002546</v>
      </c>
      <c r="AC1107">
        <v>66773.504273504266</v>
      </c>
      <c r="AD1107">
        <v>10830.17226144829</v>
      </c>
      <c r="AE1107">
        <v>6498103.3568689711</v>
      </c>
      <c r="AF1107">
        <v>3249051.678434486</v>
      </c>
      <c r="AG1107">
        <v>104.1030597718201</v>
      </c>
      <c r="AH1107">
        <v>1072.430732759263</v>
      </c>
      <c r="AI1107">
        <v>536.2153663796314</v>
      </c>
      <c r="AJ1107">
        <v>84902.413050827439</v>
      </c>
      <c r="AK1107">
        <v>2170.1388888888891</v>
      </c>
      <c r="AL1107" t="s">
        <v>95</v>
      </c>
      <c r="AM1107">
        <v>83113.381788842875</v>
      </c>
      <c r="AN1107">
        <v>5830.7204427212719</v>
      </c>
      <c r="AO1107">
        <v>91156.612284537332</v>
      </c>
      <c r="AP1107">
        <v>176016.65417128039</v>
      </c>
      <c r="AQ1107">
        <v>84860.041886743114</v>
      </c>
      <c r="AR1107">
        <v>2.613144432708334E-2</v>
      </c>
      <c r="AS1107">
        <v>815.56116829728296</v>
      </c>
      <c r="AT1107">
        <v>798.37597445278027</v>
      </c>
      <c r="AU1107">
        <v>56.009116883801767</v>
      </c>
      <c r="AV1107">
        <v>875.63816552885567</v>
      </c>
      <c r="AW1107">
        <v>1690.792322118921</v>
      </c>
      <c r="AX1107">
        <v>815.1541565900651</v>
      </c>
      <c r="AY1107">
        <v>5.1508127384050333</v>
      </c>
      <c r="AZ1107" t="s">
        <v>117</v>
      </c>
      <c r="BA1107" t="str">
        <f>VLOOKUP($AZ1107,Sheet1!$A$2:$B$58,2)</f>
        <v>Butane</v>
      </c>
      <c r="BB1107" t="s">
        <v>168</v>
      </c>
      <c r="BC1107">
        <v>58.121200000000002</v>
      </c>
      <c r="BD1107">
        <v>6.5</v>
      </c>
      <c r="BE1107">
        <v>-1</v>
      </c>
      <c r="BF1107" t="s">
        <v>217</v>
      </c>
      <c r="BG1107">
        <v>2.6907873987320992</v>
      </c>
      <c r="BH1107">
        <v>0.132388059701493</v>
      </c>
      <c r="BI1107">
        <v>0.24014663982784601</v>
      </c>
      <c r="BJ1107">
        <v>80</v>
      </c>
      <c r="BK1107">
        <v>8800.8327085640231</v>
      </c>
      <c r="BL1107">
        <v>4243.0020943371564</v>
      </c>
      <c r="BM1107">
        <v>24.119980920249471</v>
      </c>
      <c r="BN1107">
        <v>4100.3967564424102</v>
      </c>
      <c r="BO1107">
        <v>4700.4359521216129</v>
      </c>
    </row>
    <row r="1108" spans="1:67" x14ac:dyDescent="0.25">
      <c r="A1108" s="1">
        <v>1106</v>
      </c>
      <c r="B1108" t="s">
        <v>78</v>
      </c>
      <c r="C1108" t="s">
        <v>87</v>
      </c>
      <c r="D1108">
        <v>1</v>
      </c>
      <c r="E1108">
        <v>4</v>
      </c>
      <c r="F1108">
        <v>1</v>
      </c>
      <c r="G1108">
        <v>32.041060000000002</v>
      </c>
      <c r="H1108">
        <v>6</v>
      </c>
      <c r="I1108" t="s">
        <v>89</v>
      </c>
      <c r="J1108">
        <v>2.5</v>
      </c>
      <c r="K1108">
        <v>200</v>
      </c>
      <c r="L1108">
        <v>50</v>
      </c>
      <c r="N1108" t="s">
        <v>90</v>
      </c>
      <c r="O1108">
        <v>50</v>
      </c>
      <c r="P1108">
        <v>0.3125</v>
      </c>
      <c r="Q1108">
        <v>3.2500000000000001E-2</v>
      </c>
      <c r="R1108">
        <v>77.5</v>
      </c>
      <c r="S1108">
        <v>170</v>
      </c>
      <c r="T1108">
        <v>50</v>
      </c>
      <c r="U1108">
        <v>1812.1301775147931</v>
      </c>
      <c r="V1108">
        <v>20</v>
      </c>
      <c r="W1108">
        <v>0.95</v>
      </c>
      <c r="X1108">
        <v>1</v>
      </c>
      <c r="Y1108">
        <v>327147.52390195912</v>
      </c>
      <c r="Z1108">
        <v>654295047.80391824</v>
      </c>
      <c r="AA1108">
        <v>1635737619.5097959</v>
      </c>
      <c r="AB1108">
        <v>1635737.6195097959</v>
      </c>
      <c r="AC1108">
        <v>0</v>
      </c>
      <c r="AD1108">
        <v>6781.2902556085628</v>
      </c>
      <c r="AE1108">
        <v>4068774.153365138</v>
      </c>
      <c r="AF1108">
        <v>2034387.076682569</v>
      </c>
      <c r="AG1108">
        <v>65.183918387210795</v>
      </c>
      <c r="AH1108">
        <v>671.50031433599884</v>
      </c>
      <c r="AI1108">
        <v>335.75015716799942</v>
      </c>
      <c r="AJ1108">
        <v>53161.472634068363</v>
      </c>
      <c r="AK1108">
        <v>854.70085470085473</v>
      </c>
      <c r="AL1108" t="s">
        <v>93</v>
      </c>
      <c r="AM1108">
        <v>52041.274361039912</v>
      </c>
      <c r="AN1108">
        <v>3650.8937038934841</v>
      </c>
      <c r="AO1108">
        <v>57077.5267185599</v>
      </c>
      <c r="AP1108">
        <v>109708.3415537026</v>
      </c>
      <c r="AQ1108">
        <v>52630.814835142723</v>
      </c>
      <c r="AR1108">
        <v>2.6131444327083329E-2</v>
      </c>
      <c r="AS1108">
        <v>815.56116829728273</v>
      </c>
      <c r="AT1108">
        <v>798.37597445278016</v>
      </c>
      <c r="AU1108">
        <v>56.009116883801752</v>
      </c>
      <c r="AV1108">
        <v>875.63816552885555</v>
      </c>
      <c r="AW1108">
        <v>1683.058402564943</v>
      </c>
      <c r="AX1108">
        <v>807.42023703608743</v>
      </c>
      <c r="AY1108">
        <v>5.1508127384050333</v>
      </c>
      <c r="AZ1108" t="s">
        <v>118</v>
      </c>
      <c r="BA1108" t="str">
        <f>VLOOKUP($AZ1108,Sheet1!$A$2:$B$58,2)</f>
        <v>Butanol (PW1)</v>
      </c>
      <c r="BB1108" t="s">
        <v>169</v>
      </c>
      <c r="BC1108">
        <v>74.120199999999997</v>
      </c>
      <c r="BD1108">
        <v>6</v>
      </c>
      <c r="BE1108">
        <v>117.7</v>
      </c>
      <c r="BF1108" t="s">
        <v>217</v>
      </c>
      <c r="BG1108">
        <v>1.206273960307505</v>
      </c>
      <c r="BH1108">
        <v>0.165794392523365</v>
      </c>
      <c r="BI1108">
        <v>0.38353018073404199</v>
      </c>
      <c r="BJ1108">
        <v>80</v>
      </c>
      <c r="BK1108">
        <v>5485.4170776851306</v>
      </c>
      <c r="BL1108">
        <v>2631.5407417571359</v>
      </c>
      <c r="BM1108">
        <v>15.581233898092471</v>
      </c>
      <c r="BN1108">
        <v>2648.809762675719</v>
      </c>
      <c r="BO1108">
        <v>2836.6073150094112</v>
      </c>
    </row>
    <row r="1109" spans="1:67" x14ac:dyDescent="0.25">
      <c r="A1109" s="1">
        <v>1107</v>
      </c>
      <c r="B1109" t="s">
        <v>78</v>
      </c>
      <c r="C1109" t="s">
        <v>87</v>
      </c>
      <c r="D1109">
        <v>1</v>
      </c>
      <c r="E1109">
        <v>4</v>
      </c>
      <c r="F1109">
        <v>1</v>
      </c>
      <c r="G1109">
        <v>32.041060000000002</v>
      </c>
      <c r="H1109">
        <v>6</v>
      </c>
      <c r="I1109" t="s">
        <v>89</v>
      </c>
      <c r="J1109">
        <v>2.5</v>
      </c>
      <c r="K1109">
        <v>200</v>
      </c>
      <c r="L1109">
        <v>50</v>
      </c>
      <c r="N1109" t="s">
        <v>90</v>
      </c>
      <c r="O1109">
        <v>50</v>
      </c>
      <c r="P1109">
        <v>0.3125</v>
      </c>
      <c r="Q1109">
        <v>3.2500000000000001E-2</v>
      </c>
      <c r="R1109">
        <v>77.5</v>
      </c>
      <c r="S1109">
        <v>170</v>
      </c>
      <c r="T1109">
        <v>50</v>
      </c>
      <c r="U1109">
        <v>1812.1301775147931</v>
      </c>
      <c r="V1109">
        <v>20</v>
      </c>
      <c r="W1109">
        <v>0.95</v>
      </c>
      <c r="X1109">
        <v>1</v>
      </c>
      <c r="Y1109">
        <v>400526.40776782017</v>
      </c>
      <c r="Z1109">
        <v>801052815.53564036</v>
      </c>
      <c r="AA1109">
        <v>2002632038.8391011</v>
      </c>
      <c r="AB1109">
        <v>2002632.0388391011</v>
      </c>
      <c r="AC1109">
        <v>0</v>
      </c>
      <c r="AD1109">
        <v>8302.3273222871412</v>
      </c>
      <c r="AE1109">
        <v>4981396.3933722842</v>
      </c>
      <c r="AF1109">
        <v>2490698.1966861421</v>
      </c>
      <c r="AG1109">
        <v>79.804610361912495</v>
      </c>
      <c r="AH1109">
        <v>822.11720727117836</v>
      </c>
      <c r="AI1109">
        <v>411.05860363558918</v>
      </c>
      <c r="AJ1109">
        <v>65085.541262270781</v>
      </c>
      <c r="AK1109">
        <v>854.70085470085473</v>
      </c>
      <c r="AL1109" t="s">
        <v>93</v>
      </c>
      <c r="AM1109">
        <v>63714.083563516317</v>
      </c>
      <c r="AN1109">
        <v>4469.7857496266142</v>
      </c>
      <c r="AO1109">
        <v>69879.962618050165</v>
      </c>
      <c r="AP1109">
        <v>134124.1114301146</v>
      </c>
      <c r="AQ1109">
        <v>64244.148812064414</v>
      </c>
      <c r="AR1109">
        <v>2.613144432708334E-2</v>
      </c>
      <c r="AS1109">
        <v>815.56116829728285</v>
      </c>
      <c r="AT1109">
        <v>798.37597445278027</v>
      </c>
      <c r="AU1109">
        <v>56.009116883801767</v>
      </c>
      <c r="AV1109">
        <v>875.63816552885578</v>
      </c>
      <c r="AW1109">
        <v>1680.656177905814</v>
      </c>
      <c r="AX1109">
        <v>805.0180123769585</v>
      </c>
      <c r="AY1109">
        <v>5.1508127384050333</v>
      </c>
      <c r="AZ1109" t="s">
        <v>119</v>
      </c>
      <c r="BA1109" t="str">
        <f>VLOOKUP($AZ1109,Sheet1!$A$2:$B$58,2)</f>
        <v>Butanol (PW2)</v>
      </c>
      <c r="BB1109" t="s">
        <v>169</v>
      </c>
      <c r="BC1109">
        <v>74.120199999999997</v>
      </c>
      <c r="BD1109">
        <v>6</v>
      </c>
      <c r="BE1109">
        <v>117.7</v>
      </c>
      <c r="BF1109" t="s">
        <v>217</v>
      </c>
      <c r="BG1109">
        <v>2.0095640559617891</v>
      </c>
      <c r="BH1109">
        <v>0.135419847328244</v>
      </c>
      <c r="BI1109">
        <v>0.31326510945452202</v>
      </c>
      <c r="BJ1109">
        <v>80</v>
      </c>
      <c r="BK1109">
        <v>6706.2055715057286</v>
      </c>
      <c r="BL1109">
        <v>3212.2074406032211</v>
      </c>
      <c r="BM1109">
        <v>18.54336612581767</v>
      </c>
      <c r="BN1109">
        <v>3152.3722413890041</v>
      </c>
      <c r="BO1109">
        <v>3553.8333301167258</v>
      </c>
    </row>
    <row r="1110" spans="1:67" x14ac:dyDescent="0.25">
      <c r="A1110" s="1">
        <v>1108</v>
      </c>
      <c r="B1110" t="s">
        <v>78</v>
      </c>
      <c r="C1110" t="s">
        <v>87</v>
      </c>
      <c r="D1110">
        <v>1</v>
      </c>
      <c r="E1110">
        <v>4</v>
      </c>
      <c r="F1110">
        <v>1</v>
      </c>
      <c r="G1110">
        <v>32.041060000000002</v>
      </c>
      <c r="H1110">
        <v>6</v>
      </c>
      <c r="I1110" t="s">
        <v>89</v>
      </c>
      <c r="J1110">
        <v>2.5</v>
      </c>
      <c r="K1110">
        <v>200</v>
      </c>
      <c r="L1110">
        <v>50</v>
      </c>
      <c r="N1110" t="s">
        <v>90</v>
      </c>
      <c r="O1110">
        <v>50</v>
      </c>
      <c r="P1110">
        <v>0.3125</v>
      </c>
      <c r="Q1110">
        <v>3.2500000000000001E-2</v>
      </c>
      <c r="R1110">
        <v>77.5</v>
      </c>
      <c r="S1110">
        <v>170</v>
      </c>
      <c r="T1110">
        <v>50</v>
      </c>
      <c r="U1110">
        <v>1812.1301775147931</v>
      </c>
      <c r="V1110">
        <v>20</v>
      </c>
      <c r="W1110">
        <v>0.95</v>
      </c>
      <c r="X1110">
        <v>1</v>
      </c>
      <c r="Y1110">
        <v>234175.975257082</v>
      </c>
      <c r="Z1110">
        <v>468351950.51416409</v>
      </c>
      <c r="AA1110">
        <v>1170879876.2854099</v>
      </c>
      <c r="AB1110">
        <v>1170879.87628541</v>
      </c>
      <c r="AC1110">
        <v>0</v>
      </c>
      <c r="AD1110">
        <v>4854.1258700902936</v>
      </c>
      <c r="AE1110">
        <v>2912475.5220541758</v>
      </c>
      <c r="AF1110">
        <v>1456237.7610270879</v>
      </c>
      <c r="AG1110">
        <v>46.65940147533459</v>
      </c>
      <c r="AH1110">
        <v>480.66767897101607</v>
      </c>
      <c r="AI1110">
        <v>240.33383948550801</v>
      </c>
      <c r="AJ1110">
        <v>38053.595979275837</v>
      </c>
      <c r="AK1110">
        <v>854.70085470085473</v>
      </c>
      <c r="AL1110" t="s">
        <v>93</v>
      </c>
      <c r="AM1110">
        <v>37251.745120253749</v>
      </c>
      <c r="AN1110">
        <v>2613.3518709602481</v>
      </c>
      <c r="AO1110">
        <v>40856.752712536363</v>
      </c>
      <c r="AP1110">
        <v>78773.393825190695</v>
      </c>
      <c r="AQ1110">
        <v>37916.641112654332</v>
      </c>
      <c r="AR1110">
        <v>2.6131444327083329E-2</v>
      </c>
      <c r="AS1110">
        <v>815.56116829728273</v>
      </c>
      <c r="AT1110">
        <v>798.37597445278016</v>
      </c>
      <c r="AU1110">
        <v>56.009116883801759</v>
      </c>
      <c r="AV1110">
        <v>875.63816552885555</v>
      </c>
      <c r="AW1110">
        <v>1688.2641297238331</v>
      </c>
      <c r="AX1110">
        <v>812.62596419497754</v>
      </c>
      <c r="AY1110">
        <v>5.1508127384050342</v>
      </c>
      <c r="AZ1110" t="s">
        <v>120</v>
      </c>
      <c r="BA1110" t="str">
        <f>VLOOKUP($AZ1110,Sheet1!$A$2:$B$58,2)</f>
        <v>Butyrate</v>
      </c>
      <c r="BB1110" t="s">
        <v>170</v>
      </c>
      <c r="BC1110">
        <v>87.095680000000002</v>
      </c>
      <c r="BD1110">
        <v>4.75</v>
      </c>
      <c r="BE1110">
        <v>163.5</v>
      </c>
      <c r="BF1110" t="s">
        <v>217</v>
      </c>
      <c r="BG1110">
        <v>0.54233556193233234</v>
      </c>
      <c r="BH1110">
        <v>0.19711111111111099</v>
      </c>
      <c r="BI1110">
        <v>0.53579770013157302</v>
      </c>
      <c r="BJ1110">
        <v>80</v>
      </c>
      <c r="BK1110">
        <v>3938.6696912595339</v>
      </c>
      <c r="BL1110">
        <v>1895.832055632716</v>
      </c>
      <c r="BM1110">
        <v>11.47435641234307</v>
      </c>
      <c r="BN1110">
        <v>1950.640590098322</v>
      </c>
      <c r="BO1110">
        <v>1988.029101161213</v>
      </c>
    </row>
    <row r="1111" spans="1:67" x14ac:dyDescent="0.25">
      <c r="A1111" s="1">
        <v>1109</v>
      </c>
      <c r="B1111" t="s">
        <v>78</v>
      </c>
      <c r="C1111" t="s">
        <v>87</v>
      </c>
      <c r="D1111">
        <v>1</v>
      </c>
      <c r="E1111">
        <v>4</v>
      </c>
      <c r="F1111">
        <v>1</v>
      </c>
      <c r="G1111">
        <v>32.041060000000002</v>
      </c>
      <c r="H1111">
        <v>6</v>
      </c>
      <c r="I1111" t="s">
        <v>89</v>
      </c>
      <c r="J1111">
        <v>2.5</v>
      </c>
      <c r="K1111">
        <v>200</v>
      </c>
      <c r="L1111">
        <v>50</v>
      </c>
      <c r="N1111" t="s">
        <v>90</v>
      </c>
      <c r="O1111">
        <v>50</v>
      </c>
      <c r="P1111">
        <v>0.3125</v>
      </c>
      <c r="Q1111">
        <v>3.2500000000000001E-2</v>
      </c>
      <c r="R1111">
        <v>77.5</v>
      </c>
      <c r="S1111">
        <v>170</v>
      </c>
      <c r="T1111">
        <v>50</v>
      </c>
      <c r="U1111">
        <v>1812.1301775147931</v>
      </c>
      <c r="V1111">
        <v>20</v>
      </c>
      <c r="W1111">
        <v>0.95</v>
      </c>
      <c r="X1111">
        <v>1</v>
      </c>
      <c r="Y1111">
        <v>301858.97925378161</v>
      </c>
      <c r="Z1111">
        <v>603717958.50756311</v>
      </c>
      <c r="AA1111">
        <v>1509294896.268908</v>
      </c>
      <c r="AB1111">
        <v>1509294.8962689079</v>
      </c>
      <c r="AC1111">
        <v>0</v>
      </c>
      <c r="AD1111">
        <v>6257.0956679319625</v>
      </c>
      <c r="AE1111">
        <v>3754257.4007591759</v>
      </c>
      <c r="AF1111">
        <v>1877128.7003795879</v>
      </c>
      <c r="AG1111">
        <v>60.145193316584411</v>
      </c>
      <c r="AH1111">
        <v>619.59325577779271</v>
      </c>
      <c r="AI1111">
        <v>309.79662788889641</v>
      </c>
      <c r="AJ1111">
        <v>49052.084128739501</v>
      </c>
      <c r="AK1111">
        <v>854.70085470085473</v>
      </c>
      <c r="AL1111" t="s">
        <v>93</v>
      </c>
      <c r="AM1111">
        <v>48018.477322778926</v>
      </c>
      <c r="AN1111">
        <v>3368.6791624674302</v>
      </c>
      <c r="AO1111">
        <v>52665.42674111238</v>
      </c>
      <c r="AP1111">
        <v>101293.94146868669</v>
      </c>
      <c r="AQ1111">
        <v>48628.514727574337</v>
      </c>
      <c r="AR1111">
        <v>2.6131444327083329E-2</v>
      </c>
      <c r="AS1111">
        <v>815.56116829728273</v>
      </c>
      <c r="AT1111">
        <v>798.37597445278038</v>
      </c>
      <c r="AU1111">
        <v>56.009116883801767</v>
      </c>
      <c r="AV1111">
        <v>875.63816552885589</v>
      </c>
      <c r="AW1111">
        <v>1684.156885746612</v>
      </c>
      <c r="AX1111">
        <v>808.51872021775591</v>
      </c>
      <c r="AY1111">
        <v>5.1508127384050351</v>
      </c>
      <c r="AZ1111" t="s">
        <v>121</v>
      </c>
      <c r="BA1111" t="str">
        <f>VLOOKUP($AZ1111,Sheet1!$A$2:$B$58,2)</f>
        <v>Catechol</v>
      </c>
      <c r="BB1111" t="s">
        <v>171</v>
      </c>
      <c r="BC1111">
        <v>110.10924</v>
      </c>
      <c r="BD1111">
        <v>4.333333333333333</v>
      </c>
      <c r="BE1111">
        <v>245</v>
      </c>
      <c r="BF1111" t="s">
        <v>217</v>
      </c>
      <c r="BG1111">
        <v>0.90633350433046966</v>
      </c>
      <c r="BH1111">
        <v>0.12095454545454599</v>
      </c>
      <c r="BI1111">
        <v>0.41566081379784198</v>
      </c>
      <c r="BJ1111">
        <v>80</v>
      </c>
      <c r="BK1111">
        <v>5064.6970734343358</v>
      </c>
      <c r="BL1111">
        <v>2431.4257363787169</v>
      </c>
      <c r="BM1111">
        <v>14.58349789011435</v>
      </c>
      <c r="BN1111">
        <v>2479.1946413194391</v>
      </c>
      <c r="BO1111">
        <v>2585.5024321148971</v>
      </c>
    </row>
    <row r="1112" spans="1:67" x14ac:dyDescent="0.25">
      <c r="A1112" s="1">
        <v>1110</v>
      </c>
      <c r="B1112" t="s">
        <v>78</v>
      </c>
      <c r="C1112" t="s">
        <v>87</v>
      </c>
      <c r="D1112">
        <v>1</v>
      </c>
      <c r="E1112">
        <v>4</v>
      </c>
      <c r="F1112">
        <v>1</v>
      </c>
      <c r="G1112">
        <v>32.041060000000002</v>
      </c>
      <c r="H1112">
        <v>6</v>
      </c>
      <c r="I1112" t="s">
        <v>89</v>
      </c>
      <c r="J1112">
        <v>2.5</v>
      </c>
      <c r="K1112">
        <v>200</v>
      </c>
      <c r="L1112">
        <v>50</v>
      </c>
      <c r="N1112" t="s">
        <v>90</v>
      </c>
      <c r="O1112">
        <v>50</v>
      </c>
      <c r="P1112">
        <v>0.3125</v>
      </c>
      <c r="Q1112">
        <v>3.2500000000000001E-2</v>
      </c>
      <c r="R1112">
        <v>77.5</v>
      </c>
      <c r="S1112">
        <v>170</v>
      </c>
      <c r="T1112">
        <v>50</v>
      </c>
      <c r="U1112">
        <v>1812.1301775147931</v>
      </c>
      <c r="V1112">
        <v>20</v>
      </c>
      <c r="W1112">
        <v>0.95</v>
      </c>
      <c r="X1112">
        <v>1</v>
      </c>
      <c r="Y1112">
        <v>240490.58288595511</v>
      </c>
      <c r="Z1112">
        <v>480981165.77191031</v>
      </c>
      <c r="AA1112">
        <v>1202452914.429776</v>
      </c>
      <c r="AB1112">
        <v>1202452.9144297759</v>
      </c>
      <c r="AC1112">
        <v>0</v>
      </c>
      <c r="AD1112">
        <v>4985.0184615148937</v>
      </c>
      <c r="AE1112">
        <v>2991011.0769089358</v>
      </c>
      <c r="AF1112">
        <v>1495505.5384544679</v>
      </c>
      <c r="AG1112">
        <v>47.917582687951921</v>
      </c>
      <c r="AH1112">
        <v>493.62899060535852</v>
      </c>
      <c r="AI1112">
        <v>246.81449530267929</v>
      </c>
      <c r="AJ1112">
        <v>39079.71971896771</v>
      </c>
      <c r="AK1112">
        <v>854.70085470085473</v>
      </c>
      <c r="AL1112" t="s">
        <v>93</v>
      </c>
      <c r="AM1112">
        <v>38256.246771915277</v>
      </c>
      <c r="AN1112">
        <v>2683.8214895587348</v>
      </c>
      <c r="AO1112">
        <v>41958.464201455477</v>
      </c>
      <c r="AP1112">
        <v>80874.488835142591</v>
      </c>
      <c r="AQ1112">
        <v>38916.024633687113</v>
      </c>
      <c r="AR1112">
        <v>2.6131444327083329E-2</v>
      </c>
      <c r="AS1112">
        <v>815.56116829728262</v>
      </c>
      <c r="AT1112">
        <v>798.37597445278016</v>
      </c>
      <c r="AU1112">
        <v>56.009116883801759</v>
      </c>
      <c r="AV1112">
        <v>875.63816552885567</v>
      </c>
      <c r="AW1112">
        <v>1687.7831538751041</v>
      </c>
      <c r="AX1112">
        <v>812.14498834624862</v>
      </c>
      <c r="AY1112">
        <v>5.1508127384050333</v>
      </c>
      <c r="AZ1112" t="s">
        <v>122</v>
      </c>
      <c r="BA1112" t="str">
        <f>VLOOKUP($AZ1112,Sheet1!$A$2:$B$58,2)</f>
        <v>cis,cis-Muconate</v>
      </c>
      <c r="BB1112" t="s">
        <v>172</v>
      </c>
      <c r="BC1112">
        <v>140.09155999999999</v>
      </c>
      <c r="BD1112">
        <v>3.333333333333333</v>
      </c>
      <c r="BE1112">
        <v>345.4</v>
      </c>
      <c r="BF1112" t="s">
        <v>217</v>
      </c>
      <c r="BG1112">
        <v>0.74777782397472536</v>
      </c>
      <c r="BH1112">
        <v>0.119327354260089</v>
      </c>
      <c r="BI1112">
        <v>0.52172915655625995</v>
      </c>
      <c r="BJ1112">
        <v>80</v>
      </c>
      <c r="BK1112">
        <v>4043.7244417571301</v>
      </c>
      <c r="BL1112">
        <v>1945.801231684356</v>
      </c>
      <c r="BM1112">
        <v>11.592946941159241</v>
      </c>
      <c r="BN1112">
        <v>1970.80097999707</v>
      </c>
      <c r="BO1112">
        <v>2072.92346176006</v>
      </c>
    </row>
    <row r="1113" spans="1:67" x14ac:dyDescent="0.25">
      <c r="A1113" s="1">
        <v>1111</v>
      </c>
      <c r="B1113" t="s">
        <v>78</v>
      </c>
      <c r="C1113" t="s">
        <v>87</v>
      </c>
      <c r="D1113">
        <v>1</v>
      </c>
      <c r="E1113">
        <v>4</v>
      </c>
      <c r="F1113">
        <v>1</v>
      </c>
      <c r="G1113">
        <v>32.041060000000002</v>
      </c>
      <c r="H1113">
        <v>6</v>
      </c>
      <c r="I1113" t="s">
        <v>89</v>
      </c>
      <c r="J1113">
        <v>2.5</v>
      </c>
      <c r="K1113">
        <v>200</v>
      </c>
      <c r="L1113">
        <v>50</v>
      </c>
      <c r="N1113" t="s">
        <v>90</v>
      </c>
      <c r="O1113">
        <v>50</v>
      </c>
      <c r="P1113">
        <v>0.3125</v>
      </c>
      <c r="Q1113">
        <v>3.2500000000000001E-2</v>
      </c>
      <c r="R1113">
        <v>77.5</v>
      </c>
      <c r="S1113">
        <v>170</v>
      </c>
      <c r="T1113">
        <v>50</v>
      </c>
      <c r="U1113">
        <v>1812.1301775147931</v>
      </c>
      <c r="V1113">
        <v>20</v>
      </c>
      <c r="W1113">
        <v>0.95</v>
      </c>
      <c r="X1113">
        <v>1</v>
      </c>
      <c r="Y1113">
        <v>121041.5719925882</v>
      </c>
      <c r="Z1113">
        <v>242083143.9851765</v>
      </c>
      <c r="AA1113">
        <v>605207859.96294117</v>
      </c>
      <c r="AB1113">
        <v>605207.85996294115</v>
      </c>
      <c r="AC1113">
        <v>0</v>
      </c>
      <c r="AD1113">
        <v>2509.014963300981</v>
      </c>
      <c r="AE1113">
        <v>1505408.977980589</v>
      </c>
      <c r="AF1113">
        <v>752704.4889902944</v>
      </c>
      <c r="AG1113">
        <v>24.117449694007359</v>
      </c>
      <c r="AH1113">
        <v>248.4489342034714</v>
      </c>
      <c r="AI1113">
        <v>124.2244671017357</v>
      </c>
      <c r="AJ1113">
        <v>19669.255448795589</v>
      </c>
      <c r="AK1113">
        <v>854.70085470085473</v>
      </c>
      <c r="AL1113" t="s">
        <v>93</v>
      </c>
      <c r="AM1113">
        <v>19254.792400769031</v>
      </c>
      <c r="AN1113">
        <v>1350.7970588508681</v>
      </c>
      <c r="AO1113">
        <v>21118.159407295068</v>
      </c>
      <c r="AP1113">
        <v>41129.545763116337</v>
      </c>
      <c r="AQ1113">
        <v>20011.386355821269</v>
      </c>
      <c r="AR1113">
        <v>2.613144432708334E-2</v>
      </c>
      <c r="AS1113">
        <v>815.56116829728285</v>
      </c>
      <c r="AT1113">
        <v>798.37597445278016</v>
      </c>
      <c r="AU1113">
        <v>56.009116883801767</v>
      </c>
      <c r="AV1113">
        <v>875.63816552885578</v>
      </c>
      <c r="AW1113">
        <v>1705.3853655735461</v>
      </c>
      <c r="AX1113">
        <v>829.74720004468986</v>
      </c>
      <c r="AY1113">
        <v>5.1508127384050342</v>
      </c>
      <c r="AZ1113" t="s">
        <v>123</v>
      </c>
      <c r="BA1113" t="str">
        <f>VLOOKUP($AZ1113,Sheet1!$A$2:$B$58,2)</f>
        <v>Citrate</v>
      </c>
      <c r="BB1113" t="s">
        <v>173</v>
      </c>
      <c r="BC1113">
        <v>189.09639999999999</v>
      </c>
      <c r="BD1113">
        <v>2.5</v>
      </c>
      <c r="BF1113" t="s">
        <v>217</v>
      </c>
      <c r="BG1113">
        <v>-7.1369621231255023E-2</v>
      </c>
      <c r="BH1113">
        <v>0.17564356435643599</v>
      </c>
      <c r="BI1113">
        <v>1.0365938487356701</v>
      </c>
      <c r="BJ1113">
        <v>80</v>
      </c>
      <c r="BK1113">
        <v>2056.477288155817</v>
      </c>
      <c r="BL1113">
        <v>1000.569317791063</v>
      </c>
      <c r="BM1113">
        <v>6.2825929763180408</v>
      </c>
      <c r="BN1113">
        <v>1068.0408059740671</v>
      </c>
      <c r="BO1113">
        <v>988.43648218175008</v>
      </c>
    </row>
    <row r="1114" spans="1:67" x14ac:dyDescent="0.25">
      <c r="A1114" s="1">
        <v>1112</v>
      </c>
      <c r="B1114" t="s">
        <v>78</v>
      </c>
      <c r="C1114" t="s">
        <v>87</v>
      </c>
      <c r="D1114">
        <v>1</v>
      </c>
      <c r="E1114">
        <v>4</v>
      </c>
      <c r="F1114">
        <v>1</v>
      </c>
      <c r="G1114">
        <v>32.041060000000002</v>
      </c>
      <c r="H1114">
        <v>6</v>
      </c>
      <c r="I1114" t="s">
        <v>89</v>
      </c>
      <c r="J1114">
        <v>2.5</v>
      </c>
      <c r="K1114">
        <v>200</v>
      </c>
      <c r="L1114">
        <v>50</v>
      </c>
      <c r="N1114" t="s">
        <v>90</v>
      </c>
      <c r="O1114">
        <v>50</v>
      </c>
      <c r="P1114">
        <v>0.3125</v>
      </c>
      <c r="Q1114">
        <v>3.2500000000000001E-2</v>
      </c>
      <c r="R1114">
        <v>77.5</v>
      </c>
      <c r="S1114">
        <v>170</v>
      </c>
      <c r="T1114">
        <v>50</v>
      </c>
      <c r="U1114">
        <v>1812.1301775147931</v>
      </c>
      <c r="V1114">
        <v>20</v>
      </c>
      <c r="W1114">
        <v>0.95</v>
      </c>
      <c r="X1114">
        <v>1</v>
      </c>
      <c r="Y1114">
        <v>305125.40502167452</v>
      </c>
      <c r="Z1114">
        <v>610250810.04334915</v>
      </c>
      <c r="AA1114">
        <v>1525627025.1083729</v>
      </c>
      <c r="AB1114">
        <v>1525627.025108373</v>
      </c>
      <c r="AC1114">
        <v>0</v>
      </c>
      <c r="AD1114">
        <v>6324.8039023281353</v>
      </c>
      <c r="AE1114">
        <v>3794882.3413968808</v>
      </c>
      <c r="AF1114">
        <v>1897441.1706984411</v>
      </c>
      <c r="AG1114">
        <v>60.796026396818981</v>
      </c>
      <c r="AH1114">
        <v>626.29789441828768</v>
      </c>
      <c r="AI1114">
        <v>313.14894720914378</v>
      </c>
      <c r="AJ1114">
        <v>49582.878316022128</v>
      </c>
      <c r="AK1114">
        <v>854.70085470085473</v>
      </c>
      <c r="AL1114" t="s">
        <v>93</v>
      </c>
      <c r="AM1114">
        <v>48538.086817417287</v>
      </c>
      <c r="AN1114">
        <v>3405.131748530132</v>
      </c>
      <c r="AO1114">
        <v>53235.321025554447</v>
      </c>
      <c r="AP1114">
        <v>102380.7977366704</v>
      </c>
      <c r="AQ1114">
        <v>49145.47671111596</v>
      </c>
      <c r="AR1114">
        <v>2.613144432708334E-2</v>
      </c>
      <c r="AS1114">
        <v>815.56116829728285</v>
      </c>
      <c r="AT1114">
        <v>798.37597445278004</v>
      </c>
      <c r="AU1114">
        <v>56.009116883801759</v>
      </c>
      <c r="AV1114">
        <v>875.63816552885555</v>
      </c>
      <c r="AW1114">
        <v>1684.0047582785321</v>
      </c>
      <c r="AX1114">
        <v>808.36659274967656</v>
      </c>
      <c r="AY1114">
        <v>5.1508127384050333</v>
      </c>
      <c r="AZ1114" t="s">
        <v>124</v>
      </c>
      <c r="BA1114" t="str">
        <f>VLOOKUP($AZ1114,Sheet1!$A$2:$B$58,2)</f>
        <v>Coumaric Acid</v>
      </c>
      <c r="BB1114" t="s">
        <v>174</v>
      </c>
      <c r="BC1114">
        <v>163.14818</v>
      </c>
      <c r="BD1114">
        <v>4.1111111111111107</v>
      </c>
      <c r="BE1114">
        <v>346</v>
      </c>
      <c r="BF1114" t="s">
        <v>217</v>
      </c>
      <c r="BG1114">
        <v>0.91246249431000914</v>
      </c>
      <c r="BH1114">
        <v>8.0758725341426404E-2</v>
      </c>
      <c r="BI1114">
        <v>0.41121108535652701</v>
      </c>
      <c r="BJ1114">
        <v>80</v>
      </c>
      <c r="BK1114">
        <v>5119.0398868335215</v>
      </c>
      <c r="BL1114">
        <v>2457.2738355557981</v>
      </c>
      <c r="BM1114">
        <v>14.744984866147179</v>
      </c>
      <c r="BN1114">
        <v>2506.6474272450209</v>
      </c>
      <c r="BO1114">
        <v>2612.3924595885001</v>
      </c>
    </row>
    <row r="1115" spans="1:67" x14ac:dyDescent="0.25">
      <c r="A1115" s="1">
        <v>1113</v>
      </c>
      <c r="B1115" t="s">
        <v>78</v>
      </c>
      <c r="C1115" t="s">
        <v>87</v>
      </c>
      <c r="D1115">
        <v>1</v>
      </c>
      <c r="E1115">
        <v>4</v>
      </c>
      <c r="F1115">
        <v>1</v>
      </c>
      <c r="G1115">
        <v>32.041060000000002</v>
      </c>
      <c r="H1115">
        <v>6</v>
      </c>
      <c r="I1115" t="s">
        <v>89</v>
      </c>
      <c r="J1115">
        <v>2.5</v>
      </c>
      <c r="K1115">
        <v>200</v>
      </c>
      <c r="L1115">
        <v>50</v>
      </c>
      <c r="N1115" t="s">
        <v>90</v>
      </c>
      <c r="O1115">
        <v>50</v>
      </c>
      <c r="P1115">
        <v>0.3125</v>
      </c>
      <c r="Q1115">
        <v>3.2500000000000001E-2</v>
      </c>
      <c r="R1115">
        <v>77.5</v>
      </c>
      <c r="S1115">
        <v>170</v>
      </c>
      <c r="T1115">
        <v>50</v>
      </c>
      <c r="U1115">
        <v>1812.1301775147931</v>
      </c>
      <c r="V1115">
        <v>20</v>
      </c>
      <c r="W1115">
        <v>0.95</v>
      </c>
      <c r="X1115">
        <v>1</v>
      </c>
      <c r="Y1115">
        <v>239213.74535509991</v>
      </c>
      <c r="Z1115">
        <v>478427490.71019977</v>
      </c>
      <c r="AA1115">
        <v>1196068726.7755001</v>
      </c>
      <c r="AB1115">
        <v>1196068.7267755</v>
      </c>
      <c r="AC1115">
        <v>0</v>
      </c>
      <c r="AD1115">
        <v>4958.5514847739087</v>
      </c>
      <c r="AE1115">
        <v>2975130.8908643448</v>
      </c>
      <c r="AF1115">
        <v>1487565.4454321731</v>
      </c>
      <c r="AG1115">
        <v>47.663173691018969</v>
      </c>
      <c r="AH1115">
        <v>491.00816440102437</v>
      </c>
      <c r="AI1115">
        <v>245.50408220051219</v>
      </c>
      <c r="AJ1115">
        <v>38872.233620203733</v>
      </c>
      <c r="AK1115">
        <v>854.70085470085473</v>
      </c>
      <c r="AL1115" t="s">
        <v>93</v>
      </c>
      <c r="AM1115">
        <v>38053.132741079389</v>
      </c>
      <c r="AN1115">
        <v>2669.572266313226</v>
      </c>
      <c r="AO1115">
        <v>41735.693974087073</v>
      </c>
      <c r="AP1115">
        <v>80449.639482297207</v>
      </c>
      <c r="AQ1115">
        <v>38713.945508210127</v>
      </c>
      <c r="AR1115">
        <v>2.6131444327083329E-2</v>
      </c>
      <c r="AS1115">
        <v>815.56116829728262</v>
      </c>
      <c r="AT1115">
        <v>798.37597445278027</v>
      </c>
      <c r="AU1115">
        <v>56.009116883801752</v>
      </c>
      <c r="AV1115">
        <v>875.63816552885578</v>
      </c>
      <c r="AW1115">
        <v>1687.8783608456199</v>
      </c>
      <c r="AX1115">
        <v>812.24019531676458</v>
      </c>
      <c r="AY1115">
        <v>5.1508127384050342</v>
      </c>
      <c r="AZ1115" t="s">
        <v>125</v>
      </c>
      <c r="BA1115" t="str">
        <f>VLOOKUP($AZ1115,Sheet1!$A$2:$B$58,2)</f>
        <v>Ethyl Acetate</v>
      </c>
      <c r="BB1115" t="s">
        <v>175</v>
      </c>
      <c r="BC1115">
        <v>88.103520000000003</v>
      </c>
      <c r="BD1115">
        <v>5</v>
      </c>
      <c r="BE1115">
        <v>77.099999999999994</v>
      </c>
      <c r="BF1115" t="s">
        <v>217</v>
      </c>
      <c r="BG1115">
        <v>0.62060616162859317</v>
      </c>
      <c r="BH1115">
        <v>0.19075268817204299</v>
      </c>
      <c r="BI1115">
        <v>0.524513960443861</v>
      </c>
      <c r="BJ1115">
        <v>80</v>
      </c>
      <c r="BK1115">
        <v>4022.4819741148599</v>
      </c>
      <c r="BL1115">
        <v>1935.6972754105061</v>
      </c>
      <c r="BM1115">
        <v>11.65459794839702</v>
      </c>
      <c r="BN1115">
        <v>1981.2816512274931</v>
      </c>
      <c r="BO1115">
        <v>2041.2003228873671</v>
      </c>
    </row>
    <row r="1116" spans="1:67" x14ac:dyDescent="0.25">
      <c r="A1116" s="1">
        <v>1114</v>
      </c>
      <c r="B1116" t="s">
        <v>78</v>
      </c>
      <c r="C1116" t="s">
        <v>87</v>
      </c>
      <c r="D1116">
        <v>1</v>
      </c>
      <c r="E1116">
        <v>4</v>
      </c>
      <c r="F1116">
        <v>1</v>
      </c>
      <c r="G1116">
        <v>32.041060000000002</v>
      </c>
      <c r="H1116">
        <v>6</v>
      </c>
      <c r="I1116" t="s">
        <v>89</v>
      </c>
      <c r="J1116">
        <v>2.5</v>
      </c>
      <c r="K1116">
        <v>200</v>
      </c>
      <c r="L1116">
        <v>50</v>
      </c>
      <c r="N1116" t="s">
        <v>90</v>
      </c>
      <c r="O1116">
        <v>50</v>
      </c>
      <c r="P1116">
        <v>0.3125</v>
      </c>
      <c r="Q1116">
        <v>3.2500000000000001E-2</v>
      </c>
      <c r="R1116">
        <v>77.5</v>
      </c>
      <c r="S1116">
        <v>170</v>
      </c>
      <c r="T1116">
        <v>50</v>
      </c>
      <c r="U1116">
        <v>1812.1301775147931</v>
      </c>
      <c r="V1116">
        <v>20</v>
      </c>
      <c r="W1116">
        <v>0.95</v>
      </c>
      <c r="X1116">
        <v>1</v>
      </c>
      <c r="Y1116">
        <v>484625.30258304608</v>
      </c>
      <c r="Z1116">
        <v>969250605.16609216</v>
      </c>
      <c r="AA1116">
        <v>2423126512.9152298</v>
      </c>
      <c r="AB1116">
        <v>2423126.5129152299</v>
      </c>
      <c r="AC1116">
        <v>0</v>
      </c>
      <c r="AD1116">
        <v>10045.574555571569</v>
      </c>
      <c r="AE1116">
        <v>6027344.7333429409</v>
      </c>
      <c r="AF1116">
        <v>3013672.36667147</v>
      </c>
      <c r="AG1116">
        <v>96.561257120862592</v>
      </c>
      <c r="AH1116">
        <v>994.73790642908546</v>
      </c>
      <c r="AI1116">
        <v>497.36895321454273</v>
      </c>
      <c r="AJ1116">
        <v>78751.611669744991</v>
      </c>
      <c r="AK1116">
        <v>1835.336538461539</v>
      </c>
      <c r="AL1116" t="s">
        <v>94</v>
      </c>
      <c r="AM1116">
        <v>77092.187748254117</v>
      </c>
      <c r="AN1116">
        <v>5408.310736529229</v>
      </c>
      <c r="AO1116">
        <v>84552.722046472263</v>
      </c>
      <c r="AP1116">
        <v>163087.44669298991</v>
      </c>
      <c r="AQ1116">
        <v>78534.724646517614</v>
      </c>
      <c r="AR1116">
        <v>2.6131444327083329E-2</v>
      </c>
      <c r="AS1116">
        <v>815.56116829728262</v>
      </c>
      <c r="AT1116">
        <v>798.37597445278004</v>
      </c>
      <c r="AU1116">
        <v>56.009116883801767</v>
      </c>
      <c r="AV1116">
        <v>875.63816552885555</v>
      </c>
      <c r="AW1116">
        <v>1688.953225710997</v>
      </c>
      <c r="AX1116">
        <v>813.31506018214191</v>
      </c>
      <c r="AY1116">
        <v>5.1508127384050333</v>
      </c>
      <c r="AZ1116" t="s">
        <v>126</v>
      </c>
      <c r="BA1116" t="str">
        <f>VLOOKUP($AZ1116,Sheet1!$A$2:$B$58,2)</f>
        <v>Farnesene</v>
      </c>
      <c r="BB1116" t="s">
        <v>176</v>
      </c>
      <c r="BC1116">
        <v>204.34866</v>
      </c>
      <c r="BD1116">
        <v>5.6</v>
      </c>
      <c r="BE1116" t="s">
        <v>198</v>
      </c>
      <c r="BF1116" t="s">
        <v>217</v>
      </c>
      <c r="BG1116">
        <v>2.0747607409150941</v>
      </c>
      <c r="BH1116">
        <v>4.0594965675057097E-2</v>
      </c>
      <c r="BI1116">
        <v>0.25890300877823402</v>
      </c>
      <c r="BJ1116">
        <v>80</v>
      </c>
      <c r="BK1116">
        <v>8154.3723346494944</v>
      </c>
      <c r="BL1116">
        <v>3926.7362323258822</v>
      </c>
      <c r="BM1116">
        <v>22.79368691981205</v>
      </c>
      <c r="BN1116">
        <v>3874.9267763680482</v>
      </c>
      <c r="BO1116">
        <v>4279.4455582814462</v>
      </c>
    </row>
    <row r="1117" spans="1:67" x14ac:dyDescent="0.25">
      <c r="A1117" s="1">
        <v>1115</v>
      </c>
      <c r="B1117" t="s">
        <v>78</v>
      </c>
      <c r="C1117" t="s">
        <v>87</v>
      </c>
      <c r="D1117">
        <v>1</v>
      </c>
      <c r="E1117">
        <v>4</v>
      </c>
      <c r="F1117">
        <v>1</v>
      </c>
      <c r="G1117">
        <v>32.041060000000002</v>
      </c>
      <c r="H1117">
        <v>6</v>
      </c>
      <c r="I1117" t="s">
        <v>89</v>
      </c>
      <c r="J1117">
        <v>2.5</v>
      </c>
      <c r="K1117">
        <v>200</v>
      </c>
      <c r="L1117">
        <v>50</v>
      </c>
      <c r="N1117" t="s">
        <v>90</v>
      </c>
      <c r="O1117">
        <v>50</v>
      </c>
      <c r="P1117">
        <v>0.3125</v>
      </c>
      <c r="Q1117">
        <v>3.2500000000000001E-2</v>
      </c>
      <c r="R1117">
        <v>77.5</v>
      </c>
      <c r="S1117">
        <v>170</v>
      </c>
      <c r="T1117">
        <v>50</v>
      </c>
      <c r="U1117">
        <v>1812.1301775147931</v>
      </c>
      <c r="V1117">
        <v>20</v>
      </c>
      <c r="W1117">
        <v>0.95</v>
      </c>
      <c r="X1117">
        <v>1</v>
      </c>
      <c r="Y1117">
        <v>257976.83297257929</v>
      </c>
      <c r="Z1117">
        <v>515953665.9451586</v>
      </c>
      <c r="AA1117">
        <v>1289884164.862896</v>
      </c>
      <c r="AB1117">
        <v>1289884.164862897</v>
      </c>
      <c r="AC1117">
        <v>0</v>
      </c>
      <c r="AD1117">
        <v>5347.4828809463397</v>
      </c>
      <c r="AE1117">
        <v>3208489.7285678042</v>
      </c>
      <c r="AF1117">
        <v>1604244.8642839021</v>
      </c>
      <c r="AG1117">
        <v>51.401705951212357</v>
      </c>
      <c r="AH1117">
        <v>529.52112357850888</v>
      </c>
      <c r="AI1117">
        <v>264.76056178925438</v>
      </c>
      <c r="AJ1117">
        <v>41921.235358044141</v>
      </c>
      <c r="AK1117">
        <v>1835.336538461539</v>
      </c>
      <c r="AL1117" t="s">
        <v>94</v>
      </c>
      <c r="AM1117">
        <v>41037.887077334439</v>
      </c>
      <c r="AN1117">
        <v>2878.964156648261</v>
      </c>
      <c r="AO1117">
        <v>45009.295504173257</v>
      </c>
      <c r="AP1117">
        <v>87673.423130488372</v>
      </c>
      <c r="AQ1117">
        <v>42664.127626315123</v>
      </c>
      <c r="AR1117">
        <v>2.6131444327083329E-2</v>
      </c>
      <c r="AS1117">
        <v>815.56116829728273</v>
      </c>
      <c r="AT1117">
        <v>798.37597445278016</v>
      </c>
      <c r="AU1117">
        <v>56.009116883801752</v>
      </c>
      <c r="AV1117">
        <v>875.63816552885567</v>
      </c>
      <c r="AW1117">
        <v>1705.6520111161899</v>
      </c>
      <c r="AX1117">
        <v>830.013845587334</v>
      </c>
      <c r="AY1117">
        <v>5.1508127384050333</v>
      </c>
      <c r="AZ1117" t="s">
        <v>127</v>
      </c>
      <c r="BA1117" t="str">
        <f>VLOOKUP($AZ1117,Sheet1!$A$2:$B$58,2)</f>
        <v>Gamma Butyrolactone</v>
      </c>
      <c r="BB1117" t="s">
        <v>177</v>
      </c>
      <c r="BC1117">
        <v>86.08784</v>
      </c>
      <c r="BD1117">
        <v>4.5</v>
      </c>
      <c r="BE1117">
        <v>204</v>
      </c>
      <c r="BF1117" t="s">
        <v>217</v>
      </c>
      <c r="BG1117">
        <v>0.7792245540986622</v>
      </c>
      <c r="BH1117">
        <v>0.18102040816326501</v>
      </c>
      <c r="BI1117">
        <v>0.48636518063677903</v>
      </c>
      <c r="BJ1117">
        <v>80</v>
      </c>
      <c r="BK1117">
        <v>4383.6711565244186</v>
      </c>
      <c r="BL1117">
        <v>2133.2063813157561</v>
      </c>
      <c r="BM1117">
        <v>12.45880353536406</v>
      </c>
      <c r="BN1117">
        <v>2117.996601011891</v>
      </c>
      <c r="BO1117">
        <v>2265.6745555125281</v>
      </c>
    </row>
    <row r="1118" spans="1:67" x14ac:dyDescent="0.25">
      <c r="A1118" s="1">
        <v>1116</v>
      </c>
      <c r="B1118" t="s">
        <v>78</v>
      </c>
      <c r="C1118" t="s">
        <v>87</v>
      </c>
      <c r="D1118">
        <v>1</v>
      </c>
      <c r="E1118">
        <v>4</v>
      </c>
      <c r="F1118">
        <v>1</v>
      </c>
      <c r="G1118">
        <v>32.041060000000002</v>
      </c>
      <c r="H1118">
        <v>6</v>
      </c>
      <c r="I1118" t="s">
        <v>89</v>
      </c>
      <c r="J1118">
        <v>2.5</v>
      </c>
      <c r="K1118">
        <v>200</v>
      </c>
      <c r="L1118">
        <v>50</v>
      </c>
      <c r="N1118" t="s">
        <v>90</v>
      </c>
      <c r="O1118">
        <v>50</v>
      </c>
      <c r="P1118">
        <v>0.3125</v>
      </c>
      <c r="Q1118">
        <v>3.2500000000000001E-2</v>
      </c>
      <c r="R1118">
        <v>77.5</v>
      </c>
      <c r="S1118">
        <v>170</v>
      </c>
      <c r="T1118">
        <v>50</v>
      </c>
      <c r="U1118">
        <v>1812.1301775147931</v>
      </c>
      <c r="V1118">
        <v>20</v>
      </c>
      <c r="W1118">
        <v>0.95</v>
      </c>
      <c r="X1118">
        <v>1</v>
      </c>
      <c r="Y1118">
        <v>151990.36730253749</v>
      </c>
      <c r="Z1118">
        <v>303980734.60507512</v>
      </c>
      <c r="AA1118">
        <v>759951836.5126878</v>
      </c>
      <c r="AB1118">
        <v>759951.83651268785</v>
      </c>
      <c r="AC1118">
        <v>0</v>
      </c>
      <c r="AD1118">
        <v>3150.538278394386</v>
      </c>
      <c r="AE1118">
        <v>1890322.967036631</v>
      </c>
      <c r="AF1118">
        <v>945161.4835183156</v>
      </c>
      <c r="AG1118">
        <v>30.283975803099359</v>
      </c>
      <c r="AH1118">
        <v>311.97417667230798</v>
      </c>
      <c r="AI1118">
        <v>155.98708833615399</v>
      </c>
      <c r="AJ1118">
        <v>24698.43468666236</v>
      </c>
      <c r="AK1118">
        <v>854.70085470085473</v>
      </c>
      <c r="AL1118" t="s">
        <v>93</v>
      </c>
      <c r="AM1118">
        <v>24177.998692103869</v>
      </c>
      <c r="AN1118">
        <v>1696.178740462017</v>
      </c>
      <c r="AO1118">
        <v>26517.80501714618</v>
      </c>
      <c r="AP1118">
        <v>51427.312973929103</v>
      </c>
      <c r="AQ1118">
        <v>24909.50795678292</v>
      </c>
      <c r="AR1118">
        <v>2.6131444327083329E-2</v>
      </c>
      <c r="AS1118">
        <v>815.56116829728273</v>
      </c>
      <c r="AT1118">
        <v>798.37597445278016</v>
      </c>
      <c r="AU1118">
        <v>56.009116883801759</v>
      </c>
      <c r="AV1118">
        <v>875.63816552885555</v>
      </c>
      <c r="AW1118">
        <v>1698.1691343402099</v>
      </c>
      <c r="AX1118">
        <v>822.53096881135411</v>
      </c>
      <c r="AY1118">
        <v>5.1508127384050333</v>
      </c>
      <c r="AZ1118" t="s">
        <v>128</v>
      </c>
      <c r="BA1118" t="str">
        <f>VLOOKUP($AZ1118,Sheet1!$A$2:$B$58,2)</f>
        <v>L-Glutamate</v>
      </c>
      <c r="BB1118" t="s">
        <v>178</v>
      </c>
      <c r="BC1118">
        <v>146.11892</v>
      </c>
      <c r="BD1118">
        <v>3.4</v>
      </c>
      <c r="BE1118">
        <v>333.8</v>
      </c>
      <c r="BF1118" t="s">
        <v>217</v>
      </c>
      <c r="BG1118">
        <v>0.1578971343157802</v>
      </c>
      <c r="BH1118">
        <v>0.18102040816326601</v>
      </c>
      <c r="BI1118">
        <v>0.82551908516058903</v>
      </c>
      <c r="BJ1118">
        <v>80</v>
      </c>
      <c r="BK1118">
        <v>2571.3656486964551</v>
      </c>
      <c r="BL1118">
        <v>1245.4753978391459</v>
      </c>
      <c r="BM1118">
        <v>7.6414572824919187</v>
      </c>
      <c r="BN1118">
        <v>1299.0477380236259</v>
      </c>
      <c r="BO1118">
        <v>1272.317910672828</v>
      </c>
    </row>
    <row r="1119" spans="1:67" x14ac:dyDescent="0.25">
      <c r="A1119" s="1">
        <v>1117</v>
      </c>
      <c r="B1119" t="s">
        <v>78</v>
      </c>
      <c r="C1119" t="s">
        <v>87</v>
      </c>
      <c r="D1119">
        <v>1</v>
      </c>
      <c r="E1119">
        <v>4</v>
      </c>
      <c r="F1119">
        <v>1</v>
      </c>
      <c r="G1119">
        <v>32.041060000000002</v>
      </c>
      <c r="H1119">
        <v>6</v>
      </c>
      <c r="I1119" t="s">
        <v>89</v>
      </c>
      <c r="J1119">
        <v>2.5</v>
      </c>
      <c r="K1119">
        <v>200</v>
      </c>
      <c r="L1119">
        <v>50</v>
      </c>
      <c r="N1119" t="s">
        <v>90</v>
      </c>
      <c r="O1119">
        <v>50</v>
      </c>
      <c r="P1119">
        <v>0.3125</v>
      </c>
      <c r="Q1119">
        <v>3.2500000000000001E-2</v>
      </c>
      <c r="R1119">
        <v>77.5</v>
      </c>
      <c r="S1119">
        <v>170</v>
      </c>
      <c r="T1119">
        <v>50</v>
      </c>
      <c r="U1119">
        <v>1812.1301775147931</v>
      </c>
      <c r="V1119">
        <v>20</v>
      </c>
      <c r="W1119">
        <v>0.95</v>
      </c>
      <c r="X1119">
        <v>1</v>
      </c>
      <c r="Y1119">
        <v>236902.4785095324</v>
      </c>
      <c r="Z1119">
        <v>473804957.01906472</v>
      </c>
      <c r="AA1119">
        <v>1184512392.547662</v>
      </c>
      <c r="AB1119">
        <v>1184512.3925476619</v>
      </c>
      <c r="AC1119">
        <v>0</v>
      </c>
      <c r="AD1119">
        <v>4910.6422994894883</v>
      </c>
      <c r="AE1119">
        <v>2946385.379693693</v>
      </c>
      <c r="AF1119">
        <v>1473192.689846847</v>
      </c>
      <c r="AG1119">
        <v>47.202655366944199</v>
      </c>
      <c r="AH1119">
        <v>486.26407710119781</v>
      </c>
      <c r="AI1119">
        <v>243.13203855059891</v>
      </c>
      <c r="AJ1119">
        <v>38496.652757799013</v>
      </c>
      <c r="AK1119">
        <v>854.70085470085473</v>
      </c>
      <c r="AL1119" t="s">
        <v>93</v>
      </c>
      <c r="AM1119">
        <v>37685.465975342828</v>
      </c>
      <c r="AN1119">
        <v>2643.7790416729908</v>
      </c>
      <c r="AO1119">
        <v>41332.446553601811</v>
      </c>
      <c r="AP1119">
        <v>79680.598629515691</v>
      </c>
      <c r="AQ1119">
        <v>38348.15207591388</v>
      </c>
      <c r="AR1119">
        <v>2.6131444327083329E-2</v>
      </c>
      <c r="AS1119">
        <v>815.56116829728262</v>
      </c>
      <c r="AT1119">
        <v>798.37597445278004</v>
      </c>
      <c r="AU1119">
        <v>56.009116883801781</v>
      </c>
      <c r="AV1119">
        <v>875.63816552885555</v>
      </c>
      <c r="AW1119">
        <v>1688.053309927044</v>
      </c>
      <c r="AX1119">
        <v>812.4151443981882</v>
      </c>
      <c r="AY1119">
        <v>5.1508127384050333</v>
      </c>
      <c r="AZ1119" t="s">
        <v>129</v>
      </c>
      <c r="BA1119" t="str">
        <f>VLOOKUP($AZ1119,Sheet1!$A$2:$B$58,2)</f>
        <v>Glutarate</v>
      </c>
      <c r="BB1119" t="s">
        <v>179</v>
      </c>
      <c r="BC1119">
        <v>130.09654</v>
      </c>
      <c r="BD1119">
        <v>3.6</v>
      </c>
      <c r="BE1119">
        <v>200</v>
      </c>
      <c r="BF1119" t="s">
        <v>217</v>
      </c>
      <c r="BG1119">
        <v>0.90197219007398721</v>
      </c>
      <c r="BH1119">
        <v>0.13044117647058801</v>
      </c>
      <c r="BI1119">
        <v>0.52963122107548599</v>
      </c>
      <c r="BJ1119">
        <v>80</v>
      </c>
      <c r="BK1119">
        <v>3984.029931475784</v>
      </c>
      <c r="BL1119">
        <v>1917.4076037956941</v>
      </c>
      <c r="BM1119">
        <v>11.254629737455961</v>
      </c>
      <c r="BN1119">
        <v>1913.2870553675129</v>
      </c>
      <c r="BO1119">
        <v>2070.742876108272</v>
      </c>
    </row>
    <row r="1120" spans="1:67" x14ac:dyDescent="0.25">
      <c r="A1120" s="1">
        <v>1118</v>
      </c>
      <c r="B1120" t="s">
        <v>78</v>
      </c>
      <c r="C1120" t="s">
        <v>87</v>
      </c>
      <c r="D1120">
        <v>1</v>
      </c>
      <c r="E1120">
        <v>4</v>
      </c>
      <c r="F1120">
        <v>1</v>
      </c>
      <c r="G1120">
        <v>32.041060000000002</v>
      </c>
      <c r="H1120">
        <v>6</v>
      </c>
      <c r="I1120" t="s">
        <v>89</v>
      </c>
      <c r="J1120">
        <v>2.5</v>
      </c>
      <c r="K1120">
        <v>200</v>
      </c>
      <c r="L1120">
        <v>50</v>
      </c>
      <c r="N1120" t="s">
        <v>90</v>
      </c>
      <c r="O1120">
        <v>50</v>
      </c>
      <c r="P1120">
        <v>0.3125</v>
      </c>
      <c r="Q1120">
        <v>3.2500000000000001E-2</v>
      </c>
      <c r="R1120">
        <v>77.5</v>
      </c>
      <c r="S1120">
        <v>170</v>
      </c>
      <c r="T1120">
        <v>50</v>
      </c>
      <c r="U1120">
        <v>1812.1301775147931</v>
      </c>
      <c r="V1120">
        <v>20</v>
      </c>
      <c r="W1120">
        <v>0.95</v>
      </c>
      <c r="X1120">
        <v>1</v>
      </c>
      <c r="Y1120">
        <v>105696.4861423457</v>
      </c>
      <c r="Z1120">
        <v>211392972.28469151</v>
      </c>
      <c r="AA1120">
        <v>528482430.71172857</v>
      </c>
      <c r="AB1120">
        <v>528482.43071172864</v>
      </c>
      <c r="AC1120">
        <v>0</v>
      </c>
      <c r="AD1120">
        <v>2190.9337505606659</v>
      </c>
      <c r="AE1120">
        <v>1314560.2503364</v>
      </c>
      <c r="AF1120">
        <v>657280.1251682</v>
      </c>
      <c r="AG1120">
        <v>21.059951927321801</v>
      </c>
      <c r="AH1120">
        <v>216.95173731489359</v>
      </c>
      <c r="AI1120">
        <v>108.4758686574468</v>
      </c>
      <c r="AJ1120">
        <v>17175.678998131181</v>
      </c>
      <c r="AK1120">
        <v>854.70085470085473</v>
      </c>
      <c r="AL1120" t="s">
        <v>93</v>
      </c>
      <c r="AM1120">
        <v>16813.759641904249</v>
      </c>
      <c r="AN1120">
        <v>1179.549309064613</v>
      </c>
      <c r="AO1120">
        <v>18440.897671765961</v>
      </c>
      <c r="AP1120">
        <v>36023.688803800898</v>
      </c>
      <c r="AQ1120">
        <v>17582.791132034941</v>
      </c>
      <c r="AR1120">
        <v>2.6131444327083329E-2</v>
      </c>
      <c r="AS1120">
        <v>815.56116829728262</v>
      </c>
      <c r="AT1120">
        <v>798.37597445278016</v>
      </c>
      <c r="AU1120">
        <v>56.009116883801752</v>
      </c>
      <c r="AV1120">
        <v>875.63816552885567</v>
      </c>
      <c r="AW1120">
        <v>1710.5304384416049</v>
      </c>
      <c r="AX1120">
        <v>834.89227291274949</v>
      </c>
      <c r="AY1120">
        <v>5.1508127384050342</v>
      </c>
      <c r="AZ1120" t="s">
        <v>130</v>
      </c>
      <c r="BA1120" t="str">
        <f>VLOOKUP($AZ1120,Sheet1!$A$2:$B$58,2)</f>
        <v>Glycolate</v>
      </c>
      <c r="BB1120" t="s">
        <v>180</v>
      </c>
      <c r="BC1120">
        <v>75.041920000000005</v>
      </c>
      <c r="BD1120">
        <v>2.5</v>
      </c>
      <c r="BE1120">
        <v>112</v>
      </c>
      <c r="BF1120" t="s">
        <v>217</v>
      </c>
      <c r="BG1120">
        <v>-1.5868469929318431E-2</v>
      </c>
      <c r="BH1120">
        <v>0.50685714285714301</v>
      </c>
      <c r="BI1120">
        <v>1.1870872301264199</v>
      </c>
      <c r="BJ1120">
        <v>80</v>
      </c>
      <c r="BK1120">
        <v>1801.1844401900451</v>
      </c>
      <c r="BL1120">
        <v>879.13955660174702</v>
      </c>
      <c r="BM1120">
        <v>5.4396619028016584</v>
      </c>
      <c r="BN1120">
        <v>924.74252347628192</v>
      </c>
      <c r="BO1120">
        <v>876.44191671376268</v>
      </c>
    </row>
    <row r="1121" spans="1:67" x14ac:dyDescent="0.25">
      <c r="A1121" s="1">
        <v>1119</v>
      </c>
      <c r="B1121" t="s">
        <v>78</v>
      </c>
      <c r="C1121" t="s">
        <v>87</v>
      </c>
      <c r="D1121">
        <v>1</v>
      </c>
      <c r="E1121">
        <v>4</v>
      </c>
      <c r="F1121">
        <v>1</v>
      </c>
      <c r="G1121">
        <v>32.041060000000002</v>
      </c>
      <c r="H1121">
        <v>6</v>
      </c>
      <c r="I1121" t="s">
        <v>89</v>
      </c>
      <c r="J1121">
        <v>2.5</v>
      </c>
      <c r="K1121">
        <v>200</v>
      </c>
      <c r="L1121">
        <v>50</v>
      </c>
      <c r="N1121" t="s">
        <v>90</v>
      </c>
      <c r="O1121">
        <v>50</v>
      </c>
      <c r="P1121">
        <v>0.3125</v>
      </c>
      <c r="Q1121">
        <v>3.2500000000000001E-2</v>
      </c>
      <c r="R1121">
        <v>77.5</v>
      </c>
      <c r="S1121">
        <v>170</v>
      </c>
      <c r="T1121">
        <v>50</v>
      </c>
      <c r="U1121">
        <v>1812.1301775147931</v>
      </c>
      <c r="V1121">
        <v>20</v>
      </c>
      <c r="W1121">
        <v>0.95</v>
      </c>
      <c r="X1121">
        <v>1</v>
      </c>
      <c r="Y1121">
        <v>459116.90611803619</v>
      </c>
      <c r="Z1121">
        <v>918233812.2360723</v>
      </c>
      <c r="AA1121">
        <v>2295584530.5901809</v>
      </c>
      <c r="AB1121">
        <v>2295584.5305901808</v>
      </c>
      <c r="AC1121">
        <v>0</v>
      </c>
      <c r="AD1121">
        <v>9516.8227609035112</v>
      </c>
      <c r="AE1121">
        <v>5710093.6565421075</v>
      </c>
      <c r="AF1121">
        <v>2855046.8282710528</v>
      </c>
      <c r="AG1121">
        <v>91.47872672744252</v>
      </c>
      <c r="AH1121">
        <v>942.37958184156787</v>
      </c>
      <c r="AI1121">
        <v>471.18979092078388</v>
      </c>
      <c r="AJ1121">
        <v>74606.497244180879</v>
      </c>
      <c r="AK1121">
        <v>854.70085470085473</v>
      </c>
      <c r="AL1121" t="s">
        <v>93</v>
      </c>
      <c r="AM1121">
        <v>73034.417592721511</v>
      </c>
      <c r="AN1121">
        <v>5123.6426976586881</v>
      </c>
      <c r="AO1121">
        <v>80102.264456533274</v>
      </c>
      <c r="AP1121">
        <v>153619.2583892619</v>
      </c>
      <c r="AQ1121">
        <v>73516.993932728656</v>
      </c>
      <c r="AR1121">
        <v>2.6131444327083329E-2</v>
      </c>
      <c r="AS1121">
        <v>815.56116829728273</v>
      </c>
      <c r="AT1121">
        <v>798.37597445278027</v>
      </c>
      <c r="AU1121">
        <v>56.009116883801759</v>
      </c>
      <c r="AV1121">
        <v>875.63816552885578</v>
      </c>
      <c r="AW1121">
        <v>1679.289424818568</v>
      </c>
      <c r="AX1121">
        <v>803.6512592897127</v>
      </c>
      <c r="AY1121">
        <v>5.1508127384050333</v>
      </c>
      <c r="AZ1121" t="s">
        <v>131</v>
      </c>
      <c r="BA1121" t="str">
        <f>VLOOKUP($AZ1121,Sheet1!$A$2:$B$58,2)</f>
        <v>Heptane</v>
      </c>
      <c r="BB1121" t="s">
        <v>181</v>
      </c>
      <c r="BC1121">
        <v>100.20034</v>
      </c>
      <c r="BD1121">
        <v>6.2857142857142856</v>
      </c>
      <c r="BE1121">
        <v>98</v>
      </c>
      <c r="BF1121" t="s">
        <v>217</v>
      </c>
      <c r="BG1121">
        <v>1.9514839708572129</v>
      </c>
      <c r="BH1121">
        <v>8.7389162561576306E-2</v>
      </c>
      <c r="BI1121">
        <v>0.27328758165257999</v>
      </c>
      <c r="BJ1121">
        <v>80</v>
      </c>
      <c r="BK1121">
        <v>7680.962919463097</v>
      </c>
      <c r="BL1121">
        <v>3675.8496966364341</v>
      </c>
      <c r="BM1121">
        <v>21.608005575181991</v>
      </c>
      <c r="BN1121">
        <v>3673.3609477809382</v>
      </c>
      <c r="BO1121">
        <v>4007.6019716821588</v>
      </c>
    </row>
    <row r="1122" spans="1:67" x14ac:dyDescent="0.25">
      <c r="A1122" s="1">
        <v>1120</v>
      </c>
      <c r="B1122" t="s">
        <v>78</v>
      </c>
      <c r="C1122" t="s">
        <v>87</v>
      </c>
      <c r="D1122">
        <v>1</v>
      </c>
      <c r="E1122">
        <v>4</v>
      </c>
      <c r="F1122">
        <v>1</v>
      </c>
      <c r="G1122">
        <v>32.041060000000002</v>
      </c>
      <c r="H1122">
        <v>6</v>
      </c>
      <c r="I1122" t="s">
        <v>89</v>
      </c>
      <c r="J1122">
        <v>2.5</v>
      </c>
      <c r="K1122">
        <v>200</v>
      </c>
      <c r="L1122">
        <v>50</v>
      </c>
      <c r="N1122" t="s">
        <v>90</v>
      </c>
      <c r="O1122">
        <v>50</v>
      </c>
      <c r="P1122">
        <v>0.3125</v>
      </c>
      <c r="Q1122">
        <v>3.2500000000000001E-2</v>
      </c>
      <c r="R1122">
        <v>77.5</v>
      </c>
      <c r="S1122">
        <v>170</v>
      </c>
      <c r="T1122">
        <v>50</v>
      </c>
      <c r="U1122">
        <v>1812.1301775147931</v>
      </c>
      <c r="V1122">
        <v>20</v>
      </c>
      <c r="W1122">
        <v>0.95</v>
      </c>
      <c r="X1122">
        <v>1</v>
      </c>
      <c r="Y1122">
        <v>475991.24693647359</v>
      </c>
      <c r="Z1122">
        <v>951982493.87294734</v>
      </c>
      <c r="AA1122">
        <v>2379956234.6823678</v>
      </c>
      <c r="AB1122">
        <v>2379956.2346823681</v>
      </c>
      <c r="AC1122">
        <v>0</v>
      </c>
      <c r="AD1122">
        <v>9866.6031951157565</v>
      </c>
      <c r="AE1122">
        <v>5919961.9170694537</v>
      </c>
      <c r="AF1122">
        <v>2959980.9585347269</v>
      </c>
      <c r="AG1122">
        <v>94.840927491268701</v>
      </c>
      <c r="AH1122">
        <v>977.01571488834998</v>
      </c>
      <c r="AI1122">
        <v>488.50785744417499</v>
      </c>
      <c r="AJ1122">
        <v>77348.577627176972</v>
      </c>
      <c r="AK1122">
        <v>854.70085470085473</v>
      </c>
      <c r="AL1122" t="s">
        <v>93</v>
      </c>
      <c r="AM1122">
        <v>75718.717903847122</v>
      </c>
      <c r="AN1122">
        <v>5311.9565932266369</v>
      </c>
      <c r="AO1122">
        <v>83046.33576550975</v>
      </c>
      <c r="AP1122">
        <v>159233.95297895159</v>
      </c>
      <c r="AQ1122">
        <v>76187.617213441845</v>
      </c>
      <c r="AR1122">
        <v>2.6131444327083329E-2</v>
      </c>
      <c r="AS1122">
        <v>815.56116829728273</v>
      </c>
      <c r="AT1122">
        <v>798.37597445278027</v>
      </c>
      <c r="AU1122">
        <v>56.009116883801759</v>
      </c>
      <c r="AV1122">
        <v>875.63816552885578</v>
      </c>
      <c r="AW1122">
        <v>1678.958200757907</v>
      </c>
      <c r="AX1122">
        <v>803.32003522905097</v>
      </c>
      <c r="AY1122">
        <v>5.1508127384050342</v>
      </c>
      <c r="AZ1122" t="s">
        <v>132</v>
      </c>
      <c r="BA1122" t="str">
        <f>VLOOKUP($AZ1122,Sheet1!$A$2:$B$58,2)</f>
        <v>Hexane</v>
      </c>
      <c r="BB1122" t="s">
        <v>182</v>
      </c>
      <c r="BC1122">
        <v>86.173959999999994</v>
      </c>
      <c r="BD1122">
        <v>6.333333333333333</v>
      </c>
      <c r="BE1122">
        <v>69</v>
      </c>
      <c r="BF1122" t="s">
        <v>217</v>
      </c>
      <c r="BG1122">
        <v>2.146483733394482</v>
      </c>
      <c r="BH1122">
        <v>9.8011049723757002E-2</v>
      </c>
      <c r="BI1122">
        <v>0.26359927787823001</v>
      </c>
      <c r="BJ1122">
        <v>80</v>
      </c>
      <c r="BK1122">
        <v>7961.6976489475792</v>
      </c>
      <c r="BL1122">
        <v>3809.3808606720909</v>
      </c>
      <c r="BM1122">
        <v>22.278909138814271</v>
      </c>
      <c r="BN1122">
        <v>3787.4145535984248</v>
      </c>
      <c r="BO1122">
        <v>4174.2830953491539</v>
      </c>
    </row>
    <row r="1123" spans="1:67" x14ac:dyDescent="0.25">
      <c r="A1123" s="1">
        <v>1121</v>
      </c>
      <c r="B1123" t="s">
        <v>78</v>
      </c>
      <c r="C1123" t="s">
        <v>87</v>
      </c>
      <c r="D1123">
        <v>1</v>
      </c>
      <c r="E1123">
        <v>4</v>
      </c>
      <c r="F1123">
        <v>1</v>
      </c>
      <c r="G1123">
        <v>32.041060000000002</v>
      </c>
      <c r="H1123">
        <v>6</v>
      </c>
      <c r="I1123" t="s">
        <v>89</v>
      </c>
      <c r="J1123">
        <v>2.5</v>
      </c>
      <c r="K1123">
        <v>200</v>
      </c>
      <c r="L1123">
        <v>50</v>
      </c>
      <c r="N1123" t="s">
        <v>90</v>
      </c>
      <c r="O1123">
        <v>50</v>
      </c>
      <c r="P1123">
        <v>0.3125</v>
      </c>
      <c r="Q1123">
        <v>3.2500000000000001E-2</v>
      </c>
      <c r="R1123">
        <v>77.5</v>
      </c>
      <c r="S1123">
        <v>170</v>
      </c>
      <c r="T1123">
        <v>50</v>
      </c>
      <c r="U1123">
        <v>1812.1301775147931</v>
      </c>
      <c r="V1123">
        <v>20</v>
      </c>
      <c r="W1123">
        <v>0.95</v>
      </c>
      <c r="X1123">
        <v>1</v>
      </c>
      <c r="Y1123">
        <v>297314.37019811053</v>
      </c>
      <c r="Z1123">
        <v>594628740.39622104</v>
      </c>
      <c r="AA1123">
        <v>1486571850.9905529</v>
      </c>
      <c r="AB1123">
        <v>1486571.8509905529</v>
      </c>
      <c r="AC1123">
        <v>0</v>
      </c>
      <c r="AD1123">
        <v>6162.8925612197481</v>
      </c>
      <c r="AE1123">
        <v>3697735.536731849</v>
      </c>
      <c r="AF1123">
        <v>1848867.7683659249</v>
      </c>
      <c r="AG1123">
        <v>59.239683098278697</v>
      </c>
      <c r="AH1123">
        <v>610.26502864338249</v>
      </c>
      <c r="AI1123">
        <v>305.13251432169119</v>
      </c>
      <c r="AJ1123">
        <v>48313.585157192967</v>
      </c>
      <c r="AK1123">
        <v>854.70085470085473</v>
      </c>
      <c r="AL1123" t="s">
        <v>93</v>
      </c>
      <c r="AM1123">
        <v>47295.539719862143</v>
      </c>
      <c r="AN1123">
        <v>3317.962334810868</v>
      </c>
      <c r="AO1123">
        <v>51872.527434687509</v>
      </c>
      <c r="AP1123">
        <v>99781.788066566849</v>
      </c>
      <c r="AQ1123">
        <v>47909.260631879341</v>
      </c>
      <c r="AR1123">
        <v>2.6131444327083329E-2</v>
      </c>
      <c r="AS1123">
        <v>815.56116829728273</v>
      </c>
      <c r="AT1123">
        <v>798.37597445278004</v>
      </c>
      <c r="AU1123">
        <v>56.009116883801767</v>
      </c>
      <c r="AV1123">
        <v>875.63816552885555</v>
      </c>
      <c r="AW1123">
        <v>1684.374102761974</v>
      </c>
      <c r="AX1123">
        <v>808.73593723311819</v>
      </c>
      <c r="AY1123">
        <v>5.1508127384050324</v>
      </c>
      <c r="AZ1123" t="s">
        <v>133</v>
      </c>
      <c r="BA1123" t="str">
        <f>VLOOKUP($AZ1123,Sheet1!$A$2:$B$58,2)</f>
        <v>Isobutanol</v>
      </c>
      <c r="BB1123" t="s">
        <v>183</v>
      </c>
      <c r="BC1123">
        <v>86.130899999999997</v>
      </c>
      <c r="BD1123">
        <v>5.6</v>
      </c>
      <c r="BE1123">
        <v>108</v>
      </c>
      <c r="BF1123" t="s">
        <v>217</v>
      </c>
      <c r="BG1123">
        <v>1.210881029105271</v>
      </c>
      <c r="BH1123">
        <v>0.15699115044247899</v>
      </c>
      <c r="BI1123">
        <v>0.42201441149718799</v>
      </c>
      <c r="BJ1123">
        <v>80</v>
      </c>
      <c r="BK1123">
        <v>4989.0894033283421</v>
      </c>
      <c r="BL1123">
        <v>2395.4630315939671</v>
      </c>
      <c r="BM1123">
        <v>14.04574468697929</v>
      </c>
      <c r="BN1123">
        <v>2387.7765967864789</v>
      </c>
      <c r="BO1123">
        <v>2601.3128065418632</v>
      </c>
    </row>
    <row r="1124" spans="1:67" x14ac:dyDescent="0.25">
      <c r="A1124" s="1">
        <v>1122</v>
      </c>
      <c r="B1124" t="s">
        <v>78</v>
      </c>
      <c r="C1124" t="s">
        <v>87</v>
      </c>
      <c r="D1124">
        <v>1</v>
      </c>
      <c r="E1124">
        <v>4</v>
      </c>
      <c r="F1124">
        <v>1</v>
      </c>
      <c r="G1124">
        <v>32.041060000000002</v>
      </c>
      <c r="H1124">
        <v>6</v>
      </c>
      <c r="I1124" t="s">
        <v>89</v>
      </c>
      <c r="J1124">
        <v>2.5</v>
      </c>
      <c r="K1124">
        <v>200</v>
      </c>
      <c r="L1124">
        <v>50</v>
      </c>
      <c r="N1124" t="s">
        <v>90</v>
      </c>
      <c r="O1124">
        <v>50</v>
      </c>
      <c r="P1124">
        <v>0.3125</v>
      </c>
      <c r="Q1124">
        <v>3.2500000000000001E-2</v>
      </c>
      <c r="R1124">
        <v>77.5</v>
      </c>
      <c r="S1124">
        <v>170</v>
      </c>
      <c r="T1124">
        <v>50</v>
      </c>
      <c r="U1124">
        <v>1812.1301775147931</v>
      </c>
      <c r="V1124">
        <v>20</v>
      </c>
      <c r="W1124">
        <v>0.95</v>
      </c>
      <c r="X1124">
        <v>1</v>
      </c>
      <c r="Y1124">
        <v>254991.61750215621</v>
      </c>
      <c r="Z1124">
        <v>509983235.00431228</v>
      </c>
      <c r="AA1124">
        <v>1274958087.510781</v>
      </c>
      <c r="AB1124">
        <v>1274958.0875107809</v>
      </c>
      <c r="AC1124">
        <v>0</v>
      </c>
      <c r="AD1124">
        <v>5285.6037252094338</v>
      </c>
      <c r="AE1124">
        <v>3171362.23512566</v>
      </c>
      <c r="AF1124">
        <v>1585681.11756283</v>
      </c>
      <c r="AG1124">
        <v>50.806903828697699</v>
      </c>
      <c r="AH1124">
        <v>523.39369487955116</v>
      </c>
      <c r="AI1124">
        <v>261.69684743977558</v>
      </c>
      <c r="AJ1124">
        <v>41436.137844100384</v>
      </c>
      <c r="AK1124">
        <v>854.70085470085473</v>
      </c>
      <c r="AL1124" t="s">
        <v>93</v>
      </c>
      <c r="AM1124">
        <v>40563.011353165217</v>
      </c>
      <c r="AN1124">
        <v>2845.649815045605</v>
      </c>
      <c r="AO1124">
        <v>44488.464064761851</v>
      </c>
      <c r="AP1124">
        <v>85699.499867012055</v>
      </c>
      <c r="AQ1124">
        <v>41211.035802250197</v>
      </c>
      <c r="AR1124">
        <v>2.613144432708334E-2</v>
      </c>
      <c r="AS1124">
        <v>815.56116829728285</v>
      </c>
      <c r="AT1124">
        <v>798.37597445278027</v>
      </c>
      <c r="AU1124">
        <v>56.009116883801767</v>
      </c>
      <c r="AV1124">
        <v>875.63816552885578</v>
      </c>
      <c r="AW1124">
        <v>1686.7687933899581</v>
      </c>
      <c r="AX1124">
        <v>811.13062786110231</v>
      </c>
      <c r="AY1124">
        <v>5.1508127384050333</v>
      </c>
      <c r="AZ1124" t="s">
        <v>134</v>
      </c>
      <c r="BA1124" t="str">
        <f>VLOOKUP($AZ1124,Sheet1!$A$2:$B$58,2)</f>
        <v>Isobutyrate</v>
      </c>
      <c r="BB1124" t="s">
        <v>170</v>
      </c>
      <c r="BC1124">
        <v>87.095680000000002</v>
      </c>
      <c r="BD1124">
        <v>4.75</v>
      </c>
      <c r="BE1124">
        <v>155</v>
      </c>
      <c r="BF1124" t="s">
        <v>217</v>
      </c>
      <c r="BG1124">
        <v>0.77020764677785081</v>
      </c>
      <c r="BH1124">
        <v>0.18102040816326501</v>
      </c>
      <c r="BI1124">
        <v>0.49205911236573002</v>
      </c>
      <c r="BJ1124">
        <v>80</v>
      </c>
      <c r="BK1124">
        <v>4284.9749933506027</v>
      </c>
      <c r="BL1124">
        <v>2060.5517901125099</v>
      </c>
      <c r="BM1124">
        <v>12.314634725210929</v>
      </c>
      <c r="BN1124">
        <v>2093.487903285858</v>
      </c>
      <c r="BO1124">
        <v>2191.4870900647452</v>
      </c>
    </row>
    <row r="1125" spans="1:67" x14ac:dyDescent="0.25">
      <c r="A1125" s="1">
        <v>1123</v>
      </c>
      <c r="B1125" t="s">
        <v>78</v>
      </c>
      <c r="C1125" t="s">
        <v>87</v>
      </c>
      <c r="D1125">
        <v>1</v>
      </c>
      <c r="E1125">
        <v>4</v>
      </c>
      <c r="F1125">
        <v>1</v>
      </c>
      <c r="G1125">
        <v>32.041060000000002</v>
      </c>
      <c r="H1125">
        <v>6</v>
      </c>
      <c r="I1125" t="s">
        <v>89</v>
      </c>
      <c r="J1125">
        <v>2.5</v>
      </c>
      <c r="K1125">
        <v>200</v>
      </c>
      <c r="L1125">
        <v>50</v>
      </c>
      <c r="N1125" t="s">
        <v>90</v>
      </c>
      <c r="O1125">
        <v>50</v>
      </c>
      <c r="P1125">
        <v>0.3125</v>
      </c>
      <c r="Q1125">
        <v>3.2500000000000001E-2</v>
      </c>
      <c r="R1125">
        <v>77.5</v>
      </c>
      <c r="S1125">
        <v>170</v>
      </c>
      <c r="T1125">
        <v>50</v>
      </c>
      <c r="U1125">
        <v>1812.1301775147931</v>
      </c>
      <c r="V1125">
        <v>20</v>
      </c>
      <c r="W1125">
        <v>0.95</v>
      </c>
      <c r="X1125">
        <v>1</v>
      </c>
      <c r="Y1125">
        <v>485734.2849688186</v>
      </c>
      <c r="Z1125">
        <v>971468569.93763709</v>
      </c>
      <c r="AA1125">
        <v>2428671424.8440928</v>
      </c>
      <c r="AB1125">
        <v>2428671.4248440932</v>
      </c>
      <c r="AC1125">
        <v>66773.504273504266</v>
      </c>
      <c r="AD1125">
        <v>10068.562140366899</v>
      </c>
      <c r="AE1125">
        <v>6041137.2842201414</v>
      </c>
      <c r="AF1125">
        <v>3020568.6421100711</v>
      </c>
      <c r="AG1125">
        <v>96.782221095967301</v>
      </c>
      <c r="AH1125">
        <v>997.01419454448148</v>
      </c>
      <c r="AI1125">
        <v>498.50709727224069</v>
      </c>
      <c r="AJ1125">
        <v>78931.821307433012</v>
      </c>
      <c r="AK1125">
        <v>2170.1388888888891</v>
      </c>
      <c r="AL1125" t="s">
        <v>95</v>
      </c>
      <c r="AM1125">
        <v>77268.600077197319</v>
      </c>
      <c r="AN1125">
        <v>5420.6867336379773</v>
      </c>
      <c r="AO1125">
        <v>84746.206536280923</v>
      </c>
      <c r="AP1125">
        <v>163791.24700715719</v>
      </c>
      <c r="AQ1125">
        <v>79045.040470876236</v>
      </c>
      <c r="AR1125">
        <v>2.6131444327083329E-2</v>
      </c>
      <c r="AS1125">
        <v>815.56116829728273</v>
      </c>
      <c r="AT1125">
        <v>798.37597445278016</v>
      </c>
      <c r="AU1125">
        <v>56.009116883801759</v>
      </c>
      <c r="AV1125">
        <v>875.63816552885555</v>
      </c>
      <c r="AW1125">
        <v>1692.369168142412</v>
      </c>
      <c r="AX1125">
        <v>816.73100261355603</v>
      </c>
      <c r="AY1125">
        <v>5.1508127384050333</v>
      </c>
      <c r="AZ1125" t="s">
        <v>135</v>
      </c>
      <c r="BA1125" t="str">
        <f>VLOOKUP($AZ1125,Sheet1!$A$2:$B$58,2)</f>
        <v>Isoprene</v>
      </c>
      <c r="BB1125" t="s">
        <v>184</v>
      </c>
      <c r="BC1125">
        <v>68.116219999999998</v>
      </c>
      <c r="BD1125">
        <v>5.6</v>
      </c>
      <c r="BE1125">
        <v>34.07</v>
      </c>
      <c r="BF1125" t="s">
        <v>217</v>
      </c>
      <c r="BG1125">
        <v>2.0869009441972231</v>
      </c>
      <c r="BH1125">
        <v>0.121506849315068</v>
      </c>
      <c r="BI1125">
        <v>0.25831190601846699</v>
      </c>
      <c r="BJ1125">
        <v>80</v>
      </c>
      <c r="BK1125">
        <v>8189.5623503578572</v>
      </c>
      <c r="BL1125">
        <v>3952.252023543811</v>
      </c>
      <c r="BM1125">
        <v>22.838453919414821</v>
      </c>
      <c r="BN1125">
        <v>3882.5371663005189</v>
      </c>
      <c r="BO1125">
        <v>4307.0251840573383</v>
      </c>
    </row>
    <row r="1126" spans="1:67" x14ac:dyDescent="0.25">
      <c r="A1126" s="1">
        <v>1124</v>
      </c>
      <c r="B1126" t="s">
        <v>78</v>
      </c>
      <c r="C1126" t="s">
        <v>87</v>
      </c>
      <c r="D1126">
        <v>1</v>
      </c>
      <c r="E1126">
        <v>4</v>
      </c>
      <c r="F1126">
        <v>1</v>
      </c>
      <c r="G1126">
        <v>32.041060000000002</v>
      </c>
      <c r="H1126">
        <v>6</v>
      </c>
      <c r="I1126" t="s">
        <v>89</v>
      </c>
      <c r="J1126">
        <v>2.5</v>
      </c>
      <c r="K1126">
        <v>200</v>
      </c>
      <c r="L1126">
        <v>50</v>
      </c>
      <c r="N1126" t="s">
        <v>90</v>
      </c>
      <c r="O1126">
        <v>50</v>
      </c>
      <c r="P1126">
        <v>0.3125</v>
      </c>
      <c r="Q1126">
        <v>3.2500000000000001E-2</v>
      </c>
      <c r="R1126">
        <v>77.5</v>
      </c>
      <c r="S1126">
        <v>170</v>
      </c>
      <c r="T1126">
        <v>50</v>
      </c>
      <c r="U1126">
        <v>1812.1301775147931</v>
      </c>
      <c r="V1126">
        <v>20</v>
      </c>
      <c r="W1126">
        <v>0.95</v>
      </c>
      <c r="X1126">
        <v>1</v>
      </c>
      <c r="Y1126">
        <v>316771.36546985927</v>
      </c>
      <c r="Z1126">
        <v>633542730.93971848</v>
      </c>
      <c r="AA1126">
        <v>1583856827.3492961</v>
      </c>
      <c r="AB1126">
        <v>1583856.8273492961</v>
      </c>
      <c r="AC1126">
        <v>0</v>
      </c>
      <c r="AD1126">
        <v>6566.2076493671766</v>
      </c>
      <c r="AE1126">
        <v>3939724.5896203062</v>
      </c>
      <c r="AF1126">
        <v>1969862.2948101531</v>
      </c>
      <c r="AG1126">
        <v>63.116475979749808</v>
      </c>
      <c r="AH1126">
        <v>650.20229695946125</v>
      </c>
      <c r="AI1126">
        <v>325.10114847973063</v>
      </c>
      <c r="AJ1126">
        <v>51475.346888852117</v>
      </c>
      <c r="AK1126">
        <v>854.70085470085473</v>
      </c>
      <c r="AL1126" t="s">
        <v>93</v>
      </c>
      <c r="AM1126">
        <v>50390.678014358236</v>
      </c>
      <c r="AN1126">
        <v>3535.0980804434739</v>
      </c>
      <c r="AO1126">
        <v>55267.195241554196</v>
      </c>
      <c r="AP1126">
        <v>106255.8238383547</v>
      </c>
      <c r="AQ1126">
        <v>50988.62859680051</v>
      </c>
      <c r="AR1126">
        <v>2.6131444327083329E-2</v>
      </c>
      <c r="AS1126">
        <v>815.56116829728262</v>
      </c>
      <c r="AT1126">
        <v>798.37597445278016</v>
      </c>
      <c r="AU1126">
        <v>56.009116883801767</v>
      </c>
      <c r="AV1126">
        <v>875.63816552885567</v>
      </c>
      <c r="AW1126">
        <v>1683.487903736034</v>
      </c>
      <c r="AX1126">
        <v>807.84973820717789</v>
      </c>
      <c r="AY1126">
        <v>5.1508127384050333</v>
      </c>
      <c r="AZ1126" t="s">
        <v>136</v>
      </c>
      <c r="BA1126" t="str">
        <f>VLOOKUP($AZ1126,Sheet1!$A$2:$B$58,2)</f>
        <v>Isopropanol</v>
      </c>
      <c r="BB1126" t="s">
        <v>156</v>
      </c>
      <c r="BC1126">
        <v>60.093820000000001</v>
      </c>
      <c r="BD1126">
        <v>6</v>
      </c>
      <c r="BE1126">
        <v>82.5</v>
      </c>
      <c r="BF1126" t="s">
        <v>217</v>
      </c>
      <c r="BG1126">
        <v>1.270681060343642</v>
      </c>
      <c r="BH1126">
        <v>0.21119047619047801</v>
      </c>
      <c r="BI1126">
        <v>0.39609308998843601</v>
      </c>
      <c r="BJ1126">
        <v>80</v>
      </c>
      <c r="BK1126">
        <v>5312.7911919177359</v>
      </c>
      <c r="BL1126">
        <v>2549.431429840025</v>
      </c>
      <c r="BM1126">
        <v>14.984376363642889</v>
      </c>
      <c r="BN1126">
        <v>2547.343981819291</v>
      </c>
      <c r="BO1126">
        <v>2765.4472100984449</v>
      </c>
    </row>
    <row r="1127" spans="1:67" x14ac:dyDescent="0.25">
      <c r="A1127" s="1">
        <v>1125</v>
      </c>
      <c r="B1127" t="s">
        <v>78</v>
      </c>
      <c r="C1127" t="s">
        <v>87</v>
      </c>
      <c r="D1127">
        <v>1</v>
      </c>
      <c r="E1127">
        <v>4</v>
      </c>
      <c r="F1127">
        <v>1</v>
      </c>
      <c r="G1127">
        <v>32.041060000000002</v>
      </c>
      <c r="H1127">
        <v>6</v>
      </c>
      <c r="I1127" t="s">
        <v>89</v>
      </c>
      <c r="J1127">
        <v>2.5</v>
      </c>
      <c r="K1127">
        <v>200</v>
      </c>
      <c r="L1127">
        <v>50</v>
      </c>
      <c r="N1127" t="s">
        <v>90</v>
      </c>
      <c r="O1127">
        <v>50</v>
      </c>
      <c r="P1127">
        <v>0.3125</v>
      </c>
      <c r="Q1127">
        <v>3.2500000000000001E-2</v>
      </c>
      <c r="R1127">
        <v>77.5</v>
      </c>
      <c r="S1127">
        <v>170</v>
      </c>
      <c r="T1127">
        <v>50</v>
      </c>
      <c r="U1127">
        <v>1812.1301775147931</v>
      </c>
      <c r="V1127">
        <v>20</v>
      </c>
      <c r="W1127">
        <v>0.95</v>
      </c>
      <c r="X1127">
        <v>1</v>
      </c>
      <c r="Y1127">
        <v>173395.68395035929</v>
      </c>
      <c r="Z1127">
        <v>346791367.90071863</v>
      </c>
      <c r="AA1127">
        <v>866978419.7517966</v>
      </c>
      <c r="AB1127">
        <v>866978.41975179664</v>
      </c>
      <c r="AC1127">
        <v>0</v>
      </c>
      <c r="AD1127">
        <v>3594.2392224540758</v>
      </c>
      <c r="AE1127">
        <v>2156543.5334724449</v>
      </c>
      <c r="AF1127">
        <v>1078271.7667362229</v>
      </c>
      <c r="AG1127">
        <v>34.548970374301312</v>
      </c>
      <c r="AH1127">
        <v>355.91055340545881</v>
      </c>
      <c r="AI1127">
        <v>177.95527670272941</v>
      </c>
      <c r="AJ1127">
        <v>28176.79864193339</v>
      </c>
      <c r="AK1127">
        <v>854.70085470085473</v>
      </c>
      <c r="AL1127" t="s">
        <v>93</v>
      </c>
      <c r="AM1127">
        <v>27583.067888923051</v>
      </c>
      <c r="AN1127">
        <v>1935.057319909246</v>
      </c>
      <c r="AO1127">
        <v>30252.397039463991</v>
      </c>
      <c r="AP1127">
        <v>58549.624705466536</v>
      </c>
      <c r="AQ1127">
        <v>28297.227666002549</v>
      </c>
      <c r="AR1127">
        <v>2.6131444327083329E-2</v>
      </c>
      <c r="AS1127">
        <v>815.56116829728273</v>
      </c>
      <c r="AT1127">
        <v>798.37597445278038</v>
      </c>
      <c r="AU1127">
        <v>56.009116883801752</v>
      </c>
      <c r="AV1127">
        <v>875.63816552885589</v>
      </c>
      <c r="AW1127">
        <v>1694.685082395906</v>
      </c>
      <c r="AX1127">
        <v>819.0469168670503</v>
      </c>
      <c r="AY1127">
        <v>5.1508127384050351</v>
      </c>
      <c r="AZ1127" t="s">
        <v>137</v>
      </c>
      <c r="BA1127" t="str">
        <f>VLOOKUP($AZ1127,Sheet1!$A$2:$B$58,2)</f>
        <v>Itaconate</v>
      </c>
      <c r="BB1127" t="s">
        <v>185</v>
      </c>
      <c r="BC1127">
        <v>128.08086</v>
      </c>
      <c r="BD1127">
        <v>3.2</v>
      </c>
      <c r="BE1127">
        <v>381</v>
      </c>
      <c r="BF1127" t="s">
        <v>217</v>
      </c>
      <c r="BG1127">
        <v>0.18013432090725151</v>
      </c>
      <c r="BH1127">
        <v>0.18102040816326501</v>
      </c>
      <c r="BI1127">
        <v>0.72361056578970695</v>
      </c>
      <c r="BJ1127">
        <v>80</v>
      </c>
      <c r="BK1127">
        <v>2927.481235273327</v>
      </c>
      <c r="BL1127">
        <v>1414.861383300128</v>
      </c>
      <c r="BM1127">
        <v>8.7176295142292179</v>
      </c>
      <c r="BN1127">
        <v>1481.9970174189671</v>
      </c>
      <c r="BO1127">
        <v>1445.4842178543599</v>
      </c>
    </row>
    <row r="1128" spans="1:67" x14ac:dyDescent="0.25">
      <c r="A1128" s="1">
        <v>1126</v>
      </c>
      <c r="B1128" t="s">
        <v>78</v>
      </c>
      <c r="C1128" t="s">
        <v>87</v>
      </c>
      <c r="D1128">
        <v>1</v>
      </c>
      <c r="E1128">
        <v>4</v>
      </c>
      <c r="F1128">
        <v>1</v>
      </c>
      <c r="G1128">
        <v>32.041060000000002</v>
      </c>
      <c r="H1128">
        <v>6</v>
      </c>
      <c r="I1128" t="s">
        <v>89</v>
      </c>
      <c r="J1128">
        <v>2.5</v>
      </c>
      <c r="K1128">
        <v>200</v>
      </c>
      <c r="L1128">
        <v>50</v>
      </c>
      <c r="N1128" t="s">
        <v>90</v>
      </c>
      <c r="O1128">
        <v>50</v>
      </c>
      <c r="P1128">
        <v>0.3125</v>
      </c>
      <c r="Q1128">
        <v>3.2500000000000001E-2</v>
      </c>
      <c r="R1128">
        <v>77.5</v>
      </c>
      <c r="S1128">
        <v>170</v>
      </c>
      <c r="T1128">
        <v>50</v>
      </c>
      <c r="U1128">
        <v>1812.1301775147931</v>
      </c>
      <c r="V1128">
        <v>20</v>
      </c>
      <c r="W1128">
        <v>0.95</v>
      </c>
      <c r="X1128">
        <v>1</v>
      </c>
      <c r="Y1128">
        <v>484070.81139016041</v>
      </c>
      <c r="Z1128">
        <v>968141622.78032088</v>
      </c>
      <c r="AA1128">
        <v>2420354056.9508018</v>
      </c>
      <c r="AB1128">
        <v>2420354.056950802</v>
      </c>
      <c r="AC1128">
        <v>0</v>
      </c>
      <c r="AD1128">
        <v>10034.08076317391</v>
      </c>
      <c r="AE1128">
        <v>6020448.4579043472</v>
      </c>
      <c r="AF1128">
        <v>3010224.2289521741</v>
      </c>
      <c r="AG1128">
        <v>96.45077513331033</v>
      </c>
      <c r="AH1128">
        <v>993.59976237138881</v>
      </c>
      <c r="AI1128">
        <v>496.7998811856944</v>
      </c>
      <c r="AJ1128">
        <v>78661.506850901089</v>
      </c>
      <c r="AK1128">
        <v>854.70085470085473</v>
      </c>
      <c r="AL1128" t="s">
        <v>93</v>
      </c>
      <c r="AM1128">
        <v>77003.981583782632</v>
      </c>
      <c r="AN1128">
        <v>5402.122737974858</v>
      </c>
      <c r="AO1128">
        <v>84455.979801568043</v>
      </c>
      <c r="AP1128">
        <v>161922.31202735941</v>
      </c>
      <c r="AQ1128">
        <v>77466.332225791368</v>
      </c>
      <c r="AR1128">
        <v>2.613144432708334E-2</v>
      </c>
      <c r="AS1128">
        <v>815.56116829728285</v>
      </c>
      <c r="AT1128">
        <v>798.37597445278027</v>
      </c>
      <c r="AU1128">
        <v>56.009116883801752</v>
      </c>
      <c r="AV1128">
        <v>875.63816552885578</v>
      </c>
      <c r="AW1128">
        <v>1678.8077835927911</v>
      </c>
      <c r="AX1128">
        <v>803.1696180639351</v>
      </c>
      <c r="AY1128">
        <v>5.1508127384050351</v>
      </c>
      <c r="AZ1128" t="s">
        <v>138</v>
      </c>
      <c r="BA1128" t="str">
        <f>VLOOKUP($AZ1128,Sheet1!$A$2:$B$58,2)</f>
        <v>Limonene</v>
      </c>
      <c r="BB1128" t="s">
        <v>186</v>
      </c>
      <c r="BC1128">
        <v>136.23244</v>
      </c>
      <c r="BD1128">
        <v>5.6</v>
      </c>
      <c r="BE1128">
        <v>176</v>
      </c>
      <c r="BF1128" t="s">
        <v>217</v>
      </c>
      <c r="BG1128">
        <v>2.0686906392740299</v>
      </c>
      <c r="BH1128">
        <v>6.0962199312714599E-2</v>
      </c>
      <c r="BI1128">
        <v>0.25919957579859798</v>
      </c>
      <c r="BJ1128">
        <v>80</v>
      </c>
      <c r="BK1128">
        <v>8096.1156013679692</v>
      </c>
      <c r="BL1128">
        <v>3873.3166112895669</v>
      </c>
      <c r="BM1128">
        <v>22.771303420010689</v>
      </c>
      <c r="BN1128">
        <v>3871.1215814018178</v>
      </c>
      <c r="BO1128">
        <v>4224.9940199661514</v>
      </c>
    </row>
    <row r="1129" spans="1:67" x14ac:dyDescent="0.25">
      <c r="A1129" s="1">
        <v>1127</v>
      </c>
      <c r="B1129" t="s">
        <v>78</v>
      </c>
      <c r="C1129" t="s">
        <v>87</v>
      </c>
      <c r="D1129">
        <v>1</v>
      </c>
      <c r="E1129">
        <v>4</v>
      </c>
      <c r="F1129">
        <v>1</v>
      </c>
      <c r="G1129">
        <v>32.041060000000002</v>
      </c>
      <c r="H1129">
        <v>6</v>
      </c>
      <c r="I1129" t="s">
        <v>89</v>
      </c>
      <c r="J1129">
        <v>2.5</v>
      </c>
      <c r="K1129">
        <v>200</v>
      </c>
      <c r="L1129">
        <v>50</v>
      </c>
      <c r="N1129" t="s">
        <v>90</v>
      </c>
      <c r="O1129">
        <v>50</v>
      </c>
      <c r="P1129">
        <v>0.3125</v>
      </c>
      <c r="Q1129">
        <v>3.2500000000000001E-2</v>
      </c>
      <c r="R1129">
        <v>77.5</v>
      </c>
      <c r="S1129">
        <v>170</v>
      </c>
      <c r="T1129">
        <v>50</v>
      </c>
      <c r="U1129">
        <v>1812.1301775147931</v>
      </c>
      <c r="V1129">
        <v>20</v>
      </c>
      <c r="W1129">
        <v>0.95</v>
      </c>
      <c r="X1129">
        <v>1</v>
      </c>
      <c r="Y1129">
        <v>234019.6272888784</v>
      </c>
      <c r="Z1129">
        <v>468039254.57775682</v>
      </c>
      <c r="AA1129">
        <v>1170098136.444392</v>
      </c>
      <c r="AB1129">
        <v>1170098.1364443919</v>
      </c>
      <c r="AC1129">
        <v>0</v>
      </c>
      <c r="AD1129">
        <v>4850.8850051110394</v>
      </c>
      <c r="AE1129">
        <v>2910531.003066624</v>
      </c>
      <c r="AF1129">
        <v>1455265.501533312</v>
      </c>
      <c r="AG1129">
        <v>46.628249250558937</v>
      </c>
      <c r="AH1129">
        <v>480.34676041860791</v>
      </c>
      <c r="AI1129">
        <v>240.17338020930401</v>
      </c>
      <c r="AJ1129">
        <v>38028.189434442742</v>
      </c>
      <c r="AK1129">
        <v>854.70085470085473</v>
      </c>
      <c r="AL1129" t="s">
        <v>93</v>
      </c>
      <c r="AM1129">
        <v>37226.873932442111</v>
      </c>
      <c r="AN1129">
        <v>2611.6070623615979</v>
      </c>
      <c r="AO1129">
        <v>40829.474635581682</v>
      </c>
      <c r="AP1129">
        <v>78721.371283947316</v>
      </c>
      <c r="AQ1129">
        <v>37891.89664836564</v>
      </c>
      <c r="AR1129">
        <v>2.6131444327083329E-2</v>
      </c>
      <c r="AS1129">
        <v>815.56116829728273</v>
      </c>
      <c r="AT1129">
        <v>798.37597445278027</v>
      </c>
      <c r="AU1129">
        <v>56.009116883801767</v>
      </c>
      <c r="AV1129">
        <v>875.63816552885578</v>
      </c>
      <c r="AW1129">
        <v>1688.2763678501969</v>
      </c>
      <c r="AX1129">
        <v>812.63820232134117</v>
      </c>
      <c r="AY1129">
        <v>5.1508127384050342</v>
      </c>
      <c r="AZ1129" t="s">
        <v>139</v>
      </c>
      <c r="BA1129" t="str">
        <f>VLOOKUP($AZ1129,Sheet1!$A$2:$B$58,2)</f>
        <v>L-Lysine</v>
      </c>
      <c r="BB1129" t="s">
        <v>187</v>
      </c>
      <c r="BC1129">
        <v>147.19319999999999</v>
      </c>
      <c r="BD1129">
        <v>4.833333333333333</v>
      </c>
      <c r="BF1129" t="s">
        <v>217</v>
      </c>
      <c r="BG1129">
        <v>0.76788064577796267</v>
      </c>
      <c r="BH1129">
        <v>0.116710526315789</v>
      </c>
      <c r="BI1129">
        <v>0.53615566532771597</v>
      </c>
      <c r="BJ1129">
        <v>80</v>
      </c>
      <c r="BK1129">
        <v>3936.068564197365</v>
      </c>
      <c r="BL1129">
        <v>1894.5948324182821</v>
      </c>
      <c r="BM1129">
        <v>11.240788364687241</v>
      </c>
      <c r="BN1129">
        <v>1910.9340219968301</v>
      </c>
      <c r="BO1129">
        <v>2025.134542200535</v>
      </c>
    </row>
    <row r="1130" spans="1:67" x14ac:dyDescent="0.25">
      <c r="A1130" s="1">
        <v>1128</v>
      </c>
      <c r="B1130" t="s">
        <v>78</v>
      </c>
      <c r="C1130" t="s">
        <v>87</v>
      </c>
      <c r="D1130">
        <v>1</v>
      </c>
      <c r="E1130">
        <v>4</v>
      </c>
      <c r="F1130">
        <v>1</v>
      </c>
      <c r="G1130">
        <v>32.041060000000002</v>
      </c>
      <c r="H1130">
        <v>6</v>
      </c>
      <c r="I1130" t="s">
        <v>89</v>
      </c>
      <c r="J1130">
        <v>2.5</v>
      </c>
      <c r="K1130">
        <v>200</v>
      </c>
      <c r="L1130">
        <v>50</v>
      </c>
      <c r="N1130" t="s">
        <v>90</v>
      </c>
      <c r="O1130">
        <v>50</v>
      </c>
      <c r="P1130">
        <v>0.3125</v>
      </c>
      <c r="Q1130">
        <v>3.2500000000000001E-2</v>
      </c>
      <c r="R1130">
        <v>77.5</v>
      </c>
      <c r="S1130">
        <v>170</v>
      </c>
      <c r="T1130">
        <v>50</v>
      </c>
      <c r="U1130">
        <v>1812.1301775147931</v>
      </c>
      <c r="V1130">
        <v>20</v>
      </c>
      <c r="W1130">
        <v>0.95</v>
      </c>
      <c r="X1130">
        <v>1</v>
      </c>
      <c r="Y1130">
        <v>114966.108069899</v>
      </c>
      <c r="Z1130">
        <v>229932216.1397979</v>
      </c>
      <c r="AA1130">
        <v>574830540.34949481</v>
      </c>
      <c r="AB1130">
        <v>574830.54034949478</v>
      </c>
      <c r="AC1130">
        <v>0</v>
      </c>
      <c r="AD1130">
        <v>2383.0794715514521</v>
      </c>
      <c r="AE1130">
        <v>1429847.6829308709</v>
      </c>
      <c r="AF1130">
        <v>714923.84146543557</v>
      </c>
      <c r="AG1130">
        <v>22.906917699824511</v>
      </c>
      <c r="AH1130">
        <v>235.97848697170369</v>
      </c>
      <c r="AI1130">
        <v>117.9892434858518</v>
      </c>
      <c r="AJ1130">
        <v>18681.99256135858</v>
      </c>
      <c r="AK1130">
        <v>854.70085470085473</v>
      </c>
      <c r="AL1130" t="s">
        <v>93</v>
      </c>
      <c r="AM1130">
        <v>18288.33274030704</v>
      </c>
      <c r="AN1130">
        <v>1282.9962308970989</v>
      </c>
      <c r="AO1130">
        <v>20058.17139259481</v>
      </c>
      <c r="AP1130">
        <v>39108.022387263569</v>
      </c>
      <c r="AQ1130">
        <v>19049.850994668759</v>
      </c>
      <c r="AR1130">
        <v>2.6131444327083329E-2</v>
      </c>
      <c r="AS1130">
        <v>815.56116829728273</v>
      </c>
      <c r="AT1130">
        <v>798.37597445278038</v>
      </c>
      <c r="AU1130">
        <v>56.009116883801767</v>
      </c>
      <c r="AV1130">
        <v>875.63816552885589</v>
      </c>
      <c r="AW1130">
        <v>1707.2581697695271</v>
      </c>
      <c r="AX1130">
        <v>831.62000424067071</v>
      </c>
      <c r="AY1130">
        <v>5.1508127384050342</v>
      </c>
      <c r="AZ1130" t="s">
        <v>140</v>
      </c>
      <c r="BA1130" t="str">
        <f>VLOOKUP($AZ1130,Sheet1!$A$2:$B$58,2)</f>
        <v>L-Malate</v>
      </c>
      <c r="BB1130" t="s">
        <v>188</v>
      </c>
      <c r="BC1130">
        <v>132.06916000000001</v>
      </c>
      <c r="BD1130">
        <v>2.5</v>
      </c>
      <c r="BF1130" t="s">
        <v>217</v>
      </c>
      <c r="BG1130">
        <v>-7.4386054400632576E-2</v>
      </c>
      <c r="BH1130">
        <v>0.26477611940298501</v>
      </c>
      <c r="BI1130">
        <v>1.09137337146811</v>
      </c>
      <c r="BJ1130">
        <v>80</v>
      </c>
      <c r="BK1130">
        <v>1955.4011193631779</v>
      </c>
      <c r="BL1130">
        <v>952.49254973343773</v>
      </c>
      <c r="BM1130">
        <v>5.9738482286932246</v>
      </c>
      <c r="BN1130">
        <v>1015.554198877848</v>
      </c>
      <c r="BO1130">
        <v>939.8469204853302</v>
      </c>
    </row>
    <row r="1131" spans="1:67" x14ac:dyDescent="0.25">
      <c r="A1131" s="1">
        <v>1129</v>
      </c>
      <c r="B1131" t="s">
        <v>78</v>
      </c>
      <c r="C1131" t="s">
        <v>87</v>
      </c>
      <c r="D1131">
        <v>1</v>
      </c>
      <c r="E1131">
        <v>4</v>
      </c>
      <c r="F1131">
        <v>1</v>
      </c>
      <c r="G1131">
        <v>32.041060000000002</v>
      </c>
      <c r="H1131">
        <v>6</v>
      </c>
      <c r="I1131" t="s">
        <v>89</v>
      </c>
      <c r="J1131">
        <v>2.5</v>
      </c>
      <c r="K1131">
        <v>200</v>
      </c>
      <c r="L1131">
        <v>50</v>
      </c>
      <c r="N1131" t="s">
        <v>90</v>
      </c>
      <c r="O1131">
        <v>50</v>
      </c>
      <c r="P1131">
        <v>0.3125</v>
      </c>
      <c r="Q1131">
        <v>3.2500000000000001E-2</v>
      </c>
      <c r="R1131">
        <v>77.5</v>
      </c>
      <c r="S1131">
        <v>170</v>
      </c>
      <c r="T1131">
        <v>50</v>
      </c>
      <c r="U1131">
        <v>1812.1301775147931</v>
      </c>
      <c r="V1131">
        <v>20</v>
      </c>
      <c r="W1131">
        <v>0.95</v>
      </c>
      <c r="X1131">
        <v>1</v>
      </c>
      <c r="Y1131">
        <v>108819.3142230237</v>
      </c>
      <c r="Z1131">
        <v>217638628.4460474</v>
      </c>
      <c r="AA1131">
        <v>544096571.1151185</v>
      </c>
      <c r="AB1131">
        <v>544096.57111511845</v>
      </c>
      <c r="AC1131">
        <v>0</v>
      </c>
      <c r="AD1131">
        <v>2255.6654146761771</v>
      </c>
      <c r="AE1131">
        <v>1353399.2488057059</v>
      </c>
      <c r="AF1131">
        <v>676699.62440285308</v>
      </c>
      <c r="AG1131">
        <v>21.682173267469281</v>
      </c>
      <c r="AH1131">
        <v>223.3616285247717</v>
      </c>
      <c r="AI1131">
        <v>111.68081426238589</v>
      </c>
      <c r="AJ1131">
        <v>17683.138561241351</v>
      </c>
      <c r="AK1131">
        <v>854.70085470085473</v>
      </c>
      <c r="AL1131" t="s">
        <v>93</v>
      </c>
      <c r="AM1131">
        <v>17310.52621066981</v>
      </c>
      <c r="AN1131">
        <v>1214.399376832529</v>
      </c>
      <c r="AO1131">
        <v>18985.738424605599</v>
      </c>
      <c r="AP1131">
        <v>37062.76500344454</v>
      </c>
      <c r="AQ1131">
        <v>18077.026578838941</v>
      </c>
      <c r="AR1131">
        <v>2.6131444327083319E-2</v>
      </c>
      <c r="AS1131">
        <v>815.56116829728239</v>
      </c>
      <c r="AT1131">
        <v>798.37597445278016</v>
      </c>
      <c r="AU1131">
        <v>56.009116883801752</v>
      </c>
      <c r="AV1131">
        <v>875.63816552885567</v>
      </c>
      <c r="AW1131">
        <v>1709.365779262148</v>
      </c>
      <c r="AX1131">
        <v>833.72761373329229</v>
      </c>
      <c r="AY1131">
        <v>5.1508127384050333</v>
      </c>
      <c r="AZ1131" t="s">
        <v>141</v>
      </c>
      <c r="BA1131" t="str">
        <f>VLOOKUP($AZ1131,Sheet1!$A$2:$B$58,2)</f>
        <v>Malonate</v>
      </c>
      <c r="BB1131" t="s">
        <v>189</v>
      </c>
      <c r="BC1131">
        <v>102.04378</v>
      </c>
      <c r="BD1131">
        <v>2</v>
      </c>
      <c r="BE1131">
        <v>199</v>
      </c>
      <c r="BF1131" t="s">
        <v>217</v>
      </c>
      <c r="BG1131">
        <v>-0.1025944024353229</v>
      </c>
      <c r="BH1131">
        <v>0.36204081632653001</v>
      </c>
      <c r="BI1131">
        <v>1.1530209491273</v>
      </c>
      <c r="BJ1131">
        <v>80</v>
      </c>
      <c r="BK1131">
        <v>1853.1382501722269</v>
      </c>
      <c r="BL1131">
        <v>903.85132894194703</v>
      </c>
      <c r="BM1131">
        <v>5.6866351155546164</v>
      </c>
      <c r="BN1131">
        <v>966.7279696442846</v>
      </c>
      <c r="BO1131">
        <v>886.41028052794206</v>
      </c>
    </row>
    <row r="1132" spans="1:67" x14ac:dyDescent="0.25">
      <c r="A1132" s="1">
        <v>1130</v>
      </c>
      <c r="B1132" t="s">
        <v>78</v>
      </c>
      <c r="C1132" t="s">
        <v>87</v>
      </c>
      <c r="D1132">
        <v>1</v>
      </c>
      <c r="E1132">
        <v>4</v>
      </c>
      <c r="F1132">
        <v>1</v>
      </c>
      <c r="G1132">
        <v>32.041060000000002</v>
      </c>
      <c r="H1132">
        <v>6</v>
      </c>
      <c r="I1132" t="s">
        <v>89</v>
      </c>
      <c r="J1132">
        <v>2.5</v>
      </c>
      <c r="K1132">
        <v>200</v>
      </c>
      <c r="L1132">
        <v>50</v>
      </c>
      <c r="N1132" t="s">
        <v>90</v>
      </c>
      <c r="O1132">
        <v>50</v>
      </c>
      <c r="P1132">
        <v>0.3125</v>
      </c>
      <c r="Q1132">
        <v>3.2500000000000001E-2</v>
      </c>
      <c r="R1132">
        <v>77.5</v>
      </c>
      <c r="S1132">
        <v>170</v>
      </c>
      <c r="T1132">
        <v>50</v>
      </c>
      <c r="U1132">
        <v>1812.1301775147931</v>
      </c>
      <c r="V1132">
        <v>20</v>
      </c>
      <c r="W1132">
        <v>0.95</v>
      </c>
      <c r="X1132">
        <v>1</v>
      </c>
      <c r="Y1132">
        <v>454110.65756369621</v>
      </c>
      <c r="Z1132">
        <v>908221315.12739229</v>
      </c>
      <c r="AA1132">
        <v>2270553287.81848</v>
      </c>
      <c r="AB1132">
        <v>2270553.2878184798</v>
      </c>
      <c r="AC1132">
        <v>0</v>
      </c>
      <c r="AD1132">
        <v>9413.0505417719542</v>
      </c>
      <c r="AE1132">
        <v>5647830.3250631727</v>
      </c>
      <c r="AF1132">
        <v>2823915.1625315859</v>
      </c>
      <c r="AG1132">
        <v>90.481235157584308</v>
      </c>
      <c r="AH1132">
        <v>932.10379727261341</v>
      </c>
      <c r="AI1132">
        <v>466.0518986363067</v>
      </c>
      <c r="AJ1132">
        <v>73792.98185410061</v>
      </c>
      <c r="AK1132">
        <v>854.70085470085473</v>
      </c>
      <c r="AL1132" t="s">
        <v>93</v>
      </c>
      <c r="AM1132">
        <v>72238.044288627541</v>
      </c>
      <c r="AN1132">
        <v>5067.7740757318943</v>
      </c>
      <c r="AO1132">
        <v>79228.822768172133</v>
      </c>
      <c r="AP1132">
        <v>151953.50107316091</v>
      </c>
      <c r="AQ1132">
        <v>72724.678304988774</v>
      </c>
      <c r="AR1132">
        <v>2.6131444327083329E-2</v>
      </c>
      <c r="AS1132">
        <v>815.56116829728251</v>
      </c>
      <c r="AT1132">
        <v>798.37597445278027</v>
      </c>
      <c r="AU1132">
        <v>56.009116883801767</v>
      </c>
      <c r="AV1132">
        <v>875.63816552885567</v>
      </c>
      <c r="AW1132">
        <v>1679.392426601107</v>
      </c>
      <c r="AX1132">
        <v>803.75426107225132</v>
      </c>
      <c r="AY1132">
        <v>5.1508127384050342</v>
      </c>
      <c r="AZ1132" t="s">
        <v>142</v>
      </c>
      <c r="BA1132" t="str">
        <f>VLOOKUP($AZ1132,Sheet1!$A$2:$B$58,2)</f>
        <v>Nonane</v>
      </c>
      <c r="BB1132" t="s">
        <v>190</v>
      </c>
      <c r="BC1132">
        <v>128.25309999999999</v>
      </c>
      <c r="BD1132">
        <v>6.2222222222222223</v>
      </c>
      <c r="BE1132">
        <v>151</v>
      </c>
      <c r="BF1132" t="s">
        <v>217</v>
      </c>
      <c r="BG1132">
        <v>1.8828738495775059</v>
      </c>
      <c r="BH1132">
        <v>6.9027237354085599E-2</v>
      </c>
      <c r="BI1132">
        <v>0.27630038379183702</v>
      </c>
      <c r="BJ1132">
        <v>80</v>
      </c>
      <c r="BK1132">
        <v>7597.6750536580448</v>
      </c>
      <c r="BL1132">
        <v>3636.2339152494392</v>
      </c>
      <c r="BM1132">
        <v>21.419721082237832</v>
      </c>
      <c r="BN1132">
        <v>3641.3525839804311</v>
      </c>
      <c r="BO1132">
        <v>3956.3224696776142</v>
      </c>
    </row>
    <row r="1133" spans="1:67" x14ac:dyDescent="0.25">
      <c r="A1133" s="1">
        <v>1131</v>
      </c>
      <c r="B1133" t="s">
        <v>78</v>
      </c>
      <c r="C1133" t="s">
        <v>87</v>
      </c>
      <c r="D1133">
        <v>1</v>
      </c>
      <c r="E1133">
        <v>4</v>
      </c>
      <c r="F1133">
        <v>1</v>
      </c>
      <c r="G1133">
        <v>32.041060000000002</v>
      </c>
      <c r="H1133">
        <v>6</v>
      </c>
      <c r="I1133" t="s">
        <v>89</v>
      </c>
      <c r="J1133">
        <v>2.5</v>
      </c>
      <c r="K1133">
        <v>200</v>
      </c>
      <c r="L1133">
        <v>50</v>
      </c>
      <c r="N1133" t="s">
        <v>90</v>
      </c>
      <c r="O1133">
        <v>50</v>
      </c>
      <c r="P1133">
        <v>0.3125</v>
      </c>
      <c r="Q1133">
        <v>3.2500000000000001E-2</v>
      </c>
      <c r="R1133">
        <v>77.5</v>
      </c>
      <c r="S1133">
        <v>170</v>
      </c>
      <c r="T1133">
        <v>50</v>
      </c>
      <c r="U1133">
        <v>1812.1301775147931</v>
      </c>
      <c r="V1133">
        <v>20</v>
      </c>
      <c r="W1133">
        <v>0.95</v>
      </c>
      <c r="X1133">
        <v>1</v>
      </c>
      <c r="Y1133">
        <v>466226.11729252979</v>
      </c>
      <c r="Z1133">
        <v>932452234.58505964</v>
      </c>
      <c r="AA1133">
        <v>2331130586.4626489</v>
      </c>
      <c r="AB1133">
        <v>2331130.58646265</v>
      </c>
      <c r="AC1133">
        <v>0</v>
      </c>
      <c r="AD1133">
        <v>9664.186323028789</v>
      </c>
      <c r="AE1133">
        <v>5798511.7938172733</v>
      </c>
      <c r="AF1133">
        <v>2899255.8969086371</v>
      </c>
      <c r="AG1133">
        <v>92.895232148203448</v>
      </c>
      <c r="AH1133">
        <v>956.97189017211826</v>
      </c>
      <c r="AI1133">
        <v>478.48594508605908</v>
      </c>
      <c r="AJ1133">
        <v>75761.744060036115</v>
      </c>
      <c r="AK1133">
        <v>854.70085470085473</v>
      </c>
      <c r="AL1133" t="s">
        <v>93</v>
      </c>
      <c r="AM1133">
        <v>74165.321488339163</v>
      </c>
      <c r="AN1133">
        <v>5202.9799153366266</v>
      </c>
      <c r="AO1133">
        <v>81342.610664630047</v>
      </c>
      <c r="AP1133">
        <v>155984.74631841271</v>
      </c>
      <c r="AQ1133">
        <v>74642.135653782694</v>
      </c>
      <c r="AR1133">
        <v>2.613144432708334E-2</v>
      </c>
      <c r="AS1133">
        <v>815.56116829728296</v>
      </c>
      <c r="AT1133">
        <v>798.37597445278027</v>
      </c>
      <c r="AU1133">
        <v>56.009116883801767</v>
      </c>
      <c r="AV1133">
        <v>875.63816552885567</v>
      </c>
      <c r="AW1133">
        <v>1679.1469563212611</v>
      </c>
      <c r="AX1133">
        <v>803.50879079240519</v>
      </c>
      <c r="AY1133">
        <v>5.1508127384050342</v>
      </c>
      <c r="AZ1133" t="s">
        <v>143</v>
      </c>
      <c r="BA1133" t="str">
        <f>VLOOKUP($AZ1133,Sheet1!$A$2:$B$58,2)</f>
        <v>Octane</v>
      </c>
      <c r="BB1133" t="s">
        <v>191</v>
      </c>
      <c r="BC1133">
        <v>114.22672</v>
      </c>
      <c r="BD1133">
        <v>6.25</v>
      </c>
      <c r="BE1133">
        <v>126</v>
      </c>
      <c r="BF1133" t="s">
        <v>217</v>
      </c>
      <c r="BG1133">
        <v>2.0215590022631691</v>
      </c>
      <c r="BH1133">
        <v>7.5489361702127694E-2</v>
      </c>
      <c r="BI1133">
        <v>0.26912037810633199</v>
      </c>
      <c r="BJ1133">
        <v>80</v>
      </c>
      <c r="BK1133">
        <v>7799.2373159206381</v>
      </c>
      <c r="BL1133">
        <v>3732.1067826891358</v>
      </c>
      <c r="BM1133">
        <v>21.902738252039789</v>
      </c>
      <c r="BN1133">
        <v>3723.4655028467641</v>
      </c>
      <c r="BO1133">
        <v>4075.771813073874</v>
      </c>
    </row>
    <row r="1134" spans="1:67" x14ac:dyDescent="0.25">
      <c r="A1134" s="1">
        <v>1132</v>
      </c>
      <c r="B1134" t="s">
        <v>78</v>
      </c>
      <c r="C1134" t="s">
        <v>87</v>
      </c>
      <c r="D1134">
        <v>1</v>
      </c>
      <c r="E1134">
        <v>4</v>
      </c>
      <c r="F1134">
        <v>1</v>
      </c>
      <c r="G1134">
        <v>32.041060000000002</v>
      </c>
      <c r="H1134">
        <v>6</v>
      </c>
      <c r="I1134" t="s">
        <v>89</v>
      </c>
      <c r="J1134">
        <v>2.5</v>
      </c>
      <c r="K1134">
        <v>200</v>
      </c>
      <c r="L1134">
        <v>50</v>
      </c>
      <c r="N1134" t="s">
        <v>90</v>
      </c>
      <c r="O1134">
        <v>50</v>
      </c>
      <c r="P1134">
        <v>0.3125</v>
      </c>
      <c r="Q1134">
        <v>3.2500000000000001E-2</v>
      </c>
      <c r="R1134">
        <v>77.5</v>
      </c>
      <c r="S1134">
        <v>170</v>
      </c>
      <c r="T1134">
        <v>50</v>
      </c>
      <c r="U1134">
        <v>1812.1301775147931</v>
      </c>
      <c r="V1134">
        <v>20</v>
      </c>
      <c r="W1134">
        <v>0.95</v>
      </c>
      <c r="X1134">
        <v>1</v>
      </c>
      <c r="Y1134">
        <v>471157.30942693318</v>
      </c>
      <c r="Z1134">
        <v>942314618.85386622</v>
      </c>
      <c r="AA1134">
        <v>2355786547.134665</v>
      </c>
      <c r="AB1134">
        <v>2355786.5471346648</v>
      </c>
      <c r="AC1134">
        <v>66773.504273504266</v>
      </c>
      <c r="AD1134">
        <v>9766.4027322215552</v>
      </c>
      <c r="AE1134">
        <v>5859841.6393329324</v>
      </c>
      <c r="AF1134">
        <v>2929920.8196664662</v>
      </c>
      <c r="AG1134">
        <v>93.877768778182428</v>
      </c>
      <c r="AH1134">
        <v>967.09361455140879</v>
      </c>
      <c r="AI1134">
        <v>483.5468072757044</v>
      </c>
      <c r="AJ1134">
        <v>76563.062781876622</v>
      </c>
      <c r="AK1134">
        <v>2170.1388888888891</v>
      </c>
      <c r="AL1134" t="s">
        <v>95</v>
      </c>
      <c r="AM1134">
        <v>74949.755127734184</v>
      </c>
      <c r="AN1134">
        <v>5258.0109242877361</v>
      </c>
      <c r="AO1134">
        <v>82202.957236869741</v>
      </c>
      <c r="AP1134">
        <v>158940.96772278741</v>
      </c>
      <c r="AQ1134">
        <v>76738.010485917664</v>
      </c>
      <c r="AR1134">
        <v>2.6131444327083329E-2</v>
      </c>
      <c r="AS1134">
        <v>815.56116829728273</v>
      </c>
      <c r="AT1134">
        <v>798.37597445278027</v>
      </c>
      <c r="AU1134">
        <v>56.009116883801767</v>
      </c>
      <c r="AV1134">
        <v>875.63816552885567</v>
      </c>
      <c r="AW1134">
        <v>1693.062902872548</v>
      </c>
      <c r="AX1134">
        <v>817.4247373436923</v>
      </c>
      <c r="AY1134">
        <v>5.1508127384050333</v>
      </c>
      <c r="AZ1134" t="s">
        <v>144</v>
      </c>
      <c r="BA1134" t="str">
        <f>VLOOKUP($AZ1134,Sheet1!$A$2:$B$58,2)</f>
        <v>Pentane</v>
      </c>
      <c r="BB1134" t="s">
        <v>192</v>
      </c>
      <c r="BC1134">
        <v>72.147580000000005</v>
      </c>
      <c r="BD1134">
        <v>6.4</v>
      </c>
      <c r="BE1134">
        <v>36.1</v>
      </c>
      <c r="BF1134" t="s">
        <v>217</v>
      </c>
      <c r="BG1134">
        <v>2.1078342603378259</v>
      </c>
      <c r="BH1134">
        <v>0.11826666666666701</v>
      </c>
      <c r="BI1134">
        <v>0.26630373010963698</v>
      </c>
      <c r="BJ1134">
        <v>80</v>
      </c>
      <c r="BK1134">
        <v>7947.0483861393705</v>
      </c>
      <c r="BL1134">
        <v>3836.900524295882</v>
      </c>
      <c r="BM1134">
        <v>22.069506103447399</v>
      </c>
      <c r="BN1134">
        <v>3751.8160375860571</v>
      </c>
      <c r="BO1134">
        <v>4195.2323485533116</v>
      </c>
    </row>
    <row r="1135" spans="1:67" x14ac:dyDescent="0.25">
      <c r="A1135" s="1">
        <v>1133</v>
      </c>
      <c r="B1135" t="s">
        <v>78</v>
      </c>
      <c r="C1135" t="s">
        <v>87</v>
      </c>
      <c r="D1135">
        <v>1</v>
      </c>
      <c r="E1135">
        <v>4</v>
      </c>
      <c r="F1135">
        <v>1</v>
      </c>
      <c r="G1135">
        <v>32.041060000000002</v>
      </c>
      <c r="H1135">
        <v>6</v>
      </c>
      <c r="I1135" t="s">
        <v>89</v>
      </c>
      <c r="J1135">
        <v>2.5</v>
      </c>
      <c r="K1135">
        <v>200</v>
      </c>
      <c r="L1135">
        <v>50</v>
      </c>
      <c r="N1135" t="s">
        <v>90</v>
      </c>
      <c r="O1135">
        <v>50</v>
      </c>
      <c r="P1135">
        <v>0.3125</v>
      </c>
      <c r="Q1135">
        <v>3.2500000000000001E-2</v>
      </c>
      <c r="R1135">
        <v>77.5</v>
      </c>
      <c r="S1135">
        <v>170</v>
      </c>
      <c r="T1135">
        <v>50</v>
      </c>
      <c r="U1135">
        <v>1812.1301775147931</v>
      </c>
      <c r="V1135">
        <v>20</v>
      </c>
      <c r="W1135">
        <v>0.95</v>
      </c>
      <c r="X1135">
        <v>1</v>
      </c>
      <c r="Y1135">
        <v>372785.47110939788</v>
      </c>
      <c r="Z1135">
        <v>745570942.21879578</v>
      </c>
      <c r="AA1135">
        <v>1863927355.546989</v>
      </c>
      <c r="AB1135">
        <v>1863927.355546989</v>
      </c>
      <c r="AC1135">
        <v>0</v>
      </c>
      <c r="AD1135">
        <v>7727.2982308256715</v>
      </c>
      <c r="AE1135">
        <v>4636378.9384954022</v>
      </c>
      <c r="AF1135">
        <v>2318189.4692477011</v>
      </c>
      <c r="AG1135">
        <v>74.277247875533746</v>
      </c>
      <c r="AH1135">
        <v>765.17638906193497</v>
      </c>
      <c r="AI1135">
        <v>382.58819453096748</v>
      </c>
      <c r="AJ1135">
        <v>60577.639055277163</v>
      </c>
      <c r="AK1135">
        <v>854.70085470085473</v>
      </c>
      <c r="AL1135" t="s">
        <v>93</v>
      </c>
      <c r="AM1135">
        <v>59301.170152299957</v>
      </c>
      <c r="AN1135">
        <v>4160.2030580678856</v>
      </c>
      <c r="AO1135">
        <v>65039.993070264471</v>
      </c>
      <c r="AP1135">
        <v>124893.7131203459</v>
      </c>
      <c r="AQ1135">
        <v>59853.720050081392</v>
      </c>
      <c r="AR1135">
        <v>2.6131444327083329E-2</v>
      </c>
      <c r="AS1135">
        <v>815.56116829728273</v>
      </c>
      <c r="AT1135">
        <v>798.37597445278027</v>
      </c>
      <c r="AU1135">
        <v>56.009116883801752</v>
      </c>
      <c r="AV1135">
        <v>875.63816552885578</v>
      </c>
      <c r="AW1135">
        <v>1681.453159514338</v>
      </c>
      <c r="AX1135">
        <v>805.81499398548203</v>
      </c>
      <c r="AY1135">
        <v>5.1508127384050342</v>
      </c>
      <c r="AZ1135" t="s">
        <v>145</v>
      </c>
      <c r="BA1135" t="str">
        <f>VLOOKUP($AZ1135,Sheet1!$A$2:$B$58,2)</f>
        <v>Pentanol (PW1)</v>
      </c>
      <c r="BB1135" t="s">
        <v>157</v>
      </c>
      <c r="BC1135">
        <v>88.14658</v>
      </c>
      <c r="BD1135">
        <v>6</v>
      </c>
      <c r="BE1135">
        <v>138</v>
      </c>
      <c r="BF1135" t="s">
        <v>217</v>
      </c>
      <c r="BG1135">
        <v>1.5845307845218279</v>
      </c>
      <c r="BH1135">
        <v>0.122344827586207</v>
      </c>
      <c r="BI1135">
        <v>0.33657682150384</v>
      </c>
      <c r="BJ1135">
        <v>80</v>
      </c>
      <c r="BK1135">
        <v>6244.6856560172919</v>
      </c>
      <c r="BL1135">
        <v>2992.6860025040692</v>
      </c>
      <c r="BM1135">
        <v>17.54487894202655</v>
      </c>
      <c r="BN1135">
        <v>2982.629420144513</v>
      </c>
      <c r="BO1135">
        <v>3262.0562358727789</v>
      </c>
    </row>
    <row r="1136" spans="1:67" x14ac:dyDescent="0.25">
      <c r="A1136" s="1">
        <v>1134</v>
      </c>
      <c r="B1136" t="s">
        <v>78</v>
      </c>
      <c r="C1136" t="s">
        <v>87</v>
      </c>
      <c r="D1136">
        <v>1</v>
      </c>
      <c r="E1136">
        <v>4</v>
      </c>
      <c r="F1136">
        <v>1</v>
      </c>
      <c r="G1136">
        <v>32.041060000000002</v>
      </c>
      <c r="H1136">
        <v>6</v>
      </c>
      <c r="I1136" t="s">
        <v>89</v>
      </c>
      <c r="J1136">
        <v>2.5</v>
      </c>
      <c r="K1136">
        <v>200</v>
      </c>
      <c r="L1136">
        <v>50</v>
      </c>
      <c r="N1136" t="s">
        <v>90</v>
      </c>
      <c r="O1136">
        <v>50</v>
      </c>
      <c r="P1136">
        <v>0.3125</v>
      </c>
      <c r="Q1136">
        <v>3.2500000000000001E-2</v>
      </c>
      <c r="R1136">
        <v>77.5</v>
      </c>
      <c r="S1136">
        <v>170</v>
      </c>
      <c r="T1136">
        <v>50</v>
      </c>
      <c r="U1136">
        <v>1812.1301775147931</v>
      </c>
      <c r="V1136">
        <v>20</v>
      </c>
      <c r="W1136">
        <v>0.95</v>
      </c>
      <c r="X1136">
        <v>1</v>
      </c>
      <c r="Y1136">
        <v>421633.22249614779</v>
      </c>
      <c r="Z1136">
        <v>843266444.99229562</v>
      </c>
      <c r="AA1136">
        <v>2108166112.4807391</v>
      </c>
      <c r="AB1136">
        <v>2108166.1124807391</v>
      </c>
      <c r="AC1136">
        <v>0</v>
      </c>
      <c r="AD1136">
        <v>8739.8407576235422</v>
      </c>
      <c r="AE1136">
        <v>5243904.4545741258</v>
      </c>
      <c r="AF1136">
        <v>2621952.2272870629</v>
      </c>
      <c r="AG1136">
        <v>84.010128631638423</v>
      </c>
      <c r="AH1136">
        <v>865.44088142177714</v>
      </c>
      <c r="AI1136">
        <v>432.72044071088862</v>
      </c>
      <c r="AJ1136">
        <v>68515.398655624027</v>
      </c>
      <c r="AK1136">
        <v>854.70085470085473</v>
      </c>
      <c r="AL1136" t="s">
        <v>93</v>
      </c>
      <c r="AM1136">
        <v>67071.668310187728</v>
      </c>
      <c r="AN1136">
        <v>4705.3331139526581</v>
      </c>
      <c r="AO1136">
        <v>73562.474920851062</v>
      </c>
      <c r="AP1136">
        <v>141147.1009344653</v>
      </c>
      <c r="AQ1136">
        <v>67584.626013614208</v>
      </c>
      <c r="AR1136">
        <v>2.6131444327083329E-2</v>
      </c>
      <c r="AS1136">
        <v>815.56116829728273</v>
      </c>
      <c r="AT1136">
        <v>798.37597445278004</v>
      </c>
      <c r="AU1136">
        <v>56.009116883801767</v>
      </c>
      <c r="AV1136">
        <v>875.63816552885567</v>
      </c>
      <c r="AW1136">
        <v>1680.1200430647709</v>
      </c>
      <c r="AX1136">
        <v>804.48187753591503</v>
      </c>
      <c r="AY1136">
        <v>5.1508127384050333</v>
      </c>
      <c r="AZ1136" t="s">
        <v>146</v>
      </c>
      <c r="BA1136" t="str">
        <f>VLOOKUP($AZ1136,Sheet1!$A$2:$B$58,2)</f>
        <v>Pentanol (PW2)</v>
      </c>
      <c r="BB1136" t="s">
        <v>157</v>
      </c>
      <c r="BC1136">
        <v>88.14658</v>
      </c>
      <c r="BD1136">
        <v>6</v>
      </c>
      <c r="BE1136">
        <v>138</v>
      </c>
      <c r="BF1136" t="s">
        <v>217</v>
      </c>
      <c r="BG1136">
        <v>2.119274743774302</v>
      </c>
      <c r="BH1136">
        <v>0.108170731707317</v>
      </c>
      <c r="BI1136">
        <v>0.29758316535400398</v>
      </c>
      <c r="BJ1136">
        <v>80</v>
      </c>
      <c r="BK1136">
        <v>7057.3550467232626</v>
      </c>
      <c r="BL1136">
        <v>3379.2313006807099</v>
      </c>
      <c r="BM1136">
        <v>19.51674729177013</v>
      </c>
      <c r="BN1136">
        <v>3317.847039600922</v>
      </c>
      <c r="BO1136">
        <v>3739.508007122341</v>
      </c>
    </row>
    <row r="1137" spans="1:67" x14ac:dyDescent="0.25">
      <c r="A1137" s="1">
        <v>1135</v>
      </c>
      <c r="B1137" t="s">
        <v>78</v>
      </c>
      <c r="C1137" t="s">
        <v>87</v>
      </c>
      <c r="D1137">
        <v>1</v>
      </c>
      <c r="E1137">
        <v>4</v>
      </c>
      <c r="F1137">
        <v>1</v>
      </c>
      <c r="G1137">
        <v>32.041060000000002</v>
      </c>
      <c r="H1137">
        <v>6</v>
      </c>
      <c r="I1137" t="s">
        <v>89</v>
      </c>
      <c r="J1137">
        <v>2.5</v>
      </c>
      <c r="K1137">
        <v>200</v>
      </c>
      <c r="L1137">
        <v>50</v>
      </c>
      <c r="N1137" t="s">
        <v>90</v>
      </c>
      <c r="O1137">
        <v>50</v>
      </c>
      <c r="P1137">
        <v>0.3125</v>
      </c>
      <c r="Q1137">
        <v>3.2500000000000001E-2</v>
      </c>
      <c r="R1137">
        <v>77.5</v>
      </c>
      <c r="S1137">
        <v>170</v>
      </c>
      <c r="T1137">
        <v>50</v>
      </c>
      <c r="U1137">
        <v>1812.1301775147931</v>
      </c>
      <c r="V1137">
        <v>20</v>
      </c>
      <c r="W1137">
        <v>0.95</v>
      </c>
      <c r="X1137">
        <v>1</v>
      </c>
      <c r="Y1137">
        <v>408560.22975000221</v>
      </c>
      <c r="Z1137">
        <v>817120459.50000429</v>
      </c>
      <c r="AA1137">
        <v>2042801148.750011</v>
      </c>
      <c r="AB1137">
        <v>2042801.1487500111</v>
      </c>
      <c r="AC1137">
        <v>0</v>
      </c>
      <c r="AD1137">
        <v>8468.8567157340894</v>
      </c>
      <c r="AE1137">
        <v>5081314.0294404542</v>
      </c>
      <c r="AF1137">
        <v>2540657.0147202271</v>
      </c>
      <c r="AG1137">
        <v>81.405343848071681</v>
      </c>
      <c r="AH1137">
        <v>838.60736413377901</v>
      </c>
      <c r="AI1137">
        <v>419.30368206688951</v>
      </c>
      <c r="AJ1137">
        <v>66391.037334375345</v>
      </c>
      <c r="AK1137">
        <v>854.70085470085473</v>
      </c>
      <c r="AL1137" t="s">
        <v>93</v>
      </c>
      <c r="AM1137">
        <v>64992.070720367883</v>
      </c>
      <c r="AN1137">
        <v>4559.4414185527203</v>
      </c>
      <c r="AO1137">
        <v>71281.625951371214</v>
      </c>
      <c r="AP1137">
        <v>136797.25032799679</v>
      </c>
      <c r="AQ1137">
        <v>65515.62437662555</v>
      </c>
      <c r="AR1137">
        <v>2.6131444327083329E-2</v>
      </c>
      <c r="AS1137">
        <v>815.56116829728262</v>
      </c>
      <c r="AT1137">
        <v>798.37597445278027</v>
      </c>
      <c r="AU1137">
        <v>56.009116883801767</v>
      </c>
      <c r="AV1137">
        <v>875.63816552885578</v>
      </c>
      <c r="AW1137">
        <v>1680.4455808614241</v>
      </c>
      <c r="AX1137">
        <v>804.8074153325681</v>
      </c>
      <c r="AY1137">
        <v>5.1508127384050342</v>
      </c>
      <c r="AZ1137" t="s">
        <v>147</v>
      </c>
      <c r="BA1137" t="str">
        <f>VLOOKUP($AZ1137,Sheet1!$A$2:$B$58,2)</f>
        <v>Phenol</v>
      </c>
      <c r="BB1137" t="s">
        <v>193</v>
      </c>
      <c r="BC1137">
        <v>94.11023999999999</v>
      </c>
      <c r="BD1137">
        <v>4.666666666666667</v>
      </c>
      <c r="BE1137">
        <v>181.7</v>
      </c>
      <c r="BF1137" t="s">
        <v>217</v>
      </c>
      <c r="BG1137">
        <v>1.6667142876635881</v>
      </c>
      <c r="BH1137">
        <v>0.10455795677799599</v>
      </c>
      <c r="BI1137">
        <v>0.30710514590612098</v>
      </c>
      <c r="BJ1137">
        <v>80</v>
      </c>
      <c r="BK1137">
        <v>6839.8625163998367</v>
      </c>
      <c r="BL1137">
        <v>3275.7812188312769</v>
      </c>
      <c r="BM1137">
        <v>19.298469815680889</v>
      </c>
      <c r="BN1137">
        <v>3280.7398686657511</v>
      </c>
      <c r="BO1137">
        <v>3559.1226477340861</v>
      </c>
    </row>
    <row r="1138" spans="1:67" x14ac:dyDescent="0.25">
      <c r="A1138" s="1">
        <v>1136</v>
      </c>
      <c r="B1138" t="s">
        <v>78</v>
      </c>
      <c r="C1138" t="s">
        <v>87</v>
      </c>
      <c r="D1138">
        <v>1</v>
      </c>
      <c r="E1138">
        <v>4</v>
      </c>
      <c r="F1138">
        <v>1</v>
      </c>
      <c r="G1138">
        <v>32.041060000000002</v>
      </c>
      <c r="H1138">
        <v>6</v>
      </c>
      <c r="I1138" t="s">
        <v>89</v>
      </c>
      <c r="J1138">
        <v>2.5</v>
      </c>
      <c r="K1138">
        <v>200</v>
      </c>
      <c r="L1138">
        <v>50</v>
      </c>
      <c r="N1138" t="s">
        <v>90</v>
      </c>
      <c r="O1138">
        <v>50</v>
      </c>
      <c r="P1138">
        <v>0.3125</v>
      </c>
      <c r="Q1138">
        <v>3.2500000000000001E-2</v>
      </c>
      <c r="R1138">
        <v>77.5</v>
      </c>
      <c r="S1138">
        <v>170</v>
      </c>
      <c r="T1138">
        <v>50</v>
      </c>
      <c r="U1138">
        <v>1812.1301775147931</v>
      </c>
      <c r="V1138">
        <v>20</v>
      </c>
      <c r="W1138">
        <v>0.95</v>
      </c>
      <c r="X1138">
        <v>1</v>
      </c>
      <c r="Y1138">
        <v>493378.36488860351</v>
      </c>
      <c r="Z1138">
        <v>986756729.77720702</v>
      </c>
      <c r="AA1138">
        <v>2466891824.443017</v>
      </c>
      <c r="AB1138">
        <v>2466891.8244430181</v>
      </c>
      <c r="AC1138">
        <v>66773.504273504266</v>
      </c>
      <c r="AD1138">
        <v>10227.01275021674</v>
      </c>
      <c r="AE1138">
        <v>6136207.6501300456</v>
      </c>
      <c r="AF1138">
        <v>3068103.8250650228</v>
      </c>
      <c r="AG1138">
        <v>98.305298745137904</v>
      </c>
      <c r="AH1138">
        <v>1012.704370058337</v>
      </c>
      <c r="AI1138">
        <v>506.35218502916871</v>
      </c>
      <c r="AJ1138">
        <v>80173.984294398077</v>
      </c>
      <c r="AK1138">
        <v>2170.1388888888891</v>
      </c>
      <c r="AL1138" t="s">
        <v>95</v>
      </c>
      <c r="AM1138">
        <v>78484.588679521141</v>
      </c>
      <c r="AN1138">
        <v>5505.9929677134814</v>
      </c>
      <c r="AO1138">
        <v>86079.871454958673</v>
      </c>
      <c r="AP1138">
        <v>166334.7048305216</v>
      </c>
      <c r="AQ1138">
        <v>80254.833375562899</v>
      </c>
      <c r="AR1138">
        <v>2.613144432708334E-2</v>
      </c>
      <c r="AS1138">
        <v>815.56116829728285</v>
      </c>
      <c r="AT1138">
        <v>798.37597445278016</v>
      </c>
      <c r="AU1138">
        <v>56.009116883801767</v>
      </c>
      <c r="AV1138">
        <v>875.63816552885567</v>
      </c>
      <c r="AW1138">
        <v>1692.0217623442029</v>
      </c>
      <c r="AX1138">
        <v>816.383596815347</v>
      </c>
      <c r="AY1138">
        <v>5.1508127384050333</v>
      </c>
      <c r="AZ1138" t="s">
        <v>148</v>
      </c>
      <c r="BA1138" t="str">
        <f>VLOOKUP($AZ1138,Sheet1!$A$2:$B$58,2)</f>
        <v>Propane (PW1)</v>
      </c>
      <c r="BB1138" t="s">
        <v>194</v>
      </c>
      <c r="BC1138">
        <v>44.094819999999999</v>
      </c>
      <c r="BD1138">
        <v>6.666666666666667</v>
      </c>
      <c r="BE1138">
        <v>-42</v>
      </c>
      <c r="BF1138" t="s">
        <v>217</v>
      </c>
      <c r="BG1138">
        <v>2.4068607195053091</v>
      </c>
      <c r="BH1138">
        <v>0.18479166666666699</v>
      </c>
      <c r="BI1138">
        <v>0.25430979122309499</v>
      </c>
      <c r="BJ1138">
        <v>80</v>
      </c>
      <c r="BK1138">
        <v>8316.7352415260775</v>
      </c>
      <c r="BL1138">
        <v>4012.7416687781451</v>
      </c>
      <c r="BM1138">
        <v>22.910748531953121</v>
      </c>
      <c r="BN1138">
        <v>3894.8272504320312</v>
      </c>
      <c r="BO1138">
        <v>4421.9079910940463</v>
      </c>
    </row>
    <row r="1139" spans="1:67" x14ac:dyDescent="0.25">
      <c r="A1139" s="1">
        <v>1137</v>
      </c>
      <c r="B1139" t="s">
        <v>78</v>
      </c>
      <c r="C1139" t="s">
        <v>87</v>
      </c>
      <c r="D1139">
        <v>1</v>
      </c>
      <c r="E1139">
        <v>4</v>
      </c>
      <c r="F1139">
        <v>1</v>
      </c>
      <c r="G1139">
        <v>32.041060000000002</v>
      </c>
      <c r="H1139">
        <v>6</v>
      </c>
      <c r="I1139" t="s">
        <v>89</v>
      </c>
      <c r="J1139">
        <v>2.5</v>
      </c>
      <c r="K1139">
        <v>200</v>
      </c>
      <c r="L1139">
        <v>50</v>
      </c>
      <c r="N1139" t="s">
        <v>90</v>
      </c>
      <c r="O1139">
        <v>50</v>
      </c>
      <c r="P1139">
        <v>0.3125</v>
      </c>
      <c r="Q1139">
        <v>3.2500000000000001E-2</v>
      </c>
      <c r="R1139">
        <v>77.5</v>
      </c>
      <c r="S1139">
        <v>170</v>
      </c>
      <c r="T1139">
        <v>50</v>
      </c>
      <c r="U1139">
        <v>1812.1301775147931</v>
      </c>
      <c r="V1139">
        <v>20</v>
      </c>
      <c r="W1139">
        <v>0.95</v>
      </c>
      <c r="X1139">
        <v>1</v>
      </c>
      <c r="Y1139">
        <v>616722.95611075417</v>
      </c>
      <c r="Z1139">
        <v>1233445912.221509</v>
      </c>
      <c r="AA1139">
        <v>3083614780.553771</v>
      </c>
      <c r="AB1139">
        <v>3083614.7805537712</v>
      </c>
      <c r="AC1139">
        <v>66773.504273504266</v>
      </c>
      <c r="AD1139">
        <v>12783.76593777093</v>
      </c>
      <c r="AE1139">
        <v>7670259.5626625558</v>
      </c>
      <c r="AF1139">
        <v>3835129.7813312779</v>
      </c>
      <c r="AG1139">
        <v>122.8816234314224</v>
      </c>
      <c r="AH1139">
        <v>1265.8804625729219</v>
      </c>
      <c r="AI1139">
        <v>632.94023128646086</v>
      </c>
      <c r="AJ1139">
        <v>100217.4803679976</v>
      </c>
      <c r="AK1139">
        <v>2170.1388888888891</v>
      </c>
      <c r="AL1139" t="s">
        <v>95</v>
      </c>
      <c r="AM1139">
        <v>98105.735849401433</v>
      </c>
      <c r="AN1139">
        <v>6882.4912096418466</v>
      </c>
      <c r="AO1139">
        <v>107599.8393186983</v>
      </c>
      <c r="AP1139">
        <v>207375.8463159297</v>
      </c>
      <c r="AQ1139">
        <v>99776.00699723138</v>
      </c>
      <c r="AR1139">
        <v>2.613144432708334E-2</v>
      </c>
      <c r="AS1139">
        <v>815.56116829728285</v>
      </c>
      <c r="AT1139">
        <v>798.37597445278038</v>
      </c>
      <c r="AU1139">
        <v>56.009116883801752</v>
      </c>
      <c r="AV1139">
        <v>875.63816552885589</v>
      </c>
      <c r="AW1139">
        <v>1687.606661802135</v>
      </c>
      <c r="AX1139">
        <v>811.96849627327936</v>
      </c>
      <c r="AY1139">
        <v>5.1508127384050342</v>
      </c>
      <c r="AZ1139" t="s">
        <v>149</v>
      </c>
      <c r="BA1139" t="str">
        <f>VLOOKUP($AZ1139,Sheet1!$A$2:$B$58,2)</f>
        <v>Propane (PW2)</v>
      </c>
      <c r="BB1139" t="s">
        <v>194</v>
      </c>
      <c r="BC1139">
        <v>44.094819999999999</v>
      </c>
      <c r="BD1139">
        <v>6.666666666666667</v>
      </c>
      <c r="BE1139">
        <v>-42</v>
      </c>
      <c r="BF1139" t="s">
        <v>217</v>
      </c>
      <c r="BG1139">
        <v>3.7571332129164192</v>
      </c>
      <c r="BH1139">
        <v>0.14783333333333301</v>
      </c>
      <c r="BI1139">
        <v>0.20344783297847599</v>
      </c>
      <c r="BJ1139">
        <v>80</v>
      </c>
      <c r="BK1139">
        <v>10368.792315796491</v>
      </c>
      <c r="BL1139">
        <v>4988.800349861569</v>
      </c>
      <c r="BM1139">
        <v>27.88987835140663</v>
      </c>
      <c r="BN1139">
        <v>4741.2793197391265</v>
      </c>
      <c r="BO1139">
        <v>5627.5129960573604</v>
      </c>
    </row>
    <row r="1140" spans="1:67" x14ac:dyDescent="0.25">
      <c r="A1140" s="1">
        <v>1138</v>
      </c>
      <c r="B1140" t="s">
        <v>78</v>
      </c>
      <c r="C1140" t="s">
        <v>87</v>
      </c>
      <c r="D1140">
        <v>1</v>
      </c>
      <c r="E1140">
        <v>4</v>
      </c>
      <c r="F1140">
        <v>1</v>
      </c>
      <c r="G1140">
        <v>32.041060000000002</v>
      </c>
      <c r="H1140">
        <v>6</v>
      </c>
      <c r="I1140" t="s">
        <v>89</v>
      </c>
      <c r="J1140">
        <v>2.5</v>
      </c>
      <c r="K1140">
        <v>200</v>
      </c>
      <c r="L1140">
        <v>50</v>
      </c>
      <c r="N1140" t="s">
        <v>90</v>
      </c>
      <c r="O1140">
        <v>50</v>
      </c>
      <c r="P1140">
        <v>0.3125</v>
      </c>
      <c r="Q1140">
        <v>3.2500000000000001E-2</v>
      </c>
      <c r="R1140">
        <v>77.5</v>
      </c>
      <c r="S1140">
        <v>170</v>
      </c>
      <c r="T1140">
        <v>50</v>
      </c>
      <c r="U1140">
        <v>1812.1301775147931</v>
      </c>
      <c r="V1140">
        <v>20</v>
      </c>
      <c r="W1140">
        <v>0.95</v>
      </c>
      <c r="X1140">
        <v>1</v>
      </c>
      <c r="Y1140">
        <v>205056.94300323579</v>
      </c>
      <c r="Z1140">
        <v>410113886.00647157</v>
      </c>
      <c r="AA1140">
        <v>1025284715.016179</v>
      </c>
      <c r="AB1140">
        <v>1025284.715016179</v>
      </c>
      <c r="AC1140">
        <v>0</v>
      </c>
      <c r="AD1140">
        <v>4250.5308701326112</v>
      </c>
      <c r="AE1140">
        <v>2550318.522079566</v>
      </c>
      <c r="AF1140">
        <v>1275159.261039783</v>
      </c>
      <c r="AG1140">
        <v>40.857454392531359</v>
      </c>
      <c r="AH1140">
        <v>420.89819308770637</v>
      </c>
      <c r="AI1140">
        <v>210.44909654385319</v>
      </c>
      <c r="AJ1140">
        <v>33321.75323802582</v>
      </c>
      <c r="AK1140">
        <v>854.70085470085473</v>
      </c>
      <c r="AL1140" t="s">
        <v>93</v>
      </c>
      <c r="AM1140">
        <v>32619.609964297251</v>
      </c>
      <c r="AN1140">
        <v>2288.3899386458888</v>
      </c>
      <c r="AO1140">
        <v>35776.346412455037</v>
      </c>
      <c r="AP1140">
        <v>69084.453995669814</v>
      </c>
      <c r="AQ1140">
        <v>33308.107583214769</v>
      </c>
      <c r="AR1140">
        <v>2.6131444327083329E-2</v>
      </c>
      <c r="AS1140">
        <v>815.56116829728273</v>
      </c>
      <c r="AT1140">
        <v>798.37597445278016</v>
      </c>
      <c r="AU1140">
        <v>56.009116883801767</v>
      </c>
      <c r="AV1140">
        <v>875.63816552885567</v>
      </c>
      <c r="AW1140">
        <v>1690.8653518144361</v>
      </c>
      <c r="AX1140">
        <v>815.22718628558039</v>
      </c>
      <c r="AY1140">
        <v>5.1508127384050333</v>
      </c>
      <c r="AZ1140" t="s">
        <v>150</v>
      </c>
      <c r="BA1140" t="str">
        <f>VLOOKUP($AZ1140,Sheet1!$A$2:$B$58,2)</f>
        <v>Shikimate</v>
      </c>
      <c r="BB1140" t="s">
        <v>195</v>
      </c>
      <c r="BC1140">
        <v>173.14045999999999</v>
      </c>
      <c r="BD1140">
        <v>3.8571428571428572</v>
      </c>
      <c r="BE1140">
        <v>400.5</v>
      </c>
      <c r="BF1140" t="s">
        <v>217</v>
      </c>
      <c r="BG1140">
        <v>0.46548355061932201</v>
      </c>
      <c r="BH1140">
        <v>0.113234042553192</v>
      </c>
      <c r="BI1140">
        <v>0.61188344628171298</v>
      </c>
      <c r="BJ1140">
        <v>80</v>
      </c>
      <c r="BK1140">
        <v>3454.22269978349</v>
      </c>
      <c r="BL1140">
        <v>1665.405379160738</v>
      </c>
      <c r="BM1140">
        <v>10.056971276573339</v>
      </c>
      <c r="BN1140">
        <v>1709.685117017468</v>
      </c>
      <c r="BO1140">
        <v>1744.537582766023</v>
      </c>
    </row>
    <row r="1141" spans="1:67" x14ac:dyDescent="0.25">
      <c r="A1141" s="1">
        <v>1139</v>
      </c>
      <c r="B1141" t="s">
        <v>78</v>
      </c>
      <c r="C1141" t="s">
        <v>87</v>
      </c>
      <c r="D1141">
        <v>1</v>
      </c>
      <c r="E1141">
        <v>4</v>
      </c>
      <c r="F1141">
        <v>1</v>
      </c>
      <c r="G1141">
        <v>32.041060000000002</v>
      </c>
      <c r="H1141">
        <v>6</v>
      </c>
      <c r="I1141" t="s">
        <v>89</v>
      </c>
      <c r="J1141">
        <v>2.5</v>
      </c>
      <c r="K1141">
        <v>200</v>
      </c>
      <c r="L1141">
        <v>50</v>
      </c>
      <c r="N1141" t="s">
        <v>90</v>
      </c>
      <c r="O1141">
        <v>50</v>
      </c>
      <c r="P1141">
        <v>0.3125</v>
      </c>
      <c r="Q1141">
        <v>3.2500000000000001E-2</v>
      </c>
      <c r="R1141">
        <v>77.5</v>
      </c>
      <c r="S1141">
        <v>170</v>
      </c>
      <c r="T1141">
        <v>50</v>
      </c>
      <c r="U1141">
        <v>1812.1301775147931</v>
      </c>
      <c r="V1141">
        <v>20</v>
      </c>
      <c r="W1141">
        <v>0.95</v>
      </c>
      <c r="X1141">
        <v>1</v>
      </c>
      <c r="Y1141">
        <v>491034.02616602491</v>
      </c>
      <c r="Z1141">
        <v>982068052.33204973</v>
      </c>
      <c r="AA1141">
        <v>2455170130.8301239</v>
      </c>
      <c r="AB1141">
        <v>2455170.130830124</v>
      </c>
      <c r="AC1141">
        <v>0</v>
      </c>
      <c r="AD1141">
        <v>10178.418033235081</v>
      </c>
      <c r="AE1141">
        <v>6107050.8199410476</v>
      </c>
      <c r="AF1141">
        <v>3053525.4099705238</v>
      </c>
      <c r="AG1141">
        <v>97.838190872390157</v>
      </c>
      <c r="AH1141">
        <v>1007.89239969602</v>
      </c>
      <c r="AI1141">
        <v>503.94619984801022</v>
      </c>
      <c r="AJ1141">
        <v>79793.029251979053</v>
      </c>
      <c r="AK1141">
        <v>854.70085470085473</v>
      </c>
      <c r="AL1141" t="s">
        <v>93</v>
      </c>
      <c r="AM1141">
        <v>78111.660976441577</v>
      </c>
      <c r="AN1141">
        <v>5479.8306682714056</v>
      </c>
      <c r="AO1141">
        <v>85670.853974161728</v>
      </c>
      <c r="AP1141">
        <v>164239.22175139291</v>
      </c>
      <c r="AQ1141">
        <v>78568.367777231149</v>
      </c>
      <c r="AR1141">
        <v>2.6131444327083329E-2</v>
      </c>
      <c r="AS1141">
        <v>815.56116829728273</v>
      </c>
      <c r="AT1141">
        <v>798.37597445278004</v>
      </c>
      <c r="AU1141">
        <v>56.009116883801752</v>
      </c>
      <c r="AV1141">
        <v>875.63816552885544</v>
      </c>
      <c r="AW1141">
        <v>1678.6821208254889</v>
      </c>
      <c r="AX1141">
        <v>803.04395529663327</v>
      </c>
      <c r="AY1141">
        <v>5.1508127384050324</v>
      </c>
      <c r="AZ1141" t="s">
        <v>151</v>
      </c>
      <c r="BA1141" t="str">
        <f>VLOOKUP($AZ1141,Sheet1!$A$2:$B$58,2)</f>
        <v>Styrene</v>
      </c>
      <c r="BB1141" t="s">
        <v>196</v>
      </c>
      <c r="BC1141">
        <v>104.14832</v>
      </c>
      <c r="BD1141">
        <v>5</v>
      </c>
      <c r="BE1141">
        <v>145</v>
      </c>
      <c r="BF1141" t="s">
        <v>217</v>
      </c>
      <c r="BG1141">
        <v>1.9948627198395179</v>
      </c>
      <c r="BH1141">
        <v>7.8611521418020802E-2</v>
      </c>
      <c r="BI1141">
        <v>0.25552393985501398</v>
      </c>
      <c r="BJ1141">
        <v>80</v>
      </c>
      <c r="BK1141">
        <v>8211.9610875696435</v>
      </c>
      <c r="BL1141">
        <v>3928.418388861558</v>
      </c>
      <c r="BM1141">
        <v>23.202447272560988</v>
      </c>
      <c r="BN1141">
        <v>3944.416036335369</v>
      </c>
      <c r="BO1141">
        <v>4267.545051234275</v>
      </c>
    </row>
    <row r="1142" spans="1:67" x14ac:dyDescent="0.25">
      <c r="A1142" s="1">
        <v>1140</v>
      </c>
      <c r="B1142" t="s">
        <v>78</v>
      </c>
      <c r="C1142" t="s">
        <v>87</v>
      </c>
      <c r="D1142">
        <v>1</v>
      </c>
      <c r="E1142">
        <v>4</v>
      </c>
      <c r="F1142">
        <v>1</v>
      </c>
      <c r="G1142">
        <v>32.041060000000002</v>
      </c>
      <c r="H1142">
        <v>6</v>
      </c>
      <c r="I1142" t="s">
        <v>89</v>
      </c>
      <c r="J1142">
        <v>2.5</v>
      </c>
      <c r="K1142">
        <v>200</v>
      </c>
      <c r="L1142">
        <v>50</v>
      </c>
      <c r="N1142" t="s">
        <v>90</v>
      </c>
      <c r="O1142">
        <v>50</v>
      </c>
      <c r="P1142">
        <v>0.3125</v>
      </c>
      <c r="Q1142">
        <v>3.2500000000000001E-2</v>
      </c>
      <c r="R1142">
        <v>77.5</v>
      </c>
      <c r="S1142">
        <v>170</v>
      </c>
      <c r="T1142">
        <v>50</v>
      </c>
      <c r="U1142">
        <v>1812.1301775147931</v>
      </c>
      <c r="V1142">
        <v>20</v>
      </c>
      <c r="W1142">
        <v>0.95</v>
      </c>
      <c r="X1142">
        <v>1</v>
      </c>
      <c r="Y1142">
        <v>138622.6535678638</v>
      </c>
      <c r="Z1142">
        <v>277245307.13572752</v>
      </c>
      <c r="AA1142">
        <v>693113267.83931875</v>
      </c>
      <c r="AB1142">
        <v>693113.26783931872</v>
      </c>
      <c r="AC1142">
        <v>0</v>
      </c>
      <c r="AD1142">
        <v>2873.445100957179</v>
      </c>
      <c r="AE1142">
        <v>1724067.060574308</v>
      </c>
      <c r="AF1142">
        <v>862033.5302871539</v>
      </c>
      <c r="AG1142">
        <v>27.620468065942521</v>
      </c>
      <c r="AH1142">
        <v>284.53571750953228</v>
      </c>
      <c r="AI1142">
        <v>142.26785875476619</v>
      </c>
      <c r="AJ1142">
        <v>22526.181204777859</v>
      </c>
      <c r="AK1142">
        <v>854.70085470085473</v>
      </c>
      <c r="AL1142" t="s">
        <v>93</v>
      </c>
      <c r="AM1142">
        <v>22051.518106988751</v>
      </c>
      <c r="AN1142">
        <v>1546.9980242906879</v>
      </c>
      <c r="AO1142">
        <v>24185.53598831025</v>
      </c>
      <c r="AP1142">
        <v>46979.398190758147</v>
      </c>
      <c r="AQ1142">
        <v>22793.862202447901</v>
      </c>
      <c r="AR1142">
        <v>2.6131444327083319E-2</v>
      </c>
      <c r="AS1142">
        <v>815.56116829728239</v>
      </c>
      <c r="AT1142">
        <v>798.37597445278027</v>
      </c>
      <c r="AU1142">
        <v>56.009116883801759</v>
      </c>
      <c r="AV1142">
        <v>875.63816552885578</v>
      </c>
      <c r="AW1142">
        <v>1700.890733589204</v>
      </c>
      <c r="AX1142">
        <v>825.25256806034849</v>
      </c>
      <c r="AY1142">
        <v>5.1508127384050333</v>
      </c>
      <c r="AZ1142" t="s">
        <v>152</v>
      </c>
      <c r="BA1142" t="str">
        <f>VLOOKUP($AZ1142,Sheet1!$A$2:$B$58,2)</f>
        <v>Succinate</v>
      </c>
      <c r="BB1142" t="s">
        <v>197</v>
      </c>
      <c r="BC1142">
        <v>116.07016</v>
      </c>
      <c r="BD1142">
        <v>3</v>
      </c>
      <c r="BE1142">
        <v>235</v>
      </c>
      <c r="BF1142" t="s">
        <v>217</v>
      </c>
      <c r="BG1142">
        <v>8.5494300096734051E-4</v>
      </c>
      <c r="BH1142">
        <v>0.249859154929577</v>
      </c>
      <c r="BI1142">
        <v>0.90512586319369104</v>
      </c>
      <c r="BJ1142">
        <v>80</v>
      </c>
      <c r="BK1142">
        <v>2348.9699095379078</v>
      </c>
      <c r="BL1142">
        <v>1139.693110122395</v>
      </c>
      <c r="BM1142">
        <v>7.1125379947373402</v>
      </c>
      <c r="BN1142">
        <v>1209.1314591053481</v>
      </c>
      <c r="BO1142">
        <v>1139.83845043256</v>
      </c>
    </row>
    <row r="1143" spans="1:67" x14ac:dyDescent="0.25">
      <c r="A1143" s="1">
        <v>1141</v>
      </c>
      <c r="B1143" t="s">
        <v>78</v>
      </c>
      <c r="C1143" t="s">
        <v>87</v>
      </c>
      <c r="D1143">
        <v>1</v>
      </c>
      <c r="E1143">
        <v>4</v>
      </c>
      <c r="F1143">
        <v>1</v>
      </c>
      <c r="G1143">
        <v>32.041060000000002</v>
      </c>
      <c r="H1143">
        <v>6</v>
      </c>
      <c r="I1143" t="s">
        <v>89</v>
      </c>
      <c r="J1143">
        <v>2.5</v>
      </c>
      <c r="K1143">
        <v>200</v>
      </c>
      <c r="L1143">
        <v>50</v>
      </c>
      <c r="N1143" t="s">
        <v>90</v>
      </c>
      <c r="O1143">
        <v>50</v>
      </c>
      <c r="P1143">
        <v>0.3125</v>
      </c>
      <c r="Q1143">
        <v>3.2500000000000001E-2</v>
      </c>
      <c r="R1143">
        <v>77.5</v>
      </c>
      <c r="S1143">
        <v>170</v>
      </c>
      <c r="T1143">
        <v>50</v>
      </c>
      <c r="U1143">
        <v>1812.1301775147931</v>
      </c>
      <c r="V1143">
        <v>20</v>
      </c>
      <c r="W1143">
        <v>0.95</v>
      </c>
      <c r="X1143">
        <v>1</v>
      </c>
      <c r="Y1143">
        <v>296406.9320946699</v>
      </c>
      <c r="Z1143">
        <v>592813864.18933976</v>
      </c>
      <c r="AA1143">
        <v>1482034660.4733491</v>
      </c>
      <c r="AB1143">
        <v>1482034.660473349</v>
      </c>
      <c r="AC1143">
        <v>0</v>
      </c>
      <c r="AD1143">
        <v>6144.0826949703132</v>
      </c>
      <c r="AE1143">
        <v>3686449.6169821881</v>
      </c>
      <c r="AF1143">
        <v>1843224.808491094</v>
      </c>
      <c r="AG1143">
        <v>59.058876682351659</v>
      </c>
      <c r="AH1143">
        <v>608.40242866269762</v>
      </c>
      <c r="AI1143">
        <v>304.20121433134881</v>
      </c>
      <c r="AJ1143">
        <v>48166.126465383852</v>
      </c>
      <c r="AK1143">
        <v>854.70085470085473</v>
      </c>
      <c r="AL1143" t="s">
        <v>93</v>
      </c>
      <c r="AM1143">
        <v>47151.188221359072</v>
      </c>
      <c r="AN1143">
        <v>3307.8355271278692</v>
      </c>
      <c r="AO1143">
        <v>51714.206436329303</v>
      </c>
      <c r="AP1143">
        <v>99479.851068571646</v>
      </c>
      <c r="AQ1143">
        <v>47765.644632242351</v>
      </c>
      <c r="AR1143">
        <v>2.6131444327083329E-2</v>
      </c>
      <c r="AS1143">
        <v>815.56116829728251</v>
      </c>
      <c r="AT1143">
        <v>798.37597445277993</v>
      </c>
      <c r="AU1143">
        <v>56.009116883801767</v>
      </c>
      <c r="AV1143">
        <v>875.63816552885532</v>
      </c>
      <c r="AW1143">
        <v>1684.41827303327</v>
      </c>
      <c r="AX1143">
        <v>808.78010750441467</v>
      </c>
      <c r="AY1143">
        <v>5.1508127384050324</v>
      </c>
      <c r="AZ1143" t="s">
        <v>96</v>
      </c>
      <c r="BA1143" t="str">
        <f>VLOOKUP($AZ1143,Sheet1!$A$2:$B$58,2)</f>
        <v>1,3-Butanediol (PW1)</v>
      </c>
      <c r="BB1143" t="s">
        <v>153</v>
      </c>
      <c r="BC1143">
        <v>90.119200000000006</v>
      </c>
      <c r="BD1143">
        <v>5.5</v>
      </c>
      <c r="BE1143">
        <v>207</v>
      </c>
      <c r="BF1143" t="s">
        <v>218</v>
      </c>
      <c r="BG1143">
        <v>0</v>
      </c>
      <c r="BH1143">
        <v>0.1490909090909093</v>
      </c>
      <c r="BI1143">
        <v>0.42330639193262298</v>
      </c>
      <c r="BJ1143">
        <v>80</v>
      </c>
      <c r="BK1143">
        <v>4973.9925534285821</v>
      </c>
      <c r="BL1143">
        <v>2388.2822316121169</v>
      </c>
      <c r="BM1143">
        <v>15.21006071656744</v>
      </c>
      <c r="BN1143">
        <v>2585.7103218164648</v>
      </c>
      <c r="BO1143">
        <v>2388.2822316121169</v>
      </c>
    </row>
    <row r="1144" spans="1:67" x14ac:dyDescent="0.25">
      <c r="A1144" s="1">
        <v>1142</v>
      </c>
      <c r="B1144" t="s">
        <v>78</v>
      </c>
      <c r="C1144" t="s">
        <v>87</v>
      </c>
      <c r="D1144">
        <v>1</v>
      </c>
      <c r="E1144">
        <v>4</v>
      </c>
      <c r="F1144">
        <v>1</v>
      </c>
      <c r="G1144">
        <v>32.041060000000002</v>
      </c>
      <c r="H1144">
        <v>6</v>
      </c>
      <c r="I1144" t="s">
        <v>89</v>
      </c>
      <c r="J1144">
        <v>2.5</v>
      </c>
      <c r="K1144">
        <v>200</v>
      </c>
      <c r="L1144">
        <v>50</v>
      </c>
      <c r="N1144" t="s">
        <v>90</v>
      </c>
      <c r="O1144">
        <v>50</v>
      </c>
      <c r="P1144">
        <v>0.3125</v>
      </c>
      <c r="Q1144">
        <v>3.2500000000000001E-2</v>
      </c>
      <c r="R1144">
        <v>77.5</v>
      </c>
      <c r="S1144">
        <v>170</v>
      </c>
      <c r="T1144">
        <v>50</v>
      </c>
      <c r="U1144">
        <v>1812.1301775147931</v>
      </c>
      <c r="V1144">
        <v>20</v>
      </c>
      <c r="W1144">
        <v>0.95</v>
      </c>
      <c r="X1144">
        <v>1</v>
      </c>
      <c r="Y1144">
        <v>175633.3765007405</v>
      </c>
      <c r="Z1144">
        <v>351266753.00148112</v>
      </c>
      <c r="AA1144">
        <v>878166882.50370264</v>
      </c>
      <c r="AB1144">
        <v>878166.88250370265</v>
      </c>
      <c r="AC1144">
        <v>0</v>
      </c>
      <c r="AD1144">
        <v>3640.6233200806118</v>
      </c>
      <c r="AE1144">
        <v>2184373.9920483669</v>
      </c>
      <c r="AF1144">
        <v>1092186.9960241839</v>
      </c>
      <c r="AG1144">
        <v>34.994829070830633</v>
      </c>
      <c r="AH1144">
        <v>360.50362271268227</v>
      </c>
      <c r="AI1144">
        <v>180.25181135634119</v>
      </c>
      <c r="AJ1144">
        <v>28540.423681370339</v>
      </c>
      <c r="AK1144">
        <v>854.70085470085473</v>
      </c>
      <c r="AL1144" t="s">
        <v>93</v>
      </c>
      <c r="AM1144">
        <v>27939.030760232879</v>
      </c>
      <c r="AN1144">
        <v>1960.029471756817</v>
      </c>
      <c r="AO1144">
        <v>30642.807930578001</v>
      </c>
      <c r="AP1144">
        <v>59294.184768060877</v>
      </c>
      <c r="AQ1144">
        <v>28651.376837482891</v>
      </c>
      <c r="AR1144">
        <v>2.6131444327083329E-2</v>
      </c>
      <c r="AS1144">
        <v>815.56116829728251</v>
      </c>
      <c r="AT1144">
        <v>798.37597445277993</v>
      </c>
      <c r="AU1144">
        <v>56.009116883801759</v>
      </c>
      <c r="AV1144">
        <v>875.63816552885544</v>
      </c>
      <c r="AW1144">
        <v>1694.369892421752</v>
      </c>
      <c r="AX1144">
        <v>818.73172689289606</v>
      </c>
      <c r="AY1144">
        <v>5.1508127384050324</v>
      </c>
      <c r="AZ1144" t="s">
        <v>97</v>
      </c>
      <c r="BA1144" t="str">
        <f>VLOOKUP($AZ1144,Sheet1!$A$2:$B$58,2)</f>
        <v>1,3-Butanediol (PW2)</v>
      </c>
      <c r="BB1144" t="s">
        <v>153</v>
      </c>
      <c r="BC1144">
        <v>90.119200000000006</v>
      </c>
      <c r="BD1144">
        <v>5.5</v>
      </c>
      <c r="BE1144">
        <v>207</v>
      </c>
      <c r="BF1144" t="s">
        <v>218</v>
      </c>
      <c r="BG1144">
        <v>0</v>
      </c>
      <c r="BH1144">
        <v>0.25</v>
      </c>
      <c r="BI1144">
        <v>0.71439125904570688</v>
      </c>
      <c r="BJ1144">
        <v>80</v>
      </c>
      <c r="BK1144">
        <v>2964.7092384030439</v>
      </c>
      <c r="BL1144">
        <v>1432.568841874144</v>
      </c>
      <c r="BM1144">
        <v>9.0125905678170586</v>
      </c>
      <c r="BN1144">
        <v>1532.1403965289001</v>
      </c>
      <c r="BO1144">
        <v>1432.568841874144</v>
      </c>
    </row>
    <row r="1145" spans="1:67" x14ac:dyDescent="0.25">
      <c r="A1145" s="1">
        <v>1143</v>
      </c>
      <c r="B1145" t="s">
        <v>78</v>
      </c>
      <c r="C1145" t="s">
        <v>87</v>
      </c>
      <c r="D1145">
        <v>1</v>
      </c>
      <c r="E1145">
        <v>4</v>
      </c>
      <c r="F1145">
        <v>1</v>
      </c>
      <c r="G1145">
        <v>32.041060000000002</v>
      </c>
      <c r="H1145">
        <v>6</v>
      </c>
      <c r="I1145" t="s">
        <v>89</v>
      </c>
      <c r="J1145">
        <v>2.5</v>
      </c>
      <c r="K1145">
        <v>200</v>
      </c>
      <c r="L1145">
        <v>50</v>
      </c>
      <c r="N1145" t="s">
        <v>90</v>
      </c>
      <c r="O1145">
        <v>50</v>
      </c>
      <c r="P1145">
        <v>0.3125</v>
      </c>
      <c r="Q1145">
        <v>3.2500000000000001E-2</v>
      </c>
      <c r="R1145">
        <v>77.5</v>
      </c>
      <c r="S1145">
        <v>170</v>
      </c>
      <c r="T1145">
        <v>50</v>
      </c>
      <c r="U1145">
        <v>1812.1301775147931</v>
      </c>
      <c r="V1145">
        <v>20</v>
      </c>
      <c r="W1145">
        <v>0.95</v>
      </c>
      <c r="X1145">
        <v>1</v>
      </c>
      <c r="Y1145">
        <v>930348.52097368683</v>
      </c>
      <c r="Z1145">
        <v>1860697041.9473741</v>
      </c>
      <c r="AA1145">
        <v>4651742604.8684349</v>
      </c>
      <c r="AB1145">
        <v>4651742.6048684353</v>
      </c>
      <c r="AC1145">
        <v>0</v>
      </c>
      <c r="AD1145">
        <v>19284.765736112971</v>
      </c>
      <c r="AE1145">
        <v>11570859.44166779</v>
      </c>
      <c r="AF1145">
        <v>5785429.7208338929</v>
      </c>
      <c r="AG1145">
        <v>185.371300811022</v>
      </c>
      <c r="AH1145">
        <v>1909.6257151042471</v>
      </c>
      <c r="AI1145">
        <v>954.81285755212355</v>
      </c>
      <c r="AJ1145">
        <v>151181.63465822421</v>
      </c>
      <c r="AK1145">
        <v>854.70085470085473</v>
      </c>
      <c r="AL1145" t="s">
        <v>93</v>
      </c>
      <c r="AM1145">
        <v>147995.99292057921</v>
      </c>
      <c r="AN1145">
        <v>10382.48285402691</v>
      </c>
      <c r="AO1145">
        <v>162318.185783861</v>
      </c>
      <c r="AP1145">
        <v>310414.81128753111</v>
      </c>
      <c r="AQ1145">
        <v>148096.6255036701</v>
      </c>
      <c r="AR1145">
        <v>2.613144432708334E-2</v>
      </c>
      <c r="AS1145">
        <v>815.56116829728285</v>
      </c>
      <c r="AT1145">
        <v>798.37597445278027</v>
      </c>
      <c r="AU1145">
        <v>56.009116883801767</v>
      </c>
      <c r="AV1145">
        <v>875.63816552885567</v>
      </c>
      <c r="AW1145">
        <v>1674.5570103323901</v>
      </c>
      <c r="AX1145">
        <v>798.91884480353394</v>
      </c>
      <c r="AY1145">
        <v>5.1508127384050333</v>
      </c>
      <c r="AZ1145" t="s">
        <v>98</v>
      </c>
      <c r="BA1145" t="str">
        <f>VLOOKUP($AZ1145,Sheet1!$A$2:$B$58,2)</f>
        <v>1,3-Diaminopropane</v>
      </c>
      <c r="BB1145" t="s">
        <v>154</v>
      </c>
      <c r="BC1145">
        <v>76.139580000000009</v>
      </c>
      <c r="BD1145">
        <v>6</v>
      </c>
      <c r="BE1145">
        <v>139.30000000000001</v>
      </c>
      <c r="BF1145" t="s">
        <v>218</v>
      </c>
      <c r="BG1145">
        <v>0</v>
      </c>
      <c r="BH1145">
        <v>5.6551724137930998E-2</v>
      </c>
      <c r="BI1145">
        <v>0.1348644579318479</v>
      </c>
      <c r="BJ1145">
        <v>80</v>
      </c>
      <c r="BK1145">
        <v>15520.740564376551</v>
      </c>
      <c r="BL1145">
        <v>7404.8312751835037</v>
      </c>
      <c r="BM1145">
        <v>47.740642877606177</v>
      </c>
      <c r="BN1145">
        <v>8115.9092891930504</v>
      </c>
      <c r="BO1145">
        <v>7404.8312751835019</v>
      </c>
    </row>
    <row r="1146" spans="1:67" x14ac:dyDescent="0.25">
      <c r="A1146" s="1">
        <v>1144</v>
      </c>
      <c r="B1146" t="s">
        <v>78</v>
      </c>
      <c r="C1146" t="s">
        <v>87</v>
      </c>
      <c r="D1146">
        <v>1</v>
      </c>
      <c r="E1146">
        <v>4</v>
      </c>
      <c r="F1146">
        <v>1</v>
      </c>
      <c r="G1146">
        <v>32.041060000000002</v>
      </c>
      <c r="H1146">
        <v>6</v>
      </c>
      <c r="I1146" t="s">
        <v>89</v>
      </c>
      <c r="J1146">
        <v>2.5</v>
      </c>
      <c r="K1146">
        <v>200</v>
      </c>
      <c r="L1146">
        <v>50</v>
      </c>
      <c r="N1146" t="s">
        <v>90</v>
      </c>
      <c r="O1146">
        <v>50</v>
      </c>
      <c r="P1146">
        <v>0.3125</v>
      </c>
      <c r="Q1146">
        <v>3.2500000000000001E-2</v>
      </c>
      <c r="R1146">
        <v>77.5</v>
      </c>
      <c r="S1146">
        <v>170</v>
      </c>
      <c r="T1146">
        <v>50</v>
      </c>
      <c r="U1146">
        <v>1812.1301775147931</v>
      </c>
      <c r="V1146">
        <v>20</v>
      </c>
      <c r="W1146">
        <v>0.95</v>
      </c>
      <c r="X1146">
        <v>1</v>
      </c>
      <c r="Y1146">
        <v>155175.18182896709</v>
      </c>
      <c r="Z1146">
        <v>310350363.65793419</v>
      </c>
      <c r="AA1146">
        <v>775875909.14483547</v>
      </c>
      <c r="AB1146">
        <v>775875.90914483543</v>
      </c>
      <c r="AC1146">
        <v>0</v>
      </c>
      <c r="AD1146">
        <v>3216.5548309771571</v>
      </c>
      <c r="AE1146">
        <v>1929932.8985862939</v>
      </c>
      <c r="AF1146">
        <v>964966.44929314707</v>
      </c>
      <c r="AG1146">
        <v>30.918547899788681</v>
      </c>
      <c r="AH1146">
        <v>318.51130075043551</v>
      </c>
      <c r="AI1146">
        <v>159.2556503752177</v>
      </c>
      <c r="AJ1146">
        <v>25215.967047207148</v>
      </c>
      <c r="AK1146">
        <v>854.70085470085473</v>
      </c>
      <c r="AL1146" t="s">
        <v>93</v>
      </c>
      <c r="AM1146">
        <v>24684.625808158751</v>
      </c>
      <c r="AN1146">
        <v>1731.7205631966881</v>
      </c>
      <c r="AO1146">
        <v>27073.460563787012</v>
      </c>
      <c r="AP1146">
        <v>52487.014273263441</v>
      </c>
      <c r="AQ1146">
        <v>25413.55370947643</v>
      </c>
      <c r="AR1146">
        <v>2.6131444327083329E-2</v>
      </c>
      <c r="AS1146">
        <v>815.56116829728262</v>
      </c>
      <c r="AT1146">
        <v>798.37597445278004</v>
      </c>
      <c r="AU1146">
        <v>56.009116883801759</v>
      </c>
      <c r="AV1146">
        <v>875.63816552885544</v>
      </c>
      <c r="AW1146">
        <v>1697.589888224413</v>
      </c>
      <c r="AX1146">
        <v>821.95172269555781</v>
      </c>
      <c r="AY1146">
        <v>5.1508127384050324</v>
      </c>
      <c r="AZ1146" t="s">
        <v>99</v>
      </c>
      <c r="BA1146" t="str">
        <f>VLOOKUP($AZ1146,Sheet1!$A$2:$B$58,2)</f>
        <v>1,3-Propanediol</v>
      </c>
      <c r="BB1146" t="s">
        <v>155</v>
      </c>
      <c r="BC1146">
        <v>76.092820000000003</v>
      </c>
      <c r="BD1146">
        <v>5.333333333333333</v>
      </c>
      <c r="BE1146">
        <v>213</v>
      </c>
      <c r="BF1146" t="s">
        <v>218</v>
      </c>
      <c r="BG1146">
        <v>0</v>
      </c>
      <c r="BH1146">
        <v>0.33333333333333359</v>
      </c>
      <c r="BI1146">
        <v>0.80857613627355585</v>
      </c>
      <c r="BJ1146">
        <v>80</v>
      </c>
      <c r="BK1146">
        <v>2624.350713663172</v>
      </c>
      <c r="BL1146">
        <v>1270.6776854738221</v>
      </c>
      <c r="BM1146">
        <v>7.9627825187608856</v>
      </c>
      <c r="BN1146">
        <v>1353.673028189351</v>
      </c>
      <c r="BO1146">
        <v>1270.6776854738209</v>
      </c>
    </row>
    <row r="1147" spans="1:67" x14ac:dyDescent="0.25">
      <c r="A1147" s="1">
        <v>1145</v>
      </c>
      <c r="B1147" t="s">
        <v>78</v>
      </c>
      <c r="C1147" t="s">
        <v>87</v>
      </c>
      <c r="D1147">
        <v>1</v>
      </c>
      <c r="E1147">
        <v>4</v>
      </c>
      <c r="F1147">
        <v>1</v>
      </c>
      <c r="G1147">
        <v>32.041060000000002</v>
      </c>
      <c r="H1147">
        <v>6</v>
      </c>
      <c r="I1147" t="s">
        <v>89</v>
      </c>
      <c r="J1147">
        <v>2.5</v>
      </c>
      <c r="K1147">
        <v>200</v>
      </c>
      <c r="L1147">
        <v>50</v>
      </c>
      <c r="N1147" t="s">
        <v>90</v>
      </c>
      <c r="O1147">
        <v>50</v>
      </c>
      <c r="P1147">
        <v>0.3125</v>
      </c>
      <c r="Q1147">
        <v>3.2500000000000001E-2</v>
      </c>
      <c r="R1147">
        <v>77.5</v>
      </c>
      <c r="S1147">
        <v>170</v>
      </c>
      <c r="T1147">
        <v>50</v>
      </c>
      <c r="U1147">
        <v>1812.1301775147931</v>
      </c>
      <c r="V1147">
        <v>20</v>
      </c>
      <c r="W1147">
        <v>0.95</v>
      </c>
      <c r="X1147">
        <v>1</v>
      </c>
      <c r="Y1147">
        <v>1058041.9673717071</v>
      </c>
      <c r="Z1147">
        <v>2116083934.743413</v>
      </c>
      <c r="AA1147">
        <v>5290209836.8585329</v>
      </c>
      <c r="AB1147">
        <v>5290209.8368585333</v>
      </c>
      <c r="AC1147">
        <v>0</v>
      </c>
      <c r="AD1147">
        <v>21931.664338418981</v>
      </c>
      <c r="AE1147">
        <v>13158998.60305139</v>
      </c>
      <c r="AF1147">
        <v>6579499.3015256934</v>
      </c>
      <c r="AG1147">
        <v>210.81413189014279</v>
      </c>
      <c r="AH1147">
        <v>2171.7282319510932</v>
      </c>
      <c r="AI1147">
        <v>1085.8641159755471</v>
      </c>
      <c r="AJ1147">
        <v>171931.81969790231</v>
      </c>
      <c r="AK1147">
        <v>854.70085470085473</v>
      </c>
      <c r="AL1147" t="s">
        <v>93</v>
      </c>
      <c r="AM1147">
        <v>168308.93797620971</v>
      </c>
      <c r="AN1147">
        <v>11807.51335379221</v>
      </c>
      <c r="AO1147">
        <v>184596.89971584291</v>
      </c>
      <c r="AP1147">
        <v>352902.97188260523</v>
      </c>
      <c r="AQ1147">
        <v>168306.07216676229</v>
      </c>
      <c r="AR1147">
        <v>2.6131444327083329E-2</v>
      </c>
      <c r="AS1147">
        <v>815.56116829728273</v>
      </c>
      <c r="AT1147">
        <v>798.37597445278027</v>
      </c>
      <c r="AU1147">
        <v>56.009116883801767</v>
      </c>
      <c r="AV1147">
        <v>875.63816552885567</v>
      </c>
      <c r="AW1147">
        <v>1674.0005459714921</v>
      </c>
      <c r="AX1147">
        <v>798.36238044263598</v>
      </c>
      <c r="AY1147">
        <v>5.1508127384050333</v>
      </c>
      <c r="AZ1147" t="s">
        <v>100</v>
      </c>
      <c r="BA1147" t="str">
        <f>VLOOKUP($AZ1147,Sheet1!$A$2:$B$58,2)</f>
        <v>1,4-Butanediol</v>
      </c>
      <c r="BB1147" t="s">
        <v>153</v>
      </c>
      <c r="BC1147">
        <v>90.119200000000006</v>
      </c>
      <c r="BD1147">
        <v>5.5</v>
      </c>
      <c r="BE1147">
        <v>230</v>
      </c>
      <c r="BF1147" t="s">
        <v>218</v>
      </c>
      <c r="BG1147">
        <v>0</v>
      </c>
      <c r="BH1147">
        <v>4.2051282051282002E-2</v>
      </c>
      <c r="BI1147">
        <v>0.1185878753755831</v>
      </c>
      <c r="BJ1147">
        <v>80</v>
      </c>
      <c r="BK1147">
        <v>17645.14859413026</v>
      </c>
      <c r="BL1147">
        <v>8415.3036083381121</v>
      </c>
      <c r="BM1147">
        <v>54.293205798777322</v>
      </c>
      <c r="BN1147">
        <v>9229.8449857921441</v>
      </c>
      <c r="BO1147">
        <v>8415.3036083381157</v>
      </c>
    </row>
    <row r="1148" spans="1:67" x14ac:dyDescent="0.25">
      <c r="A1148" s="1">
        <v>1146</v>
      </c>
      <c r="B1148" t="s">
        <v>78</v>
      </c>
      <c r="C1148" t="s">
        <v>87</v>
      </c>
      <c r="D1148">
        <v>1</v>
      </c>
      <c r="E1148">
        <v>4</v>
      </c>
      <c r="F1148">
        <v>1</v>
      </c>
      <c r="G1148">
        <v>32.041060000000002</v>
      </c>
      <c r="H1148">
        <v>6</v>
      </c>
      <c r="I1148" t="s">
        <v>89</v>
      </c>
      <c r="J1148">
        <v>2.5</v>
      </c>
      <c r="K1148">
        <v>200</v>
      </c>
      <c r="L1148">
        <v>50</v>
      </c>
      <c r="N1148" t="s">
        <v>90</v>
      </c>
      <c r="O1148">
        <v>50</v>
      </c>
      <c r="P1148">
        <v>0.3125</v>
      </c>
      <c r="Q1148">
        <v>3.2500000000000001E-2</v>
      </c>
      <c r="R1148">
        <v>77.5</v>
      </c>
      <c r="S1148">
        <v>170</v>
      </c>
      <c r="T1148">
        <v>50</v>
      </c>
      <c r="U1148">
        <v>1812.1301775147931</v>
      </c>
      <c r="V1148">
        <v>20</v>
      </c>
      <c r="W1148">
        <v>0.95</v>
      </c>
      <c r="X1148">
        <v>1</v>
      </c>
      <c r="Y1148">
        <v>1142179.679560035</v>
      </c>
      <c r="Z1148">
        <v>2284359359.12007</v>
      </c>
      <c r="AA1148">
        <v>5710898397.8001747</v>
      </c>
      <c r="AB1148">
        <v>5710898.3978001745</v>
      </c>
      <c r="AC1148">
        <v>0</v>
      </c>
      <c r="AD1148">
        <v>23675.71619914129</v>
      </c>
      <c r="AE1148">
        <v>14205429.719484771</v>
      </c>
      <c r="AF1148">
        <v>7102714.8597423872</v>
      </c>
      <c r="AG1148">
        <v>227.57851298389741</v>
      </c>
      <c r="AH1148">
        <v>2344.4286073294679</v>
      </c>
      <c r="AI1148">
        <v>1172.214303664734</v>
      </c>
      <c r="AJ1148">
        <v>185604.19792850569</v>
      </c>
      <c r="AK1148">
        <v>854.70085470085473</v>
      </c>
      <c r="AL1148" t="s">
        <v>93</v>
      </c>
      <c r="AM1148">
        <v>181693.21706803379</v>
      </c>
      <c r="AN1148">
        <v>12746.47153395691</v>
      </c>
      <c r="AO1148">
        <v>199276.43162300481</v>
      </c>
      <c r="AP1148">
        <v>380898.58738519729</v>
      </c>
      <c r="AQ1148">
        <v>181622.1557621925</v>
      </c>
      <c r="AR1148">
        <v>2.6131444327083329E-2</v>
      </c>
      <c r="AS1148">
        <v>815.56116829728273</v>
      </c>
      <c r="AT1148">
        <v>798.37597445278016</v>
      </c>
      <c r="AU1148">
        <v>56.009116883801767</v>
      </c>
      <c r="AV1148">
        <v>875.63816552885567</v>
      </c>
      <c r="AW1148">
        <v>1673.701890354421</v>
      </c>
      <c r="AX1148">
        <v>798.06372482556537</v>
      </c>
      <c r="AY1148">
        <v>5.1508127384050342</v>
      </c>
      <c r="AZ1148" t="s">
        <v>101</v>
      </c>
      <c r="BA1148" t="str">
        <f>VLOOKUP($AZ1148,Sheet1!$A$2:$B$58,2)</f>
        <v>1-Propanol (PW1)</v>
      </c>
      <c r="BB1148" t="s">
        <v>156</v>
      </c>
      <c r="BC1148">
        <v>60.093820000000001</v>
      </c>
      <c r="BD1148">
        <v>6</v>
      </c>
      <c r="BE1148">
        <v>97</v>
      </c>
      <c r="BF1148" t="s">
        <v>218</v>
      </c>
      <c r="BG1148">
        <v>0</v>
      </c>
      <c r="BH1148">
        <v>5.8571428571428302E-2</v>
      </c>
      <c r="BI1148">
        <v>0.1098521985762729</v>
      </c>
      <c r="BJ1148">
        <v>80</v>
      </c>
      <c r="BK1148">
        <v>19044.929369259859</v>
      </c>
      <c r="BL1148">
        <v>9081.1077881096226</v>
      </c>
      <c r="BM1148">
        <v>58.610715183236707</v>
      </c>
      <c r="BN1148">
        <v>9963.8215811502396</v>
      </c>
      <c r="BO1148">
        <v>9081.1077881096226</v>
      </c>
    </row>
    <row r="1149" spans="1:67" x14ac:dyDescent="0.25">
      <c r="A1149" s="1">
        <v>1147</v>
      </c>
      <c r="B1149" t="s">
        <v>78</v>
      </c>
      <c r="C1149" t="s">
        <v>87</v>
      </c>
      <c r="D1149">
        <v>1</v>
      </c>
      <c r="E1149">
        <v>4</v>
      </c>
      <c r="F1149">
        <v>1</v>
      </c>
      <c r="G1149">
        <v>32.041060000000002</v>
      </c>
      <c r="H1149">
        <v>6</v>
      </c>
      <c r="I1149" t="s">
        <v>89</v>
      </c>
      <c r="J1149">
        <v>2.5</v>
      </c>
      <c r="K1149">
        <v>200</v>
      </c>
      <c r="L1149">
        <v>50</v>
      </c>
      <c r="N1149" t="s">
        <v>90</v>
      </c>
      <c r="O1149">
        <v>50</v>
      </c>
      <c r="P1149">
        <v>0.3125</v>
      </c>
      <c r="Q1149">
        <v>3.2500000000000001E-2</v>
      </c>
      <c r="R1149">
        <v>77.5</v>
      </c>
      <c r="S1149">
        <v>170</v>
      </c>
      <c r="T1149">
        <v>50</v>
      </c>
      <c r="U1149">
        <v>1812.1301775147931</v>
      </c>
      <c r="V1149">
        <v>20</v>
      </c>
      <c r="W1149">
        <v>0.95</v>
      </c>
      <c r="X1149">
        <v>1</v>
      </c>
      <c r="Y1149">
        <v>489505.57695429708</v>
      </c>
      <c r="Z1149">
        <v>979011153.90859425</v>
      </c>
      <c r="AA1149">
        <v>2447527884.7714858</v>
      </c>
      <c r="AB1149">
        <v>2447527.8847714858</v>
      </c>
      <c r="AC1149">
        <v>0</v>
      </c>
      <c r="AD1149">
        <v>10146.73551391762</v>
      </c>
      <c r="AE1149">
        <v>6088041.3083505724</v>
      </c>
      <c r="AF1149">
        <v>3044020.6541752862</v>
      </c>
      <c r="AG1149">
        <v>97.533648421669596</v>
      </c>
      <c r="AH1149">
        <v>1004.755117426908</v>
      </c>
      <c r="AI1149">
        <v>502.37755871345382</v>
      </c>
      <c r="AJ1149">
        <v>79544.656255073292</v>
      </c>
      <c r="AK1149">
        <v>854.70085470085473</v>
      </c>
      <c r="AL1149" t="s">
        <v>93</v>
      </c>
      <c r="AM1149">
        <v>77868.521600585344</v>
      </c>
      <c r="AN1149">
        <v>5462.7735145529196</v>
      </c>
      <c r="AO1149">
        <v>85404.184981287151</v>
      </c>
      <c r="AP1149">
        <v>163730.6522249124</v>
      </c>
      <c r="AQ1149">
        <v>78326.467243625244</v>
      </c>
      <c r="AR1149">
        <v>2.613144432708334E-2</v>
      </c>
      <c r="AS1149">
        <v>815.56116829728285</v>
      </c>
      <c r="AT1149">
        <v>798.37597445278027</v>
      </c>
      <c r="AU1149">
        <v>56.009116883801767</v>
      </c>
      <c r="AV1149">
        <v>875.63816552885578</v>
      </c>
      <c r="AW1149">
        <v>1678.7093979818301</v>
      </c>
      <c r="AX1149">
        <v>803.07123245297385</v>
      </c>
      <c r="AY1149">
        <v>5.1508127384050342</v>
      </c>
      <c r="AZ1149" t="s">
        <v>102</v>
      </c>
      <c r="BA1149" t="str">
        <f>VLOOKUP($AZ1149,Sheet1!$A$2:$B$58,2)</f>
        <v>1-Propanol (PW2)</v>
      </c>
      <c r="BB1149" t="s">
        <v>156</v>
      </c>
      <c r="BC1149">
        <v>60.093820000000001</v>
      </c>
      <c r="BD1149">
        <v>6</v>
      </c>
      <c r="BE1149">
        <v>97</v>
      </c>
      <c r="BF1149" t="s">
        <v>218</v>
      </c>
      <c r="BG1149">
        <v>0</v>
      </c>
      <c r="BH1149">
        <v>0.13666666666666721</v>
      </c>
      <c r="BI1149">
        <v>0.256321796677972</v>
      </c>
      <c r="BJ1149">
        <v>80</v>
      </c>
      <c r="BK1149">
        <v>8186.5326112456214</v>
      </c>
      <c r="BL1149">
        <v>3916.3233621812628</v>
      </c>
      <c r="BM1149">
        <v>25.118877935672689</v>
      </c>
      <c r="BN1149">
        <v>4270.2092490643572</v>
      </c>
      <c r="BO1149">
        <v>3916.3233621812628</v>
      </c>
    </row>
    <row r="1150" spans="1:67" x14ac:dyDescent="0.25">
      <c r="A1150" s="1">
        <v>1148</v>
      </c>
      <c r="B1150" t="s">
        <v>78</v>
      </c>
      <c r="C1150" t="s">
        <v>87</v>
      </c>
      <c r="D1150">
        <v>1</v>
      </c>
      <c r="E1150">
        <v>4</v>
      </c>
      <c r="F1150">
        <v>1</v>
      </c>
      <c r="G1150">
        <v>32.041060000000002</v>
      </c>
      <c r="H1150">
        <v>6</v>
      </c>
      <c r="I1150" t="s">
        <v>89</v>
      </c>
      <c r="J1150">
        <v>2.5</v>
      </c>
      <c r="K1150">
        <v>200</v>
      </c>
      <c r="L1150">
        <v>50</v>
      </c>
      <c r="N1150" t="s">
        <v>90</v>
      </c>
      <c r="O1150">
        <v>50</v>
      </c>
      <c r="P1150">
        <v>0.3125</v>
      </c>
      <c r="Q1150">
        <v>3.2500000000000001E-2</v>
      </c>
      <c r="R1150">
        <v>77.5</v>
      </c>
      <c r="S1150">
        <v>170</v>
      </c>
      <c r="T1150">
        <v>50</v>
      </c>
      <c r="U1150">
        <v>1812.1301775147931</v>
      </c>
      <c r="V1150">
        <v>20</v>
      </c>
      <c r="W1150">
        <v>0.95</v>
      </c>
      <c r="X1150">
        <v>1</v>
      </c>
      <c r="Y1150">
        <v>175633.3765007405</v>
      </c>
      <c r="Z1150">
        <v>351266753.00148112</v>
      </c>
      <c r="AA1150">
        <v>878166882.50370264</v>
      </c>
      <c r="AB1150">
        <v>878166.88250370265</v>
      </c>
      <c r="AC1150">
        <v>0</v>
      </c>
      <c r="AD1150">
        <v>3640.6233200806118</v>
      </c>
      <c r="AE1150">
        <v>2184373.9920483669</v>
      </c>
      <c r="AF1150">
        <v>1092186.9960241839</v>
      </c>
      <c r="AG1150">
        <v>34.994829070830633</v>
      </c>
      <c r="AH1150">
        <v>360.50362271268227</v>
      </c>
      <c r="AI1150">
        <v>180.25181135634119</v>
      </c>
      <c r="AJ1150">
        <v>28540.423681370339</v>
      </c>
      <c r="AK1150">
        <v>854.70085470085473</v>
      </c>
      <c r="AL1150" t="s">
        <v>93</v>
      </c>
      <c r="AM1150">
        <v>27939.030760232879</v>
      </c>
      <c r="AN1150">
        <v>1960.029471756817</v>
      </c>
      <c r="AO1150">
        <v>30642.807930578001</v>
      </c>
      <c r="AP1150">
        <v>59294.184768060877</v>
      </c>
      <c r="AQ1150">
        <v>28651.376837482891</v>
      </c>
      <c r="AR1150">
        <v>2.6131444327083329E-2</v>
      </c>
      <c r="AS1150">
        <v>815.56116829728251</v>
      </c>
      <c r="AT1150">
        <v>798.37597445277993</v>
      </c>
      <c r="AU1150">
        <v>56.009116883801759</v>
      </c>
      <c r="AV1150">
        <v>875.63816552885544</v>
      </c>
      <c r="AW1150">
        <v>1694.369892421752</v>
      </c>
      <c r="AX1150">
        <v>818.73172689289606</v>
      </c>
      <c r="AY1150">
        <v>5.1508127384050324</v>
      </c>
      <c r="AZ1150" t="s">
        <v>103</v>
      </c>
      <c r="BA1150" t="str">
        <f>VLOOKUP($AZ1150,Sheet1!$A$2:$B$58,2)</f>
        <v>2,3-Butanediol</v>
      </c>
      <c r="BB1150" t="s">
        <v>153</v>
      </c>
      <c r="BC1150">
        <v>90.119200000000006</v>
      </c>
      <c r="BD1150">
        <v>5.5</v>
      </c>
      <c r="BE1150">
        <v>177</v>
      </c>
      <c r="BF1150" t="s">
        <v>218</v>
      </c>
      <c r="BG1150">
        <v>0</v>
      </c>
      <c r="BH1150">
        <v>0.25</v>
      </c>
      <c r="BI1150">
        <v>0.71439125904570688</v>
      </c>
      <c r="BJ1150">
        <v>80</v>
      </c>
      <c r="BK1150">
        <v>2964.7092384030439</v>
      </c>
      <c r="BL1150">
        <v>1432.568841874144</v>
      </c>
      <c r="BM1150">
        <v>9.0125905678170586</v>
      </c>
      <c r="BN1150">
        <v>1532.1403965289001</v>
      </c>
      <c r="BO1150">
        <v>1432.568841874144</v>
      </c>
    </row>
    <row r="1151" spans="1:67" x14ac:dyDescent="0.25">
      <c r="A1151" s="1">
        <v>1149</v>
      </c>
      <c r="B1151" t="s">
        <v>78</v>
      </c>
      <c r="C1151" t="s">
        <v>87</v>
      </c>
      <c r="D1151">
        <v>1</v>
      </c>
      <c r="E1151">
        <v>4</v>
      </c>
      <c r="F1151">
        <v>1</v>
      </c>
      <c r="G1151">
        <v>32.041060000000002</v>
      </c>
      <c r="H1151">
        <v>6</v>
      </c>
      <c r="I1151" t="s">
        <v>89</v>
      </c>
      <c r="J1151">
        <v>2.5</v>
      </c>
      <c r="K1151">
        <v>200</v>
      </c>
      <c r="L1151">
        <v>50</v>
      </c>
      <c r="N1151" t="s">
        <v>90</v>
      </c>
      <c r="O1151">
        <v>50</v>
      </c>
      <c r="P1151">
        <v>0.3125</v>
      </c>
      <c r="Q1151">
        <v>3.2500000000000001E-2</v>
      </c>
      <c r="R1151">
        <v>77.5</v>
      </c>
      <c r="S1151">
        <v>170</v>
      </c>
      <c r="T1151">
        <v>50</v>
      </c>
      <c r="U1151">
        <v>1812.1301775147931</v>
      </c>
      <c r="V1151">
        <v>20</v>
      </c>
      <c r="W1151">
        <v>0.95</v>
      </c>
      <c r="X1151">
        <v>1</v>
      </c>
      <c r="Y1151">
        <v>2295002.2365999199</v>
      </c>
      <c r="Z1151">
        <v>4590004473.1998396</v>
      </c>
      <c r="AA1151">
        <v>11475011182.999599</v>
      </c>
      <c r="AB1151">
        <v>11475011.1829996</v>
      </c>
      <c r="AC1151">
        <v>0</v>
      </c>
      <c r="AD1151">
        <v>47572.043700746137</v>
      </c>
      <c r="AE1151">
        <v>28543226.220447689</v>
      </c>
      <c r="AF1151">
        <v>14271613.110223841</v>
      </c>
      <c r="AG1151">
        <v>457.27761196146878</v>
      </c>
      <c r="AH1151">
        <v>4710.7026973571337</v>
      </c>
      <c r="AI1151">
        <v>2355.3513486785669</v>
      </c>
      <c r="AJ1151">
        <v>372937.86344748701</v>
      </c>
      <c r="AK1151">
        <v>854.70085470085473</v>
      </c>
      <c r="AL1151" t="s">
        <v>93</v>
      </c>
      <c r="AM1151">
        <v>365079.45904517779</v>
      </c>
      <c r="AN1151">
        <v>25611.715216695651</v>
      </c>
      <c r="AO1151">
        <v>400409.7292753564</v>
      </c>
      <c r="AP1151">
        <v>764483.73856406147</v>
      </c>
      <c r="AQ1151">
        <v>364074.00928870513</v>
      </c>
      <c r="AR1151">
        <v>2.613144432708334E-2</v>
      </c>
      <c r="AS1151">
        <v>815.56116829728285</v>
      </c>
      <c r="AT1151">
        <v>798.37597445278004</v>
      </c>
      <c r="AU1151">
        <v>56.009116883801767</v>
      </c>
      <c r="AV1151">
        <v>875.63816552885555</v>
      </c>
      <c r="AW1151">
        <v>1671.815366785283</v>
      </c>
      <c r="AX1151">
        <v>796.17720125642791</v>
      </c>
      <c r="AY1151">
        <v>5.1508127384050324</v>
      </c>
      <c r="AZ1151" t="s">
        <v>107</v>
      </c>
      <c r="BA1151" t="str">
        <f>VLOOKUP($AZ1151,Sheet1!$A$2:$B$58,2)</f>
        <v>4-Hydroxystyrene</v>
      </c>
      <c r="BB1151" t="s">
        <v>160</v>
      </c>
      <c r="BC1151">
        <v>120.14731999999999</v>
      </c>
      <c r="BD1151">
        <v>4.75</v>
      </c>
      <c r="BE1151">
        <v>229</v>
      </c>
      <c r="BF1151" t="s">
        <v>218</v>
      </c>
      <c r="BG1151">
        <v>0</v>
      </c>
      <c r="BH1151">
        <v>1.4513274336283201E-2</v>
      </c>
      <c r="BI1151">
        <v>5.4671384178997501E-2</v>
      </c>
      <c r="BJ1151">
        <v>80</v>
      </c>
      <c r="BK1151">
        <v>38224.186928203068</v>
      </c>
      <c r="BL1151">
        <v>18203.700464435249</v>
      </c>
      <c r="BM1151">
        <v>117.76756743392831</v>
      </c>
      <c r="BN1151">
        <v>20020.486463767811</v>
      </c>
      <c r="BO1151">
        <v>18203.700464435249</v>
      </c>
    </row>
    <row r="1152" spans="1:67" x14ac:dyDescent="0.25">
      <c r="A1152" s="1">
        <v>1150</v>
      </c>
      <c r="B1152" t="s">
        <v>78</v>
      </c>
      <c r="C1152" t="s">
        <v>87</v>
      </c>
      <c r="D1152">
        <v>1</v>
      </c>
      <c r="E1152">
        <v>4</v>
      </c>
      <c r="F1152">
        <v>1</v>
      </c>
      <c r="G1152">
        <v>32.041060000000002</v>
      </c>
      <c r="H1152">
        <v>6</v>
      </c>
      <c r="I1152" t="s">
        <v>89</v>
      </c>
      <c r="J1152">
        <v>2.5</v>
      </c>
      <c r="K1152">
        <v>200</v>
      </c>
      <c r="L1152">
        <v>50</v>
      </c>
      <c r="N1152" t="s">
        <v>90</v>
      </c>
      <c r="O1152">
        <v>50</v>
      </c>
      <c r="P1152">
        <v>0.3125</v>
      </c>
      <c r="Q1152">
        <v>3.2500000000000001E-2</v>
      </c>
      <c r="R1152">
        <v>77.5</v>
      </c>
      <c r="S1152">
        <v>170</v>
      </c>
      <c r="T1152">
        <v>50</v>
      </c>
      <c r="U1152">
        <v>1812.1301775147931</v>
      </c>
      <c r="V1152">
        <v>20</v>
      </c>
      <c r="W1152">
        <v>0.95</v>
      </c>
      <c r="X1152">
        <v>1</v>
      </c>
      <c r="Y1152" t="s">
        <v>92</v>
      </c>
      <c r="Z1152" t="s">
        <v>92</v>
      </c>
      <c r="AA1152" t="s">
        <v>92</v>
      </c>
      <c r="AB1152" t="s">
        <v>92</v>
      </c>
      <c r="AC1152">
        <v>0</v>
      </c>
      <c r="AD1152" t="s">
        <v>92</v>
      </c>
      <c r="AE1152" t="s">
        <v>92</v>
      </c>
      <c r="AF1152" t="s">
        <v>92</v>
      </c>
      <c r="AG1152" t="s">
        <v>92</v>
      </c>
      <c r="AH1152" t="s">
        <v>92</v>
      </c>
      <c r="AI1152" t="s">
        <v>92</v>
      </c>
      <c r="AJ1152" t="s">
        <v>92</v>
      </c>
      <c r="AK1152">
        <v>854.70085470085473</v>
      </c>
      <c r="AL1152" t="s">
        <v>93</v>
      </c>
      <c r="AM1152" t="s">
        <v>92</v>
      </c>
      <c r="AN1152" t="s">
        <v>92</v>
      </c>
      <c r="AO1152" t="s">
        <v>92</v>
      </c>
      <c r="AP1152" t="s">
        <v>92</v>
      </c>
      <c r="AZ1152" t="s">
        <v>108</v>
      </c>
      <c r="BA1152" t="str">
        <f>VLOOKUP($AZ1152,Sheet1!$A$2:$B$58,2)</f>
        <v>5-Aminopentanoate</v>
      </c>
      <c r="BB1152" t="s">
        <v>161</v>
      </c>
      <c r="BC1152">
        <v>117.14444</v>
      </c>
      <c r="BD1152">
        <v>4.8</v>
      </c>
      <c r="BE1152">
        <v>247.5</v>
      </c>
      <c r="BF1152" t="s">
        <v>218</v>
      </c>
      <c r="BH1152">
        <v>0</v>
      </c>
      <c r="BI1152">
        <v>0</v>
      </c>
      <c r="BJ1152">
        <v>80</v>
      </c>
    </row>
    <row r="1153" spans="1:67" x14ac:dyDescent="0.25">
      <c r="A1153" s="1">
        <v>1151</v>
      </c>
      <c r="B1153" t="s">
        <v>78</v>
      </c>
      <c r="C1153" t="s">
        <v>87</v>
      </c>
      <c r="D1153">
        <v>1</v>
      </c>
      <c r="E1153">
        <v>4</v>
      </c>
      <c r="F1153">
        <v>1</v>
      </c>
      <c r="G1153">
        <v>32.041060000000002</v>
      </c>
      <c r="H1153">
        <v>6</v>
      </c>
      <c r="I1153" t="s">
        <v>89</v>
      </c>
      <c r="J1153">
        <v>2.5</v>
      </c>
      <c r="K1153">
        <v>200</v>
      </c>
      <c r="L1153">
        <v>50</v>
      </c>
      <c r="N1153" t="s">
        <v>90</v>
      </c>
      <c r="O1153">
        <v>50</v>
      </c>
      <c r="P1153">
        <v>0.3125</v>
      </c>
      <c r="Q1153">
        <v>3.2500000000000001E-2</v>
      </c>
      <c r="R1153">
        <v>77.5</v>
      </c>
      <c r="S1153">
        <v>170</v>
      </c>
      <c r="T1153">
        <v>50</v>
      </c>
      <c r="U1153">
        <v>1812.1301775147931</v>
      </c>
      <c r="V1153">
        <v>20</v>
      </c>
      <c r="W1153">
        <v>0.95</v>
      </c>
      <c r="X1153">
        <v>1</v>
      </c>
      <c r="Y1153">
        <v>203307.4265012425</v>
      </c>
      <c r="Z1153">
        <v>406614853.0024851</v>
      </c>
      <c r="AA1153">
        <v>1016537132.5062129</v>
      </c>
      <c r="AB1153">
        <v>1016537.132506213</v>
      </c>
      <c r="AC1153">
        <v>0</v>
      </c>
      <c r="AD1153">
        <v>4214.26594883506</v>
      </c>
      <c r="AE1153">
        <v>2528559.5693010362</v>
      </c>
      <c r="AF1153">
        <v>1264279.7846505181</v>
      </c>
      <c r="AG1153">
        <v>40.508864436774331</v>
      </c>
      <c r="AH1153">
        <v>417.30714991851971</v>
      </c>
      <c r="AI1153">
        <v>208.65357495925991</v>
      </c>
      <c r="AJ1153">
        <v>33037.456806451912</v>
      </c>
      <c r="AK1153">
        <v>854.70085470085473</v>
      </c>
      <c r="AL1153" t="s">
        <v>93</v>
      </c>
      <c r="AM1153">
        <v>32341.304118685279</v>
      </c>
      <c r="AN1153">
        <v>2268.865723069373</v>
      </c>
      <c r="AO1153">
        <v>35471.107743074179</v>
      </c>
      <c r="AP1153">
        <v>68502.327502907428</v>
      </c>
      <c r="AQ1153">
        <v>33031.21975983325</v>
      </c>
      <c r="AR1153">
        <v>2.6131444327083329E-2</v>
      </c>
      <c r="AS1153">
        <v>815.56116829728251</v>
      </c>
      <c r="AT1153">
        <v>798.37597445278016</v>
      </c>
      <c r="AU1153">
        <v>56.009116883801752</v>
      </c>
      <c r="AV1153">
        <v>875.63816552885567</v>
      </c>
      <c r="AW1153">
        <v>1691.045366374683</v>
      </c>
      <c r="AX1153">
        <v>815.40720084582779</v>
      </c>
      <c r="AY1153">
        <v>5.1508127384050333</v>
      </c>
      <c r="AZ1153" t="s">
        <v>109</v>
      </c>
      <c r="BA1153" t="str">
        <f>VLOOKUP($AZ1153,Sheet1!$A$2:$B$58,2)</f>
        <v>Acetone</v>
      </c>
      <c r="BB1153" t="s">
        <v>162</v>
      </c>
      <c r="BC1153">
        <v>58.078139999999998</v>
      </c>
      <c r="BD1153">
        <v>5.333333333333333</v>
      </c>
      <c r="BE1153">
        <v>56</v>
      </c>
      <c r="BF1153" t="s">
        <v>218</v>
      </c>
      <c r="BG1153">
        <v>0</v>
      </c>
      <c r="BH1153">
        <v>0.33333333333333331</v>
      </c>
      <c r="BI1153">
        <v>0.61714887216894598</v>
      </c>
      <c r="BJ1153">
        <v>80</v>
      </c>
      <c r="BK1153">
        <v>3425.116375145371</v>
      </c>
      <c r="BL1153">
        <v>1651.5609879916631</v>
      </c>
      <c r="BM1153">
        <v>10.43267874796299</v>
      </c>
      <c r="BN1153">
        <v>1773.5553871537079</v>
      </c>
      <c r="BO1153">
        <v>1651.5609879916631</v>
      </c>
    </row>
    <row r="1154" spans="1:67" x14ac:dyDescent="0.25">
      <c r="A1154" s="1">
        <v>1152</v>
      </c>
      <c r="B1154" t="s">
        <v>78</v>
      </c>
      <c r="C1154" t="s">
        <v>87</v>
      </c>
      <c r="D1154">
        <v>1</v>
      </c>
      <c r="E1154">
        <v>4</v>
      </c>
      <c r="F1154">
        <v>1</v>
      </c>
      <c r="G1154">
        <v>32.041060000000002</v>
      </c>
      <c r="H1154">
        <v>6</v>
      </c>
      <c r="I1154" t="s">
        <v>89</v>
      </c>
      <c r="J1154">
        <v>2.5</v>
      </c>
      <c r="K1154">
        <v>200</v>
      </c>
      <c r="L1154">
        <v>50</v>
      </c>
      <c r="N1154" t="s">
        <v>90</v>
      </c>
      <c r="O1154">
        <v>50</v>
      </c>
      <c r="P1154">
        <v>0.3125</v>
      </c>
      <c r="Q1154">
        <v>3.2500000000000001E-2</v>
      </c>
      <c r="R1154">
        <v>77.5</v>
      </c>
      <c r="S1154">
        <v>170</v>
      </c>
      <c r="T1154">
        <v>50</v>
      </c>
      <c r="U1154">
        <v>1812.1301775147931</v>
      </c>
      <c r="V1154">
        <v>20</v>
      </c>
      <c r="W1154">
        <v>0.95</v>
      </c>
      <c r="X1154">
        <v>1</v>
      </c>
      <c r="Y1154">
        <v>1679823.587104057</v>
      </c>
      <c r="Z1154">
        <v>3359647174.2081141</v>
      </c>
      <c r="AA1154">
        <v>8399117935.5202856</v>
      </c>
      <c r="AB1154">
        <v>8399117.9355202857</v>
      </c>
      <c r="AC1154">
        <v>0</v>
      </c>
      <c r="AD1154">
        <v>34820.288983094913</v>
      </c>
      <c r="AE1154">
        <v>20892173.389856938</v>
      </c>
      <c r="AF1154">
        <v>10446086.694928469</v>
      </c>
      <c r="AG1154">
        <v>334.70369055740491</v>
      </c>
      <c r="AH1154">
        <v>3447.992065828515</v>
      </c>
      <c r="AI1154">
        <v>1723.996032914258</v>
      </c>
      <c r="AJ1154">
        <v>272971.33290440933</v>
      </c>
      <c r="AK1154">
        <v>854.70085470085473</v>
      </c>
      <c r="AL1154" t="s">
        <v>93</v>
      </c>
      <c r="AM1154">
        <v>267219.38510170992</v>
      </c>
      <c r="AN1154">
        <v>18746.458125869511</v>
      </c>
      <c r="AO1154">
        <v>293079.32559542381</v>
      </c>
      <c r="AP1154">
        <v>559791.87698668952</v>
      </c>
      <c r="AQ1154">
        <v>266712.55139126582</v>
      </c>
      <c r="AR1154">
        <v>2.6131444327083329E-2</v>
      </c>
      <c r="AS1154">
        <v>815.56116829728273</v>
      </c>
      <c r="AT1154">
        <v>798.37597445278027</v>
      </c>
      <c r="AU1154">
        <v>56.009116883801781</v>
      </c>
      <c r="AV1154">
        <v>875.63816552885567</v>
      </c>
      <c r="AW1154">
        <v>1672.4998641467921</v>
      </c>
      <c r="AX1154">
        <v>796.86169861793621</v>
      </c>
      <c r="AY1154">
        <v>5.1508127384050333</v>
      </c>
      <c r="AZ1154" t="s">
        <v>110</v>
      </c>
      <c r="BA1154" t="str">
        <f>VLOOKUP($AZ1154,Sheet1!$A$2:$B$58,2)</f>
        <v>Acrylate (PW1)</v>
      </c>
      <c r="BB1154" t="s">
        <v>163</v>
      </c>
      <c r="BC1154">
        <v>71.053619999999995</v>
      </c>
      <c r="BD1154">
        <v>3.666666666666667</v>
      </c>
      <c r="BE1154">
        <v>80</v>
      </c>
      <c r="BF1154" t="s">
        <v>218</v>
      </c>
      <c r="BG1154">
        <v>0</v>
      </c>
      <c r="BH1154">
        <v>3.3469387755101998E-2</v>
      </c>
      <c r="BI1154">
        <v>7.4692932003127294E-2</v>
      </c>
      <c r="BJ1154">
        <v>80</v>
      </c>
      <c r="BK1154">
        <v>27989.593849334469</v>
      </c>
      <c r="BL1154">
        <v>13335.62756956329</v>
      </c>
      <c r="BM1154">
        <v>86.199801645712867</v>
      </c>
      <c r="BN1154">
        <v>14653.96627977119</v>
      </c>
      <c r="BO1154">
        <v>13335.627569563279</v>
      </c>
    </row>
    <row r="1155" spans="1:67" x14ac:dyDescent="0.25">
      <c r="A1155" s="1">
        <v>1153</v>
      </c>
      <c r="B1155" t="s">
        <v>78</v>
      </c>
      <c r="C1155" t="s">
        <v>87</v>
      </c>
      <c r="D1155">
        <v>1</v>
      </c>
      <c r="E1155">
        <v>4</v>
      </c>
      <c r="F1155">
        <v>1</v>
      </c>
      <c r="G1155">
        <v>32.041060000000002</v>
      </c>
      <c r="H1155">
        <v>6</v>
      </c>
      <c r="I1155" t="s">
        <v>89</v>
      </c>
      <c r="J1155">
        <v>2.5</v>
      </c>
      <c r="K1155">
        <v>200</v>
      </c>
      <c r="L1155">
        <v>50</v>
      </c>
      <c r="N1155" t="s">
        <v>90</v>
      </c>
      <c r="O1155">
        <v>50</v>
      </c>
      <c r="P1155">
        <v>0.3125</v>
      </c>
      <c r="Q1155">
        <v>3.2500000000000001E-2</v>
      </c>
      <c r="R1155">
        <v>77.5</v>
      </c>
      <c r="S1155">
        <v>170</v>
      </c>
      <c r="T1155">
        <v>50</v>
      </c>
      <c r="U1155">
        <v>1812.1301775147931</v>
      </c>
      <c r="V1155">
        <v>20</v>
      </c>
      <c r="W1155">
        <v>0.95</v>
      </c>
      <c r="X1155">
        <v>1</v>
      </c>
      <c r="Y1155">
        <v>782821.71631891106</v>
      </c>
      <c r="Z1155">
        <v>1565643432.6378219</v>
      </c>
      <c r="AA1155">
        <v>3914108581.5945549</v>
      </c>
      <c r="AB1155">
        <v>3914108.5815945552</v>
      </c>
      <c r="AC1155">
        <v>0</v>
      </c>
      <c r="AD1155">
        <v>16226.75059079184</v>
      </c>
      <c r="AE1155">
        <v>9736050.3544751033</v>
      </c>
      <c r="AF1155">
        <v>4868025.1772375517</v>
      </c>
      <c r="AG1155">
        <v>155.976686785379</v>
      </c>
      <c r="AH1155">
        <v>1606.8134103766849</v>
      </c>
      <c r="AI1155">
        <v>803.40670518834258</v>
      </c>
      <c r="AJ1155">
        <v>127208.5289018231</v>
      </c>
      <c r="AK1155">
        <v>854.70085470085473</v>
      </c>
      <c r="AL1155" t="s">
        <v>93</v>
      </c>
      <c r="AM1155">
        <v>124528.03930419309</v>
      </c>
      <c r="AN1155">
        <v>8736.1164813104315</v>
      </c>
      <c r="AO1155">
        <v>136579.13988201821</v>
      </c>
      <c r="AP1155">
        <v>261327.38554202739</v>
      </c>
      <c r="AQ1155">
        <v>124748.2456600092</v>
      </c>
      <c r="AR1155">
        <v>2.6131444327083329E-2</v>
      </c>
      <c r="AS1155">
        <v>815.56116829728273</v>
      </c>
      <c r="AT1155">
        <v>798.37597445278038</v>
      </c>
      <c r="AU1155">
        <v>56.009116883801752</v>
      </c>
      <c r="AV1155">
        <v>875.63816552885589</v>
      </c>
      <c r="AW1155">
        <v>1675.4259301687109</v>
      </c>
      <c r="AX1155">
        <v>799.78776463985548</v>
      </c>
      <c r="AY1155">
        <v>5.1508127384050351</v>
      </c>
      <c r="AZ1155" t="s">
        <v>111</v>
      </c>
      <c r="BA1155" t="str">
        <f>VLOOKUP($AZ1155,Sheet1!$A$2:$B$58,2)</f>
        <v>Acrylate (PW2)</v>
      </c>
      <c r="BB1155" t="s">
        <v>163</v>
      </c>
      <c r="BC1155">
        <v>71.053619999999995</v>
      </c>
      <c r="BD1155">
        <v>3.666666666666667</v>
      </c>
      <c r="BE1155">
        <v>80</v>
      </c>
      <c r="BF1155" t="s">
        <v>218</v>
      </c>
      <c r="BG1155">
        <v>0</v>
      </c>
      <c r="BH1155">
        <v>7.13043478260868E-2</v>
      </c>
      <c r="BI1155">
        <v>0.16028036314426611</v>
      </c>
      <c r="BJ1155">
        <v>80</v>
      </c>
      <c r="BK1155">
        <v>13066.36927710137</v>
      </c>
      <c r="BL1155">
        <v>6237.412283000458</v>
      </c>
      <c r="BM1155">
        <v>40.170335259417129</v>
      </c>
      <c r="BN1155">
        <v>6828.9569941009122</v>
      </c>
      <c r="BO1155">
        <v>6237.4122830004562</v>
      </c>
    </row>
    <row r="1156" spans="1:67" x14ac:dyDescent="0.25">
      <c r="A1156" s="1">
        <v>1154</v>
      </c>
      <c r="B1156" t="s">
        <v>78</v>
      </c>
      <c r="C1156" t="s">
        <v>87</v>
      </c>
      <c r="D1156">
        <v>1</v>
      </c>
      <c r="E1156">
        <v>4</v>
      </c>
      <c r="F1156">
        <v>1</v>
      </c>
      <c r="G1156">
        <v>32.041060000000002</v>
      </c>
      <c r="H1156">
        <v>6</v>
      </c>
      <c r="I1156" t="s">
        <v>89</v>
      </c>
      <c r="J1156">
        <v>2.5</v>
      </c>
      <c r="K1156">
        <v>200</v>
      </c>
      <c r="L1156">
        <v>50</v>
      </c>
      <c r="N1156" t="s">
        <v>90</v>
      </c>
      <c r="O1156">
        <v>50</v>
      </c>
      <c r="P1156">
        <v>0.3125</v>
      </c>
      <c r="Q1156">
        <v>3.2500000000000001E-2</v>
      </c>
      <c r="R1156">
        <v>77.5</v>
      </c>
      <c r="S1156">
        <v>170</v>
      </c>
      <c r="T1156">
        <v>50</v>
      </c>
      <c r="U1156">
        <v>1812.1301775147931</v>
      </c>
      <c r="V1156">
        <v>20</v>
      </c>
      <c r="W1156">
        <v>0.95</v>
      </c>
      <c r="X1156">
        <v>1</v>
      </c>
      <c r="Y1156" t="s">
        <v>92</v>
      </c>
      <c r="Z1156" t="s">
        <v>92</v>
      </c>
      <c r="AA1156" t="s">
        <v>92</v>
      </c>
      <c r="AB1156" t="s">
        <v>92</v>
      </c>
      <c r="AC1156">
        <v>0</v>
      </c>
      <c r="AD1156" t="s">
        <v>92</v>
      </c>
      <c r="AE1156" t="s">
        <v>92</v>
      </c>
      <c r="AF1156" t="s">
        <v>92</v>
      </c>
      <c r="AG1156" t="s">
        <v>92</v>
      </c>
      <c r="AH1156" t="s">
        <v>92</v>
      </c>
      <c r="AI1156" t="s">
        <v>92</v>
      </c>
      <c r="AJ1156" t="s">
        <v>92</v>
      </c>
      <c r="AK1156">
        <v>854.70085470085473</v>
      </c>
      <c r="AL1156" t="s">
        <v>93</v>
      </c>
      <c r="AM1156" t="s">
        <v>92</v>
      </c>
      <c r="AN1156" t="s">
        <v>92</v>
      </c>
      <c r="AO1156" t="s">
        <v>92</v>
      </c>
      <c r="AP1156" t="s">
        <v>92</v>
      </c>
      <c r="AZ1156" t="s">
        <v>112</v>
      </c>
      <c r="BA1156" t="str">
        <f>VLOOKUP($AZ1156,Sheet1!$A$2:$B$58,2)</f>
        <v>Adipate</v>
      </c>
      <c r="BB1156" t="s">
        <v>164</v>
      </c>
      <c r="BC1156">
        <v>144.12291999999999</v>
      </c>
      <c r="BD1156">
        <v>4</v>
      </c>
      <c r="BE1156">
        <v>337.5</v>
      </c>
      <c r="BF1156" t="s">
        <v>218</v>
      </c>
      <c r="BH1156">
        <v>0</v>
      </c>
      <c r="BI1156">
        <v>0</v>
      </c>
      <c r="BJ1156">
        <v>80</v>
      </c>
    </row>
    <row r="1157" spans="1:67" x14ac:dyDescent="0.25">
      <c r="A1157" s="1">
        <v>1155</v>
      </c>
      <c r="B1157" t="s">
        <v>78</v>
      </c>
      <c r="C1157" t="s">
        <v>87</v>
      </c>
      <c r="D1157">
        <v>1</v>
      </c>
      <c r="E1157">
        <v>4</v>
      </c>
      <c r="F1157">
        <v>1</v>
      </c>
      <c r="G1157">
        <v>32.041060000000002</v>
      </c>
      <c r="H1157">
        <v>6</v>
      </c>
      <c r="I1157" t="s">
        <v>89</v>
      </c>
      <c r="J1157">
        <v>2.5</v>
      </c>
      <c r="K1157">
        <v>200</v>
      </c>
      <c r="L1157">
        <v>50</v>
      </c>
      <c r="N1157" t="s">
        <v>90</v>
      </c>
      <c r="O1157">
        <v>50</v>
      </c>
      <c r="P1157">
        <v>0.3125</v>
      </c>
      <c r="Q1157">
        <v>3.2500000000000001E-2</v>
      </c>
      <c r="R1157">
        <v>77.5</v>
      </c>
      <c r="S1157">
        <v>170</v>
      </c>
      <c r="T1157">
        <v>50</v>
      </c>
      <c r="U1157">
        <v>1812.1301775147931</v>
      </c>
      <c r="V1157">
        <v>20</v>
      </c>
      <c r="W1157">
        <v>0.95</v>
      </c>
      <c r="X1157">
        <v>1</v>
      </c>
      <c r="Y1157">
        <v>2416314.3377594082</v>
      </c>
      <c r="Z1157">
        <v>4832628675.518816</v>
      </c>
      <c r="AA1157">
        <v>12081571688.797041</v>
      </c>
      <c r="AB1157">
        <v>12081571.68879704</v>
      </c>
      <c r="AC1157">
        <v>0</v>
      </c>
      <c r="AD1157">
        <v>50086.66633847326</v>
      </c>
      <c r="AE1157">
        <v>30051999.80308396</v>
      </c>
      <c r="AF1157">
        <v>15025999.90154198</v>
      </c>
      <c r="AG1157">
        <v>481.44896440530061</v>
      </c>
      <c r="AH1157">
        <v>4959.7069175014694</v>
      </c>
      <c r="AI1157">
        <v>2479.8534587507338</v>
      </c>
      <c r="AJ1157">
        <v>392651.0798859038</v>
      </c>
      <c r="AK1157">
        <v>854.70085470085473</v>
      </c>
      <c r="AL1157" t="s">
        <v>93</v>
      </c>
      <c r="AM1157">
        <v>384377.28610636381</v>
      </c>
      <c r="AN1157">
        <v>26965.5313209618</v>
      </c>
      <c r="AO1157">
        <v>421575.08798762481</v>
      </c>
      <c r="AP1157">
        <v>804848.59816793026</v>
      </c>
      <c r="AQ1157">
        <v>383273.51018030551</v>
      </c>
      <c r="AR1157">
        <v>2.6131444327083329E-2</v>
      </c>
      <c r="AS1157">
        <v>815.56116829728262</v>
      </c>
      <c r="AT1157">
        <v>798.37597445278027</v>
      </c>
      <c r="AU1157">
        <v>56.009116883801767</v>
      </c>
      <c r="AV1157">
        <v>875.63816552885567</v>
      </c>
      <c r="AW1157">
        <v>1671.721527456398</v>
      </c>
      <c r="AX1157">
        <v>796.08336192754257</v>
      </c>
      <c r="AY1157">
        <v>5.1508127384050342</v>
      </c>
      <c r="AZ1157" t="s">
        <v>113</v>
      </c>
      <c r="BA1157" t="str">
        <f>VLOOKUP($AZ1157,Sheet1!$A$2:$B$58,2)</f>
        <v>Benzoate (PW1)</v>
      </c>
      <c r="BB1157" t="s">
        <v>165</v>
      </c>
      <c r="BC1157">
        <v>121.1121</v>
      </c>
      <c r="BD1157">
        <v>4.1428571428571432</v>
      </c>
      <c r="BE1157">
        <v>249.2</v>
      </c>
      <c r="BF1157" t="s">
        <v>218</v>
      </c>
      <c r="BG1157">
        <v>0</v>
      </c>
      <c r="BH1157">
        <v>1.36666666666666E-2</v>
      </c>
      <c r="BI1157">
        <v>5.19265838091078E-2</v>
      </c>
      <c r="BJ1157">
        <v>80</v>
      </c>
      <c r="BK1157">
        <v>40242.429908396509</v>
      </c>
      <c r="BL1157">
        <v>19163.675509015269</v>
      </c>
      <c r="BM1157">
        <v>123.9926729375367</v>
      </c>
      <c r="BN1157">
        <v>21078.75439938124</v>
      </c>
      <c r="BO1157">
        <v>19163.675509015269</v>
      </c>
    </row>
    <row r="1158" spans="1:67" x14ac:dyDescent="0.25">
      <c r="A1158" s="1">
        <v>1156</v>
      </c>
      <c r="B1158" t="s">
        <v>78</v>
      </c>
      <c r="C1158" t="s">
        <v>87</v>
      </c>
      <c r="D1158">
        <v>1</v>
      </c>
      <c r="E1158">
        <v>4</v>
      </c>
      <c r="F1158">
        <v>1</v>
      </c>
      <c r="G1158">
        <v>32.041060000000002</v>
      </c>
      <c r="H1158">
        <v>6</v>
      </c>
      <c r="I1158" t="s">
        <v>89</v>
      </c>
      <c r="J1158">
        <v>2.5</v>
      </c>
      <c r="K1158">
        <v>200</v>
      </c>
      <c r="L1158">
        <v>50</v>
      </c>
      <c r="N1158" t="s">
        <v>90</v>
      </c>
      <c r="O1158">
        <v>50</v>
      </c>
      <c r="P1158">
        <v>0.3125</v>
      </c>
      <c r="Q1158">
        <v>3.2500000000000001E-2</v>
      </c>
      <c r="R1158">
        <v>77.5</v>
      </c>
      <c r="S1158">
        <v>170</v>
      </c>
      <c r="T1158">
        <v>50</v>
      </c>
      <c r="U1158">
        <v>1812.1301775147931</v>
      </c>
      <c r="V1158">
        <v>20</v>
      </c>
      <c r="W1158">
        <v>0.95</v>
      </c>
      <c r="X1158">
        <v>1</v>
      </c>
      <c r="Y1158">
        <v>2578237.382775763</v>
      </c>
      <c r="Z1158">
        <v>5156474765.5515251</v>
      </c>
      <c r="AA1158">
        <v>12891186913.878811</v>
      </c>
      <c r="AB1158">
        <v>12891186.91387881</v>
      </c>
      <c r="AC1158">
        <v>0</v>
      </c>
      <c r="AD1158">
        <v>53443.094515679753</v>
      </c>
      <c r="AE1158">
        <v>32065856.709407851</v>
      </c>
      <c r="AF1158">
        <v>16032928.354703929</v>
      </c>
      <c r="AG1158">
        <v>513.71201938876982</v>
      </c>
      <c r="AH1158">
        <v>5292.0688266788984</v>
      </c>
      <c r="AI1158">
        <v>2646.0344133394492</v>
      </c>
      <c r="AJ1158">
        <v>418963.57470106147</v>
      </c>
      <c r="AK1158">
        <v>854.70085470085473</v>
      </c>
      <c r="AL1158" t="s">
        <v>93</v>
      </c>
      <c r="AM1158">
        <v>410135.33406761457</v>
      </c>
      <c r="AN1158">
        <v>28772.556538559449</v>
      </c>
      <c r="AO1158">
        <v>449825.85026770638</v>
      </c>
      <c r="AP1158">
        <v>858726.16616193647</v>
      </c>
      <c r="AQ1158">
        <v>408900.31589423009</v>
      </c>
      <c r="AR1158">
        <v>2.613144432708334E-2</v>
      </c>
      <c r="AS1158">
        <v>815.56116829728285</v>
      </c>
      <c r="AT1158">
        <v>798.37597445278027</v>
      </c>
      <c r="AU1158">
        <v>56.009116883801759</v>
      </c>
      <c r="AV1158">
        <v>875.63816552885578</v>
      </c>
      <c r="AW1158">
        <v>1671.6100339323871</v>
      </c>
      <c r="AX1158">
        <v>795.97186840353106</v>
      </c>
      <c r="AY1158">
        <v>5.1508127384050333</v>
      </c>
      <c r="AZ1158" t="s">
        <v>114</v>
      </c>
      <c r="BA1158" t="str">
        <f>VLOOKUP($AZ1158,Sheet1!$A$2:$B$58,2)</f>
        <v>Benzoate (PW2)</v>
      </c>
      <c r="BB1158" t="s">
        <v>165</v>
      </c>
      <c r="BC1158">
        <v>121.1121</v>
      </c>
      <c r="BD1158">
        <v>4.1428571428571432</v>
      </c>
      <c r="BE1158">
        <v>249.2</v>
      </c>
      <c r="BF1158" t="s">
        <v>218</v>
      </c>
      <c r="BG1158">
        <v>0</v>
      </c>
      <c r="BH1158">
        <v>1.2812499999999999E-2</v>
      </c>
      <c r="BI1158">
        <v>4.8665398231767597E-2</v>
      </c>
      <c r="BJ1158">
        <v>80</v>
      </c>
      <c r="BK1158">
        <v>42936.308308096821</v>
      </c>
      <c r="BL1158">
        <v>20445.0157947115</v>
      </c>
      <c r="BM1158">
        <v>132.30172066697239</v>
      </c>
      <c r="BN1158">
        <v>22491.29251338532</v>
      </c>
      <c r="BO1158">
        <v>20445.0157947115</v>
      </c>
    </row>
    <row r="1159" spans="1:67" x14ac:dyDescent="0.25">
      <c r="A1159" s="1">
        <v>1157</v>
      </c>
      <c r="B1159" t="s">
        <v>78</v>
      </c>
      <c r="C1159" t="s">
        <v>87</v>
      </c>
      <c r="D1159">
        <v>1</v>
      </c>
      <c r="E1159">
        <v>4</v>
      </c>
      <c r="F1159">
        <v>1</v>
      </c>
      <c r="G1159">
        <v>32.041060000000002</v>
      </c>
      <c r="H1159">
        <v>6</v>
      </c>
      <c r="I1159" t="s">
        <v>89</v>
      </c>
      <c r="J1159">
        <v>2.5</v>
      </c>
      <c r="K1159">
        <v>200</v>
      </c>
      <c r="L1159">
        <v>50</v>
      </c>
      <c r="N1159" t="s">
        <v>90</v>
      </c>
      <c r="O1159">
        <v>50</v>
      </c>
      <c r="P1159">
        <v>0.3125</v>
      </c>
      <c r="Q1159">
        <v>3.2500000000000001E-2</v>
      </c>
      <c r="R1159">
        <v>77.5</v>
      </c>
      <c r="S1159">
        <v>170</v>
      </c>
      <c r="T1159">
        <v>50</v>
      </c>
      <c r="U1159">
        <v>1812.1301775147931</v>
      </c>
      <c r="V1159">
        <v>20</v>
      </c>
      <c r="W1159">
        <v>0.95</v>
      </c>
      <c r="X1159">
        <v>1</v>
      </c>
      <c r="Y1159" t="s">
        <v>92</v>
      </c>
      <c r="Z1159" t="s">
        <v>92</v>
      </c>
      <c r="AA1159" t="s">
        <v>92</v>
      </c>
      <c r="AB1159" t="s">
        <v>92</v>
      </c>
      <c r="AC1159">
        <v>0</v>
      </c>
      <c r="AD1159" t="s">
        <v>92</v>
      </c>
      <c r="AE1159" t="s">
        <v>92</v>
      </c>
      <c r="AF1159" t="s">
        <v>92</v>
      </c>
      <c r="AG1159" t="s">
        <v>92</v>
      </c>
      <c r="AH1159" t="s">
        <v>92</v>
      </c>
      <c r="AI1159" t="s">
        <v>92</v>
      </c>
      <c r="AJ1159" t="s">
        <v>92</v>
      </c>
      <c r="AK1159">
        <v>854.70085470085473</v>
      </c>
      <c r="AL1159" t="s">
        <v>93</v>
      </c>
      <c r="AM1159" t="s">
        <v>92</v>
      </c>
      <c r="AN1159" t="s">
        <v>92</v>
      </c>
      <c r="AO1159" t="s">
        <v>92</v>
      </c>
      <c r="AP1159" t="s">
        <v>92</v>
      </c>
      <c r="AZ1159" t="s">
        <v>115</v>
      </c>
      <c r="BA1159" t="str">
        <f>VLOOKUP($AZ1159,Sheet1!$A$2:$B$58,2)</f>
        <v>Benzyl Alcohol</v>
      </c>
      <c r="BB1159" t="s">
        <v>166</v>
      </c>
      <c r="BC1159">
        <v>108.13661999999999</v>
      </c>
      <c r="BD1159">
        <v>4.8571428571428568</v>
      </c>
      <c r="BE1159">
        <v>205</v>
      </c>
      <c r="BF1159" t="s">
        <v>218</v>
      </c>
      <c r="BH1159">
        <v>0</v>
      </c>
      <c r="BI1159">
        <v>0</v>
      </c>
      <c r="BJ1159">
        <v>80</v>
      </c>
    </row>
    <row r="1160" spans="1:67" x14ac:dyDescent="0.25">
      <c r="A1160" s="1">
        <v>1158</v>
      </c>
      <c r="B1160" t="s">
        <v>78</v>
      </c>
      <c r="C1160" t="s">
        <v>87</v>
      </c>
      <c r="D1160">
        <v>1</v>
      </c>
      <c r="E1160">
        <v>4</v>
      </c>
      <c r="F1160">
        <v>1</v>
      </c>
      <c r="G1160">
        <v>32.041060000000002</v>
      </c>
      <c r="H1160">
        <v>6</v>
      </c>
      <c r="I1160" t="s">
        <v>89</v>
      </c>
      <c r="J1160">
        <v>2.5</v>
      </c>
      <c r="K1160">
        <v>200</v>
      </c>
      <c r="L1160">
        <v>50</v>
      </c>
      <c r="N1160" t="s">
        <v>90</v>
      </c>
      <c r="O1160">
        <v>50</v>
      </c>
      <c r="P1160">
        <v>0.3125</v>
      </c>
      <c r="Q1160">
        <v>3.2500000000000001E-2</v>
      </c>
      <c r="R1160">
        <v>77.5</v>
      </c>
      <c r="S1160">
        <v>170</v>
      </c>
      <c r="T1160">
        <v>50</v>
      </c>
      <c r="U1160">
        <v>1812.1301775147931</v>
      </c>
      <c r="V1160">
        <v>20</v>
      </c>
      <c r="W1160">
        <v>0.95</v>
      </c>
      <c r="X1160">
        <v>1</v>
      </c>
      <c r="Y1160" t="s">
        <v>92</v>
      </c>
      <c r="Z1160" t="s">
        <v>92</v>
      </c>
      <c r="AA1160" t="s">
        <v>92</v>
      </c>
      <c r="AB1160" t="s">
        <v>92</v>
      </c>
      <c r="AC1160">
        <v>0</v>
      </c>
      <c r="AD1160" t="s">
        <v>92</v>
      </c>
      <c r="AE1160" t="s">
        <v>92</v>
      </c>
      <c r="AF1160" t="s">
        <v>92</v>
      </c>
      <c r="AG1160" t="s">
        <v>92</v>
      </c>
      <c r="AH1160" t="s">
        <v>92</v>
      </c>
      <c r="AI1160" t="s">
        <v>92</v>
      </c>
      <c r="AJ1160" t="s">
        <v>92</v>
      </c>
      <c r="AK1160">
        <v>854.70085470085473</v>
      </c>
      <c r="AL1160" t="s">
        <v>93</v>
      </c>
      <c r="AM1160" t="s">
        <v>92</v>
      </c>
      <c r="AN1160" t="s">
        <v>92</v>
      </c>
      <c r="AO1160" t="s">
        <v>92</v>
      </c>
      <c r="AP1160" t="s">
        <v>92</v>
      </c>
      <c r="AZ1160" t="s">
        <v>116</v>
      </c>
      <c r="BA1160" t="str">
        <f>VLOOKUP($AZ1160,Sheet1!$A$2:$B$58,2)</f>
        <v>Beta Carotene</v>
      </c>
      <c r="BB1160" t="s">
        <v>167</v>
      </c>
      <c r="BC1160">
        <v>536.86703999999997</v>
      </c>
      <c r="BD1160">
        <v>5.4</v>
      </c>
      <c r="BE1160">
        <v>633</v>
      </c>
      <c r="BF1160" t="s">
        <v>218</v>
      </c>
      <c r="BH1160">
        <v>0</v>
      </c>
      <c r="BI1160">
        <v>0</v>
      </c>
      <c r="BJ1160">
        <v>80</v>
      </c>
    </row>
    <row r="1161" spans="1:67" x14ac:dyDescent="0.25">
      <c r="A1161" s="1">
        <v>1159</v>
      </c>
      <c r="B1161" t="s">
        <v>78</v>
      </c>
      <c r="C1161" t="s">
        <v>87</v>
      </c>
      <c r="D1161">
        <v>1</v>
      </c>
      <c r="E1161">
        <v>4</v>
      </c>
      <c r="F1161">
        <v>1</v>
      </c>
      <c r="G1161">
        <v>32.041060000000002</v>
      </c>
      <c r="H1161">
        <v>6</v>
      </c>
      <c r="I1161" t="s">
        <v>89</v>
      </c>
      <c r="J1161">
        <v>2.5</v>
      </c>
      <c r="K1161">
        <v>200</v>
      </c>
      <c r="L1161">
        <v>50</v>
      </c>
      <c r="N1161" t="s">
        <v>90</v>
      </c>
      <c r="O1161">
        <v>50</v>
      </c>
      <c r="P1161">
        <v>0.3125</v>
      </c>
      <c r="Q1161">
        <v>3.2500000000000001E-2</v>
      </c>
      <c r="R1161">
        <v>77.5</v>
      </c>
      <c r="S1161">
        <v>170</v>
      </c>
      <c r="T1161">
        <v>50</v>
      </c>
      <c r="U1161">
        <v>1812.1301775147931</v>
      </c>
      <c r="V1161">
        <v>20</v>
      </c>
      <c r="W1161">
        <v>0.95</v>
      </c>
      <c r="X1161">
        <v>1</v>
      </c>
      <c r="Y1161">
        <v>1180944.99203628</v>
      </c>
      <c r="Z1161">
        <v>2361889984.0725598</v>
      </c>
      <c r="AA1161">
        <v>5904724960.1814003</v>
      </c>
      <c r="AB1161">
        <v>5904724.9601814002</v>
      </c>
      <c r="AC1161">
        <v>66773.504273504266</v>
      </c>
      <c r="AD1161">
        <v>24479.264496299009</v>
      </c>
      <c r="AE1161">
        <v>14687558.6977794</v>
      </c>
      <c r="AF1161">
        <v>7343779.348889702</v>
      </c>
      <c r="AG1161">
        <v>235.30247474453591</v>
      </c>
      <c r="AH1161">
        <v>2423.9979685847679</v>
      </c>
      <c r="AI1161">
        <v>1211.998984292384</v>
      </c>
      <c r="AJ1161">
        <v>191903.5612058955</v>
      </c>
      <c r="AK1161">
        <v>2170.1388888888891</v>
      </c>
      <c r="AL1161" t="s">
        <v>95</v>
      </c>
      <c r="AM1161">
        <v>187859.8425653195</v>
      </c>
      <c r="AN1161">
        <v>13179.083811014531</v>
      </c>
      <c r="AO1161">
        <v>206039.82732970529</v>
      </c>
      <c r="AP1161">
        <v>395112.62647111842</v>
      </c>
      <c r="AQ1161">
        <v>189072.79914141321</v>
      </c>
      <c r="AR1161">
        <v>2.6131444327083329E-2</v>
      </c>
      <c r="AS1161">
        <v>815.56116829728262</v>
      </c>
      <c r="AT1161">
        <v>798.37597445278004</v>
      </c>
      <c r="AU1161">
        <v>56.009116883801767</v>
      </c>
      <c r="AV1161">
        <v>875.63816552885555</v>
      </c>
      <c r="AW1161">
        <v>1679.1690223406531</v>
      </c>
      <c r="AX1161">
        <v>803.53085681179709</v>
      </c>
      <c r="AY1161">
        <v>5.1508127384050333</v>
      </c>
      <c r="AZ1161" t="s">
        <v>117</v>
      </c>
      <c r="BA1161" t="str">
        <f>VLOOKUP($AZ1161,Sheet1!$A$2:$B$58,2)</f>
        <v>Butane</v>
      </c>
      <c r="BB1161" t="s">
        <v>168</v>
      </c>
      <c r="BC1161">
        <v>58.121200000000002</v>
      </c>
      <c r="BD1161">
        <v>6.5</v>
      </c>
      <c r="BE1161">
        <v>-1</v>
      </c>
      <c r="BF1161" t="s">
        <v>218</v>
      </c>
      <c r="BG1161">
        <v>0</v>
      </c>
      <c r="BH1161">
        <v>5.85714285714279E-2</v>
      </c>
      <c r="BI1161">
        <v>0.1062462263822006</v>
      </c>
      <c r="BJ1161">
        <v>80</v>
      </c>
      <c r="BK1161">
        <v>19755.631323555921</v>
      </c>
      <c r="BL1161">
        <v>9453.6399570706581</v>
      </c>
      <c r="BM1161">
        <v>60.599949214619201</v>
      </c>
      <c r="BN1161">
        <v>10301.991366485259</v>
      </c>
      <c r="BO1161">
        <v>9453.6399570706562</v>
      </c>
    </row>
    <row r="1162" spans="1:67" x14ac:dyDescent="0.25">
      <c r="A1162" s="1">
        <v>1160</v>
      </c>
      <c r="B1162" t="s">
        <v>78</v>
      </c>
      <c r="C1162" t="s">
        <v>87</v>
      </c>
      <c r="D1162">
        <v>1</v>
      </c>
      <c r="E1162">
        <v>4</v>
      </c>
      <c r="F1162">
        <v>1</v>
      </c>
      <c r="G1162">
        <v>32.041060000000002</v>
      </c>
      <c r="H1162">
        <v>6</v>
      </c>
      <c r="I1162" t="s">
        <v>89</v>
      </c>
      <c r="J1162">
        <v>2.5</v>
      </c>
      <c r="K1162">
        <v>200</v>
      </c>
      <c r="L1162">
        <v>50</v>
      </c>
      <c r="N1162" t="s">
        <v>90</v>
      </c>
      <c r="O1162">
        <v>50</v>
      </c>
      <c r="P1162">
        <v>0.3125</v>
      </c>
      <c r="Q1162">
        <v>3.2500000000000001E-2</v>
      </c>
      <c r="R1162">
        <v>77.5</v>
      </c>
      <c r="S1162">
        <v>170</v>
      </c>
      <c r="T1162">
        <v>50</v>
      </c>
      <c r="U1162">
        <v>1812.1301775147931</v>
      </c>
      <c r="V1162">
        <v>20</v>
      </c>
      <c r="W1162">
        <v>0.95</v>
      </c>
      <c r="X1162">
        <v>1</v>
      </c>
      <c r="Y1162">
        <v>216956.89996339279</v>
      </c>
      <c r="Z1162">
        <v>433913799.92678559</v>
      </c>
      <c r="AA1162">
        <v>1084784499.8169639</v>
      </c>
      <c r="AB1162">
        <v>1084784.4998169639</v>
      </c>
      <c r="AC1162">
        <v>0</v>
      </c>
      <c r="AD1162">
        <v>4497.199593812933</v>
      </c>
      <c r="AE1162">
        <v>2698319.7562877601</v>
      </c>
      <c r="AF1162">
        <v>1349159.8781438801</v>
      </c>
      <c r="AG1162">
        <v>43.228512605200748</v>
      </c>
      <c r="AH1162">
        <v>445.32394677834122</v>
      </c>
      <c r="AI1162">
        <v>222.66197338917061</v>
      </c>
      <c r="AJ1162">
        <v>35255.496244051334</v>
      </c>
      <c r="AK1162">
        <v>854.70085470085473</v>
      </c>
      <c r="AL1162" t="s">
        <v>93</v>
      </c>
      <c r="AM1162">
        <v>34512.605875321438</v>
      </c>
      <c r="AN1162">
        <v>2421.1908152175861</v>
      </c>
      <c r="AO1162">
        <v>37852.535476158999</v>
      </c>
      <c r="AP1162">
        <v>73043.993789291213</v>
      </c>
      <c r="AQ1162">
        <v>35191.458313132207</v>
      </c>
      <c r="AR1162">
        <v>2.6131444327083329E-2</v>
      </c>
      <c r="AS1162">
        <v>815.56116829728262</v>
      </c>
      <c r="AT1162">
        <v>798.37597445278027</v>
      </c>
      <c r="AU1162">
        <v>56.009116883801752</v>
      </c>
      <c r="AV1162">
        <v>875.63816552885578</v>
      </c>
      <c r="AW1162">
        <v>1689.7179520468489</v>
      </c>
      <c r="AX1162">
        <v>814.07978651799363</v>
      </c>
      <c r="AY1162">
        <v>5.1508127384050333</v>
      </c>
      <c r="AZ1162" t="s">
        <v>118</v>
      </c>
      <c r="BA1162" t="str">
        <f>VLOOKUP($AZ1162,Sheet1!$A$2:$B$58,2)</f>
        <v>Butanol (PW1)</v>
      </c>
      <c r="BB1162" t="s">
        <v>169</v>
      </c>
      <c r="BC1162">
        <v>74.120199999999997</v>
      </c>
      <c r="BD1162">
        <v>6</v>
      </c>
      <c r="BE1162">
        <v>117.7</v>
      </c>
      <c r="BF1162" t="s">
        <v>218</v>
      </c>
      <c r="BG1162">
        <v>0</v>
      </c>
      <c r="BH1162">
        <v>0.25</v>
      </c>
      <c r="BI1162">
        <v>0.5783220030797982</v>
      </c>
      <c r="BJ1162">
        <v>80</v>
      </c>
      <c r="BK1162">
        <v>3652.1996894645608</v>
      </c>
      <c r="BL1162">
        <v>1759.572915656611</v>
      </c>
      <c r="BM1162">
        <v>11.13309866945853</v>
      </c>
      <c r="BN1162">
        <v>1892.62677380795</v>
      </c>
      <c r="BO1162">
        <v>1759.572915656611</v>
      </c>
    </row>
    <row r="1163" spans="1:67" x14ac:dyDescent="0.25">
      <c r="A1163" s="1">
        <v>1161</v>
      </c>
      <c r="B1163" t="s">
        <v>78</v>
      </c>
      <c r="C1163" t="s">
        <v>87</v>
      </c>
      <c r="D1163">
        <v>1</v>
      </c>
      <c r="E1163">
        <v>4</v>
      </c>
      <c r="F1163">
        <v>1</v>
      </c>
      <c r="G1163">
        <v>32.041060000000002</v>
      </c>
      <c r="H1163">
        <v>6</v>
      </c>
      <c r="I1163" t="s">
        <v>89</v>
      </c>
      <c r="J1163">
        <v>2.5</v>
      </c>
      <c r="K1163">
        <v>200</v>
      </c>
      <c r="L1163">
        <v>50</v>
      </c>
      <c r="N1163" t="s">
        <v>90</v>
      </c>
      <c r="O1163">
        <v>50</v>
      </c>
      <c r="P1163">
        <v>0.3125</v>
      </c>
      <c r="Q1163">
        <v>3.2500000000000001E-2</v>
      </c>
      <c r="R1163">
        <v>77.5</v>
      </c>
      <c r="S1163">
        <v>170</v>
      </c>
      <c r="T1163">
        <v>50</v>
      </c>
      <c r="U1163">
        <v>1812.1301775147931</v>
      </c>
      <c r="V1163">
        <v>20</v>
      </c>
      <c r="W1163">
        <v>0.95</v>
      </c>
      <c r="X1163">
        <v>1</v>
      </c>
      <c r="Y1163">
        <v>216956.89996339279</v>
      </c>
      <c r="Z1163">
        <v>433913799.92678559</v>
      </c>
      <c r="AA1163">
        <v>1084784499.8169639</v>
      </c>
      <c r="AB1163">
        <v>1084784.4998169639</v>
      </c>
      <c r="AC1163">
        <v>0</v>
      </c>
      <c r="AD1163">
        <v>4497.199593812933</v>
      </c>
      <c r="AE1163">
        <v>2698319.7562877601</v>
      </c>
      <c r="AF1163">
        <v>1349159.8781438801</v>
      </c>
      <c r="AG1163">
        <v>43.228512605200748</v>
      </c>
      <c r="AH1163">
        <v>445.32394677834122</v>
      </c>
      <c r="AI1163">
        <v>222.66197338917061</v>
      </c>
      <c r="AJ1163">
        <v>35255.496244051334</v>
      </c>
      <c r="AK1163">
        <v>854.70085470085473</v>
      </c>
      <c r="AL1163" t="s">
        <v>93</v>
      </c>
      <c r="AM1163">
        <v>34512.605875321438</v>
      </c>
      <c r="AN1163">
        <v>2421.1908152175861</v>
      </c>
      <c r="AO1163">
        <v>37852.535476158999</v>
      </c>
      <c r="AP1163">
        <v>73043.993789291213</v>
      </c>
      <c r="AQ1163">
        <v>35191.458313132207</v>
      </c>
      <c r="AR1163">
        <v>2.6131444327083329E-2</v>
      </c>
      <c r="AS1163">
        <v>815.56116829728262</v>
      </c>
      <c r="AT1163">
        <v>798.37597445278027</v>
      </c>
      <c r="AU1163">
        <v>56.009116883801752</v>
      </c>
      <c r="AV1163">
        <v>875.63816552885578</v>
      </c>
      <c r="AW1163">
        <v>1689.7179520468489</v>
      </c>
      <c r="AX1163">
        <v>814.07978651799363</v>
      </c>
      <c r="AY1163">
        <v>5.1508127384050333</v>
      </c>
      <c r="AZ1163" t="s">
        <v>119</v>
      </c>
      <c r="BA1163" t="str">
        <f>VLOOKUP($AZ1163,Sheet1!$A$2:$B$58,2)</f>
        <v>Butanol (PW2)</v>
      </c>
      <c r="BB1163" t="s">
        <v>169</v>
      </c>
      <c r="BC1163">
        <v>74.120199999999997</v>
      </c>
      <c r="BD1163">
        <v>6</v>
      </c>
      <c r="BE1163">
        <v>117.7</v>
      </c>
      <c r="BF1163" t="s">
        <v>218</v>
      </c>
      <c r="BG1163">
        <v>0</v>
      </c>
      <c r="BH1163">
        <v>0.25</v>
      </c>
      <c r="BI1163">
        <v>0.5783220030797982</v>
      </c>
      <c r="BJ1163">
        <v>80</v>
      </c>
      <c r="BK1163">
        <v>3652.1996894645608</v>
      </c>
      <c r="BL1163">
        <v>1759.572915656611</v>
      </c>
      <c r="BM1163">
        <v>11.13309866945853</v>
      </c>
      <c r="BN1163">
        <v>1892.62677380795</v>
      </c>
      <c r="BO1163">
        <v>1759.572915656611</v>
      </c>
    </row>
    <row r="1164" spans="1:67" x14ac:dyDescent="0.25">
      <c r="A1164" s="1">
        <v>1162</v>
      </c>
      <c r="B1164" t="s">
        <v>78</v>
      </c>
      <c r="C1164" t="s">
        <v>87</v>
      </c>
      <c r="D1164">
        <v>1</v>
      </c>
      <c r="E1164">
        <v>4</v>
      </c>
      <c r="F1164">
        <v>1</v>
      </c>
      <c r="G1164">
        <v>32.041060000000002</v>
      </c>
      <c r="H1164">
        <v>6</v>
      </c>
      <c r="I1164" t="s">
        <v>89</v>
      </c>
      <c r="J1164">
        <v>2.5</v>
      </c>
      <c r="K1164">
        <v>200</v>
      </c>
      <c r="L1164">
        <v>50</v>
      </c>
      <c r="N1164" t="s">
        <v>90</v>
      </c>
      <c r="O1164">
        <v>50</v>
      </c>
      <c r="P1164">
        <v>0.3125</v>
      </c>
      <c r="Q1164">
        <v>3.2500000000000001E-2</v>
      </c>
      <c r="R1164">
        <v>77.5</v>
      </c>
      <c r="S1164">
        <v>170</v>
      </c>
      <c r="T1164">
        <v>50</v>
      </c>
      <c r="U1164">
        <v>1812.1301775147931</v>
      </c>
      <c r="V1164">
        <v>20</v>
      </c>
      <c r="W1164">
        <v>0.95</v>
      </c>
      <c r="X1164">
        <v>1</v>
      </c>
      <c r="Y1164">
        <v>178826.20527705181</v>
      </c>
      <c r="Z1164">
        <v>357652410.55410361</v>
      </c>
      <c r="AA1164">
        <v>894131026.38525891</v>
      </c>
      <c r="AB1164">
        <v>894131.02638525888</v>
      </c>
      <c r="AC1164">
        <v>0</v>
      </c>
      <c r="AD1164">
        <v>3706.8059963557789</v>
      </c>
      <c r="AE1164">
        <v>2224083.597813467</v>
      </c>
      <c r="AF1164">
        <v>1112041.798906734</v>
      </c>
      <c r="AG1164">
        <v>35.630998001278591</v>
      </c>
      <c r="AH1164">
        <v>367.0571967741401</v>
      </c>
      <c r="AI1164">
        <v>183.52859838706999</v>
      </c>
      <c r="AJ1164">
        <v>29059.25835752091</v>
      </c>
      <c r="AK1164">
        <v>854.70085470085473</v>
      </c>
      <c r="AL1164" t="s">
        <v>93</v>
      </c>
      <c r="AM1164">
        <v>28446.93274999586</v>
      </c>
      <c r="AN1164">
        <v>1995.6607317401199</v>
      </c>
      <c r="AO1164">
        <v>31199.861725801911</v>
      </c>
      <c r="AP1164">
        <v>60356.552693957747</v>
      </c>
      <c r="AQ1164">
        <v>29156.690968155839</v>
      </c>
      <c r="AR1164">
        <v>2.6131444327083329E-2</v>
      </c>
      <c r="AS1164">
        <v>815.56116829728273</v>
      </c>
      <c r="AT1164">
        <v>798.37597445278004</v>
      </c>
      <c r="AU1164">
        <v>56.009116883801767</v>
      </c>
      <c r="AV1164">
        <v>875.63816552885555</v>
      </c>
      <c r="AW1164">
        <v>1693.9338239078199</v>
      </c>
      <c r="AX1164">
        <v>818.29565837896484</v>
      </c>
      <c r="AY1164">
        <v>5.1508127384050333</v>
      </c>
      <c r="AZ1164" t="s">
        <v>120</v>
      </c>
      <c r="BA1164" t="str">
        <f>VLOOKUP($AZ1164,Sheet1!$A$2:$B$58,2)</f>
        <v>Butyrate</v>
      </c>
      <c r="BB1164" t="s">
        <v>170</v>
      </c>
      <c r="BC1164">
        <v>87.095680000000002</v>
      </c>
      <c r="BD1164">
        <v>4.75</v>
      </c>
      <c r="BE1164">
        <v>163.5</v>
      </c>
      <c r="BF1164" t="s">
        <v>218</v>
      </c>
      <c r="BG1164">
        <v>0</v>
      </c>
      <c r="BH1164">
        <v>0.25</v>
      </c>
      <c r="BI1164">
        <v>0.70163625501320204</v>
      </c>
      <c r="BJ1164">
        <v>80</v>
      </c>
      <c r="BK1164">
        <v>3017.8276346978878</v>
      </c>
      <c r="BL1164">
        <v>1457.834548407792</v>
      </c>
      <c r="BM1164">
        <v>9.1764299193535024</v>
      </c>
      <c r="BN1164">
        <v>1559.9930862900951</v>
      </c>
      <c r="BO1164">
        <v>1457.834548407792</v>
      </c>
    </row>
    <row r="1165" spans="1:67" x14ac:dyDescent="0.25">
      <c r="A1165" s="1">
        <v>1163</v>
      </c>
      <c r="B1165" t="s">
        <v>78</v>
      </c>
      <c r="C1165" t="s">
        <v>87</v>
      </c>
      <c r="D1165">
        <v>1</v>
      </c>
      <c r="E1165">
        <v>4</v>
      </c>
      <c r="F1165">
        <v>1</v>
      </c>
      <c r="G1165">
        <v>32.041060000000002</v>
      </c>
      <c r="H1165">
        <v>6</v>
      </c>
      <c r="I1165" t="s">
        <v>89</v>
      </c>
      <c r="J1165">
        <v>2.5</v>
      </c>
      <c r="K1165">
        <v>200</v>
      </c>
      <c r="L1165">
        <v>50</v>
      </c>
      <c r="N1165" t="s">
        <v>90</v>
      </c>
      <c r="O1165">
        <v>50</v>
      </c>
      <c r="P1165">
        <v>0.3125</v>
      </c>
      <c r="Q1165">
        <v>3.2500000000000001E-2</v>
      </c>
      <c r="R1165">
        <v>77.5</v>
      </c>
      <c r="S1165">
        <v>170</v>
      </c>
      <c r="T1165">
        <v>50</v>
      </c>
      <c r="U1165">
        <v>1812.1301775147931</v>
      </c>
      <c r="V1165">
        <v>20</v>
      </c>
      <c r="W1165">
        <v>0.95</v>
      </c>
      <c r="X1165">
        <v>1</v>
      </c>
      <c r="Y1165">
        <v>1702759.804990239</v>
      </c>
      <c r="Z1165">
        <v>3405519609.9804778</v>
      </c>
      <c r="AA1165">
        <v>8513799024.9511948</v>
      </c>
      <c r="AB1165">
        <v>8513799.0249511953</v>
      </c>
      <c r="AC1165">
        <v>0</v>
      </c>
      <c r="AD1165">
        <v>35295.723273402087</v>
      </c>
      <c r="AE1165">
        <v>21177433.964041252</v>
      </c>
      <c r="AF1165">
        <v>10588716.98202063</v>
      </c>
      <c r="AG1165">
        <v>339.27371614394178</v>
      </c>
      <c r="AH1165">
        <v>3495.0707578404581</v>
      </c>
      <c r="AI1165">
        <v>1747.535378920229</v>
      </c>
      <c r="AJ1165">
        <v>276698.46831091389</v>
      </c>
      <c r="AK1165">
        <v>854.70085470085473</v>
      </c>
      <c r="AL1165" t="s">
        <v>93</v>
      </c>
      <c r="AM1165">
        <v>270867.9837326355</v>
      </c>
      <c r="AN1165">
        <v>19002.42122310782</v>
      </c>
      <c r="AO1165">
        <v>297081.01441643888</v>
      </c>
      <c r="AP1165">
        <v>567423.57412135811</v>
      </c>
      <c r="AQ1165">
        <v>270342.55970491917</v>
      </c>
      <c r="AR1165">
        <v>2.613144432708334E-2</v>
      </c>
      <c r="AS1165">
        <v>815.56116829728285</v>
      </c>
      <c r="AT1165">
        <v>798.37597445278027</v>
      </c>
      <c r="AU1165">
        <v>56.009116883801767</v>
      </c>
      <c r="AV1165">
        <v>875.63816552885578</v>
      </c>
      <c r="AW1165">
        <v>1672.465467029047</v>
      </c>
      <c r="AX1165">
        <v>796.82730150019165</v>
      </c>
      <c r="AY1165">
        <v>5.1508127384050333</v>
      </c>
      <c r="AZ1165" t="s">
        <v>121</v>
      </c>
      <c r="BA1165" t="str">
        <f>VLOOKUP($AZ1165,Sheet1!$A$2:$B$58,2)</f>
        <v>Catechol</v>
      </c>
      <c r="BB1165" t="s">
        <v>171</v>
      </c>
      <c r="BC1165">
        <v>110.10924</v>
      </c>
      <c r="BD1165">
        <v>4.333333333333333</v>
      </c>
      <c r="BE1165">
        <v>245</v>
      </c>
      <c r="BF1165" t="s">
        <v>218</v>
      </c>
      <c r="BG1165">
        <v>0</v>
      </c>
      <c r="BH1165">
        <v>2.12987012987014E-2</v>
      </c>
      <c r="BI1165">
        <v>7.3686816309087105E-2</v>
      </c>
      <c r="BJ1165">
        <v>80</v>
      </c>
      <c r="BK1165">
        <v>28371.178706067902</v>
      </c>
      <c r="BL1165">
        <v>13517.127985245959</v>
      </c>
      <c r="BM1165">
        <v>87.376768946011438</v>
      </c>
      <c r="BN1165">
        <v>14854.050720821941</v>
      </c>
      <c r="BO1165">
        <v>13517.127985245959</v>
      </c>
    </row>
    <row r="1166" spans="1:67" x14ac:dyDescent="0.25">
      <c r="A1166" s="1">
        <v>1164</v>
      </c>
      <c r="B1166" t="s">
        <v>78</v>
      </c>
      <c r="C1166" t="s">
        <v>87</v>
      </c>
      <c r="D1166">
        <v>1</v>
      </c>
      <c r="E1166">
        <v>4</v>
      </c>
      <c r="F1166">
        <v>1</v>
      </c>
      <c r="G1166">
        <v>32.041060000000002</v>
      </c>
      <c r="H1166">
        <v>6</v>
      </c>
      <c r="I1166" t="s">
        <v>89</v>
      </c>
      <c r="J1166">
        <v>2.5</v>
      </c>
      <c r="K1166">
        <v>200</v>
      </c>
      <c r="L1166">
        <v>50</v>
      </c>
      <c r="N1166" t="s">
        <v>90</v>
      </c>
      <c r="O1166">
        <v>50</v>
      </c>
      <c r="P1166">
        <v>0.3125</v>
      </c>
      <c r="Q1166">
        <v>3.2500000000000001E-2</v>
      </c>
      <c r="R1166">
        <v>77.5</v>
      </c>
      <c r="S1166">
        <v>170</v>
      </c>
      <c r="T1166">
        <v>50</v>
      </c>
      <c r="U1166">
        <v>1812.1301775147931</v>
      </c>
      <c r="V1166">
        <v>20</v>
      </c>
      <c r="W1166">
        <v>0.95</v>
      </c>
      <c r="X1166">
        <v>1</v>
      </c>
      <c r="Y1166" t="s">
        <v>92</v>
      </c>
      <c r="Z1166" t="s">
        <v>92</v>
      </c>
      <c r="AA1166" t="s">
        <v>92</v>
      </c>
      <c r="AB1166" t="s">
        <v>92</v>
      </c>
      <c r="AC1166">
        <v>0</v>
      </c>
      <c r="AD1166" t="s">
        <v>92</v>
      </c>
      <c r="AE1166" t="s">
        <v>92</v>
      </c>
      <c r="AF1166" t="s">
        <v>92</v>
      </c>
      <c r="AG1166" t="s">
        <v>92</v>
      </c>
      <c r="AH1166" t="s">
        <v>92</v>
      </c>
      <c r="AI1166" t="s">
        <v>92</v>
      </c>
      <c r="AJ1166" t="s">
        <v>92</v>
      </c>
      <c r="AK1166">
        <v>854.70085470085473</v>
      </c>
      <c r="AL1166" t="s">
        <v>93</v>
      </c>
      <c r="AM1166" t="s">
        <v>92</v>
      </c>
      <c r="AN1166" t="s">
        <v>92</v>
      </c>
      <c r="AO1166" t="s">
        <v>92</v>
      </c>
      <c r="AP1166" t="s">
        <v>92</v>
      </c>
      <c r="AZ1166" t="s">
        <v>122</v>
      </c>
      <c r="BA1166" t="str">
        <f>VLOOKUP($AZ1166,Sheet1!$A$2:$B$58,2)</f>
        <v>cis,cis-Muconate</v>
      </c>
      <c r="BB1166" t="s">
        <v>172</v>
      </c>
      <c r="BC1166">
        <v>140.09155999999999</v>
      </c>
      <c r="BD1166">
        <v>3.333333333333333</v>
      </c>
      <c r="BE1166">
        <v>345.4</v>
      </c>
      <c r="BF1166" t="s">
        <v>218</v>
      </c>
      <c r="BH1166">
        <v>0</v>
      </c>
      <c r="BI1166">
        <v>0</v>
      </c>
      <c r="BJ1166">
        <v>80</v>
      </c>
    </row>
    <row r="1167" spans="1:67" x14ac:dyDescent="0.25">
      <c r="A1167" s="1">
        <v>1165</v>
      </c>
      <c r="B1167" t="s">
        <v>78</v>
      </c>
      <c r="C1167" t="s">
        <v>87</v>
      </c>
      <c r="D1167">
        <v>1</v>
      </c>
      <c r="E1167">
        <v>4</v>
      </c>
      <c r="F1167">
        <v>1</v>
      </c>
      <c r="G1167">
        <v>32.041060000000002</v>
      </c>
      <c r="H1167">
        <v>6</v>
      </c>
      <c r="I1167" t="s">
        <v>89</v>
      </c>
      <c r="J1167">
        <v>2.5</v>
      </c>
      <c r="K1167">
        <v>200</v>
      </c>
      <c r="L1167">
        <v>50</v>
      </c>
      <c r="N1167" t="s">
        <v>90</v>
      </c>
      <c r="O1167">
        <v>50</v>
      </c>
      <c r="P1167">
        <v>0.3125</v>
      </c>
      <c r="Q1167">
        <v>3.2500000000000001E-2</v>
      </c>
      <c r="R1167">
        <v>77.5</v>
      </c>
      <c r="S1167">
        <v>170</v>
      </c>
      <c r="T1167">
        <v>50</v>
      </c>
      <c r="U1167">
        <v>1812.1301775147931</v>
      </c>
      <c r="V1167">
        <v>20</v>
      </c>
      <c r="W1167">
        <v>0.95</v>
      </c>
      <c r="X1167">
        <v>1</v>
      </c>
      <c r="Y1167">
        <v>1820686.659483369</v>
      </c>
      <c r="Z1167">
        <v>3641373318.9667392</v>
      </c>
      <c r="AA1167">
        <v>9103433297.4168472</v>
      </c>
      <c r="AB1167">
        <v>9103433.2974168472</v>
      </c>
      <c r="AC1167">
        <v>0</v>
      </c>
      <c r="AD1167">
        <v>37740.174693087873</v>
      </c>
      <c r="AE1167">
        <v>22644104.81585272</v>
      </c>
      <c r="AF1167">
        <v>11322052.40792636</v>
      </c>
      <c r="AG1167">
        <v>362.77056052551308</v>
      </c>
      <c r="AH1167">
        <v>3737.1264485462939</v>
      </c>
      <c r="AI1167">
        <v>1868.5632242731469</v>
      </c>
      <c r="AJ1167">
        <v>295861.58216604748</v>
      </c>
      <c r="AK1167">
        <v>854.70085470085473</v>
      </c>
      <c r="AL1167" t="s">
        <v>93</v>
      </c>
      <c r="AM1167">
        <v>289627.29976233782</v>
      </c>
      <c r="AN1167">
        <v>20318.458726475739</v>
      </c>
      <c r="AO1167">
        <v>317655.74812643498</v>
      </c>
      <c r="AP1167">
        <v>606662.04150956194</v>
      </c>
      <c r="AQ1167">
        <v>289006.2933831269</v>
      </c>
      <c r="AR1167">
        <v>2.6131444327083329E-2</v>
      </c>
      <c r="AS1167">
        <v>815.56116829728273</v>
      </c>
      <c r="AT1167">
        <v>798.37597445278038</v>
      </c>
      <c r="AU1167">
        <v>56.009116883801759</v>
      </c>
      <c r="AV1167">
        <v>875.63816552885589</v>
      </c>
      <c r="AW1167">
        <v>1672.302296610688</v>
      </c>
      <c r="AX1167">
        <v>796.6641310818319</v>
      </c>
      <c r="AY1167">
        <v>5.1508127384050342</v>
      </c>
      <c r="AZ1167" t="s">
        <v>124</v>
      </c>
      <c r="BA1167" t="str">
        <f>VLOOKUP($AZ1167,Sheet1!$A$2:$B$58,2)</f>
        <v>Coumaric Acid</v>
      </c>
      <c r="BB1167" t="s">
        <v>174</v>
      </c>
      <c r="BC1167">
        <v>163.14818</v>
      </c>
      <c r="BD1167">
        <v>4.1111111111111107</v>
      </c>
      <c r="BE1167">
        <v>346</v>
      </c>
      <c r="BF1167" t="s">
        <v>218</v>
      </c>
      <c r="BG1167">
        <v>0</v>
      </c>
      <c r="BH1167">
        <v>1.34426229508196E-2</v>
      </c>
      <c r="BI1167">
        <v>6.8914081572067895E-2</v>
      </c>
      <c r="BJ1167">
        <v>80</v>
      </c>
      <c r="BK1167">
        <v>30333.102075478098</v>
      </c>
      <c r="BL1167">
        <v>14450.314669156351</v>
      </c>
      <c r="BM1167">
        <v>93.428161213657347</v>
      </c>
      <c r="BN1167">
        <v>15882.78740632175</v>
      </c>
      <c r="BO1167">
        <v>14450.314669156351</v>
      </c>
    </row>
    <row r="1168" spans="1:67" x14ac:dyDescent="0.25">
      <c r="A1168" s="1">
        <v>1166</v>
      </c>
      <c r="B1168" t="s">
        <v>78</v>
      </c>
      <c r="C1168" t="s">
        <v>87</v>
      </c>
      <c r="D1168">
        <v>1</v>
      </c>
      <c r="E1168">
        <v>4</v>
      </c>
      <c r="F1168">
        <v>1</v>
      </c>
      <c r="G1168">
        <v>32.041060000000002</v>
      </c>
      <c r="H1168">
        <v>6</v>
      </c>
      <c r="I1168" t="s">
        <v>89</v>
      </c>
      <c r="J1168">
        <v>2.5</v>
      </c>
      <c r="K1168">
        <v>200</v>
      </c>
      <c r="L1168">
        <v>50</v>
      </c>
      <c r="N1168" t="s">
        <v>90</v>
      </c>
      <c r="O1168">
        <v>50</v>
      </c>
      <c r="P1168">
        <v>0.3125</v>
      </c>
      <c r="Q1168">
        <v>3.2500000000000001E-2</v>
      </c>
      <c r="R1168">
        <v>77.5</v>
      </c>
      <c r="S1168">
        <v>170</v>
      </c>
      <c r="T1168">
        <v>50</v>
      </c>
      <c r="U1168">
        <v>1812.1301775147931</v>
      </c>
      <c r="V1168">
        <v>20</v>
      </c>
      <c r="W1168">
        <v>0.95</v>
      </c>
      <c r="X1168">
        <v>1</v>
      </c>
      <c r="Y1168">
        <v>176780.56393688259</v>
      </c>
      <c r="Z1168">
        <v>353561127.87376517</v>
      </c>
      <c r="AA1168">
        <v>883902819.68441308</v>
      </c>
      <c r="AB1168">
        <v>883902.81968441303</v>
      </c>
      <c r="AC1168">
        <v>0</v>
      </c>
      <c r="AD1168">
        <v>3664.402839758096</v>
      </c>
      <c r="AE1168">
        <v>2198641.703854857</v>
      </c>
      <c r="AF1168">
        <v>1099320.851927429</v>
      </c>
      <c r="AG1168">
        <v>35.223405375857858</v>
      </c>
      <c r="AH1168">
        <v>362.85833019994612</v>
      </c>
      <c r="AI1168">
        <v>181.42916509997309</v>
      </c>
      <c r="AJ1168">
        <v>28726.841639743419</v>
      </c>
      <c r="AK1168">
        <v>854.70085470085473</v>
      </c>
      <c r="AL1168" t="s">
        <v>93</v>
      </c>
      <c r="AM1168">
        <v>28121.52059049582</v>
      </c>
      <c r="AN1168">
        <v>1972.831828741955</v>
      </c>
      <c r="AO1168">
        <v>30842.958066995419</v>
      </c>
      <c r="AP1168">
        <v>59675.894913682052</v>
      </c>
      <c r="AQ1168">
        <v>28832.936846686629</v>
      </c>
      <c r="AR1168">
        <v>2.6131444327083329E-2</v>
      </c>
      <c r="AS1168">
        <v>815.56116829728273</v>
      </c>
      <c r="AT1168">
        <v>798.37597445278038</v>
      </c>
      <c r="AU1168">
        <v>56.009116883801767</v>
      </c>
      <c r="AV1168">
        <v>875.63816552885589</v>
      </c>
      <c r="AW1168">
        <v>1694.211399406144</v>
      </c>
      <c r="AX1168">
        <v>818.57323387728832</v>
      </c>
      <c r="AY1168">
        <v>5.1508127384050351</v>
      </c>
      <c r="AZ1168" t="s">
        <v>125</v>
      </c>
      <c r="BA1168" t="str">
        <f>VLOOKUP($AZ1168,Sheet1!$A$2:$B$58,2)</f>
        <v>Ethyl Acetate</v>
      </c>
      <c r="BB1168" t="s">
        <v>175</v>
      </c>
      <c r="BC1168">
        <v>88.103520000000003</v>
      </c>
      <c r="BD1168">
        <v>5</v>
      </c>
      <c r="BE1168">
        <v>77.099999999999994</v>
      </c>
      <c r="BF1168" t="s">
        <v>218</v>
      </c>
      <c r="BG1168">
        <v>0</v>
      </c>
      <c r="BH1168">
        <v>0.25</v>
      </c>
      <c r="BI1168">
        <v>0.70975533833917759</v>
      </c>
      <c r="BJ1168">
        <v>80</v>
      </c>
      <c r="BK1168">
        <v>2983.7947456841021</v>
      </c>
      <c r="BL1168">
        <v>1441.646842334331</v>
      </c>
      <c r="BM1168">
        <v>9.0714582549986513</v>
      </c>
      <c r="BN1168">
        <v>1542.147903349771</v>
      </c>
      <c r="BO1168">
        <v>1441.646842334331</v>
      </c>
    </row>
    <row r="1169" spans="1:67" x14ac:dyDescent="0.25">
      <c r="A1169" s="1">
        <v>1167</v>
      </c>
      <c r="B1169" t="s">
        <v>78</v>
      </c>
      <c r="C1169" t="s">
        <v>87</v>
      </c>
      <c r="D1169">
        <v>1</v>
      </c>
      <c r="E1169">
        <v>4</v>
      </c>
      <c r="F1169">
        <v>1</v>
      </c>
      <c r="G1169">
        <v>32.041060000000002</v>
      </c>
      <c r="H1169">
        <v>6</v>
      </c>
      <c r="I1169" t="s">
        <v>89</v>
      </c>
      <c r="J1169">
        <v>2.5</v>
      </c>
      <c r="K1169">
        <v>200</v>
      </c>
      <c r="L1169">
        <v>50</v>
      </c>
      <c r="N1169" t="s">
        <v>90</v>
      </c>
      <c r="O1169">
        <v>50</v>
      </c>
      <c r="P1169">
        <v>0.3125</v>
      </c>
      <c r="Q1169">
        <v>3.2500000000000001E-2</v>
      </c>
      <c r="R1169">
        <v>77.5</v>
      </c>
      <c r="S1169">
        <v>170</v>
      </c>
      <c r="T1169">
        <v>50</v>
      </c>
      <c r="U1169">
        <v>1812.1301775147931</v>
      </c>
      <c r="V1169">
        <v>20</v>
      </c>
      <c r="W1169">
        <v>0.95</v>
      </c>
      <c r="X1169">
        <v>1</v>
      </c>
      <c r="Y1169">
        <v>1591747.0025912719</v>
      </c>
      <c r="Z1169">
        <v>3183494005.1825452</v>
      </c>
      <c r="AA1169">
        <v>7958735012.9563618</v>
      </c>
      <c r="AB1169">
        <v>7958735.0129563622</v>
      </c>
      <c r="AC1169">
        <v>0</v>
      </c>
      <c r="AD1169">
        <v>32994.590053205327</v>
      </c>
      <c r="AE1169">
        <v>19796754.03192319</v>
      </c>
      <c r="AF1169">
        <v>9898377.0159615967</v>
      </c>
      <c r="AG1169">
        <v>317.1544918710465</v>
      </c>
      <c r="AH1169">
        <v>3267.2067935435248</v>
      </c>
      <c r="AI1169">
        <v>1633.6033967717619</v>
      </c>
      <c r="AJ1169">
        <v>258658.8879210818</v>
      </c>
      <c r="AK1169">
        <v>1835.336538461539</v>
      </c>
      <c r="AL1169" t="s">
        <v>94</v>
      </c>
      <c r="AM1169">
        <v>253208.5264996232</v>
      </c>
      <c r="AN1169">
        <v>17763.543005428201</v>
      </c>
      <c r="AO1169">
        <v>277712.57745119958</v>
      </c>
      <c r="AP1169">
        <v>531466.2939645946</v>
      </c>
      <c r="AQ1169">
        <v>253753.71651339499</v>
      </c>
      <c r="AR1169">
        <v>2.613144432708334E-2</v>
      </c>
      <c r="AS1169">
        <v>815.56116829728296</v>
      </c>
      <c r="AT1169">
        <v>798.37597445278038</v>
      </c>
      <c r="AU1169">
        <v>56.009116883801767</v>
      </c>
      <c r="AV1169">
        <v>875.63816552885589</v>
      </c>
      <c r="AW1169">
        <v>1675.7331445290899</v>
      </c>
      <c r="AX1169">
        <v>800.0949790002345</v>
      </c>
      <c r="AY1169">
        <v>5.1508127384050351</v>
      </c>
      <c r="AZ1169" t="s">
        <v>126</v>
      </c>
      <c r="BA1169" t="str">
        <f>VLOOKUP($AZ1169,Sheet1!$A$2:$B$58,2)</f>
        <v>Farnesene</v>
      </c>
      <c r="BB1169" t="s">
        <v>176</v>
      </c>
      <c r="BC1169">
        <v>204.34866</v>
      </c>
      <c r="BD1169">
        <v>5.6</v>
      </c>
      <c r="BE1169" t="s">
        <v>198</v>
      </c>
      <c r="BF1169" t="s">
        <v>218</v>
      </c>
      <c r="BG1169">
        <v>0</v>
      </c>
      <c r="BH1169">
        <v>1.23308270676691E-2</v>
      </c>
      <c r="BI1169">
        <v>7.8825937014207204E-2</v>
      </c>
      <c r="BJ1169">
        <v>80</v>
      </c>
      <c r="BK1169">
        <v>26573.314698229729</v>
      </c>
      <c r="BL1169">
        <v>12687.685825669751</v>
      </c>
      <c r="BM1169">
        <v>81.680169838588114</v>
      </c>
      <c r="BN1169">
        <v>13885.628872559981</v>
      </c>
      <c r="BO1169">
        <v>12687.685825669751</v>
      </c>
    </row>
    <row r="1170" spans="1:67" x14ac:dyDescent="0.25">
      <c r="A1170" s="1">
        <v>1168</v>
      </c>
      <c r="B1170" t="s">
        <v>78</v>
      </c>
      <c r="C1170" t="s">
        <v>87</v>
      </c>
      <c r="D1170">
        <v>1</v>
      </c>
      <c r="E1170">
        <v>4</v>
      </c>
      <c r="F1170">
        <v>1</v>
      </c>
      <c r="G1170">
        <v>32.041060000000002</v>
      </c>
      <c r="H1170">
        <v>6</v>
      </c>
      <c r="I1170" t="s">
        <v>89</v>
      </c>
      <c r="J1170">
        <v>2.5</v>
      </c>
      <c r="K1170">
        <v>200</v>
      </c>
      <c r="L1170">
        <v>50</v>
      </c>
      <c r="N1170" t="s">
        <v>90</v>
      </c>
      <c r="O1170">
        <v>50</v>
      </c>
      <c r="P1170">
        <v>0.3125</v>
      </c>
      <c r="Q1170">
        <v>3.2500000000000001E-2</v>
      </c>
      <c r="R1170">
        <v>77.5</v>
      </c>
      <c r="S1170">
        <v>170</v>
      </c>
      <c r="T1170">
        <v>50</v>
      </c>
      <c r="U1170">
        <v>1812.1301775147931</v>
      </c>
      <c r="V1170">
        <v>20</v>
      </c>
      <c r="W1170">
        <v>0.95</v>
      </c>
      <c r="X1170">
        <v>1</v>
      </c>
      <c r="Y1170">
        <v>1272562.1506471301</v>
      </c>
      <c r="Z1170">
        <v>2545124301.294261</v>
      </c>
      <c r="AA1170">
        <v>6362810753.235651</v>
      </c>
      <c r="AB1170">
        <v>6362810.7532356512</v>
      </c>
      <c r="AC1170">
        <v>0</v>
      </c>
      <c r="AD1170">
        <v>26378.354354978452</v>
      </c>
      <c r="AE1170">
        <v>15827012.612987069</v>
      </c>
      <c r="AF1170">
        <v>7913506.3064935356</v>
      </c>
      <c r="AG1170">
        <v>253.5571303767378</v>
      </c>
      <c r="AH1170">
        <v>2612.050594115854</v>
      </c>
      <c r="AI1170">
        <v>1306.025297057927</v>
      </c>
      <c r="AJ1170">
        <v>206791.34948015871</v>
      </c>
      <c r="AK1170">
        <v>1835.336538461539</v>
      </c>
      <c r="AL1170" t="s">
        <v>94</v>
      </c>
      <c r="AM1170">
        <v>202433.92104397871</v>
      </c>
      <c r="AN1170">
        <v>14201.51095199207</v>
      </c>
      <c r="AO1170">
        <v>222024.3004998476</v>
      </c>
      <c r="AP1170">
        <v>425262.11801459099</v>
      </c>
      <c r="AQ1170">
        <v>203237.81751474339</v>
      </c>
      <c r="AR1170">
        <v>2.6131444327083329E-2</v>
      </c>
      <c r="AS1170">
        <v>815.56116829728273</v>
      </c>
      <c r="AT1170">
        <v>798.37597445278027</v>
      </c>
      <c r="AU1170">
        <v>56.009116883801759</v>
      </c>
      <c r="AV1170">
        <v>875.63816552885578</v>
      </c>
      <c r="AW1170">
        <v>1677.1846146970199</v>
      </c>
      <c r="AX1170">
        <v>801.54644916816414</v>
      </c>
      <c r="AY1170">
        <v>5.1508127384050342</v>
      </c>
      <c r="AZ1170" t="s">
        <v>127</v>
      </c>
      <c r="BA1170" t="str">
        <f>VLOOKUP($AZ1170,Sheet1!$A$2:$B$58,2)</f>
        <v>Gamma Butyrolactone</v>
      </c>
      <c r="BB1170" t="s">
        <v>177</v>
      </c>
      <c r="BC1170">
        <v>86.08784</v>
      </c>
      <c r="BD1170">
        <v>4.5</v>
      </c>
      <c r="BE1170">
        <v>204</v>
      </c>
      <c r="BF1170" t="s">
        <v>218</v>
      </c>
      <c r="BG1170">
        <v>0</v>
      </c>
      <c r="BH1170">
        <v>3.6444444444444397E-2</v>
      </c>
      <c r="BI1170">
        <v>9.8597108915275802E-2</v>
      </c>
      <c r="BJ1170">
        <v>80</v>
      </c>
      <c r="BK1170">
        <v>21263.105900729541</v>
      </c>
      <c r="BL1170">
        <v>10161.89087573717</v>
      </c>
      <c r="BM1170">
        <v>65.301264852896352</v>
      </c>
      <c r="BN1170">
        <v>11101.21502499238</v>
      </c>
      <c r="BO1170">
        <v>10161.890875737159</v>
      </c>
    </row>
    <row r="1171" spans="1:67" x14ac:dyDescent="0.25">
      <c r="A1171" s="1">
        <v>1169</v>
      </c>
      <c r="B1171" t="s">
        <v>78</v>
      </c>
      <c r="C1171" t="s">
        <v>87</v>
      </c>
      <c r="D1171">
        <v>1</v>
      </c>
      <c r="E1171">
        <v>4</v>
      </c>
      <c r="F1171">
        <v>1</v>
      </c>
      <c r="G1171">
        <v>32.041060000000002</v>
      </c>
      <c r="H1171">
        <v>6</v>
      </c>
      <c r="I1171" t="s">
        <v>89</v>
      </c>
      <c r="J1171">
        <v>2.5</v>
      </c>
      <c r="K1171">
        <v>200</v>
      </c>
      <c r="L1171">
        <v>50</v>
      </c>
      <c r="N1171" t="s">
        <v>90</v>
      </c>
      <c r="O1171">
        <v>50</v>
      </c>
      <c r="P1171">
        <v>0.3125</v>
      </c>
      <c r="Q1171">
        <v>3.2500000000000001E-2</v>
      </c>
      <c r="R1171">
        <v>77.5</v>
      </c>
      <c r="S1171">
        <v>170</v>
      </c>
      <c r="T1171">
        <v>50</v>
      </c>
      <c r="U1171">
        <v>1812.1301775147931</v>
      </c>
      <c r="V1171">
        <v>20</v>
      </c>
      <c r="W1171">
        <v>0.95</v>
      </c>
      <c r="X1171">
        <v>1</v>
      </c>
      <c r="Y1171" t="s">
        <v>92</v>
      </c>
      <c r="Z1171" t="s">
        <v>92</v>
      </c>
      <c r="AA1171" t="s">
        <v>92</v>
      </c>
      <c r="AB1171" t="s">
        <v>92</v>
      </c>
      <c r="AC1171">
        <v>0</v>
      </c>
      <c r="AD1171" t="s">
        <v>92</v>
      </c>
      <c r="AE1171" t="s">
        <v>92</v>
      </c>
      <c r="AF1171" t="s">
        <v>92</v>
      </c>
      <c r="AG1171" t="s">
        <v>92</v>
      </c>
      <c r="AH1171" t="s">
        <v>92</v>
      </c>
      <c r="AI1171" t="s">
        <v>92</v>
      </c>
      <c r="AJ1171" t="s">
        <v>92</v>
      </c>
      <c r="AK1171">
        <v>854.70085470085473</v>
      </c>
      <c r="AL1171" t="s">
        <v>93</v>
      </c>
      <c r="AM1171" t="s">
        <v>92</v>
      </c>
      <c r="AN1171" t="s">
        <v>92</v>
      </c>
      <c r="AO1171" t="s">
        <v>92</v>
      </c>
      <c r="AP1171" t="s">
        <v>92</v>
      </c>
      <c r="AZ1171" t="s">
        <v>129</v>
      </c>
      <c r="BA1171" t="str">
        <f>VLOOKUP($AZ1171,Sheet1!$A$2:$B$58,2)</f>
        <v>Glutarate</v>
      </c>
      <c r="BB1171" t="s">
        <v>179</v>
      </c>
      <c r="BC1171">
        <v>130.09654</v>
      </c>
      <c r="BD1171">
        <v>3.6</v>
      </c>
      <c r="BE1171">
        <v>200</v>
      </c>
      <c r="BF1171" t="s">
        <v>218</v>
      </c>
      <c r="BH1171">
        <v>0</v>
      </c>
      <c r="BI1171">
        <v>0</v>
      </c>
      <c r="BJ1171">
        <v>80</v>
      </c>
    </row>
    <row r="1172" spans="1:67" x14ac:dyDescent="0.25">
      <c r="A1172" s="1">
        <v>1170</v>
      </c>
      <c r="B1172" t="s">
        <v>78</v>
      </c>
      <c r="C1172" t="s">
        <v>87</v>
      </c>
      <c r="D1172">
        <v>1</v>
      </c>
      <c r="E1172">
        <v>4</v>
      </c>
      <c r="F1172">
        <v>1</v>
      </c>
      <c r="G1172">
        <v>32.041060000000002</v>
      </c>
      <c r="H1172">
        <v>6</v>
      </c>
      <c r="I1172" t="s">
        <v>89</v>
      </c>
      <c r="J1172">
        <v>2.5</v>
      </c>
      <c r="K1172">
        <v>200</v>
      </c>
      <c r="L1172">
        <v>50</v>
      </c>
      <c r="N1172" t="s">
        <v>90</v>
      </c>
      <c r="O1172">
        <v>50</v>
      </c>
      <c r="P1172">
        <v>0.3125</v>
      </c>
      <c r="Q1172">
        <v>3.2500000000000001E-2</v>
      </c>
      <c r="R1172">
        <v>77.5</v>
      </c>
      <c r="S1172">
        <v>170</v>
      </c>
      <c r="T1172">
        <v>50</v>
      </c>
      <c r="U1172">
        <v>1812.1301775147931</v>
      </c>
      <c r="V1172">
        <v>20</v>
      </c>
      <c r="W1172">
        <v>0.95</v>
      </c>
      <c r="X1172">
        <v>1</v>
      </c>
      <c r="Y1172">
        <v>294226.84091912478</v>
      </c>
      <c r="Z1172">
        <v>588453681.83824968</v>
      </c>
      <c r="AA1172">
        <v>1471134204.595624</v>
      </c>
      <c r="AB1172">
        <v>1471134.204595624</v>
      </c>
      <c r="AC1172">
        <v>0</v>
      </c>
      <c r="AD1172">
        <v>6098.8925896969131</v>
      </c>
      <c r="AE1172">
        <v>3659335.5538181481</v>
      </c>
      <c r="AF1172">
        <v>1829667.776909074</v>
      </c>
      <c r="AG1172">
        <v>58.624495020010258</v>
      </c>
      <c r="AH1172">
        <v>603.92759146326239</v>
      </c>
      <c r="AI1172">
        <v>301.96379573163119</v>
      </c>
      <c r="AJ1172">
        <v>47811.861649357787</v>
      </c>
      <c r="AK1172">
        <v>854.70085470085473</v>
      </c>
      <c r="AL1172" t="s">
        <v>93</v>
      </c>
      <c r="AM1172">
        <v>46804.388338402838</v>
      </c>
      <c r="AN1172">
        <v>3283.506193829608</v>
      </c>
      <c r="AO1172">
        <v>51333.845274377301</v>
      </c>
      <c r="AP1172">
        <v>98754.457036291089</v>
      </c>
      <c r="AQ1172">
        <v>47420.611761913788</v>
      </c>
      <c r="AR1172">
        <v>2.6131444327083329E-2</v>
      </c>
      <c r="AS1172">
        <v>815.56116829728262</v>
      </c>
      <c r="AT1172">
        <v>798.37597445278004</v>
      </c>
      <c r="AU1172">
        <v>56.009116883801759</v>
      </c>
      <c r="AV1172">
        <v>875.63816552885544</v>
      </c>
      <c r="AW1172">
        <v>1684.525504272289</v>
      </c>
      <c r="AX1172">
        <v>808.88733874343404</v>
      </c>
      <c r="AY1172">
        <v>5.1508127384050324</v>
      </c>
      <c r="AZ1172" t="s">
        <v>131</v>
      </c>
      <c r="BA1172" t="str">
        <f>VLOOKUP($AZ1172,Sheet1!$A$2:$B$58,2)</f>
        <v>Heptane</v>
      </c>
      <c r="BB1172" t="s">
        <v>181</v>
      </c>
      <c r="BC1172">
        <v>100.20034</v>
      </c>
      <c r="BD1172">
        <v>6.2857142857142856</v>
      </c>
      <c r="BE1172">
        <v>98</v>
      </c>
      <c r="BF1172" t="s">
        <v>218</v>
      </c>
      <c r="BG1172">
        <v>0.14640668883957869</v>
      </c>
      <c r="BH1172">
        <v>0.1363636363636363</v>
      </c>
      <c r="BI1172">
        <v>0.42644290567392978</v>
      </c>
      <c r="BJ1172">
        <v>80</v>
      </c>
      <c r="BK1172">
        <v>4937.7228518145548</v>
      </c>
      <c r="BL1172">
        <v>2371.0305880956898</v>
      </c>
      <c r="BM1172">
        <v>14.951783097741981</v>
      </c>
      <c r="BN1172">
        <v>2541.803126616137</v>
      </c>
      <c r="BO1172">
        <v>2395.9197251984178</v>
      </c>
    </row>
    <row r="1173" spans="1:67" x14ac:dyDescent="0.25">
      <c r="A1173" s="1">
        <v>1171</v>
      </c>
      <c r="B1173" t="s">
        <v>78</v>
      </c>
      <c r="C1173" t="s">
        <v>87</v>
      </c>
      <c r="D1173">
        <v>1</v>
      </c>
      <c r="E1173">
        <v>4</v>
      </c>
      <c r="F1173">
        <v>1</v>
      </c>
      <c r="G1173">
        <v>32.041060000000002</v>
      </c>
      <c r="H1173">
        <v>6</v>
      </c>
      <c r="I1173" t="s">
        <v>89</v>
      </c>
      <c r="J1173">
        <v>2.5</v>
      </c>
      <c r="K1173">
        <v>200</v>
      </c>
      <c r="L1173">
        <v>50</v>
      </c>
      <c r="N1173" t="s">
        <v>90</v>
      </c>
      <c r="O1173">
        <v>50</v>
      </c>
      <c r="P1173">
        <v>0.3125</v>
      </c>
      <c r="Q1173">
        <v>3.2500000000000001E-2</v>
      </c>
      <c r="R1173">
        <v>77.5</v>
      </c>
      <c r="S1173">
        <v>170</v>
      </c>
      <c r="T1173">
        <v>50</v>
      </c>
      <c r="U1173">
        <v>1812.1301775147931</v>
      </c>
      <c r="V1173">
        <v>20</v>
      </c>
      <c r="W1173">
        <v>0.95</v>
      </c>
      <c r="X1173">
        <v>1</v>
      </c>
      <c r="Y1173">
        <v>341359.03735290602</v>
      </c>
      <c r="Z1173">
        <v>682718074.70581186</v>
      </c>
      <c r="AA1173">
        <v>1706795186.7645299</v>
      </c>
      <c r="AB1173">
        <v>1706795.1867645299</v>
      </c>
      <c r="AC1173">
        <v>0</v>
      </c>
      <c r="AD1173">
        <v>7075.8741684956331</v>
      </c>
      <c r="AE1173">
        <v>4245524.5010973802</v>
      </c>
      <c r="AF1173">
        <v>2122762.2505486901</v>
      </c>
      <c r="AG1173">
        <v>68.015552635565612</v>
      </c>
      <c r="AH1173">
        <v>700.67074984985891</v>
      </c>
      <c r="AI1173">
        <v>350.33537492492951</v>
      </c>
      <c r="AJ1173">
        <v>55470.843569847217</v>
      </c>
      <c r="AK1173">
        <v>854.70085470085473</v>
      </c>
      <c r="AL1173" t="s">
        <v>93</v>
      </c>
      <c r="AM1173">
        <v>54301.983113364062</v>
      </c>
      <c r="AN1173">
        <v>3809.4910374817659</v>
      </c>
      <c r="AO1173">
        <v>59557.013737237998</v>
      </c>
      <c r="AP1173">
        <v>114437.0185753939</v>
      </c>
      <c r="AQ1173">
        <v>54880.00483815591</v>
      </c>
      <c r="AR1173">
        <v>2.6131444327083329E-2</v>
      </c>
      <c r="AS1173">
        <v>815.56116829728273</v>
      </c>
      <c r="AT1173">
        <v>798.37597445278016</v>
      </c>
      <c r="AU1173">
        <v>56.009116883801767</v>
      </c>
      <c r="AV1173">
        <v>875.63816552885578</v>
      </c>
      <c r="AW1173">
        <v>1682.5125157559089</v>
      </c>
      <c r="AX1173">
        <v>806.8743502270529</v>
      </c>
      <c r="AY1173">
        <v>5.1508127384050342</v>
      </c>
      <c r="AZ1173" t="s">
        <v>132</v>
      </c>
      <c r="BA1173" t="str">
        <f>VLOOKUP($AZ1173,Sheet1!$A$2:$B$58,2)</f>
        <v>Hexane</v>
      </c>
      <c r="BB1173" t="s">
        <v>182</v>
      </c>
      <c r="BC1173">
        <v>86.173959999999994</v>
      </c>
      <c r="BD1173">
        <v>6.333333333333333</v>
      </c>
      <c r="BE1173">
        <v>69</v>
      </c>
      <c r="BF1173" t="s">
        <v>218</v>
      </c>
      <c r="BG1173">
        <v>0</v>
      </c>
      <c r="BH1173">
        <v>0.1366666666666666</v>
      </c>
      <c r="BI1173">
        <v>0.36756299156977518</v>
      </c>
      <c r="BJ1173">
        <v>80</v>
      </c>
      <c r="BK1173">
        <v>5721.8509287696952</v>
      </c>
      <c r="BL1173">
        <v>2744.000241907795</v>
      </c>
      <c r="BM1173">
        <v>17.51676874624647</v>
      </c>
      <c r="BN1173">
        <v>2977.8506868619011</v>
      </c>
      <c r="BO1173">
        <v>2744.000241907795</v>
      </c>
    </row>
    <row r="1174" spans="1:67" x14ac:dyDescent="0.25">
      <c r="A1174" s="1">
        <v>1172</v>
      </c>
      <c r="B1174" t="s">
        <v>78</v>
      </c>
      <c r="C1174" t="s">
        <v>87</v>
      </c>
      <c r="D1174">
        <v>1</v>
      </c>
      <c r="E1174">
        <v>4</v>
      </c>
      <c r="F1174">
        <v>1</v>
      </c>
      <c r="G1174">
        <v>32.041060000000002</v>
      </c>
      <c r="H1174">
        <v>6</v>
      </c>
      <c r="I1174" t="s">
        <v>89</v>
      </c>
      <c r="J1174">
        <v>2.5</v>
      </c>
      <c r="K1174">
        <v>200</v>
      </c>
      <c r="L1174">
        <v>50</v>
      </c>
      <c r="N1174" t="s">
        <v>90</v>
      </c>
      <c r="O1174">
        <v>50</v>
      </c>
      <c r="P1174">
        <v>0.3125</v>
      </c>
      <c r="Q1174">
        <v>3.2500000000000001E-2</v>
      </c>
      <c r="R1174">
        <v>77.5</v>
      </c>
      <c r="S1174">
        <v>170</v>
      </c>
      <c r="T1174">
        <v>50</v>
      </c>
      <c r="U1174">
        <v>1812.1301775147931</v>
      </c>
      <c r="V1174">
        <v>20</v>
      </c>
      <c r="W1174">
        <v>0.95</v>
      </c>
      <c r="X1174">
        <v>1</v>
      </c>
      <c r="Y1174">
        <v>455372.92702909588</v>
      </c>
      <c r="Z1174">
        <v>910745854.0581919</v>
      </c>
      <c r="AA1174">
        <v>2276864635.1454802</v>
      </c>
      <c r="AB1174">
        <v>2276864.6351454798</v>
      </c>
      <c r="AC1174">
        <v>0</v>
      </c>
      <c r="AD1174">
        <v>9439.215543797869</v>
      </c>
      <c r="AE1174">
        <v>5663529.3262787219</v>
      </c>
      <c r="AF1174">
        <v>2831764.663139361</v>
      </c>
      <c r="AG1174">
        <v>90.732741477528052</v>
      </c>
      <c r="AH1174">
        <v>934.69472118572435</v>
      </c>
      <c r="AI1174">
        <v>467.34736059286217</v>
      </c>
      <c r="AJ1174">
        <v>73998.100642228092</v>
      </c>
      <c r="AK1174">
        <v>854.70085470085473</v>
      </c>
      <c r="AL1174" t="s">
        <v>93</v>
      </c>
      <c r="AM1174">
        <v>72438.840891893633</v>
      </c>
      <c r="AN1174">
        <v>5081.8607226026379</v>
      </c>
      <c r="AO1174">
        <v>79449.051300786567</v>
      </c>
      <c r="AP1174">
        <v>152373.50311142521</v>
      </c>
      <c r="AQ1174">
        <v>72924.451810638639</v>
      </c>
      <c r="AR1174">
        <v>2.6131444327083329E-2</v>
      </c>
      <c r="AS1174">
        <v>815.56116829728262</v>
      </c>
      <c r="AT1174">
        <v>798.37597445278004</v>
      </c>
      <c r="AU1174">
        <v>56.009116883801767</v>
      </c>
      <c r="AV1174">
        <v>875.63816552885544</v>
      </c>
      <c r="AW1174">
        <v>1679.366242330105</v>
      </c>
      <c r="AX1174">
        <v>803.72807680125004</v>
      </c>
      <c r="AY1174">
        <v>5.1508127384050333</v>
      </c>
      <c r="AZ1174" t="s">
        <v>133</v>
      </c>
      <c r="BA1174" t="str">
        <f>VLOOKUP($AZ1174,Sheet1!$A$2:$B$58,2)</f>
        <v>Isobutanol</v>
      </c>
      <c r="BB1174" t="s">
        <v>183</v>
      </c>
      <c r="BC1174">
        <v>86.130899999999997</v>
      </c>
      <c r="BD1174">
        <v>5.6</v>
      </c>
      <c r="BE1174">
        <v>108</v>
      </c>
      <c r="BF1174" t="s">
        <v>218</v>
      </c>
      <c r="BG1174">
        <v>0</v>
      </c>
      <c r="BH1174">
        <v>0.1025000000000001</v>
      </c>
      <c r="BI1174">
        <v>0.27553449386505968</v>
      </c>
      <c r="BJ1174">
        <v>80</v>
      </c>
      <c r="BK1174">
        <v>7618.6751555712599</v>
      </c>
      <c r="BL1174">
        <v>3646.222590531931</v>
      </c>
      <c r="BM1174">
        <v>23.36736802964311</v>
      </c>
      <c r="BN1174">
        <v>3972.4525650393289</v>
      </c>
      <c r="BO1174">
        <v>3646.222590531931</v>
      </c>
    </row>
    <row r="1175" spans="1:67" x14ac:dyDescent="0.25">
      <c r="A1175" s="1">
        <v>1173</v>
      </c>
      <c r="B1175" t="s">
        <v>78</v>
      </c>
      <c r="C1175" t="s">
        <v>87</v>
      </c>
      <c r="D1175">
        <v>1</v>
      </c>
      <c r="E1175">
        <v>4</v>
      </c>
      <c r="F1175">
        <v>1</v>
      </c>
      <c r="G1175">
        <v>32.041060000000002</v>
      </c>
      <c r="H1175">
        <v>6</v>
      </c>
      <c r="I1175" t="s">
        <v>89</v>
      </c>
      <c r="J1175">
        <v>2.5</v>
      </c>
      <c r="K1175">
        <v>200</v>
      </c>
      <c r="L1175">
        <v>50</v>
      </c>
      <c r="N1175" t="s">
        <v>90</v>
      </c>
      <c r="O1175">
        <v>50</v>
      </c>
      <c r="P1175">
        <v>0.3125</v>
      </c>
      <c r="Q1175">
        <v>3.2500000000000001E-2</v>
      </c>
      <c r="R1175">
        <v>77.5</v>
      </c>
      <c r="S1175">
        <v>170</v>
      </c>
      <c r="T1175">
        <v>50</v>
      </c>
      <c r="U1175">
        <v>1812.1301775147931</v>
      </c>
      <c r="V1175">
        <v>20</v>
      </c>
      <c r="W1175">
        <v>0.95</v>
      </c>
      <c r="X1175">
        <v>1</v>
      </c>
      <c r="Y1175">
        <v>178826.20527705181</v>
      </c>
      <c r="Z1175">
        <v>357652410.55410361</v>
      </c>
      <c r="AA1175">
        <v>894131026.38525891</v>
      </c>
      <c r="AB1175">
        <v>894131.02638525888</v>
      </c>
      <c r="AC1175">
        <v>0</v>
      </c>
      <c r="AD1175">
        <v>3706.8059963557789</v>
      </c>
      <c r="AE1175">
        <v>2224083.597813467</v>
      </c>
      <c r="AF1175">
        <v>1112041.798906734</v>
      </c>
      <c r="AG1175">
        <v>35.630998001278591</v>
      </c>
      <c r="AH1175">
        <v>367.0571967741401</v>
      </c>
      <c r="AI1175">
        <v>183.52859838706999</v>
      </c>
      <c r="AJ1175">
        <v>29059.25835752091</v>
      </c>
      <c r="AK1175">
        <v>854.70085470085473</v>
      </c>
      <c r="AL1175" t="s">
        <v>93</v>
      </c>
      <c r="AM1175">
        <v>28446.93274999586</v>
      </c>
      <c r="AN1175">
        <v>1995.6607317401199</v>
      </c>
      <c r="AO1175">
        <v>31199.861725801911</v>
      </c>
      <c r="AP1175">
        <v>60356.552693957747</v>
      </c>
      <c r="AQ1175">
        <v>29156.690968155839</v>
      </c>
      <c r="AR1175">
        <v>2.6131444327083329E-2</v>
      </c>
      <c r="AS1175">
        <v>815.56116829728273</v>
      </c>
      <c r="AT1175">
        <v>798.37597445278004</v>
      </c>
      <c r="AU1175">
        <v>56.009116883801767</v>
      </c>
      <c r="AV1175">
        <v>875.63816552885555</v>
      </c>
      <c r="AW1175">
        <v>1693.9338239078199</v>
      </c>
      <c r="AX1175">
        <v>818.29565837896484</v>
      </c>
      <c r="AY1175">
        <v>5.1508127384050333</v>
      </c>
      <c r="AZ1175" t="s">
        <v>134</v>
      </c>
      <c r="BA1175" t="str">
        <f>VLOOKUP($AZ1175,Sheet1!$A$2:$B$58,2)</f>
        <v>Isobutyrate</v>
      </c>
      <c r="BB1175" t="s">
        <v>170</v>
      </c>
      <c r="BC1175">
        <v>87.095680000000002</v>
      </c>
      <c r="BD1175">
        <v>4.75</v>
      </c>
      <c r="BE1175">
        <v>155</v>
      </c>
      <c r="BF1175" t="s">
        <v>218</v>
      </c>
      <c r="BG1175">
        <v>0</v>
      </c>
      <c r="BH1175">
        <v>0.25</v>
      </c>
      <c r="BI1175">
        <v>0.70163625501320204</v>
      </c>
      <c r="BJ1175">
        <v>80</v>
      </c>
      <c r="BK1175">
        <v>3017.8276346978878</v>
      </c>
      <c r="BL1175">
        <v>1457.834548407792</v>
      </c>
      <c r="BM1175">
        <v>9.1764299193535024</v>
      </c>
      <c r="BN1175">
        <v>1559.9930862900951</v>
      </c>
      <c r="BO1175">
        <v>1457.834548407792</v>
      </c>
    </row>
    <row r="1176" spans="1:67" x14ac:dyDescent="0.25">
      <c r="A1176" s="1">
        <v>1174</v>
      </c>
      <c r="B1176" t="s">
        <v>78</v>
      </c>
      <c r="C1176" t="s">
        <v>87</v>
      </c>
      <c r="D1176">
        <v>1</v>
      </c>
      <c r="E1176">
        <v>4</v>
      </c>
      <c r="F1176">
        <v>1</v>
      </c>
      <c r="G1176">
        <v>32.041060000000002</v>
      </c>
      <c r="H1176">
        <v>6</v>
      </c>
      <c r="I1176" t="s">
        <v>89</v>
      </c>
      <c r="J1176">
        <v>2.5</v>
      </c>
      <c r="K1176">
        <v>200</v>
      </c>
      <c r="L1176">
        <v>50</v>
      </c>
      <c r="N1176" t="s">
        <v>90</v>
      </c>
      <c r="O1176">
        <v>50</v>
      </c>
      <c r="P1176">
        <v>0.3125</v>
      </c>
      <c r="Q1176">
        <v>3.2500000000000001E-2</v>
      </c>
      <c r="R1176">
        <v>77.5</v>
      </c>
      <c r="S1176">
        <v>170</v>
      </c>
      <c r="T1176">
        <v>50</v>
      </c>
      <c r="U1176">
        <v>1812.1301775147931</v>
      </c>
      <c r="V1176">
        <v>20</v>
      </c>
      <c r="W1176">
        <v>0.95</v>
      </c>
      <c r="X1176">
        <v>1</v>
      </c>
      <c r="Y1176">
        <v>1615738.889815212</v>
      </c>
      <c r="Z1176">
        <v>3231477779.630424</v>
      </c>
      <c r="AA1176">
        <v>8078694449.0760593</v>
      </c>
      <c r="AB1176">
        <v>8078694.4490760593</v>
      </c>
      <c r="AC1176">
        <v>66773.504273504266</v>
      </c>
      <c r="AD1176">
        <v>33491.906826705097</v>
      </c>
      <c r="AE1176">
        <v>20095144.09602306</v>
      </c>
      <c r="AF1176">
        <v>10047572.04801153</v>
      </c>
      <c r="AG1176">
        <v>321.93485884466043</v>
      </c>
      <c r="AH1176">
        <v>3316.4523437474049</v>
      </c>
      <c r="AI1176">
        <v>1658.2261718737029</v>
      </c>
      <c r="AJ1176">
        <v>262557.56959497201</v>
      </c>
      <c r="AK1176">
        <v>2170.1388888888891</v>
      </c>
      <c r="AL1176" t="s">
        <v>95</v>
      </c>
      <c r="AM1176">
        <v>257025.05664042389</v>
      </c>
      <c r="AN1176">
        <v>18031.2871380008</v>
      </c>
      <c r="AO1176">
        <v>281898.44921852951</v>
      </c>
      <c r="AP1176">
        <v>539784.05226228561</v>
      </c>
      <c r="AQ1176">
        <v>257885.60304375619</v>
      </c>
      <c r="AR1176">
        <v>2.6131444327083329E-2</v>
      </c>
      <c r="AS1176">
        <v>815.56116829728273</v>
      </c>
      <c r="AT1176">
        <v>798.37597445278016</v>
      </c>
      <c r="AU1176">
        <v>56.009116883801767</v>
      </c>
      <c r="AV1176">
        <v>875.63816552885555</v>
      </c>
      <c r="AW1176">
        <v>1676.687185101448</v>
      </c>
      <c r="AX1176">
        <v>801.04901957259267</v>
      </c>
      <c r="AY1176">
        <v>5.1508127384050324</v>
      </c>
      <c r="AZ1176" t="s">
        <v>135</v>
      </c>
      <c r="BA1176" t="str">
        <f>VLOOKUP($AZ1176,Sheet1!$A$2:$B$58,2)</f>
        <v>Isoprene</v>
      </c>
      <c r="BB1176" t="s">
        <v>184</v>
      </c>
      <c r="BC1176">
        <v>68.116219999999998</v>
      </c>
      <c r="BD1176">
        <v>5.6</v>
      </c>
      <c r="BE1176">
        <v>34.07</v>
      </c>
      <c r="BF1176" t="s">
        <v>218</v>
      </c>
      <c r="BG1176">
        <v>0</v>
      </c>
      <c r="BH1176">
        <v>3.6444444444444203E-2</v>
      </c>
      <c r="BI1176">
        <v>7.7655461386562596E-2</v>
      </c>
      <c r="BJ1176">
        <v>80</v>
      </c>
      <c r="BK1176">
        <v>26989.202613114281</v>
      </c>
      <c r="BL1176">
        <v>12894.28015218781</v>
      </c>
      <c r="BM1176">
        <v>82.911308593685121</v>
      </c>
      <c r="BN1176">
        <v>14094.922460926469</v>
      </c>
      <c r="BO1176">
        <v>12894.28015218781</v>
      </c>
    </row>
    <row r="1177" spans="1:67" x14ac:dyDescent="0.25">
      <c r="A1177" s="1">
        <v>1175</v>
      </c>
      <c r="B1177" t="s">
        <v>78</v>
      </c>
      <c r="C1177" t="s">
        <v>87</v>
      </c>
      <c r="D1177">
        <v>1</v>
      </c>
      <c r="E1177">
        <v>4</v>
      </c>
      <c r="F1177">
        <v>1</v>
      </c>
      <c r="G1177">
        <v>32.041060000000002</v>
      </c>
      <c r="H1177">
        <v>6</v>
      </c>
      <c r="I1177" t="s">
        <v>89</v>
      </c>
      <c r="J1177">
        <v>2.5</v>
      </c>
      <c r="K1177">
        <v>200</v>
      </c>
      <c r="L1177">
        <v>50</v>
      </c>
      <c r="N1177" t="s">
        <v>90</v>
      </c>
      <c r="O1177">
        <v>50</v>
      </c>
      <c r="P1177">
        <v>0.3125</v>
      </c>
      <c r="Q1177">
        <v>3.2500000000000001E-2</v>
      </c>
      <c r="R1177">
        <v>77.5</v>
      </c>
      <c r="S1177">
        <v>170</v>
      </c>
      <c r="T1177">
        <v>50</v>
      </c>
      <c r="U1177">
        <v>1812.1301775147931</v>
      </c>
      <c r="V1177">
        <v>20</v>
      </c>
      <c r="W1177">
        <v>0.95</v>
      </c>
      <c r="X1177">
        <v>1</v>
      </c>
      <c r="Y1177">
        <v>200697.2865512626</v>
      </c>
      <c r="Z1177">
        <v>401394573.10252517</v>
      </c>
      <c r="AA1177">
        <v>1003486432.756313</v>
      </c>
      <c r="AB1177">
        <v>1003486.432756313</v>
      </c>
      <c r="AC1177">
        <v>0</v>
      </c>
      <c r="AD1177">
        <v>4160.1615607062413</v>
      </c>
      <c r="AE1177">
        <v>2496096.936423745</v>
      </c>
      <c r="AF1177">
        <v>1248048.468211873</v>
      </c>
      <c r="AG1177">
        <v>39.988795852884699</v>
      </c>
      <c r="AH1177">
        <v>411.9495981450338</v>
      </c>
      <c r="AI1177">
        <v>205.9747990725169</v>
      </c>
      <c r="AJ1177">
        <v>32613.309064580179</v>
      </c>
      <c r="AK1177">
        <v>854.70085470085473</v>
      </c>
      <c r="AL1177" t="s">
        <v>93</v>
      </c>
      <c r="AM1177">
        <v>31926.093856240121</v>
      </c>
      <c r="AN1177">
        <v>2239.7371409667062</v>
      </c>
      <c r="AO1177">
        <v>35015.715842327867</v>
      </c>
      <c r="AP1177">
        <v>67633.840916487869</v>
      </c>
      <c r="AQ1177">
        <v>32618.125074159991</v>
      </c>
      <c r="AR1177">
        <v>2.6131444327083329E-2</v>
      </c>
      <c r="AS1177">
        <v>815.56116829728273</v>
      </c>
      <c r="AT1177">
        <v>798.37597445278027</v>
      </c>
      <c r="AU1177">
        <v>56.009116883801752</v>
      </c>
      <c r="AV1177">
        <v>875.63816552885578</v>
      </c>
      <c r="AW1177">
        <v>1691.3197677996329</v>
      </c>
      <c r="AX1177">
        <v>815.68160227077692</v>
      </c>
      <c r="AY1177">
        <v>5.1508127384050342</v>
      </c>
      <c r="AZ1177" t="s">
        <v>136</v>
      </c>
      <c r="BA1177" t="str">
        <f>VLOOKUP($AZ1177,Sheet1!$A$2:$B$58,2)</f>
        <v>Isopropanol</v>
      </c>
      <c r="BB1177" t="s">
        <v>156</v>
      </c>
      <c r="BC1177">
        <v>60.093820000000001</v>
      </c>
      <c r="BD1177">
        <v>6</v>
      </c>
      <c r="BE1177">
        <v>82.5</v>
      </c>
      <c r="BF1177" t="s">
        <v>218</v>
      </c>
      <c r="BG1177">
        <v>0</v>
      </c>
      <c r="BH1177">
        <v>0.33333333333333331</v>
      </c>
      <c r="BI1177">
        <v>0.62517511384870961</v>
      </c>
      <c r="BJ1177">
        <v>80</v>
      </c>
      <c r="BK1177">
        <v>3381.692045824394</v>
      </c>
      <c r="BL1177">
        <v>1630.906253707999</v>
      </c>
      <c r="BM1177">
        <v>10.29873995362585</v>
      </c>
      <c r="BN1177">
        <v>1750.7857921163941</v>
      </c>
      <c r="BO1177">
        <v>1630.9062537079999</v>
      </c>
    </row>
    <row r="1178" spans="1:67" x14ac:dyDescent="0.25">
      <c r="A1178" s="1">
        <v>1176</v>
      </c>
      <c r="B1178" t="s">
        <v>78</v>
      </c>
      <c r="C1178" t="s">
        <v>87</v>
      </c>
      <c r="D1178">
        <v>1</v>
      </c>
      <c r="E1178">
        <v>4</v>
      </c>
      <c r="F1178">
        <v>1</v>
      </c>
      <c r="G1178">
        <v>32.041060000000002</v>
      </c>
      <c r="H1178">
        <v>6</v>
      </c>
      <c r="I1178" t="s">
        <v>89</v>
      </c>
      <c r="J1178">
        <v>2.5</v>
      </c>
      <c r="K1178">
        <v>200</v>
      </c>
      <c r="L1178">
        <v>50</v>
      </c>
      <c r="N1178" t="s">
        <v>90</v>
      </c>
      <c r="O1178">
        <v>50</v>
      </c>
      <c r="P1178">
        <v>0.3125</v>
      </c>
      <c r="Q1178">
        <v>3.2500000000000001E-2</v>
      </c>
      <c r="R1178">
        <v>77.5</v>
      </c>
      <c r="S1178">
        <v>170</v>
      </c>
      <c r="T1178">
        <v>50</v>
      </c>
      <c r="U1178">
        <v>1812.1301775147931</v>
      </c>
      <c r="V1178">
        <v>20</v>
      </c>
      <c r="W1178">
        <v>0.95</v>
      </c>
      <c r="X1178">
        <v>1</v>
      </c>
      <c r="Y1178">
        <v>715437.05669853813</v>
      </c>
      <c r="Z1178">
        <v>1430874113.3970759</v>
      </c>
      <c r="AA1178">
        <v>3577185283.4926901</v>
      </c>
      <c r="AB1178">
        <v>3577185.28349269</v>
      </c>
      <c r="AC1178">
        <v>0</v>
      </c>
      <c r="AD1178">
        <v>14829.96503603374</v>
      </c>
      <c r="AE1178">
        <v>8897979.0216202457</v>
      </c>
      <c r="AF1178">
        <v>4448989.5108101228</v>
      </c>
      <c r="AG1178">
        <v>142.55033985523781</v>
      </c>
      <c r="AH1178">
        <v>1468.5002127806511</v>
      </c>
      <c r="AI1178">
        <v>734.25010639032553</v>
      </c>
      <c r="AJ1178">
        <v>116258.5217135124</v>
      </c>
      <c r="AK1178">
        <v>854.70085470085473</v>
      </c>
      <c r="AL1178" t="s">
        <v>93</v>
      </c>
      <c r="AM1178">
        <v>113808.76649050041</v>
      </c>
      <c r="AN1178">
        <v>7984.1186467776824</v>
      </c>
      <c r="AO1178">
        <v>124822.5180863553</v>
      </c>
      <c r="AP1178">
        <v>238906.10770549139</v>
      </c>
      <c r="AQ1178">
        <v>114083.5896191361</v>
      </c>
      <c r="AR1178">
        <v>2.6131444327083329E-2</v>
      </c>
      <c r="AS1178">
        <v>815.56116829728262</v>
      </c>
      <c r="AT1178">
        <v>798.37597445278004</v>
      </c>
      <c r="AU1178">
        <v>56.009116883801781</v>
      </c>
      <c r="AV1178">
        <v>875.63816552885555</v>
      </c>
      <c r="AW1178">
        <v>1675.942042285584</v>
      </c>
      <c r="AX1178">
        <v>800.30387675672887</v>
      </c>
      <c r="AY1178">
        <v>5.1508127384050324</v>
      </c>
      <c r="AZ1178" t="s">
        <v>137</v>
      </c>
      <c r="BA1178" t="str">
        <f>VLOOKUP($AZ1178,Sheet1!$A$2:$B$58,2)</f>
        <v>Itaconate</v>
      </c>
      <c r="BB1178" t="s">
        <v>185</v>
      </c>
      <c r="BC1178">
        <v>128.08086</v>
      </c>
      <c r="BD1178">
        <v>3.2</v>
      </c>
      <c r="BE1178">
        <v>381</v>
      </c>
      <c r="BF1178" t="s">
        <v>218</v>
      </c>
      <c r="BG1178">
        <v>0</v>
      </c>
      <c r="BH1178">
        <v>4.3157894736842298E-2</v>
      </c>
      <c r="BI1178">
        <v>0.1753766425628161</v>
      </c>
      <c r="BJ1178">
        <v>80</v>
      </c>
      <c r="BK1178">
        <v>11945.305385274571</v>
      </c>
      <c r="BL1178">
        <v>5704.1794809568028</v>
      </c>
      <c r="BM1178">
        <v>36.712505319516282</v>
      </c>
      <c r="BN1178">
        <v>6241.1259043177679</v>
      </c>
      <c r="BO1178">
        <v>5704.1794809568028</v>
      </c>
    </row>
    <row r="1179" spans="1:67" x14ac:dyDescent="0.25">
      <c r="A1179" s="1">
        <v>1177</v>
      </c>
      <c r="B1179" t="s">
        <v>78</v>
      </c>
      <c r="C1179" t="s">
        <v>87</v>
      </c>
      <c r="D1179">
        <v>1</v>
      </c>
      <c r="E1179">
        <v>4</v>
      </c>
      <c r="F1179">
        <v>1</v>
      </c>
      <c r="G1179">
        <v>32.041060000000002</v>
      </c>
      <c r="H1179">
        <v>6</v>
      </c>
      <c r="I1179" t="s">
        <v>89</v>
      </c>
      <c r="J1179">
        <v>2.5</v>
      </c>
      <c r="K1179">
        <v>200</v>
      </c>
      <c r="L1179">
        <v>50</v>
      </c>
      <c r="N1179" t="s">
        <v>90</v>
      </c>
      <c r="O1179">
        <v>50</v>
      </c>
      <c r="P1179">
        <v>0.3125</v>
      </c>
      <c r="Q1179">
        <v>3.2500000000000001E-2</v>
      </c>
      <c r="R1179">
        <v>77.5</v>
      </c>
      <c r="S1179">
        <v>170</v>
      </c>
      <c r="T1179">
        <v>50</v>
      </c>
      <c r="U1179">
        <v>1812.1301775147931</v>
      </c>
      <c r="V1179">
        <v>20</v>
      </c>
      <c r="W1179">
        <v>0.95</v>
      </c>
      <c r="X1179">
        <v>1</v>
      </c>
      <c r="Y1179">
        <v>684260.69583146705</v>
      </c>
      <c r="Z1179">
        <v>1368521391.6629341</v>
      </c>
      <c r="AA1179">
        <v>3421303479.1573348</v>
      </c>
      <c r="AB1179">
        <v>3421303.4791573351</v>
      </c>
      <c r="AC1179">
        <v>0</v>
      </c>
      <c r="AD1179">
        <v>14183.724619381341</v>
      </c>
      <c r="AE1179">
        <v>8510234.7716288026</v>
      </c>
      <c r="AF1179">
        <v>4255117.3858144013</v>
      </c>
      <c r="AG1179">
        <v>136.3384714659224</v>
      </c>
      <c r="AH1179">
        <v>1404.5078711226879</v>
      </c>
      <c r="AI1179">
        <v>702.25393556134418</v>
      </c>
      <c r="AJ1179">
        <v>111192.3630726134</v>
      </c>
      <c r="AK1179">
        <v>854.70085470085473</v>
      </c>
      <c r="AL1179" t="s">
        <v>93</v>
      </c>
      <c r="AM1179">
        <v>108849.3600120083</v>
      </c>
      <c r="AN1179">
        <v>7636.1973840937189</v>
      </c>
      <c r="AO1179">
        <v>119383.1690454285</v>
      </c>
      <c r="AP1179">
        <v>228532.6213234163</v>
      </c>
      <c r="AQ1179">
        <v>109149.4522779878</v>
      </c>
      <c r="AR1179">
        <v>2.6131444327083329E-2</v>
      </c>
      <c r="AS1179">
        <v>815.56116829728273</v>
      </c>
      <c r="AT1179">
        <v>798.37597445278016</v>
      </c>
      <c r="AU1179">
        <v>56.009116883801759</v>
      </c>
      <c r="AV1179">
        <v>875.63816552885567</v>
      </c>
      <c r="AW1179">
        <v>1676.2152227923259</v>
      </c>
      <c r="AX1179">
        <v>800.57705726347069</v>
      </c>
      <c r="AY1179">
        <v>5.1508127384050333</v>
      </c>
      <c r="AZ1179" t="s">
        <v>141</v>
      </c>
      <c r="BA1179" t="str">
        <f>VLOOKUP($AZ1179,Sheet1!$A$2:$B$58,2)</f>
        <v>Malonate</v>
      </c>
      <c r="BB1179" t="s">
        <v>189</v>
      </c>
      <c r="BC1179">
        <v>102.04378</v>
      </c>
      <c r="BD1179">
        <v>2</v>
      </c>
      <c r="BE1179">
        <v>199</v>
      </c>
      <c r="BF1179" t="s">
        <v>218</v>
      </c>
      <c r="BG1179">
        <v>0</v>
      </c>
      <c r="BH1179">
        <v>5.6551724137931102E-2</v>
      </c>
      <c r="BI1179">
        <v>0.18336717238500591</v>
      </c>
      <c r="BJ1179">
        <v>80</v>
      </c>
      <c r="BK1179">
        <v>11426.631066170819</v>
      </c>
      <c r="BL1179">
        <v>5457.4726138993901</v>
      </c>
      <c r="BM1179">
        <v>35.11269677806721</v>
      </c>
      <c r="BN1179">
        <v>5969.1584522714256</v>
      </c>
      <c r="BO1179">
        <v>5457.4726138993901</v>
      </c>
    </row>
    <row r="1180" spans="1:67" x14ac:dyDescent="0.25">
      <c r="A1180" s="1">
        <v>1178</v>
      </c>
      <c r="B1180" t="s">
        <v>78</v>
      </c>
      <c r="C1180" t="s">
        <v>87</v>
      </c>
      <c r="D1180">
        <v>1</v>
      </c>
      <c r="E1180">
        <v>4</v>
      </c>
      <c r="F1180">
        <v>1</v>
      </c>
      <c r="G1180">
        <v>32.041060000000002</v>
      </c>
      <c r="H1180">
        <v>6</v>
      </c>
      <c r="I1180" t="s">
        <v>89</v>
      </c>
      <c r="J1180">
        <v>2.5</v>
      </c>
      <c r="K1180">
        <v>200</v>
      </c>
      <c r="L1180">
        <v>50</v>
      </c>
      <c r="N1180" t="s">
        <v>90</v>
      </c>
      <c r="O1180">
        <v>50</v>
      </c>
      <c r="P1180">
        <v>0.3125</v>
      </c>
      <c r="Q1180">
        <v>3.2500000000000001E-2</v>
      </c>
      <c r="R1180">
        <v>77.5</v>
      </c>
      <c r="S1180">
        <v>170</v>
      </c>
      <c r="T1180">
        <v>50</v>
      </c>
      <c r="U1180">
        <v>1812.1301775147931</v>
      </c>
      <c r="V1180">
        <v>20</v>
      </c>
      <c r="W1180">
        <v>0.95</v>
      </c>
      <c r="X1180">
        <v>1</v>
      </c>
      <c r="Y1180">
        <v>292792.3464062502</v>
      </c>
      <c r="Z1180">
        <v>585584692.81250036</v>
      </c>
      <c r="AA1180">
        <v>1463961732.031251</v>
      </c>
      <c r="AB1180">
        <v>1463961.7320312511</v>
      </c>
      <c r="AC1180">
        <v>0</v>
      </c>
      <c r="AD1180">
        <v>6069.1576140325506</v>
      </c>
      <c r="AE1180">
        <v>3641494.568419531</v>
      </c>
      <c r="AF1180">
        <v>1820747.284209765</v>
      </c>
      <c r="AG1180">
        <v>58.33867297820214</v>
      </c>
      <c r="AH1180">
        <v>600.98315983553823</v>
      </c>
      <c r="AI1180">
        <v>300.49157991776912</v>
      </c>
      <c r="AJ1180">
        <v>47578.756291015663</v>
      </c>
      <c r="AK1180">
        <v>854.70085470085473</v>
      </c>
      <c r="AL1180" t="s">
        <v>93</v>
      </c>
      <c r="AM1180">
        <v>46576.194887254213</v>
      </c>
      <c r="AN1180">
        <v>3267.497553682012</v>
      </c>
      <c r="AO1180">
        <v>51083.568586020752</v>
      </c>
      <c r="AP1180">
        <v>98277.14958665274</v>
      </c>
      <c r="AQ1180">
        <v>47193.581000631988</v>
      </c>
      <c r="AR1180">
        <v>2.6131444327083329E-2</v>
      </c>
      <c r="AS1180">
        <v>815.56116829728273</v>
      </c>
      <c r="AT1180">
        <v>798.37597445278016</v>
      </c>
      <c r="AU1180">
        <v>56.009116883801767</v>
      </c>
      <c r="AV1180">
        <v>875.63816552885567</v>
      </c>
      <c r="AW1180">
        <v>1684.596933210554</v>
      </c>
      <c r="AX1180">
        <v>808.95876768169808</v>
      </c>
      <c r="AY1180">
        <v>5.1508127384050342</v>
      </c>
      <c r="AZ1180" t="s">
        <v>142</v>
      </c>
      <c r="BA1180" t="str">
        <f>VLOOKUP($AZ1180,Sheet1!$A$2:$B$58,2)</f>
        <v>Nonane</v>
      </c>
      <c r="BB1180" t="s">
        <v>190</v>
      </c>
      <c r="BC1180">
        <v>128.25309999999999</v>
      </c>
      <c r="BD1180">
        <v>6.2222222222222223</v>
      </c>
      <c r="BE1180">
        <v>151</v>
      </c>
      <c r="BF1180" t="s">
        <v>218</v>
      </c>
      <c r="BG1180">
        <v>0.1131262418513964</v>
      </c>
      <c r="BH1180">
        <v>0.1070588235294118</v>
      </c>
      <c r="BI1180">
        <v>0.42853220211815729</v>
      </c>
      <c r="BJ1180">
        <v>80</v>
      </c>
      <c r="BK1180">
        <v>4913.8574793326361</v>
      </c>
      <c r="BL1180">
        <v>2359.6790500315992</v>
      </c>
      <c r="BM1180">
        <v>14.911452754037059</v>
      </c>
      <c r="BN1180">
        <v>2534.9469681863002</v>
      </c>
      <c r="BO1180">
        <v>2378.9105111463359</v>
      </c>
    </row>
    <row r="1181" spans="1:67" x14ac:dyDescent="0.25">
      <c r="A1181" s="1">
        <v>1179</v>
      </c>
      <c r="B1181" t="s">
        <v>78</v>
      </c>
      <c r="C1181" t="s">
        <v>87</v>
      </c>
      <c r="D1181">
        <v>1</v>
      </c>
      <c r="E1181">
        <v>4</v>
      </c>
      <c r="F1181">
        <v>1</v>
      </c>
      <c r="G1181">
        <v>32.041060000000002</v>
      </c>
      <c r="H1181">
        <v>6</v>
      </c>
      <c r="I1181" t="s">
        <v>89</v>
      </c>
      <c r="J1181">
        <v>2.5</v>
      </c>
      <c r="K1181">
        <v>200</v>
      </c>
      <c r="L1181">
        <v>50</v>
      </c>
      <c r="N1181" t="s">
        <v>90</v>
      </c>
      <c r="O1181">
        <v>50</v>
      </c>
      <c r="P1181">
        <v>0.3125</v>
      </c>
      <c r="Q1181">
        <v>3.2500000000000001E-2</v>
      </c>
      <c r="R1181">
        <v>77.5</v>
      </c>
      <c r="S1181">
        <v>170</v>
      </c>
      <c r="T1181">
        <v>50</v>
      </c>
      <c r="U1181">
        <v>1812.1301775147931</v>
      </c>
      <c r="V1181">
        <v>20</v>
      </c>
      <c r="W1181">
        <v>0.95</v>
      </c>
      <c r="X1181">
        <v>1</v>
      </c>
      <c r="Y1181">
        <v>343366.94637341268</v>
      </c>
      <c r="Z1181">
        <v>686733892.74682546</v>
      </c>
      <c r="AA1181">
        <v>1716834731.867064</v>
      </c>
      <c r="AB1181">
        <v>1716834.731867064</v>
      </c>
      <c r="AC1181">
        <v>0</v>
      </c>
      <c r="AD1181">
        <v>7117.4951892281388</v>
      </c>
      <c r="AE1181">
        <v>4270497.1135368831</v>
      </c>
      <c r="AF1181">
        <v>2135248.556768442</v>
      </c>
      <c r="AG1181">
        <v>68.41562712233106</v>
      </c>
      <c r="AH1181">
        <v>704.79216737534341</v>
      </c>
      <c r="AI1181">
        <v>352.39608368767171</v>
      </c>
      <c r="AJ1181">
        <v>55797.128785679568</v>
      </c>
      <c r="AK1181">
        <v>854.70085470085473</v>
      </c>
      <c r="AL1181" t="s">
        <v>93</v>
      </c>
      <c r="AM1181">
        <v>54621.392971589114</v>
      </c>
      <c r="AN1181">
        <v>3831.8988561732381</v>
      </c>
      <c r="AO1181">
        <v>59907.33422690419</v>
      </c>
      <c r="AP1181">
        <v>115105.1214681428</v>
      </c>
      <c r="AQ1181">
        <v>55197.787241238591</v>
      </c>
      <c r="AR1181">
        <v>2.6131444327083329E-2</v>
      </c>
      <c r="AS1181">
        <v>815.56116829728273</v>
      </c>
      <c r="AT1181">
        <v>798.37597445278027</v>
      </c>
      <c r="AU1181">
        <v>56.009116883801767</v>
      </c>
      <c r="AV1181">
        <v>875.63816552885578</v>
      </c>
      <c r="AW1181">
        <v>1682.439031982098</v>
      </c>
      <c r="AX1181">
        <v>806.80086645324172</v>
      </c>
      <c r="AY1181">
        <v>5.1508127384050333</v>
      </c>
      <c r="AZ1181" t="s">
        <v>143</v>
      </c>
      <c r="BA1181" t="str">
        <f>VLOOKUP($AZ1181,Sheet1!$A$2:$B$58,2)</f>
        <v>Octane</v>
      </c>
      <c r="BB1181" t="s">
        <v>191</v>
      </c>
      <c r="BC1181">
        <v>114.22672</v>
      </c>
      <c r="BD1181">
        <v>6.25</v>
      </c>
      <c r="BE1181">
        <v>126</v>
      </c>
      <c r="BF1181" t="s">
        <v>218</v>
      </c>
      <c r="BG1181">
        <v>0</v>
      </c>
      <c r="BH1181">
        <v>0.1024999999999988</v>
      </c>
      <c r="BI1181">
        <v>0.36541359118580569</v>
      </c>
      <c r="BJ1181">
        <v>80</v>
      </c>
      <c r="BK1181">
        <v>5755.2560734071403</v>
      </c>
      <c r="BL1181">
        <v>2759.8893620619301</v>
      </c>
      <c r="BM1181">
        <v>17.61980418438359</v>
      </c>
      <c r="BN1181">
        <v>2995.3667113452102</v>
      </c>
      <c r="BO1181">
        <v>2759.889362061931</v>
      </c>
    </row>
    <row r="1182" spans="1:67" x14ac:dyDescent="0.25">
      <c r="A1182" s="1">
        <v>1180</v>
      </c>
      <c r="B1182" t="s">
        <v>78</v>
      </c>
      <c r="C1182" t="s">
        <v>87</v>
      </c>
      <c r="D1182">
        <v>1</v>
      </c>
      <c r="E1182">
        <v>4</v>
      </c>
      <c r="F1182">
        <v>1</v>
      </c>
      <c r="G1182">
        <v>32.041060000000002</v>
      </c>
      <c r="H1182">
        <v>6</v>
      </c>
      <c r="I1182" t="s">
        <v>89</v>
      </c>
      <c r="J1182">
        <v>2.5</v>
      </c>
      <c r="K1182">
        <v>200</v>
      </c>
      <c r="L1182">
        <v>50</v>
      </c>
      <c r="N1182" t="s">
        <v>90</v>
      </c>
      <c r="O1182">
        <v>50</v>
      </c>
      <c r="P1182">
        <v>0.3125</v>
      </c>
      <c r="Q1182">
        <v>3.2500000000000001E-2</v>
      </c>
      <c r="R1182">
        <v>77.5</v>
      </c>
      <c r="S1182">
        <v>170</v>
      </c>
      <c r="T1182">
        <v>50</v>
      </c>
      <c r="U1182">
        <v>1812.1301775147931</v>
      </c>
      <c r="V1182">
        <v>20</v>
      </c>
      <c r="W1182">
        <v>0.95</v>
      </c>
      <c r="X1182">
        <v>1</v>
      </c>
      <c r="Y1182">
        <v>306165.95857999322</v>
      </c>
      <c r="Z1182">
        <v>612331917.1599865</v>
      </c>
      <c r="AA1182">
        <v>1530829792.899966</v>
      </c>
      <c r="AB1182">
        <v>1530829.792899966</v>
      </c>
      <c r="AC1182">
        <v>66773.504273504266</v>
      </c>
      <c r="AD1182">
        <v>6346.3730574949032</v>
      </c>
      <c r="AE1182">
        <v>3807823.8344969419</v>
      </c>
      <c r="AF1182">
        <v>1903911.9172484709</v>
      </c>
      <c r="AG1182">
        <v>61.003355975273287</v>
      </c>
      <c r="AH1182">
        <v>628.43372608578886</v>
      </c>
      <c r="AI1182">
        <v>314.21686304289437</v>
      </c>
      <c r="AJ1182">
        <v>49751.968269248908</v>
      </c>
      <c r="AK1182">
        <v>2170.1388888888891</v>
      </c>
      <c r="AL1182" t="s">
        <v>95</v>
      </c>
      <c r="AM1182">
        <v>48703.613771648626</v>
      </c>
      <c r="AN1182">
        <v>3416.7440951232479</v>
      </c>
      <c r="AO1182">
        <v>53416.866717292047</v>
      </c>
      <c r="AP1182">
        <v>104042.4650249097</v>
      </c>
      <c r="AQ1182">
        <v>50625.59830761762</v>
      </c>
      <c r="AR1182">
        <v>2.6131444327083329E-2</v>
      </c>
      <c r="AS1182">
        <v>815.56116829728273</v>
      </c>
      <c r="AT1182">
        <v>798.37597445277993</v>
      </c>
      <c r="AU1182">
        <v>56.009116883801752</v>
      </c>
      <c r="AV1182">
        <v>875.63816552885544</v>
      </c>
      <c r="AW1182">
        <v>1705.520349848975</v>
      </c>
      <c r="AX1182">
        <v>829.88218432011956</v>
      </c>
      <c r="AY1182">
        <v>5.1508127384050324</v>
      </c>
      <c r="AZ1182" t="s">
        <v>144</v>
      </c>
      <c r="BA1182" t="str">
        <f>VLOOKUP($AZ1182,Sheet1!$A$2:$B$58,2)</f>
        <v>Pentane</v>
      </c>
      <c r="BB1182" t="s">
        <v>192</v>
      </c>
      <c r="BC1182">
        <v>72.147580000000005</v>
      </c>
      <c r="BD1182">
        <v>6.4</v>
      </c>
      <c r="BE1182">
        <v>36.1</v>
      </c>
      <c r="BF1182" t="s">
        <v>218</v>
      </c>
      <c r="BG1182">
        <v>0.1541757407997133</v>
      </c>
      <c r="BH1182">
        <v>0.1819999999999998</v>
      </c>
      <c r="BI1182">
        <v>0.40981351927807608</v>
      </c>
      <c r="BJ1182">
        <v>80</v>
      </c>
      <c r="BK1182">
        <v>5202.1232512454826</v>
      </c>
      <c r="BL1182">
        <v>2531.279915380881</v>
      </c>
      <c r="BM1182">
        <v>15.556667411345011</v>
      </c>
      <c r="BN1182">
        <v>2644.6334599286511</v>
      </c>
      <c r="BO1182">
        <v>2557.489791316832</v>
      </c>
    </row>
    <row r="1183" spans="1:67" x14ac:dyDescent="0.25">
      <c r="A1183" s="1">
        <v>1181</v>
      </c>
      <c r="B1183" t="s">
        <v>78</v>
      </c>
      <c r="C1183" t="s">
        <v>87</v>
      </c>
      <c r="D1183">
        <v>1</v>
      </c>
      <c r="E1183">
        <v>4</v>
      </c>
      <c r="F1183">
        <v>1</v>
      </c>
      <c r="G1183">
        <v>32.041060000000002</v>
      </c>
      <c r="H1183">
        <v>6</v>
      </c>
      <c r="I1183" t="s">
        <v>89</v>
      </c>
      <c r="J1183">
        <v>2.5</v>
      </c>
      <c r="K1183">
        <v>200</v>
      </c>
      <c r="L1183">
        <v>50</v>
      </c>
      <c r="N1183" t="s">
        <v>90</v>
      </c>
      <c r="O1183">
        <v>50</v>
      </c>
      <c r="P1183">
        <v>0.3125</v>
      </c>
      <c r="Q1183">
        <v>3.2500000000000001E-2</v>
      </c>
      <c r="R1183">
        <v>77.5</v>
      </c>
      <c r="S1183">
        <v>170</v>
      </c>
      <c r="T1183">
        <v>50</v>
      </c>
      <c r="U1183">
        <v>1812.1301775147931</v>
      </c>
      <c r="V1183">
        <v>20</v>
      </c>
      <c r="W1183">
        <v>0.95</v>
      </c>
      <c r="X1183">
        <v>1</v>
      </c>
      <c r="Y1183">
        <v>834299.52785711957</v>
      </c>
      <c r="Z1183">
        <v>1668599055.7142389</v>
      </c>
      <c r="AA1183">
        <v>4171497639.2855978</v>
      </c>
      <c r="AB1183">
        <v>4171497.639285598</v>
      </c>
      <c r="AC1183">
        <v>0</v>
      </c>
      <c r="AD1183">
        <v>17293.810422394668</v>
      </c>
      <c r="AE1183">
        <v>10376286.2534368</v>
      </c>
      <c r="AF1183">
        <v>5188143.126718401</v>
      </c>
      <c r="AG1183">
        <v>166.2336052117719</v>
      </c>
      <c r="AH1183">
        <v>1712.476342551576</v>
      </c>
      <c r="AI1183">
        <v>856.23817127578809</v>
      </c>
      <c r="AJ1183">
        <v>135573.67327678189</v>
      </c>
      <c r="AK1183">
        <v>854.70085470085473</v>
      </c>
      <c r="AL1183" t="s">
        <v>93</v>
      </c>
      <c r="AM1183">
        <v>132716.91654774721</v>
      </c>
      <c r="AN1183">
        <v>9310.5974243218898</v>
      </c>
      <c r="AO1183">
        <v>145560.48911688401</v>
      </c>
      <c r="AP1183">
        <v>278455.88810355187</v>
      </c>
      <c r="AQ1183">
        <v>132895.39898666789</v>
      </c>
      <c r="AR1183">
        <v>2.6131444327083329E-2</v>
      </c>
      <c r="AS1183">
        <v>815.56116829728273</v>
      </c>
      <c r="AT1183">
        <v>798.37597445278027</v>
      </c>
      <c r="AU1183">
        <v>56.009116883801759</v>
      </c>
      <c r="AV1183">
        <v>875.63816552885578</v>
      </c>
      <c r="AW1183">
        <v>1675.0878244432911</v>
      </c>
      <c r="AX1183">
        <v>799.44965891443508</v>
      </c>
      <c r="AY1183">
        <v>5.1508127384050333</v>
      </c>
      <c r="AZ1183" t="s">
        <v>145</v>
      </c>
      <c r="BA1183" t="str">
        <f>VLOOKUP($AZ1183,Sheet1!$A$2:$B$58,2)</f>
        <v>Pentanol (PW1)</v>
      </c>
      <c r="BB1183" t="s">
        <v>157</v>
      </c>
      <c r="BC1183">
        <v>88.14658</v>
      </c>
      <c r="BD1183">
        <v>6</v>
      </c>
      <c r="BE1183">
        <v>138</v>
      </c>
      <c r="BF1183" t="s">
        <v>218</v>
      </c>
      <c r="BG1183">
        <v>0</v>
      </c>
      <c r="BH1183">
        <v>5.4666666666666398E-2</v>
      </c>
      <c r="BI1183">
        <v>0.15039077067570941</v>
      </c>
      <c r="BJ1183">
        <v>80</v>
      </c>
      <c r="BK1183">
        <v>13922.79440517759</v>
      </c>
      <c r="BL1183">
        <v>6644.7699493333948</v>
      </c>
      <c r="BM1183">
        <v>42.811908563789402</v>
      </c>
      <c r="BN1183">
        <v>7278.0244558441982</v>
      </c>
      <c r="BO1183">
        <v>6644.7699493333957</v>
      </c>
    </row>
    <row r="1184" spans="1:67" x14ac:dyDescent="0.25">
      <c r="A1184" s="1">
        <v>1182</v>
      </c>
      <c r="B1184" t="s">
        <v>78</v>
      </c>
      <c r="C1184" t="s">
        <v>87</v>
      </c>
      <c r="D1184">
        <v>1</v>
      </c>
      <c r="E1184">
        <v>4</v>
      </c>
      <c r="F1184">
        <v>1</v>
      </c>
      <c r="G1184">
        <v>32.041060000000002</v>
      </c>
      <c r="H1184">
        <v>6</v>
      </c>
      <c r="I1184" t="s">
        <v>89</v>
      </c>
      <c r="J1184">
        <v>2.5</v>
      </c>
      <c r="K1184">
        <v>200</v>
      </c>
      <c r="L1184">
        <v>50</v>
      </c>
      <c r="N1184" t="s">
        <v>90</v>
      </c>
      <c r="O1184">
        <v>50</v>
      </c>
      <c r="P1184">
        <v>0.3125</v>
      </c>
      <c r="Q1184">
        <v>3.2500000000000001E-2</v>
      </c>
      <c r="R1184">
        <v>77.5</v>
      </c>
      <c r="S1184">
        <v>170</v>
      </c>
      <c r="T1184">
        <v>50</v>
      </c>
      <c r="U1184">
        <v>1812.1301775147931</v>
      </c>
      <c r="V1184">
        <v>20</v>
      </c>
      <c r="W1184">
        <v>0.95</v>
      </c>
      <c r="X1184">
        <v>1</v>
      </c>
      <c r="Y1184">
        <v>667439.62228569912</v>
      </c>
      <c r="Z1184">
        <v>1334879244.571398</v>
      </c>
      <c r="AA1184">
        <v>3337198111.4284949</v>
      </c>
      <c r="AB1184">
        <v>3337198.111428495</v>
      </c>
      <c r="AC1184">
        <v>0</v>
      </c>
      <c r="AD1184">
        <v>13835.04833791581</v>
      </c>
      <c r="AE1184">
        <v>8301029.002749484</v>
      </c>
      <c r="AF1184">
        <v>4150514.501374742</v>
      </c>
      <c r="AG1184">
        <v>132.9868841694182</v>
      </c>
      <c r="AH1184">
        <v>1369.9810740412679</v>
      </c>
      <c r="AI1184">
        <v>684.99053702063406</v>
      </c>
      <c r="AJ1184">
        <v>108458.9386214261</v>
      </c>
      <c r="AK1184">
        <v>854.70085470085473</v>
      </c>
      <c r="AL1184" t="s">
        <v>93</v>
      </c>
      <c r="AM1184">
        <v>106173.5332381983</v>
      </c>
      <c r="AN1184">
        <v>7448.4779394575507</v>
      </c>
      <c r="AO1184">
        <v>116448.3912935078</v>
      </c>
      <c r="AP1184">
        <v>222935.6506537828</v>
      </c>
      <c r="AQ1184">
        <v>106487.259360275</v>
      </c>
      <c r="AR1184">
        <v>2.6131444327083329E-2</v>
      </c>
      <c r="AS1184">
        <v>815.56116829728273</v>
      </c>
      <c r="AT1184">
        <v>798.37597445278027</v>
      </c>
      <c r="AU1184">
        <v>56.009116883801767</v>
      </c>
      <c r="AV1184">
        <v>875.63816552885589</v>
      </c>
      <c r="AW1184">
        <v>1676.373215645647</v>
      </c>
      <c r="AX1184">
        <v>800.73505011679106</v>
      </c>
      <c r="AY1184">
        <v>5.1508127384050342</v>
      </c>
      <c r="AZ1184" t="s">
        <v>146</v>
      </c>
      <c r="BA1184" t="str">
        <f>VLOOKUP($AZ1184,Sheet1!$A$2:$B$58,2)</f>
        <v>Pentanol (PW2)</v>
      </c>
      <c r="BB1184" t="s">
        <v>157</v>
      </c>
      <c r="BC1184">
        <v>88.14658</v>
      </c>
      <c r="BD1184">
        <v>6</v>
      </c>
      <c r="BE1184">
        <v>138</v>
      </c>
      <c r="BF1184" t="s">
        <v>218</v>
      </c>
      <c r="BG1184">
        <v>0</v>
      </c>
      <c r="BH1184">
        <v>6.8333333333332705E-2</v>
      </c>
      <c r="BI1184">
        <v>0.18798846334463579</v>
      </c>
      <c r="BJ1184">
        <v>80</v>
      </c>
      <c r="BK1184">
        <v>11146.78253268914</v>
      </c>
      <c r="BL1184">
        <v>5324.3629680137483</v>
      </c>
      <c r="BM1184">
        <v>34.249526851031703</v>
      </c>
      <c r="BN1184">
        <v>5822.4195646753897</v>
      </c>
      <c r="BO1184">
        <v>5324.3629680137501</v>
      </c>
    </row>
    <row r="1185" spans="1:67" x14ac:dyDescent="0.25">
      <c r="A1185" s="1">
        <v>1183</v>
      </c>
      <c r="B1185" t="s">
        <v>78</v>
      </c>
      <c r="C1185" t="s">
        <v>87</v>
      </c>
      <c r="D1185">
        <v>1</v>
      </c>
      <c r="E1185">
        <v>4</v>
      </c>
      <c r="F1185">
        <v>1</v>
      </c>
      <c r="G1185">
        <v>32.041060000000002</v>
      </c>
      <c r="H1185">
        <v>6</v>
      </c>
      <c r="I1185" t="s">
        <v>89</v>
      </c>
      <c r="J1185">
        <v>2.5</v>
      </c>
      <c r="K1185">
        <v>200</v>
      </c>
      <c r="L1185">
        <v>50</v>
      </c>
      <c r="N1185" t="s">
        <v>90</v>
      </c>
      <c r="O1185">
        <v>50</v>
      </c>
      <c r="P1185">
        <v>0.3125</v>
      </c>
      <c r="Q1185">
        <v>3.2500000000000001E-2</v>
      </c>
      <c r="R1185">
        <v>77.5</v>
      </c>
      <c r="S1185">
        <v>170</v>
      </c>
      <c r="T1185">
        <v>50</v>
      </c>
      <c r="U1185">
        <v>1812.1301775147931</v>
      </c>
      <c r="V1185">
        <v>20</v>
      </c>
      <c r="W1185">
        <v>0.95</v>
      </c>
      <c r="X1185">
        <v>1</v>
      </c>
      <c r="Y1185">
        <v>2646113.8822582699</v>
      </c>
      <c r="Z1185">
        <v>5292227764.5165396</v>
      </c>
      <c r="AA1185">
        <v>13230569411.291349</v>
      </c>
      <c r="AB1185">
        <v>13230569.41129135</v>
      </c>
      <c r="AC1185">
        <v>0</v>
      </c>
      <c r="AD1185">
        <v>54850.0751922735</v>
      </c>
      <c r="AE1185">
        <v>32910045.115364101</v>
      </c>
      <c r="AF1185">
        <v>16455022.55768205</v>
      </c>
      <c r="AG1185">
        <v>527.23636507204412</v>
      </c>
      <c r="AH1185">
        <v>5431.3915707269016</v>
      </c>
      <c r="AI1185">
        <v>2715.6957853634508</v>
      </c>
      <c r="AJ1185">
        <v>429993.50586696889</v>
      </c>
      <c r="AK1185">
        <v>854.70085470085473</v>
      </c>
      <c r="AL1185" t="s">
        <v>93</v>
      </c>
      <c r="AM1185">
        <v>420932.84673133492</v>
      </c>
      <c r="AN1185">
        <v>29530.0431967109</v>
      </c>
      <c r="AO1185">
        <v>461668.28351178672</v>
      </c>
      <c r="AP1185">
        <v>881311.09664971544</v>
      </c>
      <c r="AQ1185">
        <v>419642.81313792878</v>
      </c>
      <c r="AR1185">
        <v>2.6131444327083329E-2</v>
      </c>
      <c r="AS1185">
        <v>815.56116829728273</v>
      </c>
      <c r="AT1185">
        <v>798.37597445278004</v>
      </c>
      <c r="AU1185">
        <v>56.009116883801767</v>
      </c>
      <c r="AV1185">
        <v>875.63816552885555</v>
      </c>
      <c r="AW1185">
        <v>1671.5673558087919</v>
      </c>
      <c r="AX1185">
        <v>795.92919027993617</v>
      </c>
      <c r="AY1185">
        <v>5.1508127384050324</v>
      </c>
      <c r="AZ1185" t="s">
        <v>147</v>
      </c>
      <c r="BA1185" t="str">
        <f>VLOOKUP($AZ1185,Sheet1!$A$2:$B$58,2)</f>
        <v>Phenol</v>
      </c>
      <c r="BB1185" t="s">
        <v>193</v>
      </c>
      <c r="BC1185">
        <v>94.11023999999999</v>
      </c>
      <c r="BD1185">
        <v>4.666666666666667</v>
      </c>
      <c r="BE1185">
        <v>181.7</v>
      </c>
      <c r="BF1185" t="s">
        <v>218</v>
      </c>
      <c r="BG1185">
        <v>0</v>
      </c>
      <c r="BH1185">
        <v>1.6078431372549301E-2</v>
      </c>
      <c r="BI1185">
        <v>4.7417063116622998E-2</v>
      </c>
      <c r="BJ1185">
        <v>80</v>
      </c>
      <c r="BK1185">
        <v>44065.554832485766</v>
      </c>
      <c r="BL1185">
        <v>20982.140656896441</v>
      </c>
      <c r="BM1185">
        <v>135.78478926817249</v>
      </c>
      <c r="BN1185">
        <v>23083.414175589329</v>
      </c>
      <c r="BO1185">
        <v>20982.140656896441</v>
      </c>
    </row>
    <row r="1186" spans="1:67" x14ac:dyDescent="0.25">
      <c r="A1186" s="1">
        <v>1184</v>
      </c>
      <c r="B1186" t="s">
        <v>78</v>
      </c>
      <c r="C1186" t="s">
        <v>87</v>
      </c>
      <c r="D1186">
        <v>1</v>
      </c>
      <c r="E1186">
        <v>4</v>
      </c>
      <c r="F1186">
        <v>1</v>
      </c>
      <c r="G1186">
        <v>32.041060000000002</v>
      </c>
      <c r="H1186">
        <v>6</v>
      </c>
      <c r="I1186" t="s">
        <v>89</v>
      </c>
      <c r="J1186">
        <v>2.5</v>
      </c>
      <c r="K1186">
        <v>200</v>
      </c>
      <c r="L1186">
        <v>50</v>
      </c>
      <c r="N1186" t="s">
        <v>90</v>
      </c>
      <c r="O1186">
        <v>50</v>
      </c>
      <c r="P1186">
        <v>0.3125</v>
      </c>
      <c r="Q1186">
        <v>3.2500000000000001E-2</v>
      </c>
      <c r="R1186">
        <v>77.5</v>
      </c>
      <c r="S1186">
        <v>170</v>
      </c>
      <c r="T1186">
        <v>50</v>
      </c>
      <c r="U1186">
        <v>1812.1301775147931</v>
      </c>
      <c r="V1186">
        <v>20</v>
      </c>
      <c r="W1186">
        <v>0.95</v>
      </c>
      <c r="X1186">
        <v>1</v>
      </c>
      <c r="Y1186">
        <v>303907.3678167992</v>
      </c>
      <c r="Z1186">
        <v>607814735.63359845</v>
      </c>
      <c r="AA1186">
        <v>1519536839.0839961</v>
      </c>
      <c r="AB1186">
        <v>1519536.8390839959</v>
      </c>
      <c r="AC1186">
        <v>66773.504273504266</v>
      </c>
      <c r="AD1186">
        <v>6299.5557704460016</v>
      </c>
      <c r="AE1186">
        <v>3779733.4622676009</v>
      </c>
      <c r="AF1186">
        <v>1889866.7311338009</v>
      </c>
      <c r="AG1186">
        <v>60.553333324261978</v>
      </c>
      <c r="AH1186">
        <v>623.79776127898924</v>
      </c>
      <c r="AI1186">
        <v>311.89888063949462</v>
      </c>
      <c r="AJ1186">
        <v>49384.947270229874</v>
      </c>
      <c r="AK1186">
        <v>2170.1388888888891</v>
      </c>
      <c r="AL1186" t="s">
        <v>95</v>
      </c>
      <c r="AM1186">
        <v>48344.326499121657</v>
      </c>
      <c r="AN1186">
        <v>3391.538723862398</v>
      </c>
      <c r="AO1186">
        <v>53022.809708714078</v>
      </c>
      <c r="AP1186">
        <v>103290.95138210279</v>
      </c>
      <c r="AQ1186">
        <v>50268.141673388738</v>
      </c>
      <c r="AR1186">
        <v>2.6131444327083329E-2</v>
      </c>
      <c r="AS1186">
        <v>815.56116829728262</v>
      </c>
      <c r="AT1186">
        <v>798.37597445278016</v>
      </c>
      <c r="AU1186">
        <v>56.009116883801767</v>
      </c>
      <c r="AV1186">
        <v>875.63816552885567</v>
      </c>
      <c r="AW1186">
        <v>1705.7847307757891</v>
      </c>
      <c r="AX1186">
        <v>830.14656524693316</v>
      </c>
      <c r="AY1186">
        <v>5.1508127384050333</v>
      </c>
      <c r="AZ1186" t="s">
        <v>148</v>
      </c>
      <c r="BA1186" t="str">
        <f>VLOOKUP($AZ1186,Sheet1!$A$2:$B$58,2)</f>
        <v>Propane (PW1)</v>
      </c>
      <c r="BB1186" t="s">
        <v>194</v>
      </c>
      <c r="BC1186">
        <v>44.094819999999999</v>
      </c>
      <c r="BD1186">
        <v>6.666666666666667</v>
      </c>
      <c r="BE1186">
        <v>-42</v>
      </c>
      <c r="BF1186" t="s">
        <v>218</v>
      </c>
      <c r="BG1186">
        <v>0.33269213934879421</v>
      </c>
      <c r="BH1186">
        <v>0.3</v>
      </c>
      <c r="BI1186">
        <v>0.41285918755496848</v>
      </c>
      <c r="BJ1186">
        <v>80</v>
      </c>
      <c r="BK1186">
        <v>5164.5475691051406</v>
      </c>
      <c r="BL1186">
        <v>2513.4070836694368</v>
      </c>
      <c r="BM1186">
        <v>15.26225189262594</v>
      </c>
      <c r="BN1186">
        <v>2594.58282174641</v>
      </c>
      <c r="BO1186">
        <v>2569.9647473587311</v>
      </c>
    </row>
    <row r="1187" spans="1:67" x14ac:dyDescent="0.25">
      <c r="A1187" s="1">
        <v>1185</v>
      </c>
      <c r="B1187" t="s">
        <v>78</v>
      </c>
      <c r="C1187" t="s">
        <v>87</v>
      </c>
      <c r="D1187">
        <v>1</v>
      </c>
      <c r="E1187">
        <v>4</v>
      </c>
      <c r="F1187">
        <v>1</v>
      </c>
      <c r="G1187">
        <v>32.041060000000002</v>
      </c>
      <c r="H1187">
        <v>6</v>
      </c>
      <c r="I1187" t="s">
        <v>89</v>
      </c>
      <c r="J1187">
        <v>2.5</v>
      </c>
      <c r="K1187">
        <v>200</v>
      </c>
      <c r="L1187">
        <v>50</v>
      </c>
      <c r="N1187" t="s">
        <v>90</v>
      </c>
      <c r="O1187">
        <v>50</v>
      </c>
      <c r="P1187">
        <v>0.3125</v>
      </c>
      <c r="Q1187">
        <v>3.2500000000000001E-2</v>
      </c>
      <c r="R1187">
        <v>77.5</v>
      </c>
      <c r="S1187">
        <v>170</v>
      </c>
      <c r="T1187">
        <v>50</v>
      </c>
      <c r="U1187">
        <v>1812.1301775147931</v>
      </c>
      <c r="V1187">
        <v>20</v>
      </c>
      <c r="W1187">
        <v>0.95</v>
      </c>
      <c r="X1187">
        <v>1</v>
      </c>
      <c r="Y1187">
        <v>778299.35660399788</v>
      </c>
      <c r="Z1187">
        <v>1556598713.2079959</v>
      </c>
      <c r="AA1187">
        <v>3891496783.019989</v>
      </c>
      <c r="AB1187">
        <v>3891496.7830199888</v>
      </c>
      <c r="AC1187">
        <v>66773.504273504266</v>
      </c>
      <c r="AD1187">
        <v>16133.00868041049</v>
      </c>
      <c r="AE1187">
        <v>9679805.2082462925</v>
      </c>
      <c r="AF1187">
        <v>4839902.6041231463</v>
      </c>
      <c r="AG1187">
        <v>155.07560973286601</v>
      </c>
      <c r="AH1187">
        <v>1597.530852055947</v>
      </c>
      <c r="AI1187">
        <v>798.76542602797372</v>
      </c>
      <c r="AJ1187">
        <v>126473.6454481496</v>
      </c>
      <c r="AK1187">
        <v>2170.1388888888891</v>
      </c>
      <c r="AL1187" t="s">
        <v>95</v>
      </c>
      <c r="AM1187">
        <v>123808.6410343359</v>
      </c>
      <c r="AN1187">
        <v>8685.6479513549184</v>
      </c>
      <c r="AO1187">
        <v>135790.12242475551</v>
      </c>
      <c r="AP1187">
        <v>261138.07332272941</v>
      </c>
      <c r="AQ1187">
        <v>125347.9508979738</v>
      </c>
      <c r="AR1187">
        <v>2.6131444327083329E-2</v>
      </c>
      <c r="AS1187">
        <v>815.56116829728273</v>
      </c>
      <c r="AT1187">
        <v>798.37597445278027</v>
      </c>
      <c r="AU1187">
        <v>56.009116883801767</v>
      </c>
      <c r="AV1187">
        <v>875.63816552885567</v>
      </c>
      <c r="AW1187">
        <v>1683.9403293178541</v>
      </c>
      <c r="AX1187">
        <v>808.30216378899843</v>
      </c>
      <c r="AY1187">
        <v>5.1508127384050333</v>
      </c>
      <c r="AZ1187" t="s">
        <v>149</v>
      </c>
      <c r="BA1187" t="str">
        <f>VLOOKUP($AZ1187,Sheet1!$A$2:$B$58,2)</f>
        <v>Propane (PW2)</v>
      </c>
      <c r="BB1187" t="s">
        <v>194</v>
      </c>
      <c r="BC1187">
        <v>44.094819999999999</v>
      </c>
      <c r="BD1187">
        <v>6.666666666666667</v>
      </c>
      <c r="BE1187">
        <v>-42</v>
      </c>
      <c r="BF1187" t="s">
        <v>218</v>
      </c>
      <c r="BG1187">
        <v>0</v>
      </c>
      <c r="BH1187">
        <v>0.1171428571428572</v>
      </c>
      <c r="BI1187">
        <v>0.16121168275955919</v>
      </c>
      <c r="BJ1187">
        <v>80</v>
      </c>
      <c r="BK1187">
        <v>13056.90366613647</v>
      </c>
      <c r="BL1187">
        <v>6267.3975448986912</v>
      </c>
      <c r="BM1187">
        <v>39.938271301398679</v>
      </c>
      <c r="BN1187">
        <v>6789.506121237775</v>
      </c>
      <c r="BO1187">
        <v>6267.397544898693</v>
      </c>
    </row>
    <row r="1188" spans="1:67" x14ac:dyDescent="0.25">
      <c r="A1188" s="1">
        <v>1186</v>
      </c>
      <c r="B1188" t="s">
        <v>78</v>
      </c>
      <c r="C1188" t="s">
        <v>87</v>
      </c>
      <c r="D1188">
        <v>1</v>
      </c>
      <c r="E1188">
        <v>4</v>
      </c>
      <c r="F1188">
        <v>1</v>
      </c>
      <c r="G1188">
        <v>32.041060000000002</v>
      </c>
      <c r="H1188">
        <v>6</v>
      </c>
      <c r="I1188" t="s">
        <v>89</v>
      </c>
      <c r="J1188">
        <v>2.5</v>
      </c>
      <c r="K1188">
        <v>200</v>
      </c>
      <c r="L1188">
        <v>50</v>
      </c>
      <c r="N1188" t="s">
        <v>90</v>
      </c>
      <c r="O1188">
        <v>50</v>
      </c>
      <c r="P1188">
        <v>0.3125</v>
      </c>
      <c r="Q1188">
        <v>3.2500000000000001E-2</v>
      </c>
      <c r="R1188">
        <v>77.5</v>
      </c>
      <c r="S1188">
        <v>170</v>
      </c>
      <c r="T1188">
        <v>50</v>
      </c>
      <c r="U1188">
        <v>1812.1301775147931</v>
      </c>
      <c r="V1188">
        <v>20</v>
      </c>
      <c r="W1188">
        <v>0.95</v>
      </c>
      <c r="X1188">
        <v>1</v>
      </c>
      <c r="Y1188">
        <v>1193219.246293484</v>
      </c>
      <c r="Z1188">
        <v>2386438492.5869689</v>
      </c>
      <c r="AA1188">
        <v>5966096231.4674215</v>
      </c>
      <c r="AB1188">
        <v>5966096.2314674221</v>
      </c>
      <c r="AC1188">
        <v>0</v>
      </c>
      <c r="AD1188">
        <v>24733.691856153291</v>
      </c>
      <c r="AE1188">
        <v>14840215.113691971</v>
      </c>
      <c r="AF1188">
        <v>7420107.5568459872</v>
      </c>
      <c r="AG1188">
        <v>237.7481114353557</v>
      </c>
      <c r="AH1188">
        <v>2449.1920018259389</v>
      </c>
      <c r="AI1188">
        <v>1224.5960009129701</v>
      </c>
      <c r="AJ1188">
        <v>193898.12752269121</v>
      </c>
      <c r="AK1188">
        <v>854.70085470085473</v>
      </c>
      <c r="AL1188" t="s">
        <v>93</v>
      </c>
      <c r="AM1188">
        <v>189812.38014151031</v>
      </c>
      <c r="AN1188">
        <v>13316.06176228597</v>
      </c>
      <c r="AO1188">
        <v>208181.32015520491</v>
      </c>
      <c r="AP1188">
        <v>397881.27028118842</v>
      </c>
      <c r="AQ1188">
        <v>189699.95012598351</v>
      </c>
      <c r="AR1188">
        <v>2.6131444327083329E-2</v>
      </c>
      <c r="AS1188">
        <v>815.56116829728262</v>
      </c>
      <c r="AT1188">
        <v>798.37597445278027</v>
      </c>
      <c r="AU1188">
        <v>56.009116883801767</v>
      </c>
      <c r="AV1188">
        <v>875.63816552885578</v>
      </c>
      <c r="AW1188">
        <v>1673.541244466933</v>
      </c>
      <c r="AX1188">
        <v>797.90307893807767</v>
      </c>
      <c r="AY1188">
        <v>5.1508127384050342</v>
      </c>
      <c r="AZ1188" t="s">
        <v>150</v>
      </c>
      <c r="BA1188" t="str">
        <f>VLOOKUP($AZ1188,Sheet1!$A$2:$B$58,2)</f>
        <v>Shikimate</v>
      </c>
      <c r="BB1188" t="s">
        <v>195</v>
      </c>
      <c r="BC1188">
        <v>173.14045999999999</v>
      </c>
      <c r="BD1188">
        <v>3.8571428571428572</v>
      </c>
      <c r="BE1188">
        <v>400.5</v>
      </c>
      <c r="BF1188" t="s">
        <v>218</v>
      </c>
      <c r="BG1188">
        <v>0</v>
      </c>
      <c r="BH1188">
        <v>1.9294117647058798E-2</v>
      </c>
      <c r="BI1188">
        <v>0.1051533063672624</v>
      </c>
      <c r="BJ1188">
        <v>80</v>
      </c>
      <c r="BK1188">
        <v>19894.06351405942</v>
      </c>
      <c r="BL1188">
        <v>9484.9975062991743</v>
      </c>
      <c r="BM1188">
        <v>61.229800045648481</v>
      </c>
      <c r="BN1188">
        <v>10409.066007760241</v>
      </c>
      <c r="BO1188">
        <v>9484.9975062991743</v>
      </c>
    </row>
    <row r="1189" spans="1:67" x14ac:dyDescent="0.25">
      <c r="A1189" s="1">
        <v>1187</v>
      </c>
      <c r="B1189" t="s">
        <v>78</v>
      </c>
      <c r="C1189" t="s">
        <v>87</v>
      </c>
      <c r="D1189">
        <v>1</v>
      </c>
      <c r="E1189">
        <v>4</v>
      </c>
      <c r="F1189">
        <v>1</v>
      </c>
      <c r="G1189">
        <v>32.041060000000002</v>
      </c>
      <c r="H1189">
        <v>6</v>
      </c>
      <c r="I1189" t="s">
        <v>89</v>
      </c>
      <c r="J1189">
        <v>2.5</v>
      </c>
      <c r="K1189">
        <v>200</v>
      </c>
      <c r="L1189">
        <v>50</v>
      </c>
      <c r="N1189" t="s">
        <v>90</v>
      </c>
      <c r="O1189">
        <v>50</v>
      </c>
      <c r="P1189">
        <v>0.3125</v>
      </c>
      <c r="Q1189">
        <v>3.2500000000000001E-2</v>
      </c>
      <c r="R1189">
        <v>77.5</v>
      </c>
      <c r="S1189">
        <v>170</v>
      </c>
      <c r="T1189">
        <v>50</v>
      </c>
      <c r="U1189">
        <v>1812.1301775147931</v>
      </c>
      <c r="V1189">
        <v>20</v>
      </c>
      <c r="W1189">
        <v>0.95</v>
      </c>
      <c r="X1189">
        <v>1</v>
      </c>
      <c r="Y1189">
        <v>2579371.9240692998</v>
      </c>
      <c r="Z1189">
        <v>5158743848.1386003</v>
      </c>
      <c r="AA1189">
        <v>12896859620.3465</v>
      </c>
      <c r="AB1189">
        <v>12896859.6203465</v>
      </c>
      <c r="AC1189">
        <v>0</v>
      </c>
      <c r="AD1189">
        <v>53466.611899295232</v>
      </c>
      <c r="AE1189">
        <v>32079967.139577139</v>
      </c>
      <c r="AF1189">
        <v>16039983.56978857</v>
      </c>
      <c r="AG1189">
        <v>513.93807595860972</v>
      </c>
      <c r="AH1189">
        <v>5294.39757679796</v>
      </c>
      <c r="AI1189">
        <v>2647.19878839898</v>
      </c>
      <c r="AJ1189">
        <v>419147.93766126118</v>
      </c>
      <c r="AK1189">
        <v>854.70085470085473</v>
      </c>
      <c r="AL1189" t="s">
        <v>93</v>
      </c>
      <c r="AM1189">
        <v>410315.81220184191</v>
      </c>
      <c r="AN1189">
        <v>28785.217767401959</v>
      </c>
      <c r="AO1189">
        <v>450023.79402782657</v>
      </c>
      <c r="AP1189">
        <v>859103.66848520597</v>
      </c>
      <c r="AQ1189">
        <v>409079.8744573794</v>
      </c>
      <c r="AR1189">
        <v>2.6131444327083329E-2</v>
      </c>
      <c r="AS1189">
        <v>815.56116829728251</v>
      </c>
      <c r="AT1189">
        <v>798.37597445278004</v>
      </c>
      <c r="AU1189">
        <v>56.009116883801767</v>
      </c>
      <c r="AV1189">
        <v>875.63816552885544</v>
      </c>
      <c r="AW1189">
        <v>1671.609302118324</v>
      </c>
      <c r="AX1189">
        <v>795.97113658946898</v>
      </c>
      <c r="AY1189">
        <v>5.1508127384050324</v>
      </c>
      <c r="AZ1189" t="s">
        <v>151</v>
      </c>
      <c r="BA1189" t="str">
        <f>VLOOKUP($AZ1189,Sheet1!$A$2:$B$58,2)</f>
        <v>Styrene</v>
      </c>
      <c r="BB1189" t="s">
        <v>196</v>
      </c>
      <c r="BC1189">
        <v>104.14832</v>
      </c>
      <c r="BD1189">
        <v>5</v>
      </c>
      <c r="BE1189">
        <v>145</v>
      </c>
      <c r="BF1189" t="s">
        <v>218</v>
      </c>
      <c r="BG1189">
        <v>0</v>
      </c>
      <c r="BH1189">
        <v>1.4909090909091E-2</v>
      </c>
      <c r="BI1189">
        <v>4.86439926704582E-2</v>
      </c>
      <c r="BJ1189">
        <v>80</v>
      </c>
      <c r="BK1189">
        <v>42955.183424260293</v>
      </c>
      <c r="BL1189">
        <v>20453.993722868971</v>
      </c>
      <c r="BM1189">
        <v>132.359939419949</v>
      </c>
      <c r="BN1189">
        <v>22501.189701391329</v>
      </c>
      <c r="BO1189">
        <v>20453.993722868971</v>
      </c>
    </row>
    <row r="1190" spans="1:67" x14ac:dyDescent="0.25">
      <c r="A1190" s="1">
        <v>1188</v>
      </c>
      <c r="B1190" t="s">
        <v>78</v>
      </c>
      <c r="C1190" t="s">
        <v>87</v>
      </c>
      <c r="D1190">
        <v>1</v>
      </c>
      <c r="E1190">
        <v>4</v>
      </c>
      <c r="F1190">
        <v>1</v>
      </c>
      <c r="G1190">
        <v>32.041060000000002</v>
      </c>
      <c r="H1190">
        <v>6</v>
      </c>
      <c r="I1190" t="s">
        <v>89</v>
      </c>
      <c r="J1190">
        <v>2.5</v>
      </c>
      <c r="K1190">
        <v>200</v>
      </c>
      <c r="L1190">
        <v>50</v>
      </c>
      <c r="N1190" t="s">
        <v>90</v>
      </c>
      <c r="O1190">
        <v>50</v>
      </c>
      <c r="P1190">
        <v>0.3125</v>
      </c>
      <c r="Q1190">
        <v>3.2500000000000001E-2</v>
      </c>
      <c r="R1190">
        <v>77.5</v>
      </c>
      <c r="S1190">
        <v>170</v>
      </c>
      <c r="T1190">
        <v>50</v>
      </c>
      <c r="U1190">
        <v>1812.1301775147931</v>
      </c>
      <c r="V1190">
        <v>20</v>
      </c>
      <c r="W1190">
        <v>0.95</v>
      </c>
      <c r="X1190">
        <v>1</v>
      </c>
      <c r="Y1190">
        <v>1579751.0589793059</v>
      </c>
      <c r="Z1190">
        <v>3159502117.958611</v>
      </c>
      <c r="AA1190">
        <v>7898755294.8965282</v>
      </c>
      <c r="AB1190">
        <v>7898755.2948965281</v>
      </c>
      <c r="AC1190">
        <v>0</v>
      </c>
      <c r="AD1190">
        <v>32745.931666455512</v>
      </c>
      <c r="AE1190">
        <v>19647558.99987331</v>
      </c>
      <c r="AF1190">
        <v>9823779.4999366533</v>
      </c>
      <c r="AG1190">
        <v>314.76430838424028</v>
      </c>
      <c r="AH1190">
        <v>3242.5840184415911</v>
      </c>
      <c r="AI1190">
        <v>1621.2920092207951</v>
      </c>
      <c r="AJ1190">
        <v>256709.54708413719</v>
      </c>
      <c r="AK1190">
        <v>854.70085470085473</v>
      </c>
      <c r="AL1190" t="s">
        <v>93</v>
      </c>
      <c r="AM1190">
        <v>251300.26142922329</v>
      </c>
      <c r="AN1190">
        <v>17629.670939141939</v>
      </c>
      <c r="AO1190">
        <v>275619.64156753517</v>
      </c>
      <c r="AP1190">
        <v>526494.18030720332</v>
      </c>
      <c r="AQ1190">
        <v>250874.53873966809</v>
      </c>
      <c r="AR1190">
        <v>2.6131444327083329E-2</v>
      </c>
      <c r="AS1190">
        <v>815.56116829728273</v>
      </c>
      <c r="AT1190">
        <v>798.37597445278016</v>
      </c>
      <c r="AU1190">
        <v>56.009116883801767</v>
      </c>
      <c r="AV1190">
        <v>875.63816552885555</v>
      </c>
      <c r="AW1190">
        <v>1672.661627392961</v>
      </c>
      <c r="AX1190">
        <v>797.02346186410568</v>
      </c>
      <c r="AY1190">
        <v>5.1508127384050333</v>
      </c>
      <c r="AZ1190" t="s">
        <v>138</v>
      </c>
      <c r="BA1190" t="str">
        <f>VLOOKUP($AZ1190,Sheet1!$A$2:$B$58,2)</f>
        <v>Limonene</v>
      </c>
      <c r="BB1190" t="s">
        <v>186</v>
      </c>
      <c r="BC1190">
        <v>136.23244</v>
      </c>
      <c r="BD1190">
        <v>5.6</v>
      </c>
      <c r="BE1190">
        <v>176</v>
      </c>
      <c r="BF1190" t="s">
        <v>218</v>
      </c>
      <c r="BG1190">
        <v>0</v>
      </c>
      <c r="BH1190">
        <v>1.86363636363636E-2</v>
      </c>
      <c r="BI1190">
        <v>7.9424506953570798E-2</v>
      </c>
      <c r="BJ1190">
        <v>80</v>
      </c>
      <c r="BK1190">
        <v>26324.709015360171</v>
      </c>
      <c r="BL1190">
        <v>12543.72693698341</v>
      </c>
      <c r="BM1190">
        <v>81.064600461039774</v>
      </c>
      <c r="BN1190">
        <v>13780.982078376759</v>
      </c>
      <c r="BO1190">
        <v>12543.72693698341</v>
      </c>
    </row>
    <row r="1191" spans="1:67" x14ac:dyDescent="0.25">
      <c r="A1191" s="1">
        <v>1189</v>
      </c>
      <c r="B1191" t="s">
        <v>78</v>
      </c>
      <c r="C1191" t="s">
        <v>87</v>
      </c>
      <c r="D1191">
        <v>1</v>
      </c>
      <c r="E1191">
        <v>4</v>
      </c>
      <c r="F1191">
        <v>1</v>
      </c>
      <c r="G1191">
        <v>32.041060000000002</v>
      </c>
      <c r="H1191">
        <v>6</v>
      </c>
      <c r="I1191" t="s">
        <v>89</v>
      </c>
      <c r="J1191">
        <v>2.5</v>
      </c>
      <c r="K1191">
        <v>200</v>
      </c>
      <c r="L1191">
        <v>50</v>
      </c>
      <c r="N1191" t="s">
        <v>90</v>
      </c>
      <c r="O1191">
        <v>50</v>
      </c>
      <c r="P1191">
        <v>0.3125</v>
      </c>
      <c r="Q1191">
        <v>3.2500000000000001E-2</v>
      </c>
      <c r="R1191">
        <v>77.5</v>
      </c>
      <c r="S1191">
        <v>170</v>
      </c>
      <c r="T1191">
        <v>50</v>
      </c>
      <c r="U1191">
        <v>1812.1301775147931</v>
      </c>
      <c r="V1191">
        <v>20</v>
      </c>
      <c r="W1191">
        <v>0.95</v>
      </c>
      <c r="X1191">
        <v>1</v>
      </c>
      <c r="Y1191">
        <v>656709.58680086106</v>
      </c>
      <c r="Z1191">
        <v>1313419173.601722</v>
      </c>
      <c r="AA1191">
        <v>3283547934.0043058</v>
      </c>
      <c r="AB1191">
        <v>3283547.9340043059</v>
      </c>
      <c r="AC1191">
        <v>0</v>
      </c>
      <c r="AD1191">
        <v>13612.63037733399</v>
      </c>
      <c r="AE1191">
        <v>8167578.2264003912</v>
      </c>
      <c r="AF1191">
        <v>4083789.1132001961</v>
      </c>
      <c r="AG1191">
        <v>130.84893200339431</v>
      </c>
      <c r="AH1191">
        <v>1347.9566915395551</v>
      </c>
      <c r="AI1191">
        <v>673.97834576977743</v>
      </c>
      <c r="AJ1191">
        <v>106715.30785513989</v>
      </c>
      <c r="AK1191">
        <v>854.70085470085473</v>
      </c>
      <c r="AL1191" t="s">
        <v>93</v>
      </c>
      <c r="AM1191">
        <v>104466.64359431549</v>
      </c>
      <c r="AN1191">
        <v>7328.7331266987376</v>
      </c>
      <c r="AO1191">
        <v>114576.3187808622</v>
      </c>
      <c r="AP1191">
        <v>219365.38543085501</v>
      </c>
      <c r="AQ1191">
        <v>104789.06664999291</v>
      </c>
      <c r="AR1191">
        <v>2.613144432708334E-2</v>
      </c>
      <c r="AS1191">
        <v>815.56116829728285</v>
      </c>
      <c r="AT1191">
        <v>798.3759744527805</v>
      </c>
      <c r="AU1191">
        <v>56.009116883801759</v>
      </c>
      <c r="AV1191">
        <v>875.63816552885589</v>
      </c>
      <c r="AW1191">
        <v>1676.4782262431049</v>
      </c>
      <c r="AX1191">
        <v>800.84006071424903</v>
      </c>
      <c r="AY1191">
        <v>5.1508127384050351</v>
      </c>
      <c r="AZ1191" t="s">
        <v>140</v>
      </c>
      <c r="BA1191" t="str">
        <f>VLOOKUP($AZ1191,Sheet1!$A$2:$B$58,2)</f>
        <v>L-Malate</v>
      </c>
      <c r="BB1191" t="s">
        <v>188</v>
      </c>
      <c r="BC1191">
        <v>132.06916000000001</v>
      </c>
      <c r="BD1191">
        <v>2.5</v>
      </c>
      <c r="BF1191" t="s">
        <v>218</v>
      </c>
      <c r="BG1191">
        <v>0</v>
      </c>
      <c r="BH1191">
        <v>4.5555555555555398E-2</v>
      </c>
      <c r="BI1191">
        <v>0.1910600233202629</v>
      </c>
      <c r="BJ1191">
        <v>80</v>
      </c>
      <c r="BK1191">
        <v>10968.269271542749</v>
      </c>
      <c r="BL1191">
        <v>5239.4533324996446</v>
      </c>
      <c r="BM1191">
        <v>33.698917288488872</v>
      </c>
      <c r="BN1191">
        <v>5728.8159390431083</v>
      </c>
      <c r="BO1191">
        <v>5239.4533324996428</v>
      </c>
    </row>
    <row r="1192" spans="1:67" x14ac:dyDescent="0.25">
      <c r="A1192" s="1">
        <v>1190</v>
      </c>
      <c r="B1192" t="s">
        <v>78</v>
      </c>
      <c r="C1192" t="s">
        <v>87</v>
      </c>
      <c r="D1192">
        <v>1</v>
      </c>
      <c r="E1192">
        <v>4</v>
      </c>
      <c r="F1192">
        <v>1</v>
      </c>
      <c r="G1192">
        <v>32.041060000000002</v>
      </c>
      <c r="H1192">
        <v>6</v>
      </c>
      <c r="I1192" t="s">
        <v>89</v>
      </c>
      <c r="J1192">
        <v>2.5</v>
      </c>
      <c r="K1192">
        <v>200</v>
      </c>
      <c r="L1192">
        <v>50</v>
      </c>
      <c r="N1192" t="s">
        <v>90</v>
      </c>
      <c r="O1192">
        <v>50</v>
      </c>
      <c r="P1192">
        <v>0.3125</v>
      </c>
      <c r="Q1192">
        <v>3.2500000000000001E-2</v>
      </c>
      <c r="R1192">
        <v>77.5</v>
      </c>
      <c r="S1192">
        <v>170</v>
      </c>
      <c r="T1192">
        <v>50</v>
      </c>
      <c r="U1192">
        <v>1812.1301775147931</v>
      </c>
      <c r="V1192">
        <v>20</v>
      </c>
      <c r="W1192">
        <v>0.95</v>
      </c>
      <c r="X1192">
        <v>1</v>
      </c>
      <c r="Y1192">
        <v>664930.70153168694</v>
      </c>
      <c r="Z1192">
        <v>1329861403.063374</v>
      </c>
      <c r="AA1192">
        <v>3324653507.6584349</v>
      </c>
      <c r="AB1192">
        <v>3324653.507658435</v>
      </c>
      <c r="AC1192">
        <v>0</v>
      </c>
      <c r="AD1192">
        <v>13783.0420758529</v>
      </c>
      <c r="AE1192">
        <v>8269825.2455117404</v>
      </c>
      <c r="AF1192">
        <v>4134912.6227558702</v>
      </c>
      <c r="AG1192">
        <v>132.48698344047821</v>
      </c>
      <c r="AH1192">
        <v>1364.831283956144</v>
      </c>
      <c r="AI1192">
        <v>682.4156419780719</v>
      </c>
      <c r="AJ1192">
        <v>108051.23899889911</v>
      </c>
      <c r="AK1192">
        <v>854.70085470085473</v>
      </c>
      <c r="AL1192" t="s">
        <v>93</v>
      </c>
      <c r="AM1192">
        <v>105774.42450660111</v>
      </c>
      <c r="AN1192">
        <v>7420.4789411000529</v>
      </c>
      <c r="AO1192">
        <v>116010.6591362722</v>
      </c>
      <c r="AP1192">
        <v>222100.84330130121</v>
      </c>
      <c r="AQ1192">
        <v>106090.184165029</v>
      </c>
      <c r="AR1192">
        <v>2.6131444327083329E-2</v>
      </c>
      <c r="AS1192">
        <v>815.56116829728273</v>
      </c>
      <c r="AT1192">
        <v>798.37597445278027</v>
      </c>
      <c r="AU1192">
        <v>56.009116883801759</v>
      </c>
      <c r="AV1192">
        <v>875.63816552885567</v>
      </c>
      <c r="AW1192">
        <v>1676.397465876966</v>
      </c>
      <c r="AX1192">
        <v>800.75930034811029</v>
      </c>
      <c r="AY1192">
        <v>5.1508127384050333</v>
      </c>
      <c r="AZ1192" t="s">
        <v>152</v>
      </c>
      <c r="BA1192" t="str">
        <f>VLOOKUP($AZ1192,Sheet1!$A$2:$B$58,2)</f>
        <v>Succinate</v>
      </c>
      <c r="BB1192" t="s">
        <v>197</v>
      </c>
      <c r="BC1192">
        <v>116.07016</v>
      </c>
      <c r="BD1192">
        <v>3</v>
      </c>
      <c r="BE1192">
        <v>235</v>
      </c>
      <c r="BF1192" t="s">
        <v>218</v>
      </c>
      <c r="BG1192">
        <v>0</v>
      </c>
      <c r="BH1192">
        <v>5.1249999999999997E-2</v>
      </c>
      <c r="BI1192">
        <v>0.1886977826107093</v>
      </c>
      <c r="BJ1192">
        <v>80</v>
      </c>
      <c r="BK1192">
        <v>11105.042165065061</v>
      </c>
      <c r="BL1192">
        <v>5304.5092082514493</v>
      </c>
      <c r="BM1192">
        <v>34.120782098903597</v>
      </c>
      <c r="BN1192">
        <v>5800.5329568136112</v>
      </c>
      <c r="BO1192">
        <v>5304.5092082514493</v>
      </c>
    </row>
    <row r="1193" spans="1:67" x14ac:dyDescent="0.25">
      <c r="A1193" s="1">
        <v>1191</v>
      </c>
      <c r="B1193" t="s">
        <v>78</v>
      </c>
      <c r="C1193" t="s">
        <v>87</v>
      </c>
      <c r="D1193">
        <v>1</v>
      </c>
      <c r="E1193">
        <v>4</v>
      </c>
      <c r="F1193">
        <v>1</v>
      </c>
      <c r="G1193">
        <v>32.041060000000002</v>
      </c>
      <c r="H1193">
        <v>6</v>
      </c>
      <c r="I1193" t="s">
        <v>89</v>
      </c>
      <c r="J1193">
        <v>2.5</v>
      </c>
      <c r="K1193">
        <v>200</v>
      </c>
      <c r="L1193">
        <v>50</v>
      </c>
      <c r="N1193" t="s">
        <v>90</v>
      </c>
      <c r="O1193">
        <v>50</v>
      </c>
      <c r="P1193">
        <v>0.3125</v>
      </c>
      <c r="Q1193">
        <v>3.2500000000000001E-2</v>
      </c>
      <c r="R1193">
        <v>77.5</v>
      </c>
      <c r="S1193">
        <v>170</v>
      </c>
      <c r="T1193">
        <v>50</v>
      </c>
      <c r="U1193">
        <v>1812.1301775147931</v>
      </c>
      <c r="V1193">
        <v>20</v>
      </c>
      <c r="W1193">
        <v>0.95</v>
      </c>
      <c r="X1193">
        <v>1</v>
      </c>
      <c r="Y1193">
        <v>1410358.6988022099</v>
      </c>
      <c r="Z1193">
        <v>2820717397.6044211</v>
      </c>
      <c r="AA1193">
        <v>7051793494.0110512</v>
      </c>
      <c r="AB1193">
        <v>7051793.494011051</v>
      </c>
      <c r="AC1193">
        <v>0</v>
      </c>
      <c r="AD1193">
        <v>29234.675497548302</v>
      </c>
      <c r="AE1193">
        <v>17540805.29852898</v>
      </c>
      <c r="AF1193">
        <v>8770402.6492644902</v>
      </c>
      <c r="AG1193">
        <v>281.0129975092425</v>
      </c>
      <c r="AH1193">
        <v>2894.8906544559759</v>
      </c>
      <c r="AI1193">
        <v>1447.4453272279879</v>
      </c>
      <c r="AJ1193">
        <v>229183.28855535921</v>
      </c>
      <c r="AK1193">
        <v>854.70085470085473</v>
      </c>
      <c r="AL1193" t="s">
        <v>93</v>
      </c>
      <c r="AM1193">
        <v>224354.02572033819</v>
      </c>
      <c r="AN1193">
        <v>15739.28982336266</v>
      </c>
      <c r="AO1193">
        <v>246065.70562875801</v>
      </c>
      <c r="AP1193">
        <v>470131.30495376087</v>
      </c>
      <c r="AQ1193">
        <v>224065.5993250029</v>
      </c>
      <c r="AR1193">
        <v>2.6131444327083329E-2</v>
      </c>
      <c r="AS1193">
        <v>815.56116829728262</v>
      </c>
      <c r="AT1193">
        <v>798.37597445278016</v>
      </c>
      <c r="AU1193">
        <v>56.009116883801767</v>
      </c>
      <c r="AV1193">
        <v>875.63816552885555</v>
      </c>
      <c r="AW1193">
        <v>1672.9877590032049</v>
      </c>
      <c r="AX1193">
        <v>797.34959347434938</v>
      </c>
      <c r="AY1193">
        <v>5.1508127384050333</v>
      </c>
      <c r="AZ1193" t="s">
        <v>130</v>
      </c>
      <c r="BA1193" t="str">
        <f>VLOOKUP($AZ1193,Sheet1!$A$2:$B$58,2)</f>
        <v>Glycolate</v>
      </c>
      <c r="BB1193" t="s">
        <v>180</v>
      </c>
      <c r="BC1193">
        <v>75.041920000000005</v>
      </c>
      <c r="BD1193">
        <v>2.5</v>
      </c>
      <c r="BE1193">
        <v>112</v>
      </c>
      <c r="BF1193" t="s">
        <v>218</v>
      </c>
      <c r="BG1193">
        <v>0</v>
      </c>
      <c r="BH1193">
        <v>3.7272727272727298E-2</v>
      </c>
      <c r="BI1193">
        <v>8.8963856553210693E-2</v>
      </c>
      <c r="BJ1193">
        <v>80</v>
      </c>
      <c r="BK1193">
        <v>23506.565247688039</v>
      </c>
      <c r="BL1193">
        <v>11203.27996625014</v>
      </c>
      <c r="BM1193">
        <v>72.372266361399397</v>
      </c>
      <c r="BN1193">
        <v>12303.2852814379</v>
      </c>
      <c r="BO1193">
        <v>11203.27996625014</v>
      </c>
    </row>
    <row r="1194" spans="1:67" x14ac:dyDescent="0.25">
      <c r="A1194" s="1">
        <v>1192</v>
      </c>
      <c r="B1194" t="s">
        <v>78</v>
      </c>
      <c r="C1194" t="s">
        <v>87</v>
      </c>
      <c r="D1194">
        <v>1</v>
      </c>
      <c r="E1194">
        <v>4</v>
      </c>
      <c r="F1194">
        <v>1</v>
      </c>
      <c r="G1194">
        <v>32.041060000000002</v>
      </c>
      <c r="H1194">
        <v>6</v>
      </c>
      <c r="I1194" t="s">
        <v>89</v>
      </c>
      <c r="J1194">
        <v>2.5</v>
      </c>
      <c r="K1194">
        <v>200</v>
      </c>
      <c r="L1194">
        <v>50</v>
      </c>
      <c r="N1194" t="s">
        <v>90</v>
      </c>
      <c r="O1194">
        <v>50</v>
      </c>
      <c r="P1194">
        <v>0.3125</v>
      </c>
      <c r="Q1194">
        <v>3.2500000000000001E-2</v>
      </c>
      <c r="R1194">
        <v>77.5</v>
      </c>
      <c r="S1194">
        <v>170</v>
      </c>
      <c r="T1194">
        <v>50</v>
      </c>
      <c r="U1194">
        <v>1812.1301775147931</v>
      </c>
      <c r="V1194">
        <v>20</v>
      </c>
      <c r="W1194">
        <v>0.95</v>
      </c>
      <c r="X1194">
        <v>1</v>
      </c>
      <c r="Y1194">
        <v>649100.46003775205</v>
      </c>
      <c r="Z1194">
        <v>1298200920.0755041</v>
      </c>
      <c r="AA1194">
        <v>3245502300.1887598</v>
      </c>
      <c r="AB1194">
        <v>3245502.3001887598</v>
      </c>
      <c r="AC1194">
        <v>0</v>
      </c>
      <c r="AD1194">
        <v>13454.904295360569</v>
      </c>
      <c r="AE1194">
        <v>8072942.5772163393</v>
      </c>
      <c r="AF1194">
        <v>4036471.2886081701</v>
      </c>
      <c r="AG1194">
        <v>129.33281874657169</v>
      </c>
      <c r="AH1194">
        <v>1332.338260587341</v>
      </c>
      <c r="AI1194">
        <v>666.16913029367072</v>
      </c>
      <c r="AJ1194">
        <v>105478.82475613469</v>
      </c>
      <c r="AK1194">
        <v>854.70085470085473</v>
      </c>
      <c r="AL1194" t="s">
        <v>93</v>
      </c>
      <c r="AM1194">
        <v>103256.21519551901</v>
      </c>
      <c r="AN1194">
        <v>7243.8169620882827</v>
      </c>
      <c r="AO1194">
        <v>113248.752149924</v>
      </c>
      <c r="AP1194">
        <v>216833.55776844281</v>
      </c>
      <c r="AQ1194">
        <v>103584.8056185188</v>
      </c>
      <c r="AR1194">
        <v>2.6131444327083329E-2</v>
      </c>
      <c r="AS1194">
        <v>815.56116829728273</v>
      </c>
      <c r="AT1194">
        <v>798.37597445278016</v>
      </c>
      <c r="AU1194">
        <v>56.009116883801767</v>
      </c>
      <c r="AV1194">
        <v>875.63816552885567</v>
      </c>
      <c r="AW1194">
        <v>1676.554797690826</v>
      </c>
      <c r="AX1194">
        <v>800.91663216197082</v>
      </c>
      <c r="AY1194">
        <v>5.1508127384050333</v>
      </c>
      <c r="AZ1194" t="s">
        <v>123</v>
      </c>
      <c r="BA1194" t="str">
        <f>VLOOKUP($AZ1194,Sheet1!$A$2:$B$58,2)</f>
        <v>Citrate</v>
      </c>
      <c r="BB1194" t="s">
        <v>173</v>
      </c>
      <c r="BC1194">
        <v>189.09639999999999</v>
      </c>
      <c r="BD1194">
        <v>2.5</v>
      </c>
      <c r="BF1194" t="s">
        <v>218</v>
      </c>
      <c r="BG1194">
        <v>0</v>
      </c>
      <c r="BH1194">
        <v>3.2156862745098103E-2</v>
      </c>
      <c r="BI1194">
        <v>0.19329973816613111</v>
      </c>
      <c r="BJ1194">
        <v>80</v>
      </c>
      <c r="BK1194">
        <v>10841.67788842214</v>
      </c>
      <c r="BL1194">
        <v>5179.2402809259393</v>
      </c>
      <c r="BM1194">
        <v>33.308456514683527</v>
      </c>
      <c r="BN1194">
        <v>5662.4376074962011</v>
      </c>
      <c r="BO1194">
        <v>5179.2402809259393</v>
      </c>
    </row>
    <row r="1195" spans="1:67" x14ac:dyDescent="0.25">
      <c r="A1195" s="1">
        <v>1193</v>
      </c>
      <c r="B1195" t="s">
        <v>78</v>
      </c>
      <c r="C1195" t="s">
        <v>87</v>
      </c>
      <c r="D1195">
        <v>1</v>
      </c>
      <c r="E1195">
        <v>4</v>
      </c>
      <c r="F1195">
        <v>1</v>
      </c>
      <c r="G1195">
        <v>32.041060000000002</v>
      </c>
      <c r="H1195">
        <v>6</v>
      </c>
      <c r="I1195" t="s">
        <v>89</v>
      </c>
      <c r="J1195">
        <v>2.5</v>
      </c>
      <c r="K1195">
        <v>200</v>
      </c>
      <c r="L1195">
        <v>50</v>
      </c>
      <c r="N1195" t="s">
        <v>90</v>
      </c>
      <c r="O1195">
        <v>50</v>
      </c>
      <c r="P1195">
        <v>0.3125</v>
      </c>
      <c r="Q1195">
        <v>3.2500000000000001E-2</v>
      </c>
      <c r="R1195">
        <v>77.5</v>
      </c>
      <c r="S1195">
        <v>170</v>
      </c>
      <c r="T1195">
        <v>50</v>
      </c>
      <c r="U1195">
        <v>1812.1301775147931</v>
      </c>
      <c r="V1195">
        <v>20</v>
      </c>
      <c r="W1195">
        <v>0.95</v>
      </c>
      <c r="X1195">
        <v>1</v>
      </c>
      <c r="Y1195">
        <v>127180.0696453721</v>
      </c>
      <c r="Z1195">
        <v>254360139.2907441</v>
      </c>
      <c r="AA1195">
        <v>635900348.22686028</v>
      </c>
      <c r="AB1195">
        <v>635900.34822686028</v>
      </c>
      <c r="AC1195">
        <v>0</v>
      </c>
      <c r="AD1195">
        <v>2636.257052192273</v>
      </c>
      <c r="AE1195">
        <v>1581754.2313153639</v>
      </c>
      <c r="AF1195">
        <v>790877.11565768195</v>
      </c>
      <c r="AG1195">
        <v>25.34054111541473</v>
      </c>
      <c r="AH1195">
        <v>261.04876395070937</v>
      </c>
      <c r="AI1195">
        <v>130.52438197535469</v>
      </c>
      <c r="AJ1195">
        <v>20666.761317372959</v>
      </c>
      <c r="AK1195">
        <v>854.70085470085473</v>
      </c>
      <c r="AL1195" t="s">
        <v>93</v>
      </c>
      <c r="AM1195">
        <v>20231.279206179981</v>
      </c>
      <c r="AN1195">
        <v>1419.3013292320479</v>
      </c>
      <c r="AO1195">
        <v>22189.144935810298</v>
      </c>
      <c r="AP1195">
        <v>43172.042707485831</v>
      </c>
      <c r="AQ1195">
        <v>20982.897771675529</v>
      </c>
      <c r="AR1195">
        <v>2.6131444327083329E-2</v>
      </c>
      <c r="AS1195">
        <v>815.56116829728262</v>
      </c>
      <c r="AT1195">
        <v>798.37597445278027</v>
      </c>
      <c r="AU1195">
        <v>56.009116883801752</v>
      </c>
      <c r="AV1195">
        <v>875.63816552885578</v>
      </c>
      <c r="AW1195">
        <v>1703.6748548839851</v>
      </c>
      <c r="AX1195">
        <v>828.03668935512883</v>
      </c>
      <c r="AY1195">
        <v>5.1508127384050342</v>
      </c>
      <c r="AZ1195" t="s">
        <v>128</v>
      </c>
      <c r="BA1195" t="str">
        <f>VLOOKUP($AZ1195,Sheet1!$A$2:$B$58,2)</f>
        <v>L-Glutamate</v>
      </c>
      <c r="BB1195" t="s">
        <v>178</v>
      </c>
      <c r="BC1195">
        <v>146.11892</v>
      </c>
      <c r="BD1195">
        <v>3.4</v>
      </c>
      <c r="BE1195">
        <v>333.8</v>
      </c>
      <c r="BF1195" t="s">
        <v>218</v>
      </c>
      <c r="BG1195">
        <v>0</v>
      </c>
      <c r="BH1195">
        <v>0.2</v>
      </c>
      <c r="BI1195">
        <v>0.98656141106601802</v>
      </c>
      <c r="BJ1195">
        <v>80</v>
      </c>
      <c r="BK1195">
        <v>2158.6021353742908</v>
      </c>
      <c r="BL1195">
        <v>1049.144888583776</v>
      </c>
      <c r="BM1195">
        <v>6.5262190987677346</v>
      </c>
      <c r="BN1195">
        <v>1109.457246790515</v>
      </c>
      <c r="BO1195">
        <v>1049.144888583776</v>
      </c>
    </row>
    <row r="1196" spans="1:67" x14ac:dyDescent="0.25">
      <c r="A1196" s="1">
        <v>1194</v>
      </c>
      <c r="B1196" t="s">
        <v>78</v>
      </c>
      <c r="C1196" t="s">
        <v>87</v>
      </c>
      <c r="D1196">
        <v>1</v>
      </c>
      <c r="E1196">
        <v>4</v>
      </c>
      <c r="F1196">
        <v>1</v>
      </c>
      <c r="G1196">
        <v>32.041060000000002</v>
      </c>
      <c r="H1196">
        <v>6</v>
      </c>
      <c r="I1196" t="s">
        <v>89</v>
      </c>
      <c r="J1196">
        <v>2.5</v>
      </c>
      <c r="K1196">
        <v>200</v>
      </c>
      <c r="L1196">
        <v>50</v>
      </c>
      <c r="N1196" t="s">
        <v>90</v>
      </c>
      <c r="O1196">
        <v>50</v>
      </c>
      <c r="P1196">
        <v>0.3125</v>
      </c>
      <c r="Q1196">
        <v>3.2500000000000001E-2</v>
      </c>
      <c r="R1196">
        <v>77.5</v>
      </c>
      <c r="S1196">
        <v>170</v>
      </c>
      <c r="T1196">
        <v>50</v>
      </c>
      <c r="U1196">
        <v>1812.1301775147931</v>
      </c>
      <c r="V1196">
        <v>20</v>
      </c>
      <c r="W1196">
        <v>0.95</v>
      </c>
      <c r="X1196">
        <v>1</v>
      </c>
      <c r="Y1196">
        <v>792517.87711298594</v>
      </c>
      <c r="Z1196">
        <v>1585035754.2259719</v>
      </c>
      <c r="AA1196">
        <v>3962589385.564929</v>
      </c>
      <c r="AB1196">
        <v>3962589.3855649289</v>
      </c>
      <c r="AC1196">
        <v>0</v>
      </c>
      <c r="AD1196">
        <v>16427.737839374458</v>
      </c>
      <c r="AE1196">
        <v>9856642.7036246788</v>
      </c>
      <c r="AF1196">
        <v>4928321.3518123394</v>
      </c>
      <c r="AG1196">
        <v>157.9086401327003</v>
      </c>
      <c r="AH1196">
        <v>1626.7156701994579</v>
      </c>
      <c r="AI1196">
        <v>813.35783509972885</v>
      </c>
      <c r="AJ1196">
        <v>128784.1550308602</v>
      </c>
      <c r="AK1196">
        <v>854.70085470085473</v>
      </c>
      <c r="AL1196" t="s">
        <v>93</v>
      </c>
      <c r="AM1196">
        <v>126070.464440458</v>
      </c>
      <c r="AN1196">
        <v>8844.3234821546012</v>
      </c>
      <c r="AO1196">
        <v>138270.83196695391</v>
      </c>
      <c r="AP1196">
        <v>264553.6438081736</v>
      </c>
      <c r="AQ1196">
        <v>126282.81184121971</v>
      </c>
      <c r="AR1196">
        <v>2.6131444327083329E-2</v>
      </c>
      <c r="AS1196">
        <v>815.56116829728251</v>
      </c>
      <c r="AT1196">
        <v>798.37597445278016</v>
      </c>
      <c r="AU1196">
        <v>56.009116883801767</v>
      </c>
      <c r="AV1196">
        <v>875.63816552885567</v>
      </c>
      <c r="AW1196">
        <v>1675.3588884424121</v>
      </c>
      <c r="AX1196">
        <v>799.72072291355641</v>
      </c>
      <c r="AY1196">
        <v>5.1508127384050324</v>
      </c>
      <c r="AZ1196" t="s">
        <v>139</v>
      </c>
      <c r="BA1196" t="str">
        <f>VLOOKUP($AZ1196,Sheet1!$A$2:$B$58,2)</f>
        <v>L-Lysine</v>
      </c>
      <c r="BB1196" t="s">
        <v>187</v>
      </c>
      <c r="BC1196">
        <v>147.19319999999999</v>
      </c>
      <c r="BD1196">
        <v>4.833333333333333</v>
      </c>
      <c r="BF1196" t="s">
        <v>218</v>
      </c>
      <c r="BG1196">
        <v>0</v>
      </c>
      <c r="BH1196">
        <v>3.4166666666666498E-2</v>
      </c>
      <c r="BI1196">
        <v>0.15831939265002201</v>
      </c>
      <c r="BJ1196">
        <v>80</v>
      </c>
      <c r="BK1196">
        <v>13227.682190408679</v>
      </c>
      <c r="BL1196">
        <v>6314.140592060985</v>
      </c>
      <c r="BM1196">
        <v>40.667891754986442</v>
      </c>
      <c r="BN1196">
        <v>6913.5415983476951</v>
      </c>
      <c r="BO1196">
        <v>6314.1405920609841</v>
      </c>
    </row>
    <row r="1197" spans="1:67" x14ac:dyDescent="0.25">
      <c r="A1197" s="1">
        <v>1195</v>
      </c>
      <c r="B1197" t="s">
        <v>78</v>
      </c>
      <c r="C1197" t="s">
        <v>87</v>
      </c>
      <c r="D1197">
        <v>1</v>
      </c>
      <c r="E1197">
        <v>4</v>
      </c>
      <c r="F1197">
        <v>1</v>
      </c>
      <c r="G1197">
        <v>32.041060000000002</v>
      </c>
      <c r="H1197">
        <v>6</v>
      </c>
      <c r="I1197" t="s">
        <v>89</v>
      </c>
      <c r="J1197">
        <v>2.5</v>
      </c>
      <c r="K1197">
        <v>200</v>
      </c>
      <c r="L1197">
        <v>50</v>
      </c>
      <c r="N1197" t="s">
        <v>90</v>
      </c>
      <c r="O1197">
        <v>50</v>
      </c>
      <c r="P1197">
        <v>0.3125</v>
      </c>
      <c r="Q1197">
        <v>3.2500000000000001E-2</v>
      </c>
      <c r="R1197">
        <v>77.5</v>
      </c>
      <c r="S1197">
        <v>170</v>
      </c>
      <c r="T1197">
        <v>50</v>
      </c>
      <c r="U1197">
        <v>1812.1301775147931</v>
      </c>
      <c r="V1197">
        <v>20</v>
      </c>
      <c r="W1197">
        <v>0.95</v>
      </c>
      <c r="X1197">
        <v>1</v>
      </c>
      <c r="Y1197">
        <v>611819.65376185381</v>
      </c>
      <c r="Z1197">
        <v>1223639307.5237081</v>
      </c>
      <c r="AA1197">
        <v>3059098268.809269</v>
      </c>
      <c r="AB1197">
        <v>3059098.2688092692</v>
      </c>
      <c r="AC1197">
        <v>0</v>
      </c>
      <c r="AD1197">
        <v>12682.127643088719</v>
      </c>
      <c r="AE1197">
        <v>7609276.585853233</v>
      </c>
      <c r="AF1197">
        <v>3804638.292926617</v>
      </c>
      <c r="AG1197">
        <v>121.9046438219593</v>
      </c>
      <c r="AH1197">
        <v>1255.8159845377529</v>
      </c>
      <c r="AI1197">
        <v>627.90799226887657</v>
      </c>
      <c r="AJ1197">
        <v>99420.693736301255</v>
      </c>
      <c r="AK1197">
        <v>854.70085470085473</v>
      </c>
      <c r="AL1197" t="s">
        <v>93</v>
      </c>
      <c r="AM1197">
        <v>97325.738801675863</v>
      </c>
      <c r="AN1197">
        <v>6827.7714445023412</v>
      </c>
      <c r="AO1197">
        <v>106744.358685709</v>
      </c>
      <c r="AP1197">
        <v>204428.90483718031</v>
      </c>
      <c r="AQ1197">
        <v>97684.546151471295</v>
      </c>
      <c r="AR1197">
        <v>2.6131444327083329E-2</v>
      </c>
      <c r="AS1197">
        <v>815.56116829728273</v>
      </c>
      <c r="AT1197">
        <v>798.37597445278027</v>
      </c>
      <c r="AU1197">
        <v>56.009116883801759</v>
      </c>
      <c r="AV1197">
        <v>875.63816552885589</v>
      </c>
      <c r="AW1197">
        <v>1676.957484373992</v>
      </c>
      <c r="AX1197">
        <v>801.31931884513563</v>
      </c>
      <c r="AY1197">
        <v>5.1508127384050351</v>
      </c>
      <c r="AZ1197" t="s">
        <v>104</v>
      </c>
      <c r="BA1197" t="str">
        <f>VLOOKUP($AZ1197,Sheet1!$A$2:$B$58,2)</f>
        <v>2-Methyl-1-Butanol</v>
      </c>
      <c r="BB1197" t="s">
        <v>157</v>
      </c>
      <c r="BC1197">
        <v>88.14658</v>
      </c>
      <c r="BD1197">
        <v>6</v>
      </c>
      <c r="BE1197">
        <v>129</v>
      </c>
      <c r="BF1197" t="s">
        <v>218</v>
      </c>
      <c r="BG1197">
        <v>0</v>
      </c>
      <c r="BH1197">
        <v>7.4545454545458301E-2</v>
      </c>
      <c r="BI1197">
        <v>0.20507832364870601</v>
      </c>
      <c r="BJ1197">
        <v>80</v>
      </c>
      <c r="BK1197">
        <v>10221.445241859021</v>
      </c>
      <c r="BL1197">
        <v>4884.2273075735648</v>
      </c>
      <c r="BM1197">
        <v>31.395399613443828</v>
      </c>
      <c r="BN1197">
        <v>5337.2179342854506</v>
      </c>
      <c r="BO1197">
        <v>4884.2273075735648</v>
      </c>
    </row>
    <row r="1198" spans="1:67" x14ac:dyDescent="0.25">
      <c r="A1198" s="1">
        <v>1196</v>
      </c>
      <c r="B1198" t="s">
        <v>78</v>
      </c>
      <c r="C1198" t="s">
        <v>87</v>
      </c>
      <c r="D1198">
        <v>1</v>
      </c>
      <c r="E1198">
        <v>4</v>
      </c>
      <c r="F1198">
        <v>1</v>
      </c>
      <c r="G1198">
        <v>32.041060000000002</v>
      </c>
      <c r="H1198">
        <v>6</v>
      </c>
      <c r="I1198" t="s">
        <v>89</v>
      </c>
      <c r="J1198">
        <v>2.5</v>
      </c>
      <c r="K1198">
        <v>200</v>
      </c>
      <c r="L1198">
        <v>50</v>
      </c>
      <c r="N1198" t="s">
        <v>90</v>
      </c>
      <c r="O1198">
        <v>50</v>
      </c>
      <c r="P1198">
        <v>0.3125</v>
      </c>
      <c r="Q1198">
        <v>3.2500000000000001E-2</v>
      </c>
      <c r="R1198">
        <v>77.5</v>
      </c>
      <c r="S1198">
        <v>170</v>
      </c>
      <c r="T1198">
        <v>50</v>
      </c>
      <c r="U1198">
        <v>1812.1301775147931</v>
      </c>
      <c r="V1198">
        <v>20</v>
      </c>
      <c r="W1198">
        <v>0.95</v>
      </c>
      <c r="X1198">
        <v>1</v>
      </c>
      <c r="Y1198">
        <v>719766.26767217682</v>
      </c>
      <c r="Z1198">
        <v>1439532535.3443539</v>
      </c>
      <c r="AA1198">
        <v>3598831338.3608842</v>
      </c>
      <c r="AB1198">
        <v>3598831.3383608842</v>
      </c>
      <c r="AC1198">
        <v>0</v>
      </c>
      <c r="AD1198">
        <v>14919.703255170651</v>
      </c>
      <c r="AE1198">
        <v>8951821.9531023894</v>
      </c>
      <c r="AF1198">
        <v>4475910.9765511947</v>
      </c>
      <c r="AG1198">
        <v>143.41293215433541</v>
      </c>
      <c r="AH1198">
        <v>1477.386315585135</v>
      </c>
      <c r="AI1198">
        <v>738.6931577925676</v>
      </c>
      <c r="AJ1198">
        <v>116962.01849672871</v>
      </c>
      <c r="AK1198">
        <v>854.70085470085473</v>
      </c>
      <c r="AL1198" t="s">
        <v>93</v>
      </c>
      <c r="AM1198">
        <v>114497.439457848</v>
      </c>
      <c r="AN1198">
        <v>8032.4316796809062</v>
      </c>
      <c r="AO1198">
        <v>125577.8368247365</v>
      </c>
      <c r="AP1198">
        <v>240346.59048895849</v>
      </c>
      <c r="AQ1198">
        <v>114768.75366422199</v>
      </c>
      <c r="AR1198">
        <v>2.6131444327083329E-2</v>
      </c>
      <c r="AS1198">
        <v>815.56116829728273</v>
      </c>
      <c r="AT1198">
        <v>798.37597445278004</v>
      </c>
      <c r="AU1198">
        <v>56.009116883801767</v>
      </c>
      <c r="AV1198">
        <v>875.63816552885555</v>
      </c>
      <c r="AW1198">
        <v>1675.90597917841</v>
      </c>
      <c r="AX1198">
        <v>800.26781364955491</v>
      </c>
      <c r="AY1198">
        <v>5.1508127384050324</v>
      </c>
      <c r="AZ1198" t="s">
        <v>106</v>
      </c>
      <c r="BA1198" t="str">
        <f>VLOOKUP($AZ1198,Sheet1!$A$2:$B$58,2)</f>
        <v>3-Methyl-1-Pentanol</v>
      </c>
      <c r="BB1198" t="s">
        <v>159</v>
      </c>
      <c r="BC1198">
        <v>102.17296</v>
      </c>
      <c r="BD1198">
        <v>6</v>
      </c>
      <c r="BE1198">
        <v>153</v>
      </c>
      <c r="BF1198" t="s">
        <v>218</v>
      </c>
      <c r="BG1198">
        <v>0</v>
      </c>
      <c r="BH1198">
        <v>5.4666666666667599E-2</v>
      </c>
      <c r="BI1198">
        <v>0.17432179667797301</v>
      </c>
      <c r="BJ1198">
        <v>80</v>
      </c>
      <c r="BK1198">
        <v>12017.32952444792</v>
      </c>
      <c r="BL1198">
        <v>5738.4376832110984</v>
      </c>
      <c r="BM1198">
        <v>36.934657889628383</v>
      </c>
      <c r="BN1198">
        <v>6278.8918412368248</v>
      </c>
      <c r="BO1198">
        <v>5738.4376832110984</v>
      </c>
    </row>
    <row r="1199" spans="1:67" x14ac:dyDescent="0.25">
      <c r="A1199" s="1">
        <v>1197</v>
      </c>
      <c r="B1199" t="s">
        <v>78</v>
      </c>
      <c r="C1199" t="s">
        <v>87</v>
      </c>
      <c r="D1199">
        <v>1</v>
      </c>
      <c r="E1199">
        <v>4</v>
      </c>
      <c r="F1199">
        <v>1</v>
      </c>
      <c r="G1199">
        <v>32.041060000000002</v>
      </c>
      <c r="H1199">
        <v>6</v>
      </c>
      <c r="I1199" t="s">
        <v>89</v>
      </c>
      <c r="J1199">
        <v>2.5</v>
      </c>
      <c r="K1199">
        <v>200</v>
      </c>
      <c r="L1199">
        <v>50</v>
      </c>
      <c r="N1199" t="s">
        <v>90</v>
      </c>
      <c r="O1199">
        <v>50</v>
      </c>
      <c r="P1199">
        <v>0.3125</v>
      </c>
      <c r="Q1199">
        <v>3.2500000000000001E-2</v>
      </c>
      <c r="R1199">
        <v>77.5</v>
      </c>
      <c r="S1199">
        <v>170</v>
      </c>
      <c r="T1199">
        <v>50</v>
      </c>
      <c r="U1199">
        <v>1812.1301775147931</v>
      </c>
      <c r="V1199">
        <v>20</v>
      </c>
      <c r="W1199">
        <v>0.95</v>
      </c>
      <c r="X1199">
        <v>1</v>
      </c>
      <c r="Y1199">
        <v>175633.3765007405</v>
      </c>
      <c r="Z1199">
        <v>351266753.00148112</v>
      </c>
      <c r="AA1199">
        <v>878166882.50370264</v>
      </c>
      <c r="AB1199">
        <v>878166.88250370265</v>
      </c>
      <c r="AC1199">
        <v>0</v>
      </c>
      <c r="AD1199">
        <v>3640.6233200806118</v>
      </c>
      <c r="AE1199">
        <v>2184373.9920483669</v>
      </c>
      <c r="AF1199">
        <v>1092186.9960241839</v>
      </c>
      <c r="AG1199">
        <v>34.994829070830633</v>
      </c>
      <c r="AH1199">
        <v>360.50362271268227</v>
      </c>
      <c r="AI1199">
        <v>180.25181135634119</v>
      </c>
      <c r="AJ1199">
        <v>28540.423681370339</v>
      </c>
      <c r="AK1199">
        <v>854.70085470085473</v>
      </c>
      <c r="AL1199" t="s">
        <v>93</v>
      </c>
      <c r="AM1199">
        <v>27939.030760232879</v>
      </c>
      <c r="AN1199">
        <v>1960.029471756817</v>
      </c>
      <c r="AO1199">
        <v>30642.807930578001</v>
      </c>
      <c r="AP1199">
        <v>59294.184768060877</v>
      </c>
      <c r="AQ1199">
        <v>28651.376837482891</v>
      </c>
      <c r="AR1199">
        <v>2.6131444327083329E-2</v>
      </c>
      <c r="AS1199">
        <v>815.56116829728251</v>
      </c>
      <c r="AT1199">
        <v>798.37597445277993</v>
      </c>
      <c r="AU1199">
        <v>56.009116883801759</v>
      </c>
      <c r="AV1199">
        <v>875.63816552885544</v>
      </c>
      <c r="AW1199">
        <v>1694.369892421752</v>
      </c>
      <c r="AX1199">
        <v>818.73172689289606</v>
      </c>
      <c r="AY1199">
        <v>5.1508127384050324</v>
      </c>
      <c r="AZ1199" t="s">
        <v>96</v>
      </c>
      <c r="BA1199" t="str">
        <f>VLOOKUP($AZ1199,Sheet1!$A$2:$B$58,2)</f>
        <v>1,3-Butanediol (PW1)</v>
      </c>
      <c r="BB1199" t="s">
        <v>153</v>
      </c>
      <c r="BC1199">
        <v>90.119200000000006</v>
      </c>
      <c r="BD1199">
        <v>5.5</v>
      </c>
      <c r="BE1199">
        <v>207</v>
      </c>
      <c r="BF1199" t="s">
        <v>219</v>
      </c>
      <c r="BG1199">
        <v>0</v>
      </c>
      <c r="BH1199">
        <v>0.25</v>
      </c>
      <c r="BI1199">
        <v>0.71439125904570688</v>
      </c>
      <c r="BJ1199">
        <v>80</v>
      </c>
      <c r="BK1199">
        <v>2964.7092384030439</v>
      </c>
      <c r="BL1199">
        <v>1432.568841874144</v>
      </c>
      <c r="BM1199">
        <v>9.0125905678170586</v>
      </c>
      <c r="BN1199">
        <v>1532.1403965289001</v>
      </c>
      <c r="BO1199">
        <v>1432.568841874144</v>
      </c>
    </row>
    <row r="1200" spans="1:67" x14ac:dyDescent="0.25">
      <c r="A1200" s="1">
        <v>1198</v>
      </c>
      <c r="B1200" t="s">
        <v>78</v>
      </c>
      <c r="C1200" t="s">
        <v>87</v>
      </c>
      <c r="D1200">
        <v>1</v>
      </c>
      <c r="E1200">
        <v>4</v>
      </c>
      <c r="F1200">
        <v>1</v>
      </c>
      <c r="G1200">
        <v>32.041060000000002</v>
      </c>
      <c r="H1200">
        <v>6</v>
      </c>
      <c r="I1200" t="s">
        <v>89</v>
      </c>
      <c r="J1200">
        <v>2.5</v>
      </c>
      <c r="K1200">
        <v>200</v>
      </c>
      <c r="L1200">
        <v>50</v>
      </c>
      <c r="N1200" t="s">
        <v>90</v>
      </c>
      <c r="O1200">
        <v>50</v>
      </c>
      <c r="P1200">
        <v>0.3125</v>
      </c>
      <c r="Q1200">
        <v>3.2500000000000001E-2</v>
      </c>
      <c r="R1200">
        <v>77.5</v>
      </c>
      <c r="S1200">
        <v>170</v>
      </c>
      <c r="T1200">
        <v>50</v>
      </c>
      <c r="U1200">
        <v>1812.1301775147931</v>
      </c>
      <c r="V1200">
        <v>20</v>
      </c>
      <c r="W1200">
        <v>0.95</v>
      </c>
      <c r="X1200">
        <v>1</v>
      </c>
      <c r="Y1200">
        <v>175633.3765007405</v>
      </c>
      <c r="Z1200">
        <v>351266753.00148112</v>
      </c>
      <c r="AA1200">
        <v>878166882.50370264</v>
      </c>
      <c r="AB1200">
        <v>878166.88250370265</v>
      </c>
      <c r="AC1200">
        <v>0</v>
      </c>
      <c r="AD1200">
        <v>3640.6233200806118</v>
      </c>
      <c r="AE1200">
        <v>2184373.9920483669</v>
      </c>
      <c r="AF1200">
        <v>1092186.9960241839</v>
      </c>
      <c r="AG1200">
        <v>34.994829070830633</v>
      </c>
      <c r="AH1200">
        <v>360.50362271268227</v>
      </c>
      <c r="AI1200">
        <v>180.25181135634119</v>
      </c>
      <c r="AJ1200">
        <v>28540.423681370339</v>
      </c>
      <c r="AK1200">
        <v>854.70085470085473</v>
      </c>
      <c r="AL1200" t="s">
        <v>93</v>
      </c>
      <c r="AM1200">
        <v>27939.030760232879</v>
      </c>
      <c r="AN1200">
        <v>1960.029471756817</v>
      </c>
      <c r="AO1200">
        <v>30642.807930578001</v>
      </c>
      <c r="AP1200">
        <v>59294.184768060877</v>
      </c>
      <c r="AQ1200">
        <v>28651.376837482891</v>
      </c>
      <c r="AR1200">
        <v>2.6131444327083329E-2</v>
      </c>
      <c r="AS1200">
        <v>815.56116829728251</v>
      </c>
      <c r="AT1200">
        <v>798.37597445277993</v>
      </c>
      <c r="AU1200">
        <v>56.009116883801759</v>
      </c>
      <c r="AV1200">
        <v>875.63816552885544</v>
      </c>
      <c r="AW1200">
        <v>1694.369892421752</v>
      </c>
      <c r="AX1200">
        <v>818.73172689289606</v>
      </c>
      <c r="AY1200">
        <v>5.1508127384050324</v>
      </c>
      <c r="AZ1200" t="s">
        <v>97</v>
      </c>
      <c r="BA1200" t="str">
        <f>VLOOKUP($AZ1200,Sheet1!$A$2:$B$58,2)</f>
        <v>1,3-Butanediol (PW2)</v>
      </c>
      <c r="BB1200" t="s">
        <v>153</v>
      </c>
      <c r="BC1200">
        <v>90.119200000000006</v>
      </c>
      <c r="BD1200">
        <v>5.5</v>
      </c>
      <c r="BE1200">
        <v>207</v>
      </c>
      <c r="BF1200" t="s">
        <v>219</v>
      </c>
      <c r="BG1200">
        <v>0</v>
      </c>
      <c r="BH1200">
        <v>0.25</v>
      </c>
      <c r="BI1200">
        <v>0.71439125904570688</v>
      </c>
      <c r="BJ1200">
        <v>80</v>
      </c>
      <c r="BK1200">
        <v>2964.7092384030439</v>
      </c>
      <c r="BL1200">
        <v>1432.568841874144</v>
      </c>
      <c r="BM1200">
        <v>9.0125905678170586</v>
      </c>
      <c r="BN1200">
        <v>1532.1403965289001</v>
      </c>
      <c r="BO1200">
        <v>1432.568841874144</v>
      </c>
    </row>
    <row r="1201" spans="1:67" x14ac:dyDescent="0.25">
      <c r="A1201" s="1">
        <v>1199</v>
      </c>
      <c r="B1201" t="s">
        <v>78</v>
      </c>
      <c r="C1201" t="s">
        <v>87</v>
      </c>
      <c r="D1201">
        <v>1</v>
      </c>
      <c r="E1201">
        <v>4</v>
      </c>
      <c r="F1201">
        <v>1</v>
      </c>
      <c r="G1201">
        <v>32.041060000000002</v>
      </c>
      <c r="H1201">
        <v>6</v>
      </c>
      <c r="I1201" t="s">
        <v>89</v>
      </c>
      <c r="J1201">
        <v>2.5</v>
      </c>
      <c r="K1201">
        <v>200</v>
      </c>
      <c r="L1201">
        <v>50</v>
      </c>
      <c r="N1201" t="s">
        <v>90</v>
      </c>
      <c r="O1201">
        <v>50</v>
      </c>
      <c r="P1201">
        <v>0.3125</v>
      </c>
      <c r="Q1201">
        <v>3.2500000000000001E-2</v>
      </c>
      <c r="R1201">
        <v>77.5</v>
      </c>
      <c r="S1201">
        <v>170</v>
      </c>
      <c r="T1201">
        <v>50</v>
      </c>
      <c r="U1201">
        <v>1812.1301775147931</v>
      </c>
      <c r="V1201">
        <v>20</v>
      </c>
      <c r="W1201">
        <v>0.95</v>
      </c>
      <c r="X1201">
        <v>1</v>
      </c>
      <c r="Y1201">
        <v>459104.22663095139</v>
      </c>
      <c r="Z1201">
        <v>918208453.26190281</v>
      </c>
      <c r="AA1201">
        <v>2295521133.154757</v>
      </c>
      <c r="AB1201">
        <v>2295521.1331547569</v>
      </c>
      <c r="AC1201">
        <v>0</v>
      </c>
      <c r="AD1201">
        <v>9516.5599336591276</v>
      </c>
      <c r="AE1201">
        <v>5709935.9601954762</v>
      </c>
      <c r="AF1201">
        <v>2854967.9800977381</v>
      </c>
      <c r="AG1201">
        <v>91.476200348390435</v>
      </c>
      <c r="AH1201">
        <v>942.35355603076096</v>
      </c>
      <c r="AI1201">
        <v>471.17677801538048</v>
      </c>
      <c r="AJ1201">
        <v>74604.4368275296</v>
      </c>
      <c r="AK1201">
        <v>854.70085470085473</v>
      </c>
      <c r="AL1201" t="s">
        <v>93</v>
      </c>
      <c r="AM1201">
        <v>73032.400592383972</v>
      </c>
      <c r="AN1201">
        <v>5123.5011973990677</v>
      </c>
      <c r="AO1201">
        <v>80100.052262614685</v>
      </c>
      <c r="AP1201">
        <v>153615.03947201351</v>
      </c>
      <c r="AQ1201">
        <v>73514.987209398794</v>
      </c>
      <c r="AR1201">
        <v>2.6131444327083329E-2</v>
      </c>
      <c r="AS1201">
        <v>815.56116829728273</v>
      </c>
      <c r="AT1201">
        <v>798.37597445278027</v>
      </c>
      <c r="AU1201">
        <v>56.009116883801759</v>
      </c>
      <c r="AV1201">
        <v>875.63816552885578</v>
      </c>
      <c r="AW1201">
        <v>1679.2896828570169</v>
      </c>
      <c r="AX1201">
        <v>803.65151732816093</v>
      </c>
      <c r="AY1201">
        <v>5.1508127384050342</v>
      </c>
      <c r="AZ1201" t="s">
        <v>98</v>
      </c>
      <c r="BA1201" t="str">
        <f>VLOOKUP($AZ1201,Sheet1!$A$2:$B$58,2)</f>
        <v>1,3-Diaminopropane</v>
      </c>
      <c r="BB1201" t="s">
        <v>154</v>
      </c>
      <c r="BC1201">
        <v>76.139580000000009</v>
      </c>
      <c r="BD1201">
        <v>6</v>
      </c>
      <c r="BE1201">
        <v>139.30000000000001</v>
      </c>
      <c r="BF1201" t="s">
        <v>219</v>
      </c>
      <c r="BG1201">
        <v>0</v>
      </c>
      <c r="BH1201">
        <v>0.114181818181818</v>
      </c>
      <c r="BI1201">
        <v>0.27329512927719551</v>
      </c>
      <c r="BJ1201">
        <v>80</v>
      </c>
      <c r="BK1201">
        <v>7680.7519736006743</v>
      </c>
      <c r="BL1201">
        <v>3675.7493604699412</v>
      </c>
      <c r="BM1201">
        <v>23.558838900769022</v>
      </c>
      <c r="BN1201">
        <v>4005.0026131307341</v>
      </c>
      <c r="BO1201">
        <v>3675.7493604699412</v>
      </c>
    </row>
    <row r="1202" spans="1:67" x14ac:dyDescent="0.25">
      <c r="A1202" s="1">
        <v>1200</v>
      </c>
      <c r="B1202" t="s">
        <v>78</v>
      </c>
      <c r="C1202" t="s">
        <v>87</v>
      </c>
      <c r="D1202">
        <v>1</v>
      </c>
      <c r="E1202">
        <v>4</v>
      </c>
      <c r="F1202">
        <v>1</v>
      </c>
      <c r="G1202">
        <v>32.041060000000002</v>
      </c>
      <c r="H1202">
        <v>6</v>
      </c>
      <c r="I1202" t="s">
        <v>89</v>
      </c>
      <c r="J1202">
        <v>2.5</v>
      </c>
      <c r="K1202">
        <v>200</v>
      </c>
      <c r="L1202">
        <v>50</v>
      </c>
      <c r="N1202" t="s">
        <v>90</v>
      </c>
      <c r="O1202">
        <v>50</v>
      </c>
      <c r="P1202">
        <v>0.3125</v>
      </c>
      <c r="Q1202">
        <v>3.2500000000000001E-2</v>
      </c>
      <c r="R1202">
        <v>77.5</v>
      </c>
      <c r="S1202">
        <v>170</v>
      </c>
      <c r="T1202">
        <v>50</v>
      </c>
      <c r="U1202">
        <v>1812.1301775147931</v>
      </c>
      <c r="V1202">
        <v>20</v>
      </c>
      <c r="W1202">
        <v>0.95</v>
      </c>
      <c r="X1202">
        <v>1</v>
      </c>
      <c r="Y1202">
        <v>155175.18182896709</v>
      </c>
      <c r="Z1202">
        <v>310350363.65793419</v>
      </c>
      <c r="AA1202">
        <v>775875909.14483547</v>
      </c>
      <c r="AB1202">
        <v>775875.90914483543</v>
      </c>
      <c r="AC1202">
        <v>0</v>
      </c>
      <c r="AD1202">
        <v>3216.5548309771571</v>
      </c>
      <c r="AE1202">
        <v>1929932.8985862939</v>
      </c>
      <c r="AF1202">
        <v>964966.44929314696</v>
      </c>
      <c r="AG1202">
        <v>30.918547899788681</v>
      </c>
      <c r="AH1202">
        <v>318.51130075043551</v>
      </c>
      <c r="AI1202">
        <v>159.2556503752177</v>
      </c>
      <c r="AJ1202">
        <v>25215.967047207148</v>
      </c>
      <c r="AK1202">
        <v>854.70085470085473</v>
      </c>
      <c r="AL1202" t="s">
        <v>93</v>
      </c>
      <c r="AM1202">
        <v>24684.625808158751</v>
      </c>
      <c r="AN1202">
        <v>1731.7205631966881</v>
      </c>
      <c r="AO1202">
        <v>27073.460563787012</v>
      </c>
      <c r="AP1202">
        <v>52487.014273263441</v>
      </c>
      <c r="AQ1202">
        <v>25413.55370947643</v>
      </c>
      <c r="AR1202">
        <v>2.6131444327083329E-2</v>
      </c>
      <c r="AS1202">
        <v>815.56116829728273</v>
      </c>
      <c r="AT1202">
        <v>798.37597445278016</v>
      </c>
      <c r="AU1202">
        <v>56.009116883801767</v>
      </c>
      <c r="AV1202">
        <v>875.63816552885555</v>
      </c>
      <c r="AW1202">
        <v>1697.589888224413</v>
      </c>
      <c r="AX1202">
        <v>821.95172269555792</v>
      </c>
      <c r="AY1202">
        <v>5.1508127384050333</v>
      </c>
      <c r="AZ1202" t="s">
        <v>99</v>
      </c>
      <c r="BA1202" t="str">
        <f>VLOOKUP($AZ1202,Sheet1!$A$2:$B$58,2)</f>
        <v>1,3-Propanediol</v>
      </c>
      <c r="BB1202" t="s">
        <v>155</v>
      </c>
      <c r="BC1202">
        <v>76.092820000000003</v>
      </c>
      <c r="BD1202">
        <v>5.333333333333333</v>
      </c>
      <c r="BE1202">
        <v>213</v>
      </c>
      <c r="BF1202" t="s">
        <v>219</v>
      </c>
      <c r="BG1202">
        <v>0</v>
      </c>
      <c r="BH1202">
        <v>0.33333333333333359</v>
      </c>
      <c r="BI1202">
        <v>0.80857613627355596</v>
      </c>
      <c r="BJ1202">
        <v>80</v>
      </c>
      <c r="BK1202">
        <v>2624.350713663172</v>
      </c>
      <c r="BL1202">
        <v>1270.6776854738221</v>
      </c>
      <c r="BM1202">
        <v>7.9627825187608856</v>
      </c>
      <c r="BN1202">
        <v>1353.673028189351</v>
      </c>
      <c r="BO1202">
        <v>1270.6776854738209</v>
      </c>
    </row>
    <row r="1203" spans="1:67" x14ac:dyDescent="0.25">
      <c r="A1203" s="1">
        <v>1201</v>
      </c>
      <c r="B1203" t="s">
        <v>78</v>
      </c>
      <c r="C1203" t="s">
        <v>87</v>
      </c>
      <c r="D1203">
        <v>1</v>
      </c>
      <c r="E1203">
        <v>4</v>
      </c>
      <c r="F1203">
        <v>1</v>
      </c>
      <c r="G1203">
        <v>32.041060000000002</v>
      </c>
      <c r="H1203">
        <v>6</v>
      </c>
      <c r="I1203" t="s">
        <v>89</v>
      </c>
      <c r="J1203">
        <v>2.5</v>
      </c>
      <c r="K1203">
        <v>200</v>
      </c>
      <c r="L1203">
        <v>50</v>
      </c>
      <c r="N1203" t="s">
        <v>90</v>
      </c>
      <c r="O1203">
        <v>50</v>
      </c>
      <c r="P1203">
        <v>0.3125</v>
      </c>
      <c r="Q1203">
        <v>3.2500000000000001E-2</v>
      </c>
      <c r="R1203">
        <v>77.5</v>
      </c>
      <c r="S1203">
        <v>170</v>
      </c>
      <c r="T1203">
        <v>50</v>
      </c>
      <c r="U1203">
        <v>1812.1301775147931</v>
      </c>
      <c r="V1203">
        <v>20</v>
      </c>
      <c r="W1203">
        <v>0.95</v>
      </c>
      <c r="X1203">
        <v>1</v>
      </c>
      <c r="Y1203">
        <v>551267.06332590757</v>
      </c>
      <c r="Z1203">
        <v>1102534126.6518149</v>
      </c>
      <c r="AA1203">
        <v>2756335316.6295381</v>
      </c>
      <c r="AB1203">
        <v>2756335.3166295378</v>
      </c>
      <c r="AC1203">
        <v>0</v>
      </c>
      <c r="AD1203">
        <v>11426.960901865899</v>
      </c>
      <c r="AE1203">
        <v>6856176.5411195382</v>
      </c>
      <c r="AF1203">
        <v>3428088.2705597691</v>
      </c>
      <c r="AG1203">
        <v>109.83958196230181</v>
      </c>
      <c r="AH1203">
        <v>1131.5262359050159</v>
      </c>
      <c r="AI1203">
        <v>565.76311795250786</v>
      </c>
      <c r="AJ1203">
        <v>89580.897790459989</v>
      </c>
      <c r="AK1203">
        <v>854.70085470085473</v>
      </c>
      <c r="AL1203" t="s">
        <v>93</v>
      </c>
      <c r="AM1203">
        <v>87693.283282638717</v>
      </c>
      <c r="AN1203">
        <v>6152.0179845944858</v>
      </c>
      <c r="AO1203">
        <v>96179.730051926337</v>
      </c>
      <c r="AP1203">
        <v>184280.899912394</v>
      </c>
      <c r="AQ1203">
        <v>88101.169860467693</v>
      </c>
      <c r="AR1203">
        <v>2.6131444327083329E-2</v>
      </c>
      <c r="AS1203">
        <v>815.56116829728273</v>
      </c>
      <c r="AT1203">
        <v>798.37597445278016</v>
      </c>
      <c r="AU1203">
        <v>56.009116883801767</v>
      </c>
      <c r="AV1203">
        <v>875.63816552885567</v>
      </c>
      <c r="AW1203">
        <v>1677.7276153112209</v>
      </c>
      <c r="AX1203">
        <v>802.08944978236548</v>
      </c>
      <c r="AY1203">
        <v>5.1508127384050333</v>
      </c>
      <c r="AZ1203" t="s">
        <v>100</v>
      </c>
      <c r="BA1203" t="str">
        <f>VLOOKUP($AZ1203,Sheet1!$A$2:$B$58,2)</f>
        <v>1,4-Butanediol</v>
      </c>
      <c r="BB1203" t="s">
        <v>153</v>
      </c>
      <c r="BC1203">
        <v>90.119200000000006</v>
      </c>
      <c r="BD1203">
        <v>5.5</v>
      </c>
      <c r="BE1203">
        <v>230</v>
      </c>
      <c r="BF1203" t="s">
        <v>219</v>
      </c>
      <c r="BG1203">
        <v>0</v>
      </c>
      <c r="BH1203">
        <v>8.0512820512820493E-2</v>
      </c>
      <c r="BI1203">
        <v>0.22760465356268639</v>
      </c>
      <c r="BJ1203">
        <v>80</v>
      </c>
      <c r="BK1203">
        <v>9214.0449956197008</v>
      </c>
      <c r="BL1203">
        <v>4405.0584930233836</v>
      </c>
      <c r="BM1203">
        <v>28.288155897625401</v>
      </c>
      <c r="BN1203">
        <v>4808.9865025963172</v>
      </c>
      <c r="BO1203">
        <v>4405.0584930233836</v>
      </c>
    </row>
    <row r="1204" spans="1:67" x14ac:dyDescent="0.25">
      <c r="A1204" s="1">
        <v>1202</v>
      </c>
      <c r="B1204" t="s">
        <v>78</v>
      </c>
      <c r="C1204" t="s">
        <v>87</v>
      </c>
      <c r="D1204">
        <v>1</v>
      </c>
      <c r="E1204">
        <v>4</v>
      </c>
      <c r="F1204">
        <v>1</v>
      </c>
      <c r="G1204">
        <v>32.041060000000002</v>
      </c>
      <c r="H1204">
        <v>6</v>
      </c>
      <c r="I1204" t="s">
        <v>89</v>
      </c>
      <c r="J1204">
        <v>2.5</v>
      </c>
      <c r="K1204">
        <v>200</v>
      </c>
      <c r="L1204">
        <v>50</v>
      </c>
      <c r="N1204" t="s">
        <v>90</v>
      </c>
      <c r="O1204">
        <v>50</v>
      </c>
      <c r="P1204">
        <v>0.3125</v>
      </c>
      <c r="Q1204">
        <v>3.2500000000000001E-2</v>
      </c>
      <c r="R1204">
        <v>77.5</v>
      </c>
      <c r="S1204">
        <v>170</v>
      </c>
      <c r="T1204">
        <v>50</v>
      </c>
      <c r="U1204">
        <v>1812.1301775147931</v>
      </c>
      <c r="V1204">
        <v>20</v>
      </c>
      <c r="W1204">
        <v>0.95</v>
      </c>
      <c r="X1204">
        <v>1</v>
      </c>
      <c r="Y1204">
        <v>564594.27745312836</v>
      </c>
      <c r="Z1204">
        <v>1129188554.9062569</v>
      </c>
      <c r="AA1204">
        <v>2822971387.2656422</v>
      </c>
      <c r="AB1204">
        <v>2822971.3872656422</v>
      </c>
      <c r="AC1204">
        <v>0</v>
      </c>
      <c r="AD1204">
        <v>11703.21458160463</v>
      </c>
      <c r="AE1204">
        <v>7021928.7489627767</v>
      </c>
      <c r="AF1204">
        <v>3510964.3744813879</v>
      </c>
      <c r="AG1204">
        <v>112.4950201806206</v>
      </c>
      <c r="AH1204">
        <v>1158.8815659069439</v>
      </c>
      <c r="AI1204">
        <v>579.44078295347197</v>
      </c>
      <c r="AJ1204">
        <v>91746.570086133361</v>
      </c>
      <c r="AK1204">
        <v>854.70085470085473</v>
      </c>
      <c r="AL1204" t="s">
        <v>93</v>
      </c>
      <c r="AM1204">
        <v>89813.321357788154</v>
      </c>
      <c r="AN1204">
        <v>6300.7467341420206</v>
      </c>
      <c r="AO1204">
        <v>98504.933102090232</v>
      </c>
      <c r="AP1204">
        <v>188715.3390327644</v>
      </c>
      <c r="AQ1204">
        <v>90210.40593067414</v>
      </c>
      <c r="AR1204">
        <v>2.6131444327083329E-2</v>
      </c>
      <c r="AS1204">
        <v>815.56116829728273</v>
      </c>
      <c r="AT1204">
        <v>798.37597445278004</v>
      </c>
      <c r="AU1204">
        <v>56.009116883801767</v>
      </c>
      <c r="AV1204">
        <v>875.63816552885544</v>
      </c>
      <c r="AW1204">
        <v>1677.5439368761861</v>
      </c>
      <c r="AX1204">
        <v>801.90577134733087</v>
      </c>
      <c r="AY1204">
        <v>5.1508127384050324</v>
      </c>
      <c r="AZ1204" t="s">
        <v>101</v>
      </c>
      <c r="BA1204" t="str">
        <f>VLOOKUP($AZ1204,Sheet1!$A$2:$B$58,2)</f>
        <v>1-Propanol (PW1)</v>
      </c>
      <c r="BB1204" t="s">
        <v>156</v>
      </c>
      <c r="BC1204">
        <v>60.093820000000001</v>
      </c>
      <c r="BD1204">
        <v>6</v>
      </c>
      <c r="BE1204">
        <v>97</v>
      </c>
      <c r="BF1204" t="s">
        <v>219</v>
      </c>
      <c r="BG1204">
        <v>0</v>
      </c>
      <c r="BH1204">
        <v>0.1184905660377357</v>
      </c>
      <c r="BI1204">
        <v>0.22223205933791829</v>
      </c>
      <c r="BJ1204">
        <v>80</v>
      </c>
      <c r="BK1204">
        <v>9435.7669516382175</v>
      </c>
      <c r="BL1204">
        <v>4510.5202965337066</v>
      </c>
      <c r="BM1204">
        <v>28.972039147673591</v>
      </c>
      <c r="BN1204">
        <v>4925.2466551045109</v>
      </c>
      <c r="BO1204">
        <v>4510.5202965337066</v>
      </c>
    </row>
    <row r="1205" spans="1:67" x14ac:dyDescent="0.25">
      <c r="A1205" s="1">
        <v>1203</v>
      </c>
      <c r="B1205" t="s">
        <v>78</v>
      </c>
      <c r="C1205" t="s">
        <v>87</v>
      </c>
      <c r="D1205">
        <v>1</v>
      </c>
      <c r="E1205">
        <v>4</v>
      </c>
      <c r="F1205">
        <v>1</v>
      </c>
      <c r="G1205">
        <v>32.041060000000002</v>
      </c>
      <c r="H1205">
        <v>6</v>
      </c>
      <c r="I1205" t="s">
        <v>89</v>
      </c>
      <c r="J1205">
        <v>2.5</v>
      </c>
      <c r="K1205">
        <v>200</v>
      </c>
      <c r="L1205">
        <v>50</v>
      </c>
      <c r="N1205" t="s">
        <v>90</v>
      </c>
      <c r="O1205">
        <v>50</v>
      </c>
      <c r="P1205">
        <v>0.3125</v>
      </c>
      <c r="Q1205">
        <v>3.2500000000000001E-2</v>
      </c>
      <c r="R1205">
        <v>77.5</v>
      </c>
      <c r="S1205">
        <v>170</v>
      </c>
      <c r="T1205">
        <v>50</v>
      </c>
      <c r="U1205">
        <v>1812.1301775147931</v>
      </c>
      <c r="V1205">
        <v>20</v>
      </c>
      <c r="W1205">
        <v>0.95</v>
      </c>
      <c r="X1205">
        <v>1</v>
      </c>
      <c r="Y1205">
        <v>287623.49983461201</v>
      </c>
      <c r="Z1205">
        <v>575246999.6692239</v>
      </c>
      <c r="AA1205">
        <v>1438117499.1730599</v>
      </c>
      <c r="AB1205">
        <v>1438117.4991730601</v>
      </c>
      <c r="AC1205">
        <v>0</v>
      </c>
      <c r="AD1205">
        <v>5962.014975534421</v>
      </c>
      <c r="AE1205">
        <v>3577208.9853206528</v>
      </c>
      <c r="AF1205">
        <v>1788604.492660326</v>
      </c>
      <c r="AG1205">
        <v>57.308783865599082</v>
      </c>
      <c r="AH1205">
        <v>590.37362791485714</v>
      </c>
      <c r="AI1205">
        <v>295.18681395742863</v>
      </c>
      <c r="AJ1205">
        <v>46738.818723124437</v>
      </c>
      <c r="AK1205">
        <v>854.70085470085473</v>
      </c>
      <c r="AL1205" t="s">
        <v>93</v>
      </c>
      <c r="AM1205">
        <v>45753.956163401432</v>
      </c>
      <c r="AN1205">
        <v>3209.8143739968718</v>
      </c>
      <c r="AO1205">
        <v>50181.758372762859</v>
      </c>
      <c r="AP1205">
        <v>96557.290115223601</v>
      </c>
      <c r="AQ1205">
        <v>46375.531742460742</v>
      </c>
      <c r="AR1205">
        <v>2.6131444327083329E-2</v>
      </c>
      <c r="AS1205">
        <v>815.56116829728251</v>
      </c>
      <c r="AT1205">
        <v>798.37597445278016</v>
      </c>
      <c r="AU1205">
        <v>56.009116883801767</v>
      </c>
      <c r="AV1205">
        <v>875.63816552885567</v>
      </c>
      <c r="AW1205">
        <v>1684.860218665089</v>
      </c>
      <c r="AX1205">
        <v>809.22205313623374</v>
      </c>
      <c r="AY1205">
        <v>5.1508127384050324</v>
      </c>
      <c r="AZ1205" t="s">
        <v>102</v>
      </c>
      <c r="BA1205" t="str">
        <f>VLOOKUP($AZ1205,Sheet1!$A$2:$B$58,2)</f>
        <v>1-Propanol (PW2)</v>
      </c>
      <c r="BB1205" t="s">
        <v>156</v>
      </c>
      <c r="BC1205">
        <v>60.093820000000001</v>
      </c>
      <c r="BD1205">
        <v>6</v>
      </c>
      <c r="BE1205">
        <v>97</v>
      </c>
      <c r="BF1205" t="s">
        <v>219</v>
      </c>
      <c r="BG1205">
        <v>0</v>
      </c>
      <c r="BH1205">
        <v>0.2325925925925926</v>
      </c>
      <c r="BI1205">
        <v>0.43623330166332192</v>
      </c>
      <c r="BJ1205">
        <v>80</v>
      </c>
      <c r="BK1205">
        <v>4827.8645057611802</v>
      </c>
      <c r="BL1205">
        <v>2318.7765871230381</v>
      </c>
      <c r="BM1205">
        <v>14.75934069787143</v>
      </c>
      <c r="BN1205">
        <v>2509.087918638143</v>
      </c>
      <c r="BO1205">
        <v>2318.7765871230372</v>
      </c>
    </row>
    <row r="1206" spans="1:67" x14ac:dyDescent="0.25">
      <c r="A1206" s="1">
        <v>1204</v>
      </c>
      <c r="B1206" t="s">
        <v>78</v>
      </c>
      <c r="C1206" t="s">
        <v>87</v>
      </c>
      <c r="D1206">
        <v>1</v>
      </c>
      <c r="E1206">
        <v>4</v>
      </c>
      <c r="F1206">
        <v>1</v>
      </c>
      <c r="G1206">
        <v>32.041060000000002</v>
      </c>
      <c r="H1206">
        <v>6</v>
      </c>
      <c r="I1206" t="s">
        <v>89</v>
      </c>
      <c r="J1206">
        <v>2.5</v>
      </c>
      <c r="K1206">
        <v>200</v>
      </c>
      <c r="L1206">
        <v>50</v>
      </c>
      <c r="N1206" t="s">
        <v>90</v>
      </c>
      <c r="O1206">
        <v>50</v>
      </c>
      <c r="P1206">
        <v>0.3125</v>
      </c>
      <c r="Q1206">
        <v>3.2500000000000001E-2</v>
      </c>
      <c r="R1206">
        <v>77.5</v>
      </c>
      <c r="S1206">
        <v>170</v>
      </c>
      <c r="T1206">
        <v>50</v>
      </c>
      <c r="U1206">
        <v>1812.1301775147931</v>
      </c>
      <c r="V1206">
        <v>20</v>
      </c>
      <c r="W1206">
        <v>0.95</v>
      </c>
      <c r="X1206">
        <v>1</v>
      </c>
      <c r="Y1206">
        <v>175633.3765007405</v>
      </c>
      <c r="Z1206">
        <v>351266753.00148112</v>
      </c>
      <c r="AA1206">
        <v>878166882.50370264</v>
      </c>
      <c r="AB1206">
        <v>878166.88250370265</v>
      </c>
      <c r="AC1206">
        <v>0</v>
      </c>
      <c r="AD1206">
        <v>3640.6233200806118</v>
      </c>
      <c r="AE1206">
        <v>2184373.9920483669</v>
      </c>
      <c r="AF1206">
        <v>1092186.9960241839</v>
      </c>
      <c r="AG1206">
        <v>34.994829070830633</v>
      </c>
      <c r="AH1206">
        <v>360.50362271268227</v>
      </c>
      <c r="AI1206">
        <v>180.25181135634119</v>
      </c>
      <c r="AJ1206">
        <v>28540.423681370339</v>
      </c>
      <c r="AK1206">
        <v>854.70085470085473</v>
      </c>
      <c r="AL1206" t="s">
        <v>93</v>
      </c>
      <c r="AM1206">
        <v>27939.030760232879</v>
      </c>
      <c r="AN1206">
        <v>1960.029471756817</v>
      </c>
      <c r="AO1206">
        <v>30642.807930578001</v>
      </c>
      <c r="AP1206">
        <v>59294.184768060877</v>
      </c>
      <c r="AQ1206">
        <v>28651.376837482891</v>
      </c>
      <c r="AR1206">
        <v>2.6131444327083329E-2</v>
      </c>
      <c r="AS1206">
        <v>815.56116829728251</v>
      </c>
      <c r="AT1206">
        <v>798.37597445277993</v>
      </c>
      <c r="AU1206">
        <v>56.009116883801759</v>
      </c>
      <c r="AV1206">
        <v>875.63816552885544</v>
      </c>
      <c r="AW1206">
        <v>1694.369892421752</v>
      </c>
      <c r="AX1206">
        <v>818.73172689289606</v>
      </c>
      <c r="AY1206">
        <v>5.1508127384050324</v>
      </c>
      <c r="AZ1206" t="s">
        <v>103</v>
      </c>
      <c r="BA1206" t="str">
        <f>VLOOKUP($AZ1206,Sheet1!$A$2:$B$58,2)</f>
        <v>2,3-Butanediol</v>
      </c>
      <c r="BB1206" t="s">
        <v>153</v>
      </c>
      <c r="BC1206">
        <v>90.119200000000006</v>
      </c>
      <c r="BD1206">
        <v>5.5</v>
      </c>
      <c r="BE1206">
        <v>177</v>
      </c>
      <c r="BF1206" t="s">
        <v>219</v>
      </c>
      <c r="BG1206">
        <v>0</v>
      </c>
      <c r="BH1206">
        <v>0.25</v>
      </c>
      <c r="BI1206">
        <v>0.71439125904570688</v>
      </c>
      <c r="BJ1206">
        <v>80</v>
      </c>
      <c r="BK1206">
        <v>2964.7092384030439</v>
      </c>
      <c r="BL1206">
        <v>1432.568841874144</v>
      </c>
      <c r="BM1206">
        <v>9.0125905678170586</v>
      </c>
      <c r="BN1206">
        <v>1532.1403965289001</v>
      </c>
      <c r="BO1206">
        <v>1432.568841874144</v>
      </c>
    </row>
    <row r="1207" spans="1:67" x14ac:dyDescent="0.25">
      <c r="A1207" s="1">
        <v>1205</v>
      </c>
      <c r="B1207" t="s">
        <v>78</v>
      </c>
      <c r="C1207" t="s">
        <v>87</v>
      </c>
      <c r="D1207">
        <v>1</v>
      </c>
      <c r="E1207">
        <v>4</v>
      </c>
      <c r="F1207">
        <v>1</v>
      </c>
      <c r="G1207">
        <v>32.041060000000002</v>
      </c>
      <c r="H1207">
        <v>6</v>
      </c>
      <c r="I1207" t="s">
        <v>89</v>
      </c>
      <c r="J1207">
        <v>2.5</v>
      </c>
      <c r="K1207">
        <v>200</v>
      </c>
      <c r="L1207">
        <v>50</v>
      </c>
      <c r="N1207" t="s">
        <v>90</v>
      </c>
      <c r="O1207">
        <v>50</v>
      </c>
      <c r="P1207">
        <v>0.3125</v>
      </c>
      <c r="Q1207">
        <v>3.2500000000000001E-2</v>
      </c>
      <c r="R1207">
        <v>77.5</v>
      </c>
      <c r="S1207">
        <v>170</v>
      </c>
      <c r="T1207">
        <v>50</v>
      </c>
      <c r="U1207">
        <v>1812.1301775147931</v>
      </c>
      <c r="V1207">
        <v>20</v>
      </c>
      <c r="W1207">
        <v>0.95</v>
      </c>
      <c r="X1207">
        <v>1</v>
      </c>
      <c r="Y1207">
        <v>1172322.3462431601</v>
      </c>
      <c r="Z1207">
        <v>2344644692.48632</v>
      </c>
      <c r="AA1207">
        <v>5861611731.2158012</v>
      </c>
      <c r="AB1207">
        <v>5861611.7312158011</v>
      </c>
      <c r="AC1207">
        <v>0</v>
      </c>
      <c r="AD1207">
        <v>24300.529645437131</v>
      </c>
      <c r="AE1207">
        <v>14580317.78726228</v>
      </c>
      <c r="AF1207">
        <v>7290158.8936311388</v>
      </c>
      <c r="AG1207">
        <v>233.58441852036901</v>
      </c>
      <c r="AH1207">
        <v>2406.2991968152978</v>
      </c>
      <c r="AI1207">
        <v>1203.1495984076489</v>
      </c>
      <c r="AJ1207">
        <v>190502.3812645135</v>
      </c>
      <c r="AK1207">
        <v>854.70085470085473</v>
      </c>
      <c r="AL1207" t="s">
        <v>93</v>
      </c>
      <c r="AM1207">
        <v>186488.1877531856</v>
      </c>
      <c r="AN1207">
        <v>13082.856999142219</v>
      </c>
      <c r="AO1207">
        <v>204535.43172930041</v>
      </c>
      <c r="AP1207">
        <v>390928.12687154219</v>
      </c>
      <c r="AQ1207">
        <v>186392.69514224189</v>
      </c>
      <c r="AR1207">
        <v>2.6131444327083329E-2</v>
      </c>
      <c r="AS1207">
        <v>815.56116829728273</v>
      </c>
      <c r="AT1207">
        <v>798.37597445278038</v>
      </c>
      <c r="AU1207">
        <v>56.009116883801767</v>
      </c>
      <c r="AV1207">
        <v>875.63816552885578</v>
      </c>
      <c r="AW1207">
        <v>1673.605325851187</v>
      </c>
      <c r="AX1207">
        <v>797.96716032233167</v>
      </c>
      <c r="AY1207">
        <v>5.1508127384050342</v>
      </c>
      <c r="AZ1207" t="s">
        <v>107</v>
      </c>
      <c r="BA1207" t="str">
        <f>VLOOKUP($AZ1207,Sheet1!$A$2:$B$58,2)</f>
        <v>4-Hydroxystyrene</v>
      </c>
      <c r="BB1207" t="s">
        <v>160</v>
      </c>
      <c r="BC1207">
        <v>120.14731999999999</v>
      </c>
      <c r="BD1207">
        <v>4.75</v>
      </c>
      <c r="BE1207">
        <v>229</v>
      </c>
      <c r="BF1207" t="s">
        <v>219</v>
      </c>
      <c r="BG1207">
        <v>0</v>
      </c>
      <c r="BH1207">
        <v>2.8288288288288398E-2</v>
      </c>
      <c r="BI1207">
        <v>0.1070276868566897</v>
      </c>
      <c r="BJ1207">
        <v>80</v>
      </c>
      <c r="BK1207">
        <v>19546.40634357711</v>
      </c>
      <c r="BL1207">
        <v>9319.6347571120932</v>
      </c>
      <c r="BM1207">
        <v>60.157479920382457</v>
      </c>
      <c r="BN1207">
        <v>10226.77158646502</v>
      </c>
      <c r="BO1207">
        <v>9319.6347571120914</v>
      </c>
    </row>
    <row r="1208" spans="1:67" x14ac:dyDescent="0.25">
      <c r="A1208" s="1">
        <v>1206</v>
      </c>
      <c r="B1208" t="s">
        <v>78</v>
      </c>
      <c r="C1208" t="s">
        <v>87</v>
      </c>
      <c r="D1208">
        <v>1</v>
      </c>
      <c r="E1208">
        <v>4</v>
      </c>
      <c r="F1208">
        <v>1</v>
      </c>
      <c r="G1208">
        <v>32.041060000000002</v>
      </c>
      <c r="H1208">
        <v>6</v>
      </c>
      <c r="I1208" t="s">
        <v>89</v>
      </c>
      <c r="J1208">
        <v>2.5</v>
      </c>
      <c r="K1208">
        <v>200</v>
      </c>
      <c r="L1208">
        <v>50</v>
      </c>
      <c r="N1208" t="s">
        <v>90</v>
      </c>
      <c r="O1208">
        <v>50</v>
      </c>
      <c r="P1208">
        <v>0.3125</v>
      </c>
      <c r="Q1208">
        <v>3.2500000000000001E-2</v>
      </c>
      <c r="R1208">
        <v>77.5</v>
      </c>
      <c r="S1208">
        <v>170</v>
      </c>
      <c r="T1208">
        <v>50</v>
      </c>
      <c r="U1208">
        <v>1812.1301775147931</v>
      </c>
      <c r="V1208">
        <v>20</v>
      </c>
      <c r="W1208">
        <v>0.95</v>
      </c>
      <c r="X1208">
        <v>1</v>
      </c>
      <c r="Y1208" t="s">
        <v>92</v>
      </c>
      <c r="Z1208" t="s">
        <v>92</v>
      </c>
      <c r="AA1208" t="s">
        <v>92</v>
      </c>
      <c r="AB1208" t="s">
        <v>92</v>
      </c>
      <c r="AC1208">
        <v>0</v>
      </c>
      <c r="AD1208" t="s">
        <v>92</v>
      </c>
      <c r="AE1208" t="s">
        <v>92</v>
      </c>
      <c r="AF1208" t="s">
        <v>92</v>
      </c>
      <c r="AG1208" t="s">
        <v>92</v>
      </c>
      <c r="AH1208" t="s">
        <v>92</v>
      </c>
      <c r="AI1208" t="s">
        <v>92</v>
      </c>
      <c r="AJ1208" t="s">
        <v>92</v>
      </c>
      <c r="AK1208">
        <v>854.70085470085473</v>
      </c>
      <c r="AL1208" t="s">
        <v>93</v>
      </c>
      <c r="AM1208" t="s">
        <v>92</v>
      </c>
      <c r="AN1208" t="s">
        <v>92</v>
      </c>
      <c r="AO1208" t="s">
        <v>92</v>
      </c>
      <c r="AP1208" t="s">
        <v>92</v>
      </c>
      <c r="AZ1208" t="s">
        <v>108</v>
      </c>
      <c r="BA1208" t="str">
        <f>VLOOKUP($AZ1208,Sheet1!$A$2:$B$58,2)</f>
        <v>5-Aminopentanoate</v>
      </c>
      <c r="BB1208" t="s">
        <v>161</v>
      </c>
      <c r="BC1208">
        <v>117.14444</v>
      </c>
      <c r="BD1208">
        <v>4.8</v>
      </c>
      <c r="BE1208">
        <v>247.5</v>
      </c>
      <c r="BF1208" t="s">
        <v>219</v>
      </c>
      <c r="BH1208">
        <v>0</v>
      </c>
      <c r="BI1208">
        <v>0</v>
      </c>
      <c r="BJ1208">
        <v>80</v>
      </c>
    </row>
    <row r="1209" spans="1:67" x14ac:dyDescent="0.25">
      <c r="A1209" s="1">
        <v>1207</v>
      </c>
      <c r="B1209" t="s">
        <v>78</v>
      </c>
      <c r="C1209" t="s">
        <v>87</v>
      </c>
      <c r="D1209">
        <v>1</v>
      </c>
      <c r="E1209">
        <v>4</v>
      </c>
      <c r="F1209">
        <v>1</v>
      </c>
      <c r="G1209">
        <v>32.041060000000002</v>
      </c>
      <c r="H1209">
        <v>6</v>
      </c>
      <c r="I1209" t="s">
        <v>89</v>
      </c>
      <c r="J1209">
        <v>2.5</v>
      </c>
      <c r="K1209">
        <v>200</v>
      </c>
      <c r="L1209">
        <v>50</v>
      </c>
      <c r="N1209" t="s">
        <v>90</v>
      </c>
      <c r="O1209">
        <v>50</v>
      </c>
      <c r="P1209">
        <v>0.3125</v>
      </c>
      <c r="Q1209">
        <v>3.2500000000000001E-2</v>
      </c>
      <c r="R1209">
        <v>77.5</v>
      </c>
      <c r="S1209">
        <v>170</v>
      </c>
      <c r="T1209">
        <v>50</v>
      </c>
      <c r="U1209">
        <v>1812.1301775147931</v>
      </c>
      <c r="V1209">
        <v>20</v>
      </c>
      <c r="W1209">
        <v>0.95</v>
      </c>
      <c r="X1209">
        <v>1</v>
      </c>
      <c r="Y1209">
        <v>203307.4265012425</v>
      </c>
      <c r="Z1209">
        <v>406614853.0024851</v>
      </c>
      <c r="AA1209">
        <v>1016537132.5062129</v>
      </c>
      <c r="AB1209">
        <v>1016537.132506213</v>
      </c>
      <c r="AC1209">
        <v>0</v>
      </c>
      <c r="AD1209">
        <v>4214.26594883506</v>
      </c>
      <c r="AE1209">
        <v>2528559.5693010362</v>
      </c>
      <c r="AF1209">
        <v>1264279.7846505181</v>
      </c>
      <c r="AG1209">
        <v>40.508864436774317</v>
      </c>
      <c r="AH1209">
        <v>417.30714991851971</v>
      </c>
      <c r="AI1209">
        <v>208.65357495925991</v>
      </c>
      <c r="AJ1209">
        <v>33037.456806451912</v>
      </c>
      <c r="AK1209">
        <v>854.70085470085473</v>
      </c>
      <c r="AL1209" t="s">
        <v>93</v>
      </c>
      <c r="AM1209">
        <v>32341.304118685279</v>
      </c>
      <c r="AN1209">
        <v>2268.865723069373</v>
      </c>
      <c r="AO1209">
        <v>35471.107743074179</v>
      </c>
      <c r="AP1209">
        <v>68502.327502907428</v>
      </c>
      <c r="AQ1209">
        <v>33031.21975983325</v>
      </c>
      <c r="AR1209">
        <v>2.6131444327083329E-2</v>
      </c>
      <c r="AS1209">
        <v>815.56116829728273</v>
      </c>
      <c r="AT1209">
        <v>798.37597445278027</v>
      </c>
      <c r="AU1209">
        <v>56.009116883801752</v>
      </c>
      <c r="AV1209">
        <v>875.63816552885589</v>
      </c>
      <c r="AW1209">
        <v>1691.0453663746839</v>
      </c>
      <c r="AX1209">
        <v>815.40720084582779</v>
      </c>
      <c r="AY1209">
        <v>5.1508127384050342</v>
      </c>
      <c r="AZ1209" t="s">
        <v>109</v>
      </c>
      <c r="BA1209" t="str">
        <f>VLOOKUP($AZ1209,Sheet1!$A$2:$B$58,2)</f>
        <v>Acetone</v>
      </c>
      <c r="BB1209" t="s">
        <v>162</v>
      </c>
      <c r="BC1209">
        <v>58.078139999999998</v>
      </c>
      <c r="BD1209">
        <v>5.333333333333333</v>
      </c>
      <c r="BE1209">
        <v>56</v>
      </c>
      <c r="BF1209" t="s">
        <v>219</v>
      </c>
      <c r="BG1209">
        <v>0</v>
      </c>
      <c r="BH1209">
        <v>0.33333333333333331</v>
      </c>
      <c r="BI1209">
        <v>0.61714887216894609</v>
      </c>
      <c r="BJ1209">
        <v>80</v>
      </c>
      <c r="BK1209">
        <v>3425.116375145371</v>
      </c>
      <c r="BL1209">
        <v>1651.5609879916619</v>
      </c>
      <c r="BM1209">
        <v>10.43267874796299</v>
      </c>
      <c r="BN1209">
        <v>1773.555387153709</v>
      </c>
      <c r="BO1209">
        <v>1651.5609879916619</v>
      </c>
    </row>
    <row r="1210" spans="1:67" x14ac:dyDescent="0.25">
      <c r="A1210" s="1">
        <v>1208</v>
      </c>
      <c r="B1210" t="s">
        <v>78</v>
      </c>
      <c r="C1210" t="s">
        <v>87</v>
      </c>
      <c r="D1210">
        <v>1</v>
      </c>
      <c r="E1210">
        <v>4</v>
      </c>
      <c r="F1210">
        <v>1</v>
      </c>
      <c r="G1210">
        <v>32.041060000000002</v>
      </c>
      <c r="H1210">
        <v>6</v>
      </c>
      <c r="I1210" t="s">
        <v>89</v>
      </c>
      <c r="J1210">
        <v>2.5</v>
      </c>
      <c r="K1210">
        <v>200</v>
      </c>
      <c r="L1210">
        <v>50</v>
      </c>
      <c r="N1210" t="s">
        <v>90</v>
      </c>
      <c r="O1210">
        <v>50</v>
      </c>
      <c r="P1210">
        <v>0.3125</v>
      </c>
      <c r="Q1210">
        <v>3.2500000000000001E-2</v>
      </c>
      <c r="R1210">
        <v>77.5</v>
      </c>
      <c r="S1210">
        <v>170</v>
      </c>
      <c r="T1210">
        <v>50</v>
      </c>
      <c r="U1210">
        <v>1812.1301775147931</v>
      </c>
      <c r="V1210">
        <v>20</v>
      </c>
      <c r="W1210">
        <v>0.95</v>
      </c>
      <c r="X1210">
        <v>1</v>
      </c>
      <c r="Y1210">
        <v>845229.48978852818</v>
      </c>
      <c r="Z1210">
        <v>1690458979.5770559</v>
      </c>
      <c r="AA1210">
        <v>4226147448.9426398</v>
      </c>
      <c r="AB1210">
        <v>4226147.4489426399</v>
      </c>
      <c r="AC1210">
        <v>0</v>
      </c>
      <c r="AD1210">
        <v>17520.37256615048</v>
      </c>
      <c r="AE1210">
        <v>10512223.53969029</v>
      </c>
      <c r="AF1210">
        <v>5256111.7698451439</v>
      </c>
      <c r="AG1210">
        <v>168.41139258431451</v>
      </c>
      <c r="AH1210">
        <v>1734.911092431636</v>
      </c>
      <c r="AI1210">
        <v>867.45554621581789</v>
      </c>
      <c r="AJ1210">
        <v>137349.7920906358</v>
      </c>
      <c r="AK1210">
        <v>854.70085470085473</v>
      </c>
      <c r="AL1210" t="s">
        <v>93</v>
      </c>
      <c r="AM1210">
        <v>134455.60966345179</v>
      </c>
      <c r="AN1210">
        <v>9432.573371818693</v>
      </c>
      <c r="AO1210">
        <v>147467.44285668901</v>
      </c>
      <c r="AP1210">
        <v>282092.67598060711</v>
      </c>
      <c r="AQ1210">
        <v>134625.23312391809</v>
      </c>
      <c r="AR1210">
        <v>2.6131444327083329E-2</v>
      </c>
      <c r="AS1210">
        <v>815.56116829728262</v>
      </c>
      <c r="AT1210">
        <v>798.37597445278016</v>
      </c>
      <c r="AU1210">
        <v>56.009116883801752</v>
      </c>
      <c r="AV1210">
        <v>875.63816552885567</v>
      </c>
      <c r="AW1210">
        <v>1675.0213370474839</v>
      </c>
      <c r="AX1210">
        <v>799.38317151862827</v>
      </c>
      <c r="AY1210">
        <v>5.1508127384050333</v>
      </c>
      <c r="AZ1210" t="s">
        <v>110</v>
      </c>
      <c r="BA1210" t="str">
        <f>VLOOKUP($AZ1210,Sheet1!$A$2:$B$58,2)</f>
        <v>Acrylate (PW1)</v>
      </c>
      <c r="BB1210" t="s">
        <v>163</v>
      </c>
      <c r="BC1210">
        <v>71.053619999999995</v>
      </c>
      <c r="BD1210">
        <v>3.666666666666667</v>
      </c>
      <c r="BE1210">
        <v>80</v>
      </c>
      <c r="BF1210" t="s">
        <v>219</v>
      </c>
      <c r="BG1210">
        <v>0</v>
      </c>
      <c r="BH1210">
        <v>6.6105263157894695E-2</v>
      </c>
      <c r="BI1210">
        <v>0.14844601434836929</v>
      </c>
      <c r="BJ1210">
        <v>80</v>
      </c>
      <c r="BK1210">
        <v>14104.63379903036</v>
      </c>
      <c r="BL1210">
        <v>6731.2616561959039</v>
      </c>
      <c r="BM1210">
        <v>43.372777310790902</v>
      </c>
      <c r="BN1210">
        <v>7373.3721428344534</v>
      </c>
      <c r="BO1210">
        <v>6731.261656195903</v>
      </c>
    </row>
    <row r="1211" spans="1:67" x14ac:dyDescent="0.25">
      <c r="A1211" s="1">
        <v>1209</v>
      </c>
      <c r="B1211" t="s">
        <v>78</v>
      </c>
      <c r="C1211" t="s">
        <v>87</v>
      </c>
      <c r="D1211">
        <v>1</v>
      </c>
      <c r="E1211">
        <v>4</v>
      </c>
      <c r="F1211">
        <v>1</v>
      </c>
      <c r="G1211">
        <v>32.041060000000002</v>
      </c>
      <c r="H1211">
        <v>6</v>
      </c>
      <c r="I1211" t="s">
        <v>89</v>
      </c>
      <c r="J1211">
        <v>2.5</v>
      </c>
      <c r="K1211">
        <v>200</v>
      </c>
      <c r="L1211">
        <v>50</v>
      </c>
      <c r="N1211" t="s">
        <v>90</v>
      </c>
      <c r="O1211">
        <v>50</v>
      </c>
      <c r="P1211">
        <v>0.3125</v>
      </c>
      <c r="Q1211">
        <v>3.2500000000000001E-2</v>
      </c>
      <c r="R1211">
        <v>77.5</v>
      </c>
      <c r="S1211">
        <v>170</v>
      </c>
      <c r="T1211">
        <v>50</v>
      </c>
      <c r="U1211">
        <v>1812.1301775147931</v>
      </c>
      <c r="V1211">
        <v>20</v>
      </c>
      <c r="W1211">
        <v>0.95</v>
      </c>
      <c r="X1211">
        <v>1</v>
      </c>
      <c r="Y1211">
        <v>376731.69740392838</v>
      </c>
      <c r="Z1211">
        <v>753463394.8078568</v>
      </c>
      <c r="AA1211">
        <v>1883658487.0196421</v>
      </c>
      <c r="AB1211">
        <v>1883658.487019642</v>
      </c>
      <c r="AC1211">
        <v>0</v>
      </c>
      <c r="AD1211">
        <v>7809.0977370494911</v>
      </c>
      <c r="AE1211">
        <v>4685458.6422296949</v>
      </c>
      <c r="AF1211">
        <v>2342729.321114847</v>
      </c>
      <c r="AG1211">
        <v>75.06353074160009</v>
      </c>
      <c r="AH1211">
        <v>773.2763806669833</v>
      </c>
      <c r="AI1211">
        <v>386.63819033349171</v>
      </c>
      <c r="AJ1211">
        <v>61218.900828138358</v>
      </c>
      <c r="AK1211">
        <v>854.70085470085473</v>
      </c>
      <c r="AL1211" t="s">
        <v>93</v>
      </c>
      <c r="AM1211">
        <v>59928.919501691213</v>
      </c>
      <c r="AN1211">
        <v>4204.2420670171268</v>
      </c>
      <c r="AO1211">
        <v>65728.492356693576</v>
      </c>
      <c r="AP1211">
        <v>126206.7632515475</v>
      </c>
      <c r="AQ1211">
        <v>60478.270894853973</v>
      </c>
      <c r="AR1211">
        <v>2.6131444327083329E-2</v>
      </c>
      <c r="AS1211">
        <v>815.56116829728262</v>
      </c>
      <c r="AT1211">
        <v>798.37597445278027</v>
      </c>
      <c r="AU1211">
        <v>56.009116883801759</v>
      </c>
      <c r="AV1211">
        <v>875.63816552885567</v>
      </c>
      <c r="AW1211">
        <v>1681.3326259059641</v>
      </c>
      <c r="AX1211">
        <v>805.69446037710838</v>
      </c>
      <c r="AY1211">
        <v>5.1508127384050342</v>
      </c>
      <c r="AZ1211" t="s">
        <v>111</v>
      </c>
      <c r="BA1211" t="str">
        <f>VLOOKUP($AZ1211,Sheet1!$A$2:$B$58,2)</f>
        <v>Acrylate (PW2)</v>
      </c>
      <c r="BB1211" t="s">
        <v>163</v>
      </c>
      <c r="BC1211">
        <v>71.053619999999995</v>
      </c>
      <c r="BD1211">
        <v>3.666666666666667</v>
      </c>
      <c r="BE1211">
        <v>80</v>
      </c>
      <c r="BF1211" t="s">
        <v>219</v>
      </c>
      <c r="BG1211">
        <v>0</v>
      </c>
      <c r="BH1211">
        <v>0.14604651162790711</v>
      </c>
      <c r="BI1211">
        <v>0.33305121345890859</v>
      </c>
      <c r="BJ1211">
        <v>80</v>
      </c>
      <c r="BK1211">
        <v>6310.3381625773773</v>
      </c>
      <c r="BL1211">
        <v>3023.9135447426979</v>
      </c>
      <c r="BM1211">
        <v>19.331909516674578</v>
      </c>
      <c r="BN1211">
        <v>3286.4246178346789</v>
      </c>
      <c r="BO1211">
        <v>3023.9135447426979</v>
      </c>
    </row>
    <row r="1212" spans="1:67" x14ac:dyDescent="0.25">
      <c r="A1212" s="1">
        <v>1210</v>
      </c>
      <c r="B1212" t="s">
        <v>78</v>
      </c>
      <c r="C1212" t="s">
        <v>87</v>
      </c>
      <c r="D1212">
        <v>1</v>
      </c>
      <c r="E1212">
        <v>4</v>
      </c>
      <c r="F1212">
        <v>1</v>
      </c>
      <c r="G1212">
        <v>32.041060000000002</v>
      </c>
      <c r="H1212">
        <v>6</v>
      </c>
      <c r="I1212" t="s">
        <v>89</v>
      </c>
      <c r="J1212">
        <v>2.5</v>
      </c>
      <c r="K1212">
        <v>200</v>
      </c>
      <c r="L1212">
        <v>50</v>
      </c>
      <c r="N1212" t="s">
        <v>90</v>
      </c>
      <c r="O1212">
        <v>50</v>
      </c>
      <c r="P1212">
        <v>0.3125</v>
      </c>
      <c r="Q1212">
        <v>3.2500000000000001E-2</v>
      </c>
      <c r="R1212">
        <v>77.5</v>
      </c>
      <c r="S1212">
        <v>170</v>
      </c>
      <c r="T1212">
        <v>50</v>
      </c>
      <c r="U1212">
        <v>1812.1301775147931</v>
      </c>
      <c r="V1212">
        <v>20</v>
      </c>
      <c r="W1212">
        <v>0.95</v>
      </c>
      <c r="X1212">
        <v>1</v>
      </c>
      <c r="Y1212" t="s">
        <v>92</v>
      </c>
      <c r="Z1212" t="s">
        <v>92</v>
      </c>
      <c r="AA1212" t="s">
        <v>92</v>
      </c>
      <c r="AB1212" t="s">
        <v>92</v>
      </c>
      <c r="AC1212">
        <v>0</v>
      </c>
      <c r="AD1212" t="s">
        <v>92</v>
      </c>
      <c r="AE1212" t="s">
        <v>92</v>
      </c>
      <c r="AF1212" t="s">
        <v>92</v>
      </c>
      <c r="AG1212" t="s">
        <v>92</v>
      </c>
      <c r="AH1212" t="s">
        <v>92</v>
      </c>
      <c r="AI1212" t="s">
        <v>92</v>
      </c>
      <c r="AJ1212" t="s">
        <v>92</v>
      </c>
      <c r="AK1212">
        <v>854.70085470085473</v>
      </c>
      <c r="AL1212" t="s">
        <v>93</v>
      </c>
      <c r="AM1212" t="s">
        <v>92</v>
      </c>
      <c r="AN1212" t="s">
        <v>92</v>
      </c>
      <c r="AO1212" t="s">
        <v>92</v>
      </c>
      <c r="AP1212" t="s">
        <v>92</v>
      </c>
      <c r="AZ1212" t="s">
        <v>112</v>
      </c>
      <c r="BA1212" t="str">
        <f>VLOOKUP($AZ1212,Sheet1!$A$2:$B$58,2)</f>
        <v>Adipate</v>
      </c>
      <c r="BB1212" t="s">
        <v>164</v>
      </c>
      <c r="BC1212">
        <v>144.12291999999999</v>
      </c>
      <c r="BD1212">
        <v>4</v>
      </c>
      <c r="BE1212">
        <v>337.5</v>
      </c>
      <c r="BF1212" t="s">
        <v>219</v>
      </c>
      <c r="BH1212">
        <v>0</v>
      </c>
      <c r="BI1212">
        <v>0</v>
      </c>
      <c r="BJ1212">
        <v>80</v>
      </c>
    </row>
    <row r="1213" spans="1:67" x14ac:dyDescent="0.25">
      <c r="A1213" s="1">
        <v>1211</v>
      </c>
      <c r="B1213" t="s">
        <v>78</v>
      </c>
      <c r="C1213" t="s">
        <v>87</v>
      </c>
      <c r="D1213">
        <v>1</v>
      </c>
      <c r="E1213">
        <v>4</v>
      </c>
      <c r="F1213">
        <v>1</v>
      </c>
      <c r="G1213">
        <v>32.041060000000002</v>
      </c>
      <c r="H1213">
        <v>6</v>
      </c>
      <c r="I1213" t="s">
        <v>89</v>
      </c>
      <c r="J1213">
        <v>2.5</v>
      </c>
      <c r="K1213">
        <v>200</v>
      </c>
      <c r="L1213">
        <v>50</v>
      </c>
      <c r="N1213" t="s">
        <v>90</v>
      </c>
      <c r="O1213">
        <v>50</v>
      </c>
      <c r="P1213">
        <v>0.3125</v>
      </c>
      <c r="Q1213">
        <v>3.2500000000000001E-2</v>
      </c>
      <c r="R1213">
        <v>77.5</v>
      </c>
      <c r="S1213">
        <v>170</v>
      </c>
      <c r="T1213">
        <v>50</v>
      </c>
      <c r="U1213">
        <v>1812.1301775147931</v>
      </c>
      <c r="V1213">
        <v>20</v>
      </c>
      <c r="W1213">
        <v>0.95</v>
      </c>
      <c r="X1213">
        <v>1</v>
      </c>
      <c r="Y1213">
        <v>1219037.809839909</v>
      </c>
      <c r="Z1213">
        <v>2438075619.6798191</v>
      </c>
      <c r="AA1213">
        <v>6095189049.1995468</v>
      </c>
      <c r="AB1213">
        <v>6095189.0491995467</v>
      </c>
      <c r="AC1213">
        <v>0</v>
      </c>
      <c r="AD1213">
        <v>25268.87296131015</v>
      </c>
      <c r="AE1213">
        <v>15161323.776786091</v>
      </c>
      <c r="AF1213">
        <v>7580661.8883930454</v>
      </c>
      <c r="AG1213">
        <v>242.89244240571489</v>
      </c>
      <c r="AH1213">
        <v>2502.1869728113338</v>
      </c>
      <c r="AI1213">
        <v>1251.0934864056669</v>
      </c>
      <c r="AJ1213">
        <v>198093.6440989853</v>
      </c>
      <c r="AK1213">
        <v>854.70085470085473</v>
      </c>
      <c r="AL1213" t="s">
        <v>93</v>
      </c>
      <c r="AM1213">
        <v>193919.49039287839</v>
      </c>
      <c r="AN1213">
        <v>13604.19119689378</v>
      </c>
      <c r="AO1213">
        <v>212685.89268896339</v>
      </c>
      <c r="AP1213">
        <v>406472.02654345828</v>
      </c>
      <c r="AQ1213">
        <v>193786.1338544949</v>
      </c>
      <c r="AR1213">
        <v>2.6131444327083329E-2</v>
      </c>
      <c r="AS1213">
        <v>815.56116829728273</v>
      </c>
      <c r="AT1213">
        <v>798.37597445278027</v>
      </c>
      <c r="AU1213">
        <v>56.009116883801781</v>
      </c>
      <c r="AV1213">
        <v>875.63816552885567</v>
      </c>
      <c r="AW1213">
        <v>1673.4651046264689</v>
      </c>
      <c r="AX1213">
        <v>797.82693909761349</v>
      </c>
      <c r="AY1213">
        <v>5.1508127384050342</v>
      </c>
      <c r="AZ1213" t="s">
        <v>113</v>
      </c>
      <c r="BA1213" t="str">
        <f>VLOOKUP($AZ1213,Sheet1!$A$2:$B$58,2)</f>
        <v>Benzoate (PW1)</v>
      </c>
      <c r="BB1213" t="s">
        <v>165</v>
      </c>
      <c r="BC1213">
        <v>121.1121</v>
      </c>
      <c r="BD1213">
        <v>4.1428571428571432</v>
      </c>
      <c r="BE1213">
        <v>249.2</v>
      </c>
      <c r="BF1213" t="s">
        <v>219</v>
      </c>
      <c r="BG1213">
        <v>0</v>
      </c>
      <c r="BH1213">
        <v>2.6952789699570899E-2</v>
      </c>
      <c r="BI1213">
        <v>0.102926216033685</v>
      </c>
      <c r="BJ1213">
        <v>80</v>
      </c>
      <c r="BK1213">
        <v>20323.60132717291</v>
      </c>
      <c r="BL1213">
        <v>9689.3066927247437</v>
      </c>
      <c r="BM1213">
        <v>62.554674320283368</v>
      </c>
      <c r="BN1213">
        <v>10634.29463444817</v>
      </c>
      <c r="BO1213">
        <v>9689.3066927247364</v>
      </c>
    </row>
    <row r="1214" spans="1:67" x14ac:dyDescent="0.25">
      <c r="A1214" s="1">
        <v>1212</v>
      </c>
      <c r="B1214" t="s">
        <v>78</v>
      </c>
      <c r="C1214" t="s">
        <v>87</v>
      </c>
      <c r="D1214">
        <v>1</v>
      </c>
      <c r="E1214">
        <v>4</v>
      </c>
      <c r="F1214">
        <v>1</v>
      </c>
      <c r="G1214">
        <v>32.041060000000002</v>
      </c>
      <c r="H1214">
        <v>6</v>
      </c>
      <c r="I1214" t="s">
        <v>89</v>
      </c>
      <c r="J1214">
        <v>2.5</v>
      </c>
      <c r="K1214">
        <v>200</v>
      </c>
      <c r="L1214">
        <v>50</v>
      </c>
      <c r="N1214" t="s">
        <v>90</v>
      </c>
      <c r="O1214">
        <v>50</v>
      </c>
      <c r="P1214">
        <v>0.3125</v>
      </c>
      <c r="Q1214">
        <v>3.2500000000000001E-2</v>
      </c>
      <c r="R1214">
        <v>77.5</v>
      </c>
      <c r="S1214">
        <v>170</v>
      </c>
      <c r="T1214">
        <v>50</v>
      </c>
      <c r="U1214">
        <v>1812.1301775147931</v>
      </c>
      <c r="V1214">
        <v>20</v>
      </c>
      <c r="W1214">
        <v>0.95</v>
      </c>
      <c r="X1214">
        <v>1</v>
      </c>
      <c r="Y1214">
        <v>1303609.081759268</v>
      </c>
      <c r="Z1214">
        <v>2607218163.5185361</v>
      </c>
      <c r="AA1214">
        <v>6518045408.796339</v>
      </c>
      <c r="AB1214">
        <v>6518045.4087963393</v>
      </c>
      <c r="AC1214">
        <v>0</v>
      </c>
      <c r="AD1214">
        <v>27021.9118818891</v>
      </c>
      <c r="AE1214">
        <v>16213147.129133459</v>
      </c>
      <c r="AF1214">
        <v>8106573.5645667315</v>
      </c>
      <c r="AG1214">
        <v>259.74320997669651</v>
      </c>
      <c r="AH1214">
        <v>2675.7772693243642</v>
      </c>
      <c r="AI1214">
        <v>1337.8886346621821</v>
      </c>
      <c r="AJ1214">
        <v>211836.47578588099</v>
      </c>
      <c r="AK1214">
        <v>854.70085470085473</v>
      </c>
      <c r="AL1214" t="s">
        <v>93</v>
      </c>
      <c r="AM1214">
        <v>207372.73837263821</v>
      </c>
      <c r="AN1214">
        <v>14547.987807358661</v>
      </c>
      <c r="AO1214">
        <v>227441.06789257089</v>
      </c>
      <c r="AP1214">
        <v>434611.90282057878</v>
      </c>
      <c r="AQ1214">
        <v>207170.83492800791</v>
      </c>
      <c r="AR1214">
        <v>2.613144432708334E-2</v>
      </c>
      <c r="AS1214">
        <v>815.56116829728285</v>
      </c>
      <c r="AT1214">
        <v>798.37597445278016</v>
      </c>
      <c r="AU1214">
        <v>56.009116883801752</v>
      </c>
      <c r="AV1214">
        <v>875.63816552885567</v>
      </c>
      <c r="AW1214">
        <v>1673.236820548922</v>
      </c>
      <c r="AX1214">
        <v>797.5986550200663</v>
      </c>
      <c r="AY1214">
        <v>5.1508127384050342</v>
      </c>
      <c r="AZ1214" t="s">
        <v>114</v>
      </c>
      <c r="BA1214" t="str">
        <f>VLOOKUP($AZ1214,Sheet1!$A$2:$B$58,2)</f>
        <v>Benzoate (PW2)</v>
      </c>
      <c r="BB1214" t="s">
        <v>165</v>
      </c>
      <c r="BC1214">
        <v>121.1121</v>
      </c>
      <c r="BD1214">
        <v>4.1428571428571432</v>
      </c>
      <c r="BE1214">
        <v>249.2</v>
      </c>
      <c r="BF1214" t="s">
        <v>219</v>
      </c>
      <c r="BG1214">
        <v>0</v>
      </c>
      <c r="BH1214">
        <v>2.5220883534136901E-2</v>
      </c>
      <c r="BI1214">
        <v>9.62489067654278E-2</v>
      </c>
      <c r="BJ1214">
        <v>80</v>
      </c>
      <c r="BK1214">
        <v>21730.595141028931</v>
      </c>
      <c r="BL1214">
        <v>10358.541746400389</v>
      </c>
      <c r="BM1214">
        <v>66.894431733109101</v>
      </c>
      <c r="BN1214">
        <v>11372.05339462855</v>
      </c>
      <c r="BO1214">
        <v>10358.541746400389</v>
      </c>
    </row>
    <row r="1215" spans="1:67" x14ac:dyDescent="0.25">
      <c r="A1215" s="1">
        <v>1213</v>
      </c>
      <c r="B1215" t="s">
        <v>78</v>
      </c>
      <c r="C1215" t="s">
        <v>87</v>
      </c>
      <c r="D1215">
        <v>1</v>
      </c>
      <c r="E1215">
        <v>4</v>
      </c>
      <c r="F1215">
        <v>1</v>
      </c>
      <c r="G1215">
        <v>32.041060000000002</v>
      </c>
      <c r="H1215">
        <v>6</v>
      </c>
      <c r="I1215" t="s">
        <v>89</v>
      </c>
      <c r="J1215">
        <v>2.5</v>
      </c>
      <c r="K1215">
        <v>200</v>
      </c>
      <c r="L1215">
        <v>50</v>
      </c>
      <c r="N1215" t="s">
        <v>90</v>
      </c>
      <c r="O1215">
        <v>50</v>
      </c>
      <c r="P1215">
        <v>0.3125</v>
      </c>
      <c r="Q1215">
        <v>3.2500000000000001E-2</v>
      </c>
      <c r="R1215">
        <v>77.5</v>
      </c>
      <c r="S1215">
        <v>170</v>
      </c>
      <c r="T1215">
        <v>50</v>
      </c>
      <c r="U1215">
        <v>1812.1301775147931</v>
      </c>
      <c r="V1215">
        <v>20</v>
      </c>
      <c r="W1215">
        <v>0.95</v>
      </c>
      <c r="X1215">
        <v>1</v>
      </c>
      <c r="Y1215" t="s">
        <v>92</v>
      </c>
      <c r="Z1215" t="s">
        <v>92</v>
      </c>
      <c r="AA1215" t="s">
        <v>92</v>
      </c>
      <c r="AB1215" t="s">
        <v>92</v>
      </c>
      <c r="AC1215">
        <v>0</v>
      </c>
      <c r="AD1215" t="s">
        <v>92</v>
      </c>
      <c r="AE1215" t="s">
        <v>92</v>
      </c>
      <c r="AF1215" t="s">
        <v>92</v>
      </c>
      <c r="AG1215" t="s">
        <v>92</v>
      </c>
      <c r="AH1215" t="s">
        <v>92</v>
      </c>
      <c r="AI1215" t="s">
        <v>92</v>
      </c>
      <c r="AJ1215" t="s">
        <v>92</v>
      </c>
      <c r="AK1215">
        <v>854.70085470085473</v>
      </c>
      <c r="AL1215" t="s">
        <v>93</v>
      </c>
      <c r="AM1215" t="s">
        <v>92</v>
      </c>
      <c r="AN1215" t="s">
        <v>92</v>
      </c>
      <c r="AO1215" t="s">
        <v>92</v>
      </c>
      <c r="AP1215" t="s">
        <v>92</v>
      </c>
      <c r="AZ1215" t="s">
        <v>115</v>
      </c>
      <c r="BA1215" t="str">
        <f>VLOOKUP($AZ1215,Sheet1!$A$2:$B$58,2)</f>
        <v>Benzyl Alcohol</v>
      </c>
      <c r="BB1215" t="s">
        <v>166</v>
      </c>
      <c r="BC1215">
        <v>108.13661999999999</v>
      </c>
      <c r="BD1215">
        <v>4.8571428571428568</v>
      </c>
      <c r="BE1215">
        <v>205</v>
      </c>
      <c r="BF1215" t="s">
        <v>219</v>
      </c>
      <c r="BH1215">
        <v>0</v>
      </c>
      <c r="BI1215">
        <v>0</v>
      </c>
      <c r="BJ1215">
        <v>80</v>
      </c>
    </row>
    <row r="1216" spans="1:67" x14ac:dyDescent="0.25">
      <c r="A1216" s="1">
        <v>1214</v>
      </c>
      <c r="B1216" t="s">
        <v>78</v>
      </c>
      <c r="C1216" t="s">
        <v>87</v>
      </c>
      <c r="D1216">
        <v>1</v>
      </c>
      <c r="E1216">
        <v>4</v>
      </c>
      <c r="F1216">
        <v>1</v>
      </c>
      <c r="G1216">
        <v>32.041060000000002</v>
      </c>
      <c r="H1216">
        <v>6</v>
      </c>
      <c r="I1216" t="s">
        <v>89</v>
      </c>
      <c r="J1216">
        <v>2.5</v>
      </c>
      <c r="K1216">
        <v>200</v>
      </c>
      <c r="L1216">
        <v>50</v>
      </c>
      <c r="N1216" t="s">
        <v>90</v>
      </c>
      <c r="O1216">
        <v>50</v>
      </c>
      <c r="P1216">
        <v>0.3125</v>
      </c>
      <c r="Q1216">
        <v>3.2500000000000001E-2</v>
      </c>
      <c r="R1216">
        <v>77.5</v>
      </c>
      <c r="S1216">
        <v>170</v>
      </c>
      <c r="T1216">
        <v>50</v>
      </c>
      <c r="U1216">
        <v>1812.1301775147931</v>
      </c>
      <c r="V1216">
        <v>20</v>
      </c>
      <c r="W1216">
        <v>0.95</v>
      </c>
      <c r="X1216">
        <v>1</v>
      </c>
      <c r="Y1216" t="s">
        <v>92</v>
      </c>
      <c r="Z1216" t="s">
        <v>92</v>
      </c>
      <c r="AA1216" t="s">
        <v>92</v>
      </c>
      <c r="AB1216" t="s">
        <v>92</v>
      </c>
      <c r="AC1216">
        <v>0</v>
      </c>
      <c r="AD1216" t="s">
        <v>92</v>
      </c>
      <c r="AE1216" t="s">
        <v>92</v>
      </c>
      <c r="AF1216" t="s">
        <v>92</v>
      </c>
      <c r="AG1216" t="s">
        <v>92</v>
      </c>
      <c r="AH1216" t="s">
        <v>92</v>
      </c>
      <c r="AI1216" t="s">
        <v>92</v>
      </c>
      <c r="AJ1216" t="s">
        <v>92</v>
      </c>
      <c r="AK1216">
        <v>854.70085470085473</v>
      </c>
      <c r="AL1216" t="s">
        <v>93</v>
      </c>
      <c r="AM1216" t="s">
        <v>92</v>
      </c>
      <c r="AN1216" t="s">
        <v>92</v>
      </c>
      <c r="AO1216" t="s">
        <v>92</v>
      </c>
      <c r="AP1216" t="s">
        <v>92</v>
      </c>
      <c r="AZ1216" t="s">
        <v>116</v>
      </c>
      <c r="BA1216" t="str">
        <f>VLOOKUP($AZ1216,Sheet1!$A$2:$B$58,2)</f>
        <v>Beta Carotene</v>
      </c>
      <c r="BB1216" t="s">
        <v>167</v>
      </c>
      <c r="BC1216">
        <v>536.86703999999997</v>
      </c>
      <c r="BD1216">
        <v>5.4</v>
      </c>
      <c r="BE1216">
        <v>633</v>
      </c>
      <c r="BF1216" t="s">
        <v>219</v>
      </c>
      <c r="BH1216">
        <v>0</v>
      </c>
      <c r="BI1216">
        <v>0</v>
      </c>
      <c r="BJ1216">
        <v>80</v>
      </c>
    </row>
    <row r="1217" spans="1:67" x14ac:dyDescent="0.25">
      <c r="A1217" s="1">
        <v>1215</v>
      </c>
      <c r="B1217" t="s">
        <v>78</v>
      </c>
      <c r="C1217" t="s">
        <v>87</v>
      </c>
      <c r="D1217">
        <v>1</v>
      </c>
      <c r="E1217">
        <v>4</v>
      </c>
      <c r="F1217">
        <v>1</v>
      </c>
      <c r="G1217">
        <v>32.041060000000002</v>
      </c>
      <c r="H1217">
        <v>6</v>
      </c>
      <c r="I1217" t="s">
        <v>89</v>
      </c>
      <c r="J1217">
        <v>2.5</v>
      </c>
      <c r="K1217">
        <v>200</v>
      </c>
      <c r="L1217">
        <v>50</v>
      </c>
      <c r="N1217" t="s">
        <v>90</v>
      </c>
      <c r="O1217">
        <v>50</v>
      </c>
      <c r="P1217">
        <v>0.3125</v>
      </c>
      <c r="Q1217">
        <v>3.2500000000000001E-2</v>
      </c>
      <c r="R1217">
        <v>77.5</v>
      </c>
      <c r="S1217">
        <v>170</v>
      </c>
      <c r="T1217">
        <v>50</v>
      </c>
      <c r="U1217">
        <v>1812.1301775147931</v>
      </c>
      <c r="V1217">
        <v>20</v>
      </c>
      <c r="W1217">
        <v>0.95</v>
      </c>
      <c r="X1217">
        <v>1</v>
      </c>
      <c r="Y1217">
        <v>682884.93397548003</v>
      </c>
      <c r="Z1217">
        <v>1365769867.9509599</v>
      </c>
      <c r="AA1217">
        <v>3414424669.8773999</v>
      </c>
      <c r="AB1217">
        <v>3414424.6698774011</v>
      </c>
      <c r="AC1217">
        <v>66773.504273504266</v>
      </c>
      <c r="AD1217">
        <v>14155.207085894401</v>
      </c>
      <c r="AE1217">
        <v>8493124.2515366413</v>
      </c>
      <c r="AF1217">
        <v>4246562.1257683206</v>
      </c>
      <c r="AG1217">
        <v>136.06435186547029</v>
      </c>
      <c r="AH1217">
        <v>1401.6839936629781</v>
      </c>
      <c r="AI1217">
        <v>700.84199683148915</v>
      </c>
      <c r="AJ1217">
        <v>110968.8017710155</v>
      </c>
      <c r="AK1217">
        <v>2170.1388888888891</v>
      </c>
      <c r="AL1217" t="s">
        <v>95</v>
      </c>
      <c r="AM1217">
        <v>108630.5095088808</v>
      </c>
      <c r="AN1217">
        <v>7620.8441873518568</v>
      </c>
      <c r="AO1217">
        <v>119143.1394613532</v>
      </c>
      <c r="AP1217">
        <v>229390.29435613711</v>
      </c>
      <c r="AQ1217">
        <v>110247.1548947839</v>
      </c>
      <c r="AR1217">
        <v>2.6131444327083329E-2</v>
      </c>
      <c r="AS1217">
        <v>815.56116829728273</v>
      </c>
      <c r="AT1217">
        <v>798.37597445278016</v>
      </c>
      <c r="AU1217">
        <v>56.009116883801752</v>
      </c>
      <c r="AV1217">
        <v>875.63816552885567</v>
      </c>
      <c r="AW1217">
        <v>1685.8956163840769</v>
      </c>
      <c r="AX1217">
        <v>810.25745085522169</v>
      </c>
      <c r="AY1217">
        <v>5.1508127384050333</v>
      </c>
      <c r="AZ1217" t="s">
        <v>117</v>
      </c>
      <c r="BA1217" t="str">
        <f>VLOOKUP($AZ1217,Sheet1!$A$2:$B$58,2)</f>
        <v>Butane</v>
      </c>
      <c r="BB1217" t="s">
        <v>168</v>
      </c>
      <c r="BC1217">
        <v>58.121200000000002</v>
      </c>
      <c r="BD1217">
        <v>6.5</v>
      </c>
      <c r="BE1217">
        <v>-1</v>
      </c>
      <c r="BF1217" t="s">
        <v>219</v>
      </c>
      <c r="BG1217">
        <v>0</v>
      </c>
      <c r="BH1217">
        <v>0.1012903225806444</v>
      </c>
      <c r="BI1217">
        <v>0.18373658976245319</v>
      </c>
      <c r="BJ1217">
        <v>80</v>
      </c>
      <c r="BK1217">
        <v>11469.514717806849</v>
      </c>
      <c r="BL1217">
        <v>5512.3577447391935</v>
      </c>
      <c r="BM1217">
        <v>35.042099841574448</v>
      </c>
      <c r="BN1217">
        <v>5957.1569730676574</v>
      </c>
      <c r="BO1217">
        <v>5512.3577447391954</v>
      </c>
    </row>
    <row r="1218" spans="1:67" x14ac:dyDescent="0.25">
      <c r="A1218" s="1">
        <v>1216</v>
      </c>
      <c r="B1218" t="s">
        <v>78</v>
      </c>
      <c r="C1218" t="s">
        <v>87</v>
      </c>
      <c r="D1218">
        <v>1</v>
      </c>
      <c r="E1218">
        <v>4</v>
      </c>
      <c r="F1218">
        <v>1</v>
      </c>
      <c r="G1218">
        <v>32.041060000000002</v>
      </c>
      <c r="H1218">
        <v>6</v>
      </c>
      <c r="I1218" t="s">
        <v>89</v>
      </c>
      <c r="J1218">
        <v>2.5</v>
      </c>
      <c r="K1218">
        <v>200</v>
      </c>
      <c r="L1218">
        <v>50</v>
      </c>
      <c r="N1218" t="s">
        <v>90</v>
      </c>
      <c r="O1218">
        <v>50</v>
      </c>
      <c r="P1218">
        <v>0.3125</v>
      </c>
      <c r="Q1218">
        <v>3.2500000000000001E-2</v>
      </c>
      <c r="R1218">
        <v>77.5</v>
      </c>
      <c r="S1218">
        <v>170</v>
      </c>
      <c r="T1218">
        <v>50</v>
      </c>
      <c r="U1218">
        <v>1812.1301775147931</v>
      </c>
      <c r="V1218">
        <v>20</v>
      </c>
      <c r="W1218">
        <v>0.95</v>
      </c>
      <c r="X1218">
        <v>1</v>
      </c>
      <c r="Y1218">
        <v>216956.89996339279</v>
      </c>
      <c r="Z1218">
        <v>433913799.92678559</v>
      </c>
      <c r="AA1218">
        <v>1084784499.8169639</v>
      </c>
      <c r="AB1218">
        <v>1084784.4998169639</v>
      </c>
      <c r="AC1218">
        <v>0</v>
      </c>
      <c r="AD1218">
        <v>4497.199593812933</v>
      </c>
      <c r="AE1218">
        <v>2698319.7562877601</v>
      </c>
      <c r="AF1218">
        <v>1349159.8781438801</v>
      </c>
      <c r="AG1218">
        <v>43.228512605200748</v>
      </c>
      <c r="AH1218">
        <v>445.32394677834122</v>
      </c>
      <c r="AI1218">
        <v>222.66197338917061</v>
      </c>
      <c r="AJ1218">
        <v>35255.496244051334</v>
      </c>
      <c r="AK1218">
        <v>854.70085470085473</v>
      </c>
      <c r="AL1218" t="s">
        <v>93</v>
      </c>
      <c r="AM1218">
        <v>34512.605875321438</v>
      </c>
      <c r="AN1218">
        <v>2421.1908152175861</v>
      </c>
      <c r="AO1218">
        <v>37852.535476158999</v>
      </c>
      <c r="AP1218">
        <v>73043.993789291213</v>
      </c>
      <c r="AQ1218">
        <v>35191.458313132207</v>
      </c>
      <c r="AR1218">
        <v>2.6131444327083329E-2</v>
      </c>
      <c r="AS1218">
        <v>815.56116829728262</v>
      </c>
      <c r="AT1218">
        <v>798.37597445278027</v>
      </c>
      <c r="AU1218">
        <v>56.009116883801752</v>
      </c>
      <c r="AV1218">
        <v>875.63816552885578</v>
      </c>
      <c r="AW1218">
        <v>1689.7179520468489</v>
      </c>
      <c r="AX1218">
        <v>814.07978651799363</v>
      </c>
      <c r="AY1218">
        <v>5.1508127384050333</v>
      </c>
      <c r="AZ1218" t="s">
        <v>118</v>
      </c>
      <c r="BA1218" t="str">
        <f>VLOOKUP($AZ1218,Sheet1!$A$2:$B$58,2)</f>
        <v>Butanol (PW1)</v>
      </c>
      <c r="BB1218" t="s">
        <v>169</v>
      </c>
      <c r="BC1218">
        <v>74.120199999999997</v>
      </c>
      <c r="BD1218">
        <v>6</v>
      </c>
      <c r="BE1218">
        <v>117.7</v>
      </c>
      <c r="BF1218" t="s">
        <v>219</v>
      </c>
      <c r="BG1218">
        <v>0</v>
      </c>
      <c r="BH1218">
        <v>0.25</v>
      </c>
      <c r="BI1218">
        <v>0.5783220030797982</v>
      </c>
      <c r="BJ1218">
        <v>80</v>
      </c>
      <c r="BK1218">
        <v>3652.1996894645608</v>
      </c>
      <c r="BL1218">
        <v>1759.572915656611</v>
      </c>
      <c r="BM1218">
        <v>11.13309866945853</v>
      </c>
      <c r="BN1218">
        <v>1892.62677380795</v>
      </c>
      <c r="BO1218">
        <v>1759.572915656611</v>
      </c>
    </row>
    <row r="1219" spans="1:67" x14ac:dyDescent="0.25">
      <c r="A1219" s="1">
        <v>1217</v>
      </c>
      <c r="B1219" t="s">
        <v>78</v>
      </c>
      <c r="C1219" t="s">
        <v>87</v>
      </c>
      <c r="D1219">
        <v>1</v>
      </c>
      <c r="E1219">
        <v>4</v>
      </c>
      <c r="F1219">
        <v>1</v>
      </c>
      <c r="G1219">
        <v>32.041060000000002</v>
      </c>
      <c r="H1219">
        <v>6</v>
      </c>
      <c r="I1219" t="s">
        <v>89</v>
      </c>
      <c r="J1219">
        <v>2.5</v>
      </c>
      <c r="K1219">
        <v>200</v>
      </c>
      <c r="L1219">
        <v>50</v>
      </c>
      <c r="N1219" t="s">
        <v>90</v>
      </c>
      <c r="O1219">
        <v>50</v>
      </c>
      <c r="P1219">
        <v>0.3125</v>
      </c>
      <c r="Q1219">
        <v>3.2500000000000001E-2</v>
      </c>
      <c r="R1219">
        <v>77.5</v>
      </c>
      <c r="S1219">
        <v>170</v>
      </c>
      <c r="T1219">
        <v>50</v>
      </c>
      <c r="U1219">
        <v>1812.1301775147931</v>
      </c>
      <c r="V1219">
        <v>20</v>
      </c>
      <c r="W1219">
        <v>0.95</v>
      </c>
      <c r="X1219">
        <v>1</v>
      </c>
      <c r="Y1219">
        <v>216956.89996339279</v>
      </c>
      <c r="Z1219">
        <v>433913799.92678559</v>
      </c>
      <c r="AA1219">
        <v>1084784499.8169639</v>
      </c>
      <c r="AB1219">
        <v>1084784.4998169639</v>
      </c>
      <c r="AC1219">
        <v>0</v>
      </c>
      <c r="AD1219">
        <v>4497.199593812933</v>
      </c>
      <c r="AE1219">
        <v>2698319.7562877601</v>
      </c>
      <c r="AF1219">
        <v>1349159.8781438801</v>
      </c>
      <c r="AG1219">
        <v>43.228512605200748</v>
      </c>
      <c r="AH1219">
        <v>445.32394677834122</v>
      </c>
      <c r="AI1219">
        <v>222.66197338917061</v>
      </c>
      <c r="AJ1219">
        <v>35255.496244051334</v>
      </c>
      <c r="AK1219">
        <v>854.70085470085473</v>
      </c>
      <c r="AL1219" t="s">
        <v>93</v>
      </c>
      <c r="AM1219">
        <v>34512.605875321438</v>
      </c>
      <c r="AN1219">
        <v>2421.1908152175861</v>
      </c>
      <c r="AO1219">
        <v>37852.535476158999</v>
      </c>
      <c r="AP1219">
        <v>73043.993789291213</v>
      </c>
      <c r="AQ1219">
        <v>35191.458313132207</v>
      </c>
      <c r="AR1219">
        <v>2.6131444327083329E-2</v>
      </c>
      <c r="AS1219">
        <v>815.56116829728262</v>
      </c>
      <c r="AT1219">
        <v>798.37597445278027</v>
      </c>
      <c r="AU1219">
        <v>56.009116883801752</v>
      </c>
      <c r="AV1219">
        <v>875.63816552885578</v>
      </c>
      <c r="AW1219">
        <v>1689.7179520468489</v>
      </c>
      <c r="AX1219">
        <v>814.07978651799363</v>
      </c>
      <c r="AY1219">
        <v>5.1508127384050333</v>
      </c>
      <c r="AZ1219" t="s">
        <v>119</v>
      </c>
      <c r="BA1219" t="str">
        <f>VLOOKUP($AZ1219,Sheet1!$A$2:$B$58,2)</f>
        <v>Butanol (PW2)</v>
      </c>
      <c r="BB1219" t="s">
        <v>169</v>
      </c>
      <c r="BC1219">
        <v>74.120199999999997</v>
      </c>
      <c r="BD1219">
        <v>6</v>
      </c>
      <c r="BE1219">
        <v>117.7</v>
      </c>
      <c r="BF1219" t="s">
        <v>219</v>
      </c>
      <c r="BG1219">
        <v>0</v>
      </c>
      <c r="BH1219">
        <v>0.25</v>
      </c>
      <c r="BI1219">
        <v>0.5783220030797982</v>
      </c>
      <c r="BJ1219">
        <v>80</v>
      </c>
      <c r="BK1219">
        <v>3652.1996894645608</v>
      </c>
      <c r="BL1219">
        <v>1759.572915656611</v>
      </c>
      <c r="BM1219">
        <v>11.13309866945853</v>
      </c>
      <c r="BN1219">
        <v>1892.62677380795</v>
      </c>
      <c r="BO1219">
        <v>1759.572915656611</v>
      </c>
    </row>
    <row r="1220" spans="1:67" x14ac:dyDescent="0.25">
      <c r="A1220" s="1">
        <v>1218</v>
      </c>
      <c r="B1220" t="s">
        <v>78</v>
      </c>
      <c r="C1220" t="s">
        <v>87</v>
      </c>
      <c r="D1220">
        <v>1</v>
      </c>
      <c r="E1220">
        <v>4</v>
      </c>
      <c r="F1220">
        <v>1</v>
      </c>
      <c r="G1220">
        <v>32.041060000000002</v>
      </c>
      <c r="H1220">
        <v>6</v>
      </c>
      <c r="I1220" t="s">
        <v>89</v>
      </c>
      <c r="J1220">
        <v>2.5</v>
      </c>
      <c r="K1220">
        <v>200</v>
      </c>
      <c r="L1220">
        <v>50</v>
      </c>
      <c r="N1220" t="s">
        <v>90</v>
      </c>
      <c r="O1220">
        <v>50</v>
      </c>
      <c r="P1220">
        <v>0.3125</v>
      </c>
      <c r="Q1220">
        <v>3.2500000000000001E-2</v>
      </c>
      <c r="R1220">
        <v>77.5</v>
      </c>
      <c r="S1220">
        <v>170</v>
      </c>
      <c r="T1220">
        <v>50</v>
      </c>
      <c r="U1220">
        <v>1812.1301775147931</v>
      </c>
      <c r="V1220">
        <v>20</v>
      </c>
      <c r="W1220">
        <v>0.95</v>
      </c>
      <c r="X1220">
        <v>1</v>
      </c>
      <c r="Y1220">
        <v>178826.20527705149</v>
      </c>
      <c r="Z1220">
        <v>357652410.5541029</v>
      </c>
      <c r="AA1220">
        <v>894131026.38525724</v>
      </c>
      <c r="AB1220">
        <v>894131.02638525725</v>
      </c>
      <c r="AC1220">
        <v>0</v>
      </c>
      <c r="AD1220">
        <v>3706.805996355773</v>
      </c>
      <c r="AE1220">
        <v>2224083.5978134628</v>
      </c>
      <c r="AF1220">
        <v>1112041.7989067319</v>
      </c>
      <c r="AG1220">
        <v>35.630998001278527</v>
      </c>
      <c r="AH1220">
        <v>367.05719677413953</v>
      </c>
      <c r="AI1220">
        <v>183.52859838706979</v>
      </c>
      <c r="AJ1220">
        <v>29059.258357520859</v>
      </c>
      <c r="AK1220">
        <v>854.70085470085473</v>
      </c>
      <c r="AL1220" t="s">
        <v>93</v>
      </c>
      <c r="AM1220">
        <v>28446.932749995809</v>
      </c>
      <c r="AN1220">
        <v>1995.6607317401169</v>
      </c>
      <c r="AO1220">
        <v>31199.86172580186</v>
      </c>
      <c r="AP1220">
        <v>60356.552693957638</v>
      </c>
      <c r="AQ1220">
        <v>29156.690968155781</v>
      </c>
      <c r="AR1220">
        <v>2.613144432708334E-2</v>
      </c>
      <c r="AS1220">
        <v>815.56116829728285</v>
      </c>
      <c r="AT1220">
        <v>798.37597445278038</v>
      </c>
      <c r="AU1220">
        <v>56.009116883801781</v>
      </c>
      <c r="AV1220">
        <v>875.63816552885589</v>
      </c>
      <c r="AW1220">
        <v>1693.9338239078211</v>
      </c>
      <c r="AX1220">
        <v>818.29565837896473</v>
      </c>
      <c r="AY1220">
        <v>5.1508127384050342</v>
      </c>
      <c r="AZ1220" t="s">
        <v>120</v>
      </c>
      <c r="BA1220" t="str">
        <f>VLOOKUP($AZ1220,Sheet1!$A$2:$B$58,2)</f>
        <v>Butyrate</v>
      </c>
      <c r="BB1220" t="s">
        <v>170</v>
      </c>
      <c r="BC1220">
        <v>87.095680000000002</v>
      </c>
      <c r="BD1220">
        <v>4.75</v>
      </c>
      <c r="BE1220">
        <v>163.5</v>
      </c>
      <c r="BF1220" t="s">
        <v>219</v>
      </c>
      <c r="BG1220">
        <v>0</v>
      </c>
      <c r="BH1220">
        <v>0.2500000000000005</v>
      </c>
      <c r="BI1220">
        <v>0.70163625501320337</v>
      </c>
      <c r="BJ1220">
        <v>80</v>
      </c>
      <c r="BK1220">
        <v>3017.8276346978819</v>
      </c>
      <c r="BL1220">
        <v>1457.834548407789</v>
      </c>
      <c r="BM1220">
        <v>9.1764299193534882</v>
      </c>
      <c r="BN1220">
        <v>1559.9930862900931</v>
      </c>
      <c r="BO1220">
        <v>1457.834548407789</v>
      </c>
    </row>
    <row r="1221" spans="1:67" x14ac:dyDescent="0.25">
      <c r="A1221" s="1">
        <v>1219</v>
      </c>
      <c r="B1221" t="s">
        <v>78</v>
      </c>
      <c r="C1221" t="s">
        <v>87</v>
      </c>
      <c r="D1221">
        <v>1</v>
      </c>
      <c r="E1221">
        <v>4</v>
      </c>
      <c r="F1221">
        <v>1</v>
      </c>
      <c r="G1221">
        <v>32.041060000000002</v>
      </c>
      <c r="H1221">
        <v>6</v>
      </c>
      <c r="I1221" t="s">
        <v>89</v>
      </c>
      <c r="J1221">
        <v>2.5</v>
      </c>
      <c r="K1221">
        <v>200</v>
      </c>
      <c r="L1221">
        <v>50</v>
      </c>
      <c r="N1221" t="s">
        <v>90</v>
      </c>
      <c r="O1221">
        <v>50</v>
      </c>
      <c r="P1221">
        <v>0.3125</v>
      </c>
      <c r="Q1221">
        <v>3.2500000000000001E-2</v>
      </c>
      <c r="R1221">
        <v>77.5</v>
      </c>
      <c r="S1221">
        <v>170</v>
      </c>
      <c r="T1221">
        <v>50</v>
      </c>
      <c r="U1221">
        <v>1812.1301775147931</v>
      </c>
      <c r="V1221">
        <v>20</v>
      </c>
      <c r="W1221">
        <v>0.95</v>
      </c>
      <c r="X1221">
        <v>1</v>
      </c>
      <c r="Y1221">
        <v>860596.88123369403</v>
      </c>
      <c r="Z1221">
        <v>1721193762.4673879</v>
      </c>
      <c r="AA1221">
        <v>4302984406.1684694</v>
      </c>
      <c r="AB1221">
        <v>4302984.4061684692</v>
      </c>
      <c r="AC1221">
        <v>0</v>
      </c>
      <c r="AD1221">
        <v>17838.91614128833</v>
      </c>
      <c r="AE1221">
        <v>10703349.684773</v>
      </c>
      <c r="AF1221">
        <v>5351674.842386499</v>
      </c>
      <c r="AG1221">
        <v>171.4733347253964</v>
      </c>
      <c r="AH1221">
        <v>1766.4540736007241</v>
      </c>
      <c r="AI1221">
        <v>883.22703680036204</v>
      </c>
      <c r="AJ1221">
        <v>139846.99320047529</v>
      </c>
      <c r="AK1221">
        <v>854.70085470085473</v>
      </c>
      <c r="AL1221" t="s">
        <v>93</v>
      </c>
      <c r="AM1221">
        <v>136900.19070405609</v>
      </c>
      <c r="AN1221">
        <v>9604.0700470899901</v>
      </c>
      <c r="AO1221">
        <v>150148.59625606149</v>
      </c>
      <c r="AP1221">
        <v>287205.95480632229</v>
      </c>
      <c r="AQ1221">
        <v>137057.35855026069</v>
      </c>
      <c r="AR1221">
        <v>2.6131444327083329E-2</v>
      </c>
      <c r="AS1221">
        <v>815.56116829728273</v>
      </c>
      <c r="AT1221">
        <v>798.3759744527805</v>
      </c>
      <c r="AU1221">
        <v>56.009116883801767</v>
      </c>
      <c r="AV1221">
        <v>875.63816552885589</v>
      </c>
      <c r="AW1221">
        <v>1674.9307130829659</v>
      </c>
      <c r="AX1221">
        <v>799.29254755411023</v>
      </c>
      <c r="AY1221">
        <v>5.1508127384050351</v>
      </c>
      <c r="AZ1221" t="s">
        <v>121</v>
      </c>
      <c r="BA1221" t="str">
        <f>VLOOKUP($AZ1221,Sheet1!$A$2:$B$58,2)</f>
        <v>Catechol</v>
      </c>
      <c r="BB1221" t="s">
        <v>171</v>
      </c>
      <c r="BC1221">
        <v>110.10924</v>
      </c>
      <c r="BD1221">
        <v>4.333333333333333</v>
      </c>
      <c r="BE1221">
        <v>245</v>
      </c>
      <c r="BF1221" t="s">
        <v>219</v>
      </c>
      <c r="BG1221">
        <v>0</v>
      </c>
      <c r="BH1221">
        <v>4.1866666666666601E-2</v>
      </c>
      <c r="BI1221">
        <v>0.14579526338620469</v>
      </c>
      <c r="BJ1221">
        <v>80</v>
      </c>
      <c r="BK1221">
        <v>14360.297740316109</v>
      </c>
      <c r="BL1221">
        <v>6852.8679275130362</v>
      </c>
      <c r="BM1221">
        <v>44.161351840018099</v>
      </c>
      <c r="BN1221">
        <v>7507.4298128030769</v>
      </c>
      <c r="BO1221">
        <v>6852.8679275130344</v>
      </c>
    </row>
    <row r="1222" spans="1:67" x14ac:dyDescent="0.25">
      <c r="A1222" s="1">
        <v>1220</v>
      </c>
      <c r="B1222" t="s">
        <v>78</v>
      </c>
      <c r="C1222" t="s">
        <v>87</v>
      </c>
      <c r="D1222">
        <v>1</v>
      </c>
      <c r="E1222">
        <v>4</v>
      </c>
      <c r="F1222">
        <v>1</v>
      </c>
      <c r="G1222">
        <v>32.041060000000002</v>
      </c>
      <c r="H1222">
        <v>6</v>
      </c>
      <c r="I1222" t="s">
        <v>89</v>
      </c>
      <c r="J1222">
        <v>2.5</v>
      </c>
      <c r="K1222">
        <v>200</v>
      </c>
      <c r="L1222">
        <v>50</v>
      </c>
      <c r="N1222" t="s">
        <v>90</v>
      </c>
      <c r="O1222">
        <v>50</v>
      </c>
      <c r="P1222">
        <v>0.3125</v>
      </c>
      <c r="Q1222">
        <v>3.2500000000000001E-2</v>
      </c>
      <c r="R1222">
        <v>77.5</v>
      </c>
      <c r="S1222">
        <v>170</v>
      </c>
      <c r="T1222">
        <v>50</v>
      </c>
      <c r="U1222">
        <v>1812.1301775147931</v>
      </c>
      <c r="V1222">
        <v>20</v>
      </c>
      <c r="W1222">
        <v>0.95</v>
      </c>
      <c r="X1222">
        <v>1</v>
      </c>
      <c r="Y1222" t="s">
        <v>92</v>
      </c>
      <c r="Z1222" t="s">
        <v>92</v>
      </c>
      <c r="AA1222" t="s">
        <v>92</v>
      </c>
      <c r="AB1222" t="s">
        <v>92</v>
      </c>
      <c r="AC1222">
        <v>0</v>
      </c>
      <c r="AD1222" t="s">
        <v>92</v>
      </c>
      <c r="AE1222" t="s">
        <v>92</v>
      </c>
      <c r="AF1222" t="s">
        <v>92</v>
      </c>
      <c r="AG1222" t="s">
        <v>92</v>
      </c>
      <c r="AH1222" t="s">
        <v>92</v>
      </c>
      <c r="AI1222" t="s">
        <v>92</v>
      </c>
      <c r="AJ1222" t="s">
        <v>92</v>
      </c>
      <c r="AK1222">
        <v>854.70085470085473</v>
      </c>
      <c r="AL1222" t="s">
        <v>93</v>
      </c>
      <c r="AM1222" t="s">
        <v>92</v>
      </c>
      <c r="AN1222" t="s">
        <v>92</v>
      </c>
      <c r="AO1222" t="s">
        <v>92</v>
      </c>
      <c r="AP1222" t="s">
        <v>92</v>
      </c>
      <c r="AZ1222" t="s">
        <v>122</v>
      </c>
      <c r="BA1222" t="str">
        <f>VLOOKUP($AZ1222,Sheet1!$A$2:$B$58,2)</f>
        <v>cis,cis-Muconate</v>
      </c>
      <c r="BB1222" t="s">
        <v>172</v>
      </c>
      <c r="BC1222">
        <v>140.09155999999999</v>
      </c>
      <c r="BD1222">
        <v>3.333333333333333</v>
      </c>
      <c r="BE1222">
        <v>345.4</v>
      </c>
      <c r="BF1222" t="s">
        <v>219</v>
      </c>
      <c r="BH1222">
        <v>0</v>
      </c>
      <c r="BI1222">
        <v>0</v>
      </c>
      <c r="BJ1222">
        <v>80</v>
      </c>
    </row>
    <row r="1223" spans="1:67" x14ac:dyDescent="0.25">
      <c r="A1223" s="1">
        <v>1221</v>
      </c>
      <c r="B1223" t="s">
        <v>78</v>
      </c>
      <c r="C1223" t="s">
        <v>87</v>
      </c>
      <c r="D1223">
        <v>1</v>
      </c>
      <c r="E1223">
        <v>4</v>
      </c>
      <c r="F1223">
        <v>1</v>
      </c>
      <c r="G1223">
        <v>32.041060000000002</v>
      </c>
      <c r="H1223">
        <v>6</v>
      </c>
      <c r="I1223" t="s">
        <v>89</v>
      </c>
      <c r="J1223">
        <v>2.5</v>
      </c>
      <c r="K1223">
        <v>200</v>
      </c>
      <c r="L1223">
        <v>50</v>
      </c>
      <c r="N1223" t="s">
        <v>90</v>
      </c>
      <c r="O1223">
        <v>50</v>
      </c>
      <c r="P1223">
        <v>0.3125</v>
      </c>
      <c r="Q1223">
        <v>3.2500000000000001E-2</v>
      </c>
      <c r="R1223">
        <v>77.5</v>
      </c>
      <c r="S1223">
        <v>170</v>
      </c>
      <c r="T1223">
        <v>50</v>
      </c>
      <c r="U1223">
        <v>1812.1301775147931</v>
      </c>
      <c r="V1223">
        <v>20</v>
      </c>
      <c r="W1223">
        <v>0.95</v>
      </c>
      <c r="X1223">
        <v>1</v>
      </c>
      <c r="Y1223">
        <v>917540.00166184234</v>
      </c>
      <c r="Z1223">
        <v>1835080003.3236849</v>
      </c>
      <c r="AA1223">
        <v>4587700008.3092117</v>
      </c>
      <c r="AB1223">
        <v>4587700.0083092116</v>
      </c>
      <c r="AC1223">
        <v>0</v>
      </c>
      <c r="AD1223">
        <v>19019.26384215942</v>
      </c>
      <c r="AE1223">
        <v>11411558.30529565</v>
      </c>
      <c r="AF1223">
        <v>5705779.152647825</v>
      </c>
      <c r="AG1223">
        <v>182.81921217673809</v>
      </c>
      <c r="AH1223">
        <v>1883.3350538102311</v>
      </c>
      <c r="AI1223">
        <v>941.66752690511532</v>
      </c>
      <c r="AJ1223">
        <v>149100.25027004941</v>
      </c>
      <c r="AK1223">
        <v>854.70085470085473</v>
      </c>
      <c r="AL1223" t="s">
        <v>93</v>
      </c>
      <c r="AM1223">
        <v>145958.4666702929</v>
      </c>
      <c r="AN1223">
        <v>10239.54262341148</v>
      </c>
      <c r="AO1223">
        <v>160083.47957386961</v>
      </c>
      <c r="AP1223">
        <v>306152.96041845449</v>
      </c>
      <c r="AQ1223">
        <v>146069.4808445849</v>
      </c>
      <c r="AR1223">
        <v>2.613144432708334E-2</v>
      </c>
      <c r="AS1223">
        <v>815.56116829728285</v>
      </c>
      <c r="AT1223">
        <v>798.37597445278016</v>
      </c>
      <c r="AU1223">
        <v>56.009116883801781</v>
      </c>
      <c r="AV1223">
        <v>875.63816552885567</v>
      </c>
      <c r="AW1223">
        <v>1674.6213747080651</v>
      </c>
      <c r="AX1223">
        <v>798.98320917920898</v>
      </c>
      <c r="AY1223">
        <v>5.1508127384050333</v>
      </c>
      <c r="AZ1223" t="s">
        <v>124</v>
      </c>
      <c r="BA1223" t="str">
        <f>VLOOKUP($AZ1223,Sheet1!$A$2:$B$58,2)</f>
        <v>Coumaric Acid</v>
      </c>
      <c r="BB1223" t="s">
        <v>174</v>
      </c>
      <c r="BC1223">
        <v>163.14818</v>
      </c>
      <c r="BD1223">
        <v>4.1111111111111107</v>
      </c>
      <c r="BE1223">
        <v>346</v>
      </c>
      <c r="BF1223" t="s">
        <v>219</v>
      </c>
      <c r="BG1223">
        <v>0</v>
      </c>
      <c r="BH1223">
        <v>2.6497890295358699E-2</v>
      </c>
      <c r="BI1223">
        <v>0.13674711592035291</v>
      </c>
      <c r="BJ1223">
        <v>80</v>
      </c>
      <c r="BK1223">
        <v>15307.64802092273</v>
      </c>
      <c r="BL1223">
        <v>7303.4740422292462</v>
      </c>
      <c r="BM1223">
        <v>47.083376345255758</v>
      </c>
      <c r="BN1223">
        <v>8004.1739786934786</v>
      </c>
      <c r="BO1223">
        <v>7303.474042229248</v>
      </c>
    </row>
    <row r="1224" spans="1:67" x14ac:dyDescent="0.25">
      <c r="A1224" s="1">
        <v>1222</v>
      </c>
      <c r="B1224" t="s">
        <v>78</v>
      </c>
      <c r="C1224" t="s">
        <v>87</v>
      </c>
      <c r="D1224">
        <v>1</v>
      </c>
      <c r="E1224">
        <v>4</v>
      </c>
      <c r="F1224">
        <v>1</v>
      </c>
      <c r="G1224">
        <v>32.041060000000002</v>
      </c>
      <c r="H1224">
        <v>6</v>
      </c>
      <c r="I1224" t="s">
        <v>89</v>
      </c>
      <c r="J1224">
        <v>2.5</v>
      </c>
      <c r="K1224">
        <v>200</v>
      </c>
      <c r="L1224">
        <v>50</v>
      </c>
      <c r="N1224" t="s">
        <v>90</v>
      </c>
      <c r="O1224">
        <v>50</v>
      </c>
      <c r="P1224">
        <v>0.3125</v>
      </c>
      <c r="Q1224">
        <v>3.2500000000000001E-2</v>
      </c>
      <c r="R1224">
        <v>77.5</v>
      </c>
      <c r="S1224">
        <v>170</v>
      </c>
      <c r="T1224">
        <v>50</v>
      </c>
      <c r="U1224">
        <v>1812.1301775147931</v>
      </c>
      <c r="V1224">
        <v>20</v>
      </c>
      <c r="W1224">
        <v>0.95</v>
      </c>
      <c r="X1224">
        <v>1</v>
      </c>
      <c r="Y1224">
        <v>176780.56393688259</v>
      </c>
      <c r="Z1224">
        <v>353561127.87376517</v>
      </c>
      <c r="AA1224">
        <v>883902819.68441308</v>
      </c>
      <c r="AB1224">
        <v>883902.81968441303</v>
      </c>
      <c r="AC1224">
        <v>0</v>
      </c>
      <c r="AD1224">
        <v>3664.402839758096</v>
      </c>
      <c r="AE1224">
        <v>2198641.703854857</v>
      </c>
      <c r="AF1224">
        <v>1099320.851927429</v>
      </c>
      <c r="AG1224">
        <v>35.223405375857858</v>
      </c>
      <c r="AH1224">
        <v>362.85833019994612</v>
      </c>
      <c r="AI1224">
        <v>181.42916509997309</v>
      </c>
      <c r="AJ1224">
        <v>28726.841639743419</v>
      </c>
      <c r="AK1224">
        <v>854.70085470085473</v>
      </c>
      <c r="AL1224" t="s">
        <v>93</v>
      </c>
      <c r="AM1224">
        <v>28121.52059049582</v>
      </c>
      <c r="AN1224">
        <v>1972.831828741955</v>
      </c>
      <c r="AO1224">
        <v>30842.958066995419</v>
      </c>
      <c r="AP1224">
        <v>59675.894913682052</v>
      </c>
      <c r="AQ1224">
        <v>28832.936846686629</v>
      </c>
      <c r="AR1224">
        <v>2.6131444327083329E-2</v>
      </c>
      <c r="AS1224">
        <v>815.56116829728273</v>
      </c>
      <c r="AT1224">
        <v>798.37597445278038</v>
      </c>
      <c r="AU1224">
        <v>56.009116883801767</v>
      </c>
      <c r="AV1224">
        <v>875.63816552885589</v>
      </c>
      <c r="AW1224">
        <v>1694.211399406144</v>
      </c>
      <c r="AX1224">
        <v>818.57323387728832</v>
      </c>
      <c r="AY1224">
        <v>5.1508127384050351</v>
      </c>
      <c r="AZ1224" t="s">
        <v>125</v>
      </c>
      <c r="BA1224" t="str">
        <f>VLOOKUP($AZ1224,Sheet1!$A$2:$B$58,2)</f>
        <v>Ethyl Acetate</v>
      </c>
      <c r="BB1224" t="s">
        <v>175</v>
      </c>
      <c r="BC1224">
        <v>88.103520000000003</v>
      </c>
      <c r="BD1224">
        <v>5</v>
      </c>
      <c r="BE1224">
        <v>77.099999999999994</v>
      </c>
      <c r="BF1224" t="s">
        <v>219</v>
      </c>
      <c r="BG1224">
        <v>0</v>
      </c>
      <c r="BH1224">
        <v>0.25</v>
      </c>
      <c r="BI1224">
        <v>0.70975533833917759</v>
      </c>
      <c r="BJ1224">
        <v>80</v>
      </c>
      <c r="BK1224">
        <v>2983.7947456841021</v>
      </c>
      <c r="BL1224">
        <v>1441.646842334331</v>
      </c>
      <c r="BM1224">
        <v>9.0714582549986513</v>
      </c>
      <c r="BN1224">
        <v>1542.147903349771</v>
      </c>
      <c r="BO1224">
        <v>1441.646842334331</v>
      </c>
    </row>
    <row r="1225" spans="1:67" x14ac:dyDescent="0.25">
      <c r="A1225" s="1">
        <v>1223</v>
      </c>
      <c r="B1225" t="s">
        <v>78</v>
      </c>
      <c r="C1225" t="s">
        <v>87</v>
      </c>
      <c r="D1225">
        <v>1</v>
      </c>
      <c r="E1225">
        <v>4</v>
      </c>
      <c r="F1225">
        <v>1</v>
      </c>
      <c r="G1225">
        <v>32.041060000000002</v>
      </c>
      <c r="H1225">
        <v>6</v>
      </c>
      <c r="I1225" t="s">
        <v>89</v>
      </c>
      <c r="J1225">
        <v>2.5</v>
      </c>
      <c r="K1225">
        <v>200</v>
      </c>
      <c r="L1225">
        <v>50</v>
      </c>
      <c r="N1225" t="s">
        <v>90</v>
      </c>
      <c r="O1225">
        <v>50</v>
      </c>
      <c r="P1225">
        <v>0.3125</v>
      </c>
      <c r="Q1225">
        <v>3.2500000000000001E-2</v>
      </c>
      <c r="R1225">
        <v>77.5</v>
      </c>
      <c r="S1225">
        <v>170</v>
      </c>
      <c r="T1225">
        <v>50</v>
      </c>
      <c r="U1225">
        <v>1812.1301775147931</v>
      </c>
      <c r="V1225">
        <v>20</v>
      </c>
      <c r="W1225">
        <v>0.95</v>
      </c>
      <c r="X1225">
        <v>1</v>
      </c>
      <c r="Y1225">
        <v>857778.63102096925</v>
      </c>
      <c r="Z1225">
        <v>1715557262.041939</v>
      </c>
      <c r="AA1225">
        <v>4288893155.104847</v>
      </c>
      <c r="AB1225">
        <v>4288893.1551048467</v>
      </c>
      <c r="AC1225">
        <v>0</v>
      </c>
      <c r="AD1225">
        <v>17780.497931431601</v>
      </c>
      <c r="AE1225">
        <v>10668298.75885896</v>
      </c>
      <c r="AF1225">
        <v>5334149.3794294791</v>
      </c>
      <c r="AG1225">
        <v>170.9118003152627</v>
      </c>
      <c r="AH1225">
        <v>1760.6693564151849</v>
      </c>
      <c r="AI1225">
        <v>880.33467820759245</v>
      </c>
      <c r="AJ1225">
        <v>139389.0275409075</v>
      </c>
      <c r="AK1225">
        <v>1835.336538461539</v>
      </c>
      <c r="AL1225" t="s">
        <v>94</v>
      </c>
      <c r="AM1225">
        <v>136451.8751221768</v>
      </c>
      <c r="AN1225">
        <v>9572.6190006785328</v>
      </c>
      <c r="AO1225">
        <v>149656.89529529071</v>
      </c>
      <c r="AP1225">
        <v>287248.85820222442</v>
      </c>
      <c r="AQ1225">
        <v>137591.96290693371</v>
      </c>
      <c r="AR1225">
        <v>2.6131444327083329E-2</v>
      </c>
      <c r="AS1225">
        <v>815.56116829728262</v>
      </c>
      <c r="AT1225">
        <v>798.37597445278004</v>
      </c>
      <c r="AU1225">
        <v>56.009116883801752</v>
      </c>
      <c r="AV1225">
        <v>875.63816552885544</v>
      </c>
      <c r="AW1225">
        <v>1680.68476063307</v>
      </c>
      <c r="AX1225">
        <v>805.04659510421504</v>
      </c>
      <c r="AY1225">
        <v>5.1508127384050333</v>
      </c>
      <c r="AZ1225" t="s">
        <v>126</v>
      </c>
      <c r="BA1225" t="str">
        <f>VLOOKUP($AZ1225,Sheet1!$A$2:$B$58,2)</f>
        <v>Farnesene</v>
      </c>
      <c r="BB1225" t="s">
        <v>176</v>
      </c>
      <c r="BC1225">
        <v>204.34866</v>
      </c>
      <c r="BD1225">
        <v>5.6</v>
      </c>
      <c r="BE1225" t="s">
        <v>198</v>
      </c>
      <c r="BF1225" t="s">
        <v>219</v>
      </c>
      <c r="BG1225">
        <v>0</v>
      </c>
      <c r="BH1225">
        <v>2.2836363636363599E-2</v>
      </c>
      <c r="BI1225">
        <v>0.14627427687196071</v>
      </c>
      <c r="BJ1225">
        <v>80</v>
      </c>
      <c r="BK1225">
        <v>14362.44291011122</v>
      </c>
      <c r="BL1225">
        <v>6879.5981453466866</v>
      </c>
      <c r="BM1225">
        <v>44.016733910379628</v>
      </c>
      <c r="BN1225">
        <v>7482.8447647645371</v>
      </c>
      <c r="BO1225">
        <v>6879.5981453466866</v>
      </c>
    </row>
    <row r="1226" spans="1:67" x14ac:dyDescent="0.25">
      <c r="A1226" s="1">
        <v>1224</v>
      </c>
      <c r="B1226" t="s">
        <v>78</v>
      </c>
      <c r="C1226" t="s">
        <v>87</v>
      </c>
      <c r="D1226">
        <v>1</v>
      </c>
      <c r="E1226">
        <v>4</v>
      </c>
      <c r="F1226">
        <v>1</v>
      </c>
      <c r="G1226">
        <v>32.041060000000002</v>
      </c>
      <c r="H1226">
        <v>6</v>
      </c>
      <c r="I1226" t="s">
        <v>89</v>
      </c>
      <c r="J1226">
        <v>2.5</v>
      </c>
      <c r="K1226">
        <v>200</v>
      </c>
      <c r="L1226">
        <v>50</v>
      </c>
      <c r="N1226" t="s">
        <v>90</v>
      </c>
      <c r="O1226">
        <v>50</v>
      </c>
      <c r="P1226">
        <v>0.3125</v>
      </c>
      <c r="Q1226">
        <v>3.2500000000000001E-2</v>
      </c>
      <c r="R1226">
        <v>77.5</v>
      </c>
      <c r="S1226">
        <v>170</v>
      </c>
      <c r="T1226">
        <v>50</v>
      </c>
      <c r="U1226">
        <v>1812.1301775147931</v>
      </c>
      <c r="V1226">
        <v>20</v>
      </c>
      <c r="W1226">
        <v>0.95</v>
      </c>
      <c r="X1226">
        <v>1</v>
      </c>
      <c r="Y1226">
        <v>660439.39682314382</v>
      </c>
      <c r="Z1226">
        <v>1320878793.6462879</v>
      </c>
      <c r="AA1226">
        <v>3302196984.1157188</v>
      </c>
      <c r="AB1226">
        <v>3302196.9841157189</v>
      </c>
      <c r="AC1226">
        <v>0</v>
      </c>
      <c r="AD1226">
        <v>13689.943890386759</v>
      </c>
      <c r="AE1226">
        <v>8213966.3342320574</v>
      </c>
      <c r="AF1226">
        <v>4106983.1671160278</v>
      </c>
      <c r="AG1226">
        <v>131.5920940765547</v>
      </c>
      <c r="AH1226">
        <v>1355.6124688858231</v>
      </c>
      <c r="AI1226">
        <v>677.80623444291155</v>
      </c>
      <c r="AJ1226">
        <v>107321.40198376089</v>
      </c>
      <c r="AK1226">
        <v>1835.336538461539</v>
      </c>
      <c r="AL1226" t="s">
        <v>94</v>
      </c>
      <c r="AM1226">
        <v>105059.9663386513</v>
      </c>
      <c r="AN1226">
        <v>7370.3569781179904</v>
      </c>
      <c r="AO1226">
        <v>115227.059855295</v>
      </c>
      <c r="AP1226">
        <v>221587.06183899171</v>
      </c>
      <c r="AQ1226">
        <v>106360.0019836967</v>
      </c>
      <c r="AR1226">
        <v>2.6131444327083329E-2</v>
      </c>
      <c r="AS1226">
        <v>815.56116829728273</v>
      </c>
      <c r="AT1226">
        <v>798.37597445278027</v>
      </c>
      <c r="AU1226">
        <v>56.009116883801767</v>
      </c>
      <c r="AV1226">
        <v>875.63816552885578</v>
      </c>
      <c r="AW1226">
        <v>1683.8934237955191</v>
      </c>
      <c r="AX1226">
        <v>808.25525826666308</v>
      </c>
      <c r="AY1226">
        <v>5.1508127384050342</v>
      </c>
      <c r="AZ1226" t="s">
        <v>127</v>
      </c>
      <c r="BA1226" t="str">
        <f>VLOOKUP($AZ1226,Sheet1!$A$2:$B$58,2)</f>
        <v>Gamma Butyrolactone</v>
      </c>
      <c r="BB1226" t="s">
        <v>177</v>
      </c>
      <c r="BC1226">
        <v>86.08784</v>
      </c>
      <c r="BD1226">
        <v>4.5</v>
      </c>
      <c r="BE1226">
        <v>204</v>
      </c>
      <c r="BF1226" t="s">
        <v>219</v>
      </c>
      <c r="BG1226">
        <v>0</v>
      </c>
      <c r="BH1226">
        <v>6.97777777777778E-2</v>
      </c>
      <c r="BI1226">
        <v>0.1899810180500362</v>
      </c>
      <c r="BJ1226">
        <v>80</v>
      </c>
      <c r="BK1226">
        <v>11079.353091949581</v>
      </c>
      <c r="BL1226">
        <v>5318.0000991848374</v>
      </c>
      <c r="BM1226">
        <v>33.890311722145583</v>
      </c>
      <c r="BN1226">
        <v>5761.3529927647487</v>
      </c>
      <c r="BO1226">
        <v>5318.0000991848356</v>
      </c>
    </row>
    <row r="1227" spans="1:67" x14ac:dyDescent="0.25">
      <c r="A1227" s="1">
        <v>1225</v>
      </c>
      <c r="B1227" t="s">
        <v>78</v>
      </c>
      <c r="C1227" t="s">
        <v>87</v>
      </c>
      <c r="D1227">
        <v>1</v>
      </c>
      <c r="E1227">
        <v>4</v>
      </c>
      <c r="F1227">
        <v>1</v>
      </c>
      <c r="G1227">
        <v>32.041060000000002</v>
      </c>
      <c r="H1227">
        <v>6</v>
      </c>
      <c r="I1227" t="s">
        <v>89</v>
      </c>
      <c r="J1227">
        <v>2.5</v>
      </c>
      <c r="K1227">
        <v>200</v>
      </c>
      <c r="L1227">
        <v>50</v>
      </c>
      <c r="N1227" t="s">
        <v>90</v>
      </c>
      <c r="O1227">
        <v>50</v>
      </c>
      <c r="P1227">
        <v>0.3125</v>
      </c>
      <c r="Q1227">
        <v>3.2500000000000001E-2</v>
      </c>
      <c r="R1227">
        <v>77.5</v>
      </c>
      <c r="S1227">
        <v>170</v>
      </c>
      <c r="T1227">
        <v>50</v>
      </c>
      <c r="U1227">
        <v>1812.1301775147931</v>
      </c>
      <c r="V1227">
        <v>20</v>
      </c>
      <c r="W1227">
        <v>0.95</v>
      </c>
      <c r="X1227">
        <v>1</v>
      </c>
      <c r="Y1227" t="s">
        <v>92</v>
      </c>
      <c r="Z1227" t="s">
        <v>92</v>
      </c>
      <c r="AA1227" t="s">
        <v>92</v>
      </c>
      <c r="AB1227" t="s">
        <v>92</v>
      </c>
      <c r="AC1227">
        <v>0</v>
      </c>
      <c r="AD1227" t="s">
        <v>92</v>
      </c>
      <c r="AE1227" t="s">
        <v>92</v>
      </c>
      <c r="AF1227" t="s">
        <v>92</v>
      </c>
      <c r="AG1227" t="s">
        <v>92</v>
      </c>
      <c r="AH1227" t="s">
        <v>92</v>
      </c>
      <c r="AI1227" t="s">
        <v>92</v>
      </c>
      <c r="AJ1227" t="s">
        <v>92</v>
      </c>
      <c r="AK1227">
        <v>854.70085470085473</v>
      </c>
      <c r="AL1227" t="s">
        <v>93</v>
      </c>
      <c r="AM1227" t="s">
        <v>92</v>
      </c>
      <c r="AN1227" t="s">
        <v>92</v>
      </c>
      <c r="AO1227" t="s">
        <v>92</v>
      </c>
      <c r="AP1227" t="s">
        <v>92</v>
      </c>
      <c r="AZ1227" t="s">
        <v>129</v>
      </c>
      <c r="BA1227" t="str">
        <f>VLOOKUP($AZ1227,Sheet1!$A$2:$B$58,2)</f>
        <v>Glutarate</v>
      </c>
      <c r="BB1227" t="s">
        <v>179</v>
      </c>
      <c r="BC1227">
        <v>130.09654</v>
      </c>
      <c r="BD1227">
        <v>3.6</v>
      </c>
      <c r="BE1227">
        <v>200</v>
      </c>
      <c r="BF1227" t="s">
        <v>219</v>
      </c>
      <c r="BH1227">
        <v>0</v>
      </c>
      <c r="BI1227">
        <v>0</v>
      </c>
      <c r="BJ1227">
        <v>80</v>
      </c>
    </row>
    <row r="1228" spans="1:67" x14ac:dyDescent="0.25">
      <c r="A1228" s="1">
        <v>1226</v>
      </c>
      <c r="B1228" t="s">
        <v>78</v>
      </c>
      <c r="C1228" t="s">
        <v>87</v>
      </c>
      <c r="D1228">
        <v>1</v>
      </c>
      <c r="E1228">
        <v>4</v>
      </c>
      <c r="F1228">
        <v>1</v>
      </c>
      <c r="G1228">
        <v>32.041060000000002</v>
      </c>
      <c r="H1228">
        <v>6</v>
      </c>
      <c r="I1228" t="s">
        <v>89</v>
      </c>
      <c r="J1228">
        <v>2.5</v>
      </c>
      <c r="K1228">
        <v>200</v>
      </c>
      <c r="L1228">
        <v>50</v>
      </c>
      <c r="N1228" t="s">
        <v>90</v>
      </c>
      <c r="O1228">
        <v>50</v>
      </c>
      <c r="P1228">
        <v>0.3125</v>
      </c>
      <c r="Q1228">
        <v>3.2500000000000001E-2</v>
      </c>
      <c r="R1228">
        <v>77.5</v>
      </c>
      <c r="S1228">
        <v>170</v>
      </c>
      <c r="T1228">
        <v>50</v>
      </c>
      <c r="U1228">
        <v>1812.1301775147931</v>
      </c>
      <c r="V1228">
        <v>20</v>
      </c>
      <c r="W1228">
        <v>0.95</v>
      </c>
      <c r="X1228">
        <v>1</v>
      </c>
      <c r="Y1228">
        <v>294226.84091912478</v>
      </c>
      <c r="Z1228">
        <v>588453681.83824968</v>
      </c>
      <c r="AA1228">
        <v>1471134204.595624</v>
      </c>
      <c r="AB1228">
        <v>1471134.204595624</v>
      </c>
      <c r="AC1228">
        <v>0</v>
      </c>
      <c r="AD1228">
        <v>6098.8925896969131</v>
      </c>
      <c r="AE1228">
        <v>3659335.5538181481</v>
      </c>
      <c r="AF1228">
        <v>1829667.776909074</v>
      </c>
      <c r="AG1228">
        <v>58.624495020010258</v>
      </c>
      <c r="AH1228">
        <v>603.92759146326239</v>
      </c>
      <c r="AI1228">
        <v>301.96379573163119</v>
      </c>
      <c r="AJ1228">
        <v>47811.861649357787</v>
      </c>
      <c r="AK1228">
        <v>854.70085470085473</v>
      </c>
      <c r="AL1228" t="s">
        <v>93</v>
      </c>
      <c r="AM1228">
        <v>46804.388338402838</v>
      </c>
      <c r="AN1228">
        <v>3283.506193829608</v>
      </c>
      <c r="AO1228">
        <v>51333.845274377301</v>
      </c>
      <c r="AP1228">
        <v>98754.457036291089</v>
      </c>
      <c r="AQ1228">
        <v>47420.611761913788</v>
      </c>
      <c r="AR1228">
        <v>2.6131444327083329E-2</v>
      </c>
      <c r="AS1228">
        <v>815.56116829728262</v>
      </c>
      <c r="AT1228">
        <v>798.37597445278004</v>
      </c>
      <c r="AU1228">
        <v>56.009116883801759</v>
      </c>
      <c r="AV1228">
        <v>875.63816552885544</v>
      </c>
      <c r="AW1228">
        <v>1684.525504272289</v>
      </c>
      <c r="AX1228">
        <v>808.88733874343404</v>
      </c>
      <c r="AY1228">
        <v>5.1508127384050324</v>
      </c>
      <c r="AZ1228" t="s">
        <v>131</v>
      </c>
      <c r="BA1228" t="str">
        <f>VLOOKUP($AZ1228,Sheet1!$A$2:$B$58,2)</f>
        <v>Heptane</v>
      </c>
      <c r="BB1228" t="s">
        <v>181</v>
      </c>
      <c r="BC1228">
        <v>100.20034</v>
      </c>
      <c r="BD1228">
        <v>6.2857142857142856</v>
      </c>
      <c r="BE1228">
        <v>98</v>
      </c>
      <c r="BF1228" t="s">
        <v>219</v>
      </c>
      <c r="BG1228">
        <v>0.14640668883957891</v>
      </c>
      <c r="BH1228">
        <v>0.1363636363636363</v>
      </c>
      <c r="BI1228">
        <v>0.42644290567392978</v>
      </c>
      <c r="BJ1228">
        <v>80</v>
      </c>
      <c r="BK1228">
        <v>4937.7228518145548</v>
      </c>
      <c r="BL1228">
        <v>2371.0305880956898</v>
      </c>
      <c r="BM1228">
        <v>14.951783097741981</v>
      </c>
      <c r="BN1228">
        <v>2541.803126616137</v>
      </c>
      <c r="BO1228">
        <v>2395.9197251984178</v>
      </c>
    </row>
    <row r="1229" spans="1:67" x14ac:dyDescent="0.25">
      <c r="A1229" s="1">
        <v>1227</v>
      </c>
      <c r="B1229" t="s">
        <v>78</v>
      </c>
      <c r="C1229" t="s">
        <v>87</v>
      </c>
      <c r="D1229">
        <v>1</v>
      </c>
      <c r="E1229">
        <v>4</v>
      </c>
      <c r="F1229">
        <v>1</v>
      </c>
      <c r="G1229">
        <v>32.041060000000002</v>
      </c>
      <c r="H1229">
        <v>6</v>
      </c>
      <c r="I1229" t="s">
        <v>89</v>
      </c>
      <c r="J1229">
        <v>2.5</v>
      </c>
      <c r="K1229">
        <v>200</v>
      </c>
      <c r="L1229">
        <v>50</v>
      </c>
      <c r="N1229" t="s">
        <v>90</v>
      </c>
      <c r="O1229">
        <v>50</v>
      </c>
      <c r="P1229">
        <v>0.3125</v>
      </c>
      <c r="Q1229">
        <v>3.2500000000000001E-2</v>
      </c>
      <c r="R1229">
        <v>77.5</v>
      </c>
      <c r="S1229">
        <v>170</v>
      </c>
      <c r="T1229">
        <v>50</v>
      </c>
      <c r="U1229">
        <v>1812.1301775147931</v>
      </c>
      <c r="V1229">
        <v>20</v>
      </c>
      <c r="W1229">
        <v>0.95</v>
      </c>
      <c r="X1229">
        <v>1</v>
      </c>
      <c r="Y1229">
        <v>295465.21121990378</v>
      </c>
      <c r="Z1229">
        <v>590930422.43980753</v>
      </c>
      <c r="AA1229">
        <v>1477326056.099519</v>
      </c>
      <c r="AB1229">
        <v>1477326.0560995189</v>
      </c>
      <c r="AC1229">
        <v>0</v>
      </c>
      <c r="AD1229">
        <v>6124.562196953435</v>
      </c>
      <c r="AE1229">
        <v>3674737.3181720609</v>
      </c>
      <c r="AF1229">
        <v>1837368.6590860309</v>
      </c>
      <c r="AG1229">
        <v>58.871239447895057</v>
      </c>
      <c r="AH1229">
        <v>606.46946014782156</v>
      </c>
      <c r="AI1229">
        <v>303.23473007391078</v>
      </c>
      <c r="AJ1229">
        <v>48013.096823234358</v>
      </c>
      <c r="AK1229">
        <v>854.70085470085473</v>
      </c>
      <c r="AL1229" t="s">
        <v>93</v>
      </c>
      <c r="AM1229">
        <v>47001.383161456171</v>
      </c>
      <c r="AN1229">
        <v>3297.326131331436</v>
      </c>
      <c r="AO1229">
        <v>51549.904112564836</v>
      </c>
      <c r="AP1229">
        <v>99166.50697072281</v>
      </c>
      <c r="AQ1229">
        <v>47616.602858157967</v>
      </c>
      <c r="AR1229">
        <v>2.6131444327083329E-2</v>
      </c>
      <c r="AS1229">
        <v>815.56116829728262</v>
      </c>
      <c r="AT1229">
        <v>798.37597445278027</v>
      </c>
      <c r="AU1229">
        <v>56.009116883801759</v>
      </c>
      <c r="AV1229">
        <v>875.63816552885578</v>
      </c>
      <c r="AW1229">
        <v>1684.4643989276251</v>
      </c>
      <c r="AX1229">
        <v>808.82623339876886</v>
      </c>
      <c r="AY1229">
        <v>5.1508127384050333</v>
      </c>
      <c r="AZ1229" t="s">
        <v>132</v>
      </c>
      <c r="BA1229" t="str">
        <f>VLOOKUP($AZ1229,Sheet1!$A$2:$B$58,2)</f>
        <v>Hexane</v>
      </c>
      <c r="BB1229" t="s">
        <v>182</v>
      </c>
      <c r="BC1229">
        <v>86.173959999999994</v>
      </c>
      <c r="BD1229">
        <v>6.333333333333333</v>
      </c>
      <c r="BE1229">
        <v>69</v>
      </c>
      <c r="BF1229" t="s">
        <v>219</v>
      </c>
      <c r="BG1229">
        <v>0.1702370414450034</v>
      </c>
      <c r="BH1229">
        <v>0.15789473684210531</v>
      </c>
      <c r="BI1229">
        <v>0.4246555743424878</v>
      </c>
      <c r="BJ1229">
        <v>80</v>
      </c>
      <c r="BK1229">
        <v>4958.3253485361402</v>
      </c>
      <c r="BL1229">
        <v>2380.8301429078988</v>
      </c>
      <c r="BM1229">
        <v>14.991499462250539</v>
      </c>
      <c r="BN1229">
        <v>2548.554908582591</v>
      </c>
      <c r="BO1229">
        <v>2409.7704399535492</v>
      </c>
    </row>
    <row r="1230" spans="1:67" x14ac:dyDescent="0.25">
      <c r="A1230" s="1">
        <v>1228</v>
      </c>
      <c r="B1230" t="s">
        <v>78</v>
      </c>
      <c r="C1230" t="s">
        <v>87</v>
      </c>
      <c r="D1230">
        <v>1</v>
      </c>
      <c r="E1230">
        <v>4</v>
      </c>
      <c r="F1230">
        <v>1</v>
      </c>
      <c r="G1230">
        <v>32.041060000000002</v>
      </c>
      <c r="H1230">
        <v>6</v>
      </c>
      <c r="I1230" t="s">
        <v>89</v>
      </c>
      <c r="J1230">
        <v>2.5</v>
      </c>
      <c r="K1230">
        <v>200</v>
      </c>
      <c r="L1230">
        <v>50</v>
      </c>
      <c r="N1230" t="s">
        <v>90</v>
      </c>
      <c r="O1230">
        <v>50</v>
      </c>
      <c r="P1230">
        <v>0.3125</v>
      </c>
      <c r="Q1230">
        <v>3.2500000000000001E-2</v>
      </c>
      <c r="R1230">
        <v>77.5</v>
      </c>
      <c r="S1230">
        <v>170</v>
      </c>
      <c r="T1230">
        <v>50</v>
      </c>
      <c r="U1230">
        <v>1812.1301775147931</v>
      </c>
      <c r="V1230">
        <v>20</v>
      </c>
      <c r="W1230">
        <v>0.95</v>
      </c>
      <c r="X1230">
        <v>1</v>
      </c>
      <c r="Y1230">
        <v>237838.0892763435</v>
      </c>
      <c r="Z1230">
        <v>475676178.55268699</v>
      </c>
      <c r="AA1230">
        <v>1189190446.3817179</v>
      </c>
      <c r="AB1230">
        <v>1189190.4463817179</v>
      </c>
      <c r="AC1230">
        <v>0</v>
      </c>
      <c r="AD1230">
        <v>4930.0361438944374</v>
      </c>
      <c r="AE1230">
        <v>2958021.6863366631</v>
      </c>
      <c r="AF1230">
        <v>1479010.8431683311</v>
      </c>
      <c r="AG1230">
        <v>47.3890751666071</v>
      </c>
      <c r="AH1230">
        <v>488.18450405878679</v>
      </c>
      <c r="AI1230">
        <v>244.09225202939339</v>
      </c>
      <c r="AJ1230">
        <v>38648.689507405827</v>
      </c>
      <c r="AK1230">
        <v>854.70085470085473</v>
      </c>
      <c r="AL1230" t="s">
        <v>93</v>
      </c>
      <c r="AM1230">
        <v>37834.299064555977</v>
      </c>
      <c r="AN1230">
        <v>2654.2202500217641</v>
      </c>
      <c r="AO1230">
        <v>41495.682844996867</v>
      </c>
      <c r="AP1230">
        <v>79991.90967668443</v>
      </c>
      <c r="AQ1230">
        <v>38496.226831687563</v>
      </c>
      <c r="AR1230">
        <v>2.6131444327083329E-2</v>
      </c>
      <c r="AS1230">
        <v>815.56116829728273</v>
      </c>
      <c r="AT1230">
        <v>798.37597445277993</v>
      </c>
      <c r="AU1230">
        <v>56.009116883801752</v>
      </c>
      <c r="AV1230">
        <v>875.63816552885532</v>
      </c>
      <c r="AW1230">
        <v>1687.982080162034</v>
      </c>
      <c r="AX1230">
        <v>812.34391463317866</v>
      </c>
      <c r="AY1230">
        <v>5.1508127384050324</v>
      </c>
      <c r="AZ1230" t="s">
        <v>133</v>
      </c>
      <c r="BA1230" t="str">
        <f>VLOOKUP($AZ1230,Sheet1!$A$2:$B$58,2)</f>
        <v>Isobutanol</v>
      </c>
      <c r="BB1230" t="s">
        <v>183</v>
      </c>
      <c r="BC1230">
        <v>86.130899999999997</v>
      </c>
      <c r="BD1230">
        <v>5.6</v>
      </c>
      <c r="BE1230">
        <v>108</v>
      </c>
      <c r="BF1230" t="s">
        <v>219</v>
      </c>
      <c r="BG1230">
        <v>0</v>
      </c>
      <c r="BH1230">
        <v>0.19624999999999981</v>
      </c>
      <c r="BI1230">
        <v>0.52754775044895474</v>
      </c>
      <c r="BJ1230">
        <v>80</v>
      </c>
      <c r="BK1230">
        <v>3999.5954838342218</v>
      </c>
      <c r="BL1230">
        <v>1924.8113415843779</v>
      </c>
      <c r="BM1230">
        <v>12.20461260146967</v>
      </c>
      <c r="BN1230">
        <v>2074.7841422498441</v>
      </c>
      <c r="BO1230">
        <v>1924.8113415843779</v>
      </c>
    </row>
    <row r="1231" spans="1:67" x14ac:dyDescent="0.25">
      <c r="A1231" s="1">
        <v>1229</v>
      </c>
      <c r="B1231" t="s">
        <v>78</v>
      </c>
      <c r="C1231" t="s">
        <v>87</v>
      </c>
      <c r="D1231">
        <v>1</v>
      </c>
      <c r="E1231">
        <v>4</v>
      </c>
      <c r="F1231">
        <v>1</v>
      </c>
      <c r="G1231">
        <v>32.041060000000002</v>
      </c>
      <c r="H1231">
        <v>6</v>
      </c>
      <c r="I1231" t="s">
        <v>89</v>
      </c>
      <c r="J1231">
        <v>2.5</v>
      </c>
      <c r="K1231">
        <v>200</v>
      </c>
      <c r="L1231">
        <v>50</v>
      </c>
      <c r="N1231" t="s">
        <v>90</v>
      </c>
      <c r="O1231">
        <v>50</v>
      </c>
      <c r="P1231">
        <v>0.3125</v>
      </c>
      <c r="Q1231">
        <v>3.2500000000000001E-2</v>
      </c>
      <c r="R1231">
        <v>77.5</v>
      </c>
      <c r="S1231">
        <v>170</v>
      </c>
      <c r="T1231">
        <v>50</v>
      </c>
      <c r="U1231">
        <v>1812.1301775147931</v>
      </c>
      <c r="V1231">
        <v>20</v>
      </c>
      <c r="W1231">
        <v>0.95</v>
      </c>
      <c r="X1231">
        <v>1</v>
      </c>
      <c r="Y1231">
        <v>178826.20527705181</v>
      </c>
      <c r="Z1231">
        <v>357652410.55410361</v>
      </c>
      <c r="AA1231">
        <v>894131026.38525891</v>
      </c>
      <c r="AB1231">
        <v>894131.02638525888</v>
      </c>
      <c r="AC1231">
        <v>0</v>
      </c>
      <c r="AD1231">
        <v>3706.8059963557789</v>
      </c>
      <c r="AE1231">
        <v>2224083.597813467</v>
      </c>
      <c r="AF1231">
        <v>1112041.798906734</v>
      </c>
      <c r="AG1231">
        <v>35.630998001278591</v>
      </c>
      <c r="AH1231">
        <v>367.0571967741401</v>
      </c>
      <c r="AI1231">
        <v>183.52859838706999</v>
      </c>
      <c r="AJ1231">
        <v>29059.25835752091</v>
      </c>
      <c r="AK1231">
        <v>854.70085470085473</v>
      </c>
      <c r="AL1231" t="s">
        <v>93</v>
      </c>
      <c r="AM1231">
        <v>28446.93274999586</v>
      </c>
      <c r="AN1231">
        <v>1995.6607317401199</v>
      </c>
      <c r="AO1231">
        <v>31199.861725801911</v>
      </c>
      <c r="AP1231">
        <v>60356.552693957747</v>
      </c>
      <c r="AQ1231">
        <v>29156.690968155839</v>
      </c>
      <c r="AR1231">
        <v>2.6131444327083329E-2</v>
      </c>
      <c r="AS1231">
        <v>815.56116829728273</v>
      </c>
      <c r="AT1231">
        <v>798.37597445278004</v>
      </c>
      <c r="AU1231">
        <v>56.009116883801767</v>
      </c>
      <c r="AV1231">
        <v>875.63816552885555</v>
      </c>
      <c r="AW1231">
        <v>1693.9338239078199</v>
      </c>
      <c r="AX1231">
        <v>818.29565837896484</v>
      </c>
      <c r="AY1231">
        <v>5.1508127384050333</v>
      </c>
      <c r="AZ1231" t="s">
        <v>134</v>
      </c>
      <c r="BA1231" t="str">
        <f>VLOOKUP($AZ1231,Sheet1!$A$2:$B$58,2)</f>
        <v>Isobutyrate</v>
      </c>
      <c r="BB1231" t="s">
        <v>170</v>
      </c>
      <c r="BC1231">
        <v>87.095680000000002</v>
      </c>
      <c r="BD1231">
        <v>4.75</v>
      </c>
      <c r="BE1231">
        <v>155</v>
      </c>
      <c r="BF1231" t="s">
        <v>219</v>
      </c>
      <c r="BG1231">
        <v>0</v>
      </c>
      <c r="BH1231">
        <v>0.25</v>
      </c>
      <c r="BI1231">
        <v>0.70163625501320204</v>
      </c>
      <c r="BJ1231">
        <v>80</v>
      </c>
      <c r="BK1231">
        <v>3017.8276346978878</v>
      </c>
      <c r="BL1231">
        <v>1457.834548407792</v>
      </c>
      <c r="BM1231">
        <v>9.1764299193535024</v>
      </c>
      <c r="BN1231">
        <v>1559.9930862900951</v>
      </c>
      <c r="BO1231">
        <v>1457.834548407792</v>
      </c>
    </row>
    <row r="1232" spans="1:67" x14ac:dyDescent="0.25">
      <c r="A1232" s="1">
        <v>1230</v>
      </c>
      <c r="B1232" t="s">
        <v>78</v>
      </c>
      <c r="C1232" t="s">
        <v>87</v>
      </c>
      <c r="D1232">
        <v>1</v>
      </c>
      <c r="E1232">
        <v>4</v>
      </c>
      <c r="F1232">
        <v>1</v>
      </c>
      <c r="G1232">
        <v>32.041060000000002</v>
      </c>
      <c r="H1232">
        <v>6</v>
      </c>
      <c r="I1232" t="s">
        <v>89</v>
      </c>
      <c r="J1232">
        <v>2.5</v>
      </c>
      <c r="K1232">
        <v>200</v>
      </c>
      <c r="L1232">
        <v>50</v>
      </c>
      <c r="N1232" t="s">
        <v>90</v>
      </c>
      <c r="O1232">
        <v>50</v>
      </c>
      <c r="P1232">
        <v>0.3125</v>
      </c>
      <c r="Q1232">
        <v>3.2500000000000001E-2</v>
      </c>
      <c r="R1232">
        <v>77.5</v>
      </c>
      <c r="S1232">
        <v>170</v>
      </c>
      <c r="T1232">
        <v>50</v>
      </c>
      <c r="U1232">
        <v>1812.1301775147931</v>
      </c>
      <c r="V1232">
        <v>20</v>
      </c>
      <c r="W1232">
        <v>0.95</v>
      </c>
      <c r="X1232">
        <v>1</v>
      </c>
      <c r="Y1232">
        <v>870309.4256220028</v>
      </c>
      <c r="Z1232">
        <v>1740618851.244005</v>
      </c>
      <c r="AA1232">
        <v>4351547128.110014</v>
      </c>
      <c r="AB1232">
        <v>4351547.1281100139</v>
      </c>
      <c r="AC1232">
        <v>66773.504273504266</v>
      </c>
      <c r="AD1232">
        <v>18040.24299784538</v>
      </c>
      <c r="AE1232">
        <v>10824145.79870723</v>
      </c>
      <c r="AF1232">
        <v>5412072.8993536141</v>
      </c>
      <c r="AG1232">
        <v>173.4085524925631</v>
      </c>
      <c r="AH1232">
        <v>1786.3899622541439</v>
      </c>
      <c r="AI1232">
        <v>893.19498112707208</v>
      </c>
      <c r="AJ1232">
        <v>141425.28166357541</v>
      </c>
      <c r="AK1232">
        <v>2170.1388888888891</v>
      </c>
      <c r="AL1232" t="s">
        <v>95</v>
      </c>
      <c r="AM1232">
        <v>138445.22207469621</v>
      </c>
      <c r="AN1232">
        <v>9712.4598852068411</v>
      </c>
      <c r="AO1232">
        <v>151843.14679160231</v>
      </c>
      <c r="AP1232">
        <v>291753.10251236742</v>
      </c>
      <c r="AQ1232">
        <v>139909.95572076511</v>
      </c>
      <c r="AR1232">
        <v>2.6131444327083329E-2</v>
      </c>
      <c r="AS1232">
        <v>815.56116829728273</v>
      </c>
      <c r="AT1232">
        <v>798.37597445278027</v>
      </c>
      <c r="AU1232">
        <v>56.009116883801759</v>
      </c>
      <c r="AV1232">
        <v>875.63816552885567</v>
      </c>
      <c r="AW1232">
        <v>1682.4608608902361</v>
      </c>
      <c r="AX1232">
        <v>806.82269536137994</v>
      </c>
      <c r="AY1232">
        <v>5.1508127384050333</v>
      </c>
      <c r="AZ1232" t="s">
        <v>135</v>
      </c>
      <c r="BA1232" t="str">
        <f>VLOOKUP($AZ1232,Sheet1!$A$2:$B$58,2)</f>
        <v>Isoprene</v>
      </c>
      <c r="BB1232" t="s">
        <v>184</v>
      </c>
      <c r="BC1232">
        <v>68.116219999999998</v>
      </c>
      <c r="BD1232">
        <v>5.6</v>
      </c>
      <c r="BE1232">
        <v>34.07</v>
      </c>
      <c r="BF1232" t="s">
        <v>219</v>
      </c>
      <c r="BG1232">
        <v>0</v>
      </c>
      <c r="BH1232">
        <v>6.7526881720430004E-2</v>
      </c>
      <c r="BI1232">
        <v>0.14416820647339271</v>
      </c>
      <c r="BJ1232">
        <v>80</v>
      </c>
      <c r="BK1232">
        <v>14587.65512561837</v>
      </c>
      <c r="BL1232">
        <v>6995.497786038256</v>
      </c>
      <c r="BM1232">
        <v>44.659749056353611</v>
      </c>
      <c r="BN1232">
        <v>7592.1573395801142</v>
      </c>
      <c r="BO1232">
        <v>6995.4977860382542</v>
      </c>
    </row>
    <row r="1233" spans="1:67" x14ac:dyDescent="0.25">
      <c r="A1233" s="1">
        <v>1231</v>
      </c>
      <c r="B1233" t="s">
        <v>78</v>
      </c>
      <c r="C1233" t="s">
        <v>87</v>
      </c>
      <c r="D1233">
        <v>1</v>
      </c>
      <c r="E1233">
        <v>4</v>
      </c>
      <c r="F1233">
        <v>1</v>
      </c>
      <c r="G1233">
        <v>32.041060000000002</v>
      </c>
      <c r="H1233">
        <v>6</v>
      </c>
      <c r="I1233" t="s">
        <v>89</v>
      </c>
      <c r="J1233">
        <v>2.5</v>
      </c>
      <c r="K1233">
        <v>200</v>
      </c>
      <c r="L1233">
        <v>50</v>
      </c>
      <c r="N1233" t="s">
        <v>90</v>
      </c>
      <c r="O1233">
        <v>50</v>
      </c>
      <c r="P1233">
        <v>0.3125</v>
      </c>
      <c r="Q1233">
        <v>3.2500000000000001E-2</v>
      </c>
      <c r="R1233">
        <v>77.5</v>
      </c>
      <c r="S1233">
        <v>170</v>
      </c>
      <c r="T1233">
        <v>50</v>
      </c>
      <c r="U1233">
        <v>1812.1301775147931</v>
      </c>
      <c r="V1233">
        <v>20</v>
      </c>
      <c r="W1233">
        <v>0.95</v>
      </c>
      <c r="X1233">
        <v>1</v>
      </c>
      <c r="Y1233">
        <v>200697.28655126269</v>
      </c>
      <c r="Z1233">
        <v>401394573.10252541</v>
      </c>
      <c r="AA1233">
        <v>1003486432.756314</v>
      </c>
      <c r="AB1233">
        <v>1003486.4327563141</v>
      </c>
      <c r="AC1233">
        <v>0</v>
      </c>
      <c r="AD1233">
        <v>4160.1615607062431</v>
      </c>
      <c r="AE1233">
        <v>2496096.936423745</v>
      </c>
      <c r="AF1233">
        <v>1248048.468211873</v>
      </c>
      <c r="AG1233">
        <v>39.988795852884707</v>
      </c>
      <c r="AH1233">
        <v>411.94959814503392</v>
      </c>
      <c r="AI1233">
        <v>205.97479907251699</v>
      </c>
      <c r="AJ1233">
        <v>32613.309064580189</v>
      </c>
      <c r="AK1233">
        <v>854.70085470085473</v>
      </c>
      <c r="AL1233" t="s">
        <v>93</v>
      </c>
      <c r="AM1233">
        <v>31926.093856240132</v>
      </c>
      <c r="AN1233">
        <v>2239.7371409667071</v>
      </c>
      <c r="AO1233">
        <v>35015.715842327882</v>
      </c>
      <c r="AP1233">
        <v>67633.840916487883</v>
      </c>
      <c r="AQ1233">
        <v>32618.125074160002</v>
      </c>
      <c r="AR1233">
        <v>2.613144432708334E-2</v>
      </c>
      <c r="AS1233">
        <v>815.56116829728296</v>
      </c>
      <c r="AT1233">
        <v>798.37597445278027</v>
      </c>
      <c r="AU1233">
        <v>56.009116883801767</v>
      </c>
      <c r="AV1233">
        <v>875.63816552885578</v>
      </c>
      <c r="AW1233">
        <v>1691.3197677996329</v>
      </c>
      <c r="AX1233">
        <v>815.68160227077692</v>
      </c>
      <c r="AY1233">
        <v>5.1508127384050342</v>
      </c>
      <c r="AZ1233" t="s">
        <v>136</v>
      </c>
      <c r="BA1233" t="str">
        <f>VLOOKUP($AZ1233,Sheet1!$A$2:$B$58,2)</f>
        <v>Isopropanol</v>
      </c>
      <c r="BB1233" t="s">
        <v>156</v>
      </c>
      <c r="BC1233">
        <v>60.093820000000001</v>
      </c>
      <c r="BD1233">
        <v>6</v>
      </c>
      <c r="BE1233">
        <v>82.5</v>
      </c>
      <c r="BF1233" t="s">
        <v>219</v>
      </c>
      <c r="BG1233">
        <v>0</v>
      </c>
      <c r="BH1233">
        <v>0.33333333333333331</v>
      </c>
      <c r="BI1233">
        <v>0.6251751138487095</v>
      </c>
      <c r="BJ1233">
        <v>80</v>
      </c>
      <c r="BK1233">
        <v>3381.692045824394</v>
      </c>
      <c r="BL1233">
        <v>1630.9062537079999</v>
      </c>
      <c r="BM1233">
        <v>10.29873995362585</v>
      </c>
      <c r="BN1233">
        <v>1750.7857921163941</v>
      </c>
      <c r="BO1233">
        <v>1630.9062537079999</v>
      </c>
    </row>
    <row r="1234" spans="1:67" x14ac:dyDescent="0.25">
      <c r="A1234" s="1">
        <v>1232</v>
      </c>
      <c r="B1234" t="s">
        <v>78</v>
      </c>
      <c r="C1234" t="s">
        <v>87</v>
      </c>
      <c r="D1234">
        <v>1</v>
      </c>
      <c r="E1234">
        <v>4</v>
      </c>
      <c r="F1234">
        <v>1</v>
      </c>
      <c r="G1234">
        <v>32.041060000000002</v>
      </c>
      <c r="H1234">
        <v>6</v>
      </c>
      <c r="I1234" t="s">
        <v>89</v>
      </c>
      <c r="J1234">
        <v>2.5</v>
      </c>
      <c r="K1234">
        <v>200</v>
      </c>
      <c r="L1234">
        <v>50</v>
      </c>
      <c r="N1234" t="s">
        <v>90</v>
      </c>
      <c r="O1234">
        <v>50</v>
      </c>
      <c r="P1234">
        <v>0.3125</v>
      </c>
      <c r="Q1234">
        <v>3.2500000000000001E-2</v>
      </c>
      <c r="R1234">
        <v>77.5</v>
      </c>
      <c r="S1234">
        <v>170</v>
      </c>
      <c r="T1234">
        <v>50</v>
      </c>
      <c r="U1234">
        <v>1812.1301775147931</v>
      </c>
      <c r="V1234">
        <v>20</v>
      </c>
      <c r="W1234">
        <v>0.95</v>
      </c>
      <c r="X1234">
        <v>1</v>
      </c>
      <c r="Y1234">
        <v>353012.82104799931</v>
      </c>
      <c r="Z1234">
        <v>706025642.09599864</v>
      </c>
      <c r="AA1234">
        <v>1765064105.2399969</v>
      </c>
      <c r="AB1234">
        <v>1765064.1052399969</v>
      </c>
      <c r="AC1234">
        <v>0</v>
      </c>
      <c r="AD1234">
        <v>7317.4400800144685</v>
      </c>
      <c r="AE1234">
        <v>4390464.0480086813</v>
      </c>
      <c r="AF1234">
        <v>2195232.0240043411</v>
      </c>
      <c r="AG1234">
        <v>70.337560995044527</v>
      </c>
      <c r="AH1234">
        <v>724.59121032323276</v>
      </c>
      <c r="AI1234">
        <v>362.29560516161638</v>
      </c>
      <c r="AJ1234">
        <v>57364.583420299903</v>
      </c>
      <c r="AK1234">
        <v>854.70085470085473</v>
      </c>
      <c r="AL1234" t="s">
        <v>93</v>
      </c>
      <c r="AM1234">
        <v>56155.81880005054</v>
      </c>
      <c r="AN1234">
        <v>3939.544675092985</v>
      </c>
      <c r="AO1234">
        <v>61590.252877474777</v>
      </c>
      <c r="AP1234">
        <v>118314.6477501443</v>
      </c>
      <c r="AQ1234">
        <v>56724.394872669487</v>
      </c>
      <c r="AR1234">
        <v>2.613144432708334E-2</v>
      </c>
      <c r="AS1234">
        <v>815.56116829728285</v>
      </c>
      <c r="AT1234">
        <v>798.37597445278027</v>
      </c>
      <c r="AU1234">
        <v>56.009116883801767</v>
      </c>
      <c r="AV1234">
        <v>875.63816552885578</v>
      </c>
      <c r="AW1234">
        <v>1682.097674078859</v>
      </c>
      <c r="AX1234">
        <v>806.45950855000342</v>
      </c>
      <c r="AY1234">
        <v>5.1508127384050333</v>
      </c>
      <c r="AZ1234" t="s">
        <v>137</v>
      </c>
      <c r="BA1234" t="str">
        <f>VLOOKUP($AZ1234,Sheet1!$A$2:$B$58,2)</f>
        <v>Itaconate</v>
      </c>
      <c r="BB1234" t="s">
        <v>185</v>
      </c>
      <c r="BC1234">
        <v>128.08086</v>
      </c>
      <c r="BD1234">
        <v>3.2</v>
      </c>
      <c r="BE1234">
        <v>381</v>
      </c>
      <c r="BF1234" t="s">
        <v>219</v>
      </c>
      <c r="BG1234">
        <v>0</v>
      </c>
      <c r="BH1234">
        <v>8.6027397260274002E-2</v>
      </c>
      <c r="BI1234">
        <v>0.35542887251608452</v>
      </c>
      <c r="BJ1234">
        <v>80</v>
      </c>
      <c r="BK1234">
        <v>5915.7323875072143</v>
      </c>
      <c r="BL1234">
        <v>2836.219743633475</v>
      </c>
      <c r="BM1234">
        <v>18.11478025808082</v>
      </c>
      <c r="BN1234">
        <v>3079.5126438737389</v>
      </c>
      <c r="BO1234">
        <v>2836.219743633475</v>
      </c>
    </row>
    <row r="1235" spans="1:67" x14ac:dyDescent="0.25">
      <c r="A1235" s="1">
        <v>1233</v>
      </c>
      <c r="B1235" t="s">
        <v>78</v>
      </c>
      <c r="C1235" t="s">
        <v>87</v>
      </c>
      <c r="D1235">
        <v>1</v>
      </c>
      <c r="E1235">
        <v>4</v>
      </c>
      <c r="F1235">
        <v>1</v>
      </c>
      <c r="G1235">
        <v>32.041060000000002</v>
      </c>
      <c r="H1235">
        <v>6</v>
      </c>
      <c r="I1235" t="s">
        <v>89</v>
      </c>
      <c r="J1235">
        <v>2.5</v>
      </c>
      <c r="K1235">
        <v>200</v>
      </c>
      <c r="L1235">
        <v>50</v>
      </c>
      <c r="N1235" t="s">
        <v>90</v>
      </c>
      <c r="O1235">
        <v>50</v>
      </c>
      <c r="P1235">
        <v>0.3125</v>
      </c>
      <c r="Q1235">
        <v>3.2500000000000001E-2</v>
      </c>
      <c r="R1235">
        <v>77.5</v>
      </c>
      <c r="S1235">
        <v>170</v>
      </c>
      <c r="T1235">
        <v>50</v>
      </c>
      <c r="U1235">
        <v>1812.1301775147931</v>
      </c>
      <c r="V1235">
        <v>20</v>
      </c>
      <c r="W1235">
        <v>0.95</v>
      </c>
      <c r="X1235">
        <v>1</v>
      </c>
      <c r="Y1235">
        <v>332643.55024305492</v>
      </c>
      <c r="Z1235">
        <v>665287100.48610973</v>
      </c>
      <c r="AA1235">
        <v>1663217751.2152741</v>
      </c>
      <c r="AB1235">
        <v>1663217.751215274</v>
      </c>
      <c r="AC1235">
        <v>0</v>
      </c>
      <c r="AD1235">
        <v>6895.2148527655627</v>
      </c>
      <c r="AE1235">
        <v>4137128.911659338</v>
      </c>
      <c r="AF1235">
        <v>2068564.455829669</v>
      </c>
      <c r="AG1235">
        <v>66.27899784310577</v>
      </c>
      <c r="AH1235">
        <v>682.78141275797782</v>
      </c>
      <c r="AI1235">
        <v>341.39070637898891</v>
      </c>
      <c r="AJ1235">
        <v>54054.576914496422</v>
      </c>
      <c r="AK1235">
        <v>854.70085470085473</v>
      </c>
      <c r="AL1235" t="s">
        <v>93</v>
      </c>
      <c r="AM1235">
        <v>52915.559488743282</v>
      </c>
      <c r="AN1235">
        <v>3712.2281371357572</v>
      </c>
      <c r="AO1235">
        <v>58036.420084428108</v>
      </c>
      <c r="AP1235">
        <v>111537.06539507629</v>
      </c>
      <c r="AQ1235">
        <v>53500.645310648208</v>
      </c>
      <c r="AR1235">
        <v>2.6131444327083329E-2</v>
      </c>
      <c r="AS1235">
        <v>815.56116829728273</v>
      </c>
      <c r="AT1235">
        <v>798.37597445278016</v>
      </c>
      <c r="AU1235">
        <v>56.009116883801767</v>
      </c>
      <c r="AV1235">
        <v>875.63816552885555</v>
      </c>
      <c r="AW1235">
        <v>1682.841760207426</v>
      </c>
      <c r="AX1235">
        <v>807.20359467857088</v>
      </c>
      <c r="AY1235">
        <v>5.1508127384050333</v>
      </c>
      <c r="AZ1235" t="s">
        <v>141</v>
      </c>
      <c r="BA1235" t="str">
        <f>VLOOKUP($AZ1235,Sheet1!$A$2:$B$58,2)</f>
        <v>Malonate</v>
      </c>
      <c r="BB1235" t="s">
        <v>189</v>
      </c>
      <c r="BC1235">
        <v>102.04378</v>
      </c>
      <c r="BD1235">
        <v>2</v>
      </c>
      <c r="BE1235">
        <v>199</v>
      </c>
      <c r="BF1235" t="s">
        <v>219</v>
      </c>
      <c r="BG1235">
        <v>0</v>
      </c>
      <c r="BH1235">
        <v>0.11418181818181709</v>
      </c>
      <c r="BI1235">
        <v>0.3771933917766751</v>
      </c>
      <c r="BJ1235">
        <v>80</v>
      </c>
      <c r="BK1235">
        <v>5576.8532697538167</v>
      </c>
      <c r="BL1235">
        <v>2675.0322655324112</v>
      </c>
      <c r="BM1235">
        <v>17.069535318949448</v>
      </c>
      <c r="BN1235">
        <v>2901.8210042214059</v>
      </c>
      <c r="BO1235">
        <v>2675.0322655324098</v>
      </c>
    </row>
    <row r="1236" spans="1:67" x14ac:dyDescent="0.25">
      <c r="A1236" s="1">
        <v>1234</v>
      </c>
      <c r="B1236" t="s">
        <v>78</v>
      </c>
      <c r="C1236" t="s">
        <v>87</v>
      </c>
      <c r="D1236">
        <v>1</v>
      </c>
      <c r="E1236">
        <v>4</v>
      </c>
      <c r="F1236">
        <v>1</v>
      </c>
      <c r="G1236">
        <v>32.041060000000002</v>
      </c>
      <c r="H1236">
        <v>6</v>
      </c>
      <c r="I1236" t="s">
        <v>89</v>
      </c>
      <c r="J1236">
        <v>2.5</v>
      </c>
      <c r="K1236">
        <v>200</v>
      </c>
      <c r="L1236">
        <v>50</v>
      </c>
      <c r="N1236" t="s">
        <v>90</v>
      </c>
      <c r="O1236">
        <v>50</v>
      </c>
      <c r="P1236">
        <v>0.3125</v>
      </c>
      <c r="Q1236">
        <v>3.2500000000000001E-2</v>
      </c>
      <c r="R1236">
        <v>77.5</v>
      </c>
      <c r="S1236">
        <v>170</v>
      </c>
      <c r="T1236">
        <v>50</v>
      </c>
      <c r="U1236">
        <v>1812.1301775147931</v>
      </c>
      <c r="V1236">
        <v>20</v>
      </c>
      <c r="W1236">
        <v>0.95</v>
      </c>
      <c r="X1236">
        <v>1</v>
      </c>
      <c r="Y1236">
        <v>292562.70535024529</v>
      </c>
      <c r="Z1236">
        <v>585125410.70049059</v>
      </c>
      <c r="AA1236">
        <v>1462813526.7512259</v>
      </c>
      <c r="AB1236">
        <v>1462813.526751227</v>
      </c>
      <c r="AC1236">
        <v>0</v>
      </c>
      <c r="AD1236">
        <v>6064.3974904137021</v>
      </c>
      <c r="AE1236">
        <v>3638638.4942482221</v>
      </c>
      <c r="AF1236">
        <v>1819319.247124111</v>
      </c>
      <c r="AG1236">
        <v>58.292917156258461</v>
      </c>
      <c r="AH1236">
        <v>600.51180049449079</v>
      </c>
      <c r="AI1236">
        <v>300.25590024724539</v>
      </c>
      <c r="AJ1236">
        <v>47541.439619414858</v>
      </c>
      <c r="AK1236">
        <v>854.70085470085473</v>
      </c>
      <c r="AL1236" t="s">
        <v>93</v>
      </c>
      <c r="AM1236">
        <v>46539.664538323043</v>
      </c>
      <c r="AN1236">
        <v>3264.9348105026529</v>
      </c>
      <c r="AO1236">
        <v>51043.50304203172</v>
      </c>
      <c r="AP1236">
        <v>98200.73982294141</v>
      </c>
      <c r="AQ1236">
        <v>47157.23678090969</v>
      </c>
      <c r="AR1236">
        <v>2.6131444327083329E-2</v>
      </c>
      <c r="AS1236">
        <v>815.56116829728273</v>
      </c>
      <c r="AT1236">
        <v>798.37597445278004</v>
      </c>
      <c r="AU1236">
        <v>56.009116883801752</v>
      </c>
      <c r="AV1236">
        <v>875.63816552885567</v>
      </c>
      <c r="AW1236">
        <v>1684.6084329543339</v>
      </c>
      <c r="AX1236">
        <v>808.97026742547871</v>
      </c>
      <c r="AY1236">
        <v>5.1508127384050333</v>
      </c>
      <c r="AZ1236" t="s">
        <v>142</v>
      </c>
      <c r="BA1236" t="str">
        <f>VLOOKUP($AZ1236,Sheet1!$A$2:$B$58,2)</f>
        <v>Nonane</v>
      </c>
      <c r="BB1236" t="s">
        <v>190</v>
      </c>
      <c r="BC1236">
        <v>128.25309999999999</v>
      </c>
      <c r="BD1236">
        <v>6.2222222222222223</v>
      </c>
      <c r="BE1236">
        <v>151</v>
      </c>
      <c r="BF1236" t="s">
        <v>219</v>
      </c>
      <c r="BG1236">
        <v>0.1143832000941883</v>
      </c>
      <c r="BH1236">
        <v>0.1071428571428571</v>
      </c>
      <c r="BI1236">
        <v>0.42886856962374442</v>
      </c>
      <c r="BJ1236">
        <v>80</v>
      </c>
      <c r="BK1236">
        <v>4910.0369911470698</v>
      </c>
      <c r="BL1236">
        <v>2357.861839045484</v>
      </c>
      <c r="BM1236">
        <v>14.89841181226808</v>
      </c>
      <c r="BN1236">
        <v>2532.7300080855739</v>
      </c>
      <c r="BO1236">
        <v>2377.306983061495</v>
      </c>
    </row>
    <row r="1237" spans="1:67" x14ac:dyDescent="0.25">
      <c r="A1237" s="1">
        <v>1235</v>
      </c>
      <c r="B1237" t="s">
        <v>78</v>
      </c>
      <c r="C1237" t="s">
        <v>87</v>
      </c>
      <c r="D1237">
        <v>1</v>
      </c>
      <c r="E1237">
        <v>4</v>
      </c>
      <c r="F1237">
        <v>1</v>
      </c>
      <c r="G1237">
        <v>32.041060000000002</v>
      </c>
      <c r="H1237">
        <v>6</v>
      </c>
      <c r="I1237" t="s">
        <v>89</v>
      </c>
      <c r="J1237">
        <v>2.5</v>
      </c>
      <c r="K1237">
        <v>200</v>
      </c>
      <c r="L1237">
        <v>50</v>
      </c>
      <c r="N1237" t="s">
        <v>90</v>
      </c>
      <c r="O1237">
        <v>50</v>
      </c>
      <c r="P1237">
        <v>0.3125</v>
      </c>
      <c r="Q1237">
        <v>3.2500000000000001E-2</v>
      </c>
      <c r="R1237">
        <v>77.5</v>
      </c>
      <c r="S1237">
        <v>170</v>
      </c>
      <c r="T1237">
        <v>50</v>
      </c>
      <c r="U1237">
        <v>1812.1301775147931</v>
      </c>
      <c r="V1237">
        <v>20</v>
      </c>
      <c r="W1237">
        <v>0.95</v>
      </c>
      <c r="X1237">
        <v>1</v>
      </c>
      <c r="Y1237">
        <v>293292.60002728697</v>
      </c>
      <c r="Z1237">
        <v>586585200.05457401</v>
      </c>
      <c r="AA1237">
        <v>1466463000.136435</v>
      </c>
      <c r="AB1237">
        <v>1466463.000136435</v>
      </c>
      <c r="AC1237">
        <v>0</v>
      </c>
      <c r="AD1237">
        <v>6079.5271407989721</v>
      </c>
      <c r="AE1237">
        <v>3647716.2844793829</v>
      </c>
      <c r="AF1237">
        <v>1823858.1422396919</v>
      </c>
      <c r="AG1237">
        <v>58.438348166990487</v>
      </c>
      <c r="AH1237">
        <v>602.00997629976632</v>
      </c>
      <c r="AI1237">
        <v>301.00498814988322</v>
      </c>
      <c r="AJ1237">
        <v>47660.047504434136</v>
      </c>
      <c r="AK1237">
        <v>854.70085470085473</v>
      </c>
      <c r="AL1237" t="s">
        <v>93</v>
      </c>
      <c r="AM1237">
        <v>46655.77316323189</v>
      </c>
      <c r="AN1237">
        <v>3273.080272981274</v>
      </c>
      <c r="AO1237">
        <v>51170.847985480141</v>
      </c>
      <c r="AP1237">
        <v>98443.601795348164</v>
      </c>
      <c r="AQ1237">
        <v>47272.753809868023</v>
      </c>
      <c r="AR1237">
        <v>2.613144432708334E-2</v>
      </c>
      <c r="AS1237">
        <v>815.56116829728285</v>
      </c>
      <c r="AT1237">
        <v>798.37597445278038</v>
      </c>
      <c r="AU1237">
        <v>56.009116883801767</v>
      </c>
      <c r="AV1237">
        <v>875.63816552885589</v>
      </c>
      <c r="AW1237">
        <v>1684.571944334235</v>
      </c>
      <c r="AX1237">
        <v>808.93377880537912</v>
      </c>
      <c r="AY1237">
        <v>5.1508127384050351</v>
      </c>
      <c r="AZ1237" t="s">
        <v>143</v>
      </c>
      <c r="BA1237" t="str">
        <f>VLOOKUP($AZ1237,Sheet1!$A$2:$B$58,2)</f>
        <v>Octane</v>
      </c>
      <c r="BB1237" t="s">
        <v>191</v>
      </c>
      <c r="BC1237">
        <v>114.22672</v>
      </c>
      <c r="BD1237">
        <v>6.25</v>
      </c>
      <c r="BE1237">
        <v>126</v>
      </c>
      <c r="BF1237" t="s">
        <v>219</v>
      </c>
      <c r="BG1237">
        <v>0.12842879494394929</v>
      </c>
      <c r="BH1237">
        <v>0.1199999999999999</v>
      </c>
      <c r="BI1237">
        <v>0.4278012774858258</v>
      </c>
      <c r="BJ1237">
        <v>80</v>
      </c>
      <c r="BK1237">
        <v>4922.1800897674066</v>
      </c>
      <c r="BL1237">
        <v>2363.6376904934009</v>
      </c>
      <c r="BM1237">
        <v>14.92182061255021</v>
      </c>
      <c r="BN1237">
        <v>2536.709504133536</v>
      </c>
      <c r="BO1237">
        <v>2385.4705856338719</v>
      </c>
    </row>
    <row r="1238" spans="1:67" x14ac:dyDescent="0.25">
      <c r="A1238" s="1">
        <v>1236</v>
      </c>
      <c r="B1238" t="s">
        <v>78</v>
      </c>
      <c r="C1238" t="s">
        <v>87</v>
      </c>
      <c r="D1238">
        <v>1</v>
      </c>
      <c r="E1238">
        <v>4</v>
      </c>
      <c r="F1238">
        <v>1</v>
      </c>
      <c r="G1238">
        <v>32.041060000000002</v>
      </c>
      <c r="H1238">
        <v>6</v>
      </c>
      <c r="I1238" t="s">
        <v>89</v>
      </c>
      <c r="J1238">
        <v>2.5</v>
      </c>
      <c r="K1238">
        <v>200</v>
      </c>
      <c r="L1238">
        <v>50</v>
      </c>
      <c r="N1238" t="s">
        <v>90</v>
      </c>
      <c r="O1238">
        <v>50</v>
      </c>
      <c r="P1238">
        <v>0.3125</v>
      </c>
      <c r="Q1238">
        <v>3.2500000000000001E-2</v>
      </c>
      <c r="R1238">
        <v>77.5</v>
      </c>
      <c r="S1238">
        <v>170</v>
      </c>
      <c r="T1238">
        <v>50</v>
      </c>
      <c r="U1238">
        <v>1812.1301775147931</v>
      </c>
      <c r="V1238">
        <v>20</v>
      </c>
      <c r="W1238">
        <v>0.95</v>
      </c>
      <c r="X1238">
        <v>1</v>
      </c>
      <c r="Y1238">
        <v>297185.09046164667</v>
      </c>
      <c r="Z1238">
        <v>594370180.92329335</v>
      </c>
      <c r="AA1238">
        <v>1485925452.308233</v>
      </c>
      <c r="AB1238">
        <v>1485925.4523082329</v>
      </c>
      <c r="AC1238">
        <v>66773.504273504266</v>
      </c>
      <c r="AD1238">
        <v>6160.2127811417167</v>
      </c>
      <c r="AE1238">
        <v>3696127.6686850302</v>
      </c>
      <c r="AF1238">
        <v>1848063.8343425151</v>
      </c>
      <c r="AG1238">
        <v>59.213924199998587</v>
      </c>
      <c r="AH1238">
        <v>609.99967012060563</v>
      </c>
      <c r="AI1238">
        <v>304.99983506030281</v>
      </c>
      <c r="AJ1238">
        <v>48292.577200017593</v>
      </c>
      <c r="AK1238">
        <v>2170.1388888888891</v>
      </c>
      <c r="AL1238" t="s">
        <v>95</v>
      </c>
      <c r="AM1238">
        <v>47274.974434346943</v>
      </c>
      <c r="AN1238">
        <v>3316.519601666299</v>
      </c>
      <c r="AO1238">
        <v>51849.971960251482</v>
      </c>
      <c r="AP1238">
        <v>101054.2101249197</v>
      </c>
      <c r="AQ1238">
        <v>49204.238164668233</v>
      </c>
      <c r="AR1238">
        <v>2.6131444327083329E-2</v>
      </c>
      <c r="AS1238">
        <v>815.56116829728273</v>
      </c>
      <c r="AT1238">
        <v>798.37597445278016</v>
      </c>
      <c r="AU1238">
        <v>56.009116883801759</v>
      </c>
      <c r="AV1238">
        <v>875.63816552885578</v>
      </c>
      <c r="AW1238">
        <v>1706.595391036795</v>
      </c>
      <c r="AX1238">
        <v>830.95722550793903</v>
      </c>
      <c r="AY1238">
        <v>5.1508127384050333</v>
      </c>
      <c r="AZ1238" t="s">
        <v>144</v>
      </c>
      <c r="BA1238" t="str">
        <f>VLOOKUP($AZ1238,Sheet1!$A$2:$B$58,2)</f>
        <v>Pentane</v>
      </c>
      <c r="BB1238" t="s">
        <v>192</v>
      </c>
      <c r="BC1238">
        <v>72.147580000000005</v>
      </c>
      <c r="BD1238">
        <v>6.4</v>
      </c>
      <c r="BE1238">
        <v>36.1</v>
      </c>
      <c r="BF1238" t="s">
        <v>219</v>
      </c>
      <c r="BG1238">
        <v>0.2033332233735346</v>
      </c>
      <c r="BH1238">
        <v>0.1875</v>
      </c>
      <c r="BI1238">
        <v>0.42219799376175438</v>
      </c>
      <c r="BJ1238">
        <v>80</v>
      </c>
      <c r="BK1238">
        <v>5052.710506245985</v>
      </c>
      <c r="BL1238">
        <v>2460.211908233412</v>
      </c>
      <c r="BM1238">
        <v>15.046658529641601</v>
      </c>
      <c r="BN1238">
        <v>2557.931950039072</v>
      </c>
      <c r="BO1238">
        <v>2494.778556206913</v>
      </c>
    </row>
    <row r="1239" spans="1:67" x14ac:dyDescent="0.25">
      <c r="A1239" s="1">
        <v>1237</v>
      </c>
      <c r="B1239" t="s">
        <v>78</v>
      </c>
      <c r="C1239" t="s">
        <v>87</v>
      </c>
      <c r="D1239">
        <v>1</v>
      </c>
      <c r="E1239">
        <v>4</v>
      </c>
      <c r="F1239">
        <v>1</v>
      </c>
      <c r="G1239">
        <v>32.041060000000002</v>
      </c>
      <c r="H1239">
        <v>6</v>
      </c>
      <c r="I1239" t="s">
        <v>89</v>
      </c>
      <c r="J1239">
        <v>2.5</v>
      </c>
      <c r="K1239">
        <v>200</v>
      </c>
      <c r="L1239">
        <v>50</v>
      </c>
      <c r="N1239" t="s">
        <v>90</v>
      </c>
      <c r="O1239">
        <v>50</v>
      </c>
      <c r="P1239">
        <v>0.3125</v>
      </c>
      <c r="Q1239">
        <v>3.2500000000000001E-2</v>
      </c>
      <c r="R1239">
        <v>77.5</v>
      </c>
      <c r="S1239">
        <v>170</v>
      </c>
      <c r="T1239">
        <v>50</v>
      </c>
      <c r="U1239">
        <v>1812.1301775147931</v>
      </c>
      <c r="V1239">
        <v>20</v>
      </c>
      <c r="W1239">
        <v>0.95</v>
      </c>
      <c r="X1239">
        <v>1</v>
      </c>
      <c r="Y1239">
        <v>457536.23788852087</v>
      </c>
      <c r="Z1239">
        <v>915072475.77704179</v>
      </c>
      <c r="AA1239">
        <v>2287681189.442605</v>
      </c>
      <c r="AB1239">
        <v>2287681.1894426038</v>
      </c>
      <c r="AC1239">
        <v>0</v>
      </c>
      <c r="AD1239">
        <v>9484.0578176316976</v>
      </c>
      <c r="AE1239">
        <v>5690434.6905790186</v>
      </c>
      <c r="AF1239">
        <v>2845217.3452895088</v>
      </c>
      <c r="AG1239">
        <v>91.163779673461889</v>
      </c>
      <c r="AH1239">
        <v>939.13511524643479</v>
      </c>
      <c r="AI1239">
        <v>469.5675576232174</v>
      </c>
      <c r="AJ1239">
        <v>74349.638656884636</v>
      </c>
      <c r="AK1239">
        <v>854.70085470085473</v>
      </c>
      <c r="AL1239" t="s">
        <v>93</v>
      </c>
      <c r="AM1239">
        <v>72782.971431598693</v>
      </c>
      <c r="AN1239">
        <v>5106.0027913000786</v>
      </c>
      <c r="AO1239">
        <v>79826.484795946963</v>
      </c>
      <c r="AP1239">
        <v>153093.3137344842</v>
      </c>
      <c r="AQ1239">
        <v>73266.828938537263</v>
      </c>
      <c r="AR1239">
        <v>2.6131444327083329E-2</v>
      </c>
      <c r="AS1239">
        <v>815.56116829728262</v>
      </c>
      <c r="AT1239">
        <v>798.37597445278016</v>
      </c>
      <c r="AU1239">
        <v>56.009116883801767</v>
      </c>
      <c r="AV1239">
        <v>875.63816552885578</v>
      </c>
      <c r="AW1239">
        <v>1679.3217030145829</v>
      </c>
      <c r="AX1239">
        <v>803.68353748572713</v>
      </c>
      <c r="AY1239">
        <v>5.1508127384050342</v>
      </c>
      <c r="AZ1239" t="s">
        <v>145</v>
      </c>
      <c r="BA1239" t="str">
        <f>VLOOKUP($AZ1239,Sheet1!$A$2:$B$58,2)</f>
        <v>Pentanol (PW1)</v>
      </c>
      <c r="BB1239" t="s">
        <v>157</v>
      </c>
      <c r="BC1239">
        <v>88.14658</v>
      </c>
      <c r="BD1239">
        <v>6</v>
      </c>
      <c r="BE1239">
        <v>138</v>
      </c>
      <c r="BF1239" t="s">
        <v>219</v>
      </c>
      <c r="BG1239">
        <v>0</v>
      </c>
      <c r="BH1239">
        <v>9.9682539682539498E-2</v>
      </c>
      <c r="BI1239">
        <v>0.27423171888602149</v>
      </c>
      <c r="BJ1239">
        <v>80</v>
      </c>
      <c r="BK1239">
        <v>7654.6656867242118</v>
      </c>
      <c r="BL1239">
        <v>3663.3414469268641</v>
      </c>
      <c r="BM1239">
        <v>23.478377881160871</v>
      </c>
      <c r="BN1239">
        <v>3991.3242397973481</v>
      </c>
      <c r="BO1239">
        <v>3663.3414469268641</v>
      </c>
    </row>
    <row r="1240" spans="1:67" x14ac:dyDescent="0.25">
      <c r="A1240" s="1">
        <v>1238</v>
      </c>
      <c r="B1240" t="s">
        <v>78</v>
      </c>
      <c r="C1240" t="s">
        <v>87</v>
      </c>
      <c r="D1240">
        <v>1</v>
      </c>
      <c r="E1240">
        <v>4</v>
      </c>
      <c r="F1240">
        <v>1</v>
      </c>
      <c r="G1240">
        <v>32.041060000000002</v>
      </c>
      <c r="H1240">
        <v>6</v>
      </c>
      <c r="I1240" t="s">
        <v>89</v>
      </c>
      <c r="J1240">
        <v>2.5</v>
      </c>
      <c r="K1240">
        <v>200</v>
      </c>
      <c r="L1240">
        <v>50</v>
      </c>
      <c r="N1240" t="s">
        <v>90</v>
      </c>
      <c r="O1240">
        <v>50</v>
      </c>
      <c r="P1240">
        <v>0.3125</v>
      </c>
      <c r="Q1240">
        <v>3.2500000000000001E-2</v>
      </c>
      <c r="R1240">
        <v>77.5</v>
      </c>
      <c r="S1240">
        <v>170</v>
      </c>
      <c r="T1240">
        <v>50</v>
      </c>
      <c r="U1240">
        <v>1812.1301775147931</v>
      </c>
      <c r="V1240">
        <v>20</v>
      </c>
      <c r="W1240">
        <v>0.95</v>
      </c>
      <c r="X1240">
        <v>1</v>
      </c>
      <c r="Y1240">
        <v>413961.35808961629</v>
      </c>
      <c r="Z1240">
        <v>827922716.17923272</v>
      </c>
      <c r="AA1240">
        <v>2069806790.448082</v>
      </c>
      <c r="AB1240">
        <v>2069806.7904480819</v>
      </c>
      <c r="AC1240">
        <v>0</v>
      </c>
      <c r="AD1240">
        <v>8580.8142159525341</v>
      </c>
      <c r="AE1240">
        <v>5148488.5295715211</v>
      </c>
      <c r="AF1240">
        <v>2574244.264785761</v>
      </c>
      <c r="AG1240">
        <v>82.481514942656446</v>
      </c>
      <c r="AH1240">
        <v>849.69367569915983</v>
      </c>
      <c r="AI1240">
        <v>424.84683784957991</v>
      </c>
      <c r="AJ1240">
        <v>67268.720689562659</v>
      </c>
      <c r="AK1240">
        <v>854.70085470085473</v>
      </c>
      <c r="AL1240" t="s">
        <v>93</v>
      </c>
      <c r="AM1240">
        <v>65851.259866684893</v>
      </c>
      <c r="AN1240">
        <v>4619.7168111762867</v>
      </c>
      <c r="AO1240">
        <v>72223.962434428584</v>
      </c>
      <c r="AP1240">
        <v>138594.3982221247</v>
      </c>
      <c r="AQ1240">
        <v>66370.435787696086</v>
      </c>
      <c r="AR1240">
        <v>2.6131444327083329E-2</v>
      </c>
      <c r="AS1240">
        <v>815.56116829728262</v>
      </c>
      <c r="AT1240">
        <v>798.37597445278027</v>
      </c>
      <c r="AU1240">
        <v>56.009116883801759</v>
      </c>
      <c r="AV1240">
        <v>875.63816552885567</v>
      </c>
      <c r="AW1240">
        <v>1680.3085917915009</v>
      </c>
      <c r="AX1240">
        <v>804.67042626264504</v>
      </c>
      <c r="AY1240">
        <v>5.1508127384050333</v>
      </c>
      <c r="AZ1240" t="s">
        <v>146</v>
      </c>
      <c r="BA1240" t="str">
        <f>VLOOKUP($AZ1240,Sheet1!$A$2:$B$58,2)</f>
        <v>Pentanol (PW2)</v>
      </c>
      <c r="BB1240" t="s">
        <v>157</v>
      </c>
      <c r="BC1240">
        <v>88.14658</v>
      </c>
      <c r="BD1240">
        <v>6</v>
      </c>
      <c r="BE1240">
        <v>138</v>
      </c>
      <c r="BF1240" t="s">
        <v>219</v>
      </c>
      <c r="BG1240">
        <v>0</v>
      </c>
      <c r="BH1240">
        <v>0.1101754385964905</v>
      </c>
      <c r="BI1240">
        <v>0.3030982156108642</v>
      </c>
      <c r="BJ1240">
        <v>80</v>
      </c>
      <c r="BK1240">
        <v>6929.7199111062328</v>
      </c>
      <c r="BL1240">
        <v>3318.5217893848039</v>
      </c>
      <c r="BM1240">
        <v>21.242341892479001</v>
      </c>
      <c r="BN1240">
        <v>3611.1981217214288</v>
      </c>
      <c r="BO1240">
        <v>3318.521789384803</v>
      </c>
    </row>
    <row r="1241" spans="1:67" x14ac:dyDescent="0.25">
      <c r="A1241" s="1">
        <v>1239</v>
      </c>
      <c r="B1241" t="s">
        <v>78</v>
      </c>
      <c r="C1241" t="s">
        <v>87</v>
      </c>
      <c r="D1241">
        <v>1</v>
      </c>
      <c r="E1241">
        <v>4</v>
      </c>
      <c r="F1241">
        <v>1</v>
      </c>
      <c r="G1241">
        <v>32.041060000000002</v>
      </c>
      <c r="H1241">
        <v>6</v>
      </c>
      <c r="I1241" t="s">
        <v>89</v>
      </c>
      <c r="J1241">
        <v>2.5</v>
      </c>
      <c r="K1241">
        <v>200</v>
      </c>
      <c r="L1241">
        <v>50</v>
      </c>
      <c r="N1241" t="s">
        <v>90</v>
      </c>
      <c r="O1241">
        <v>50</v>
      </c>
      <c r="P1241">
        <v>0.3125</v>
      </c>
      <c r="Q1241">
        <v>3.2500000000000001E-2</v>
      </c>
      <c r="R1241">
        <v>77.5</v>
      </c>
      <c r="S1241">
        <v>170</v>
      </c>
      <c r="T1241">
        <v>50</v>
      </c>
      <c r="U1241">
        <v>1812.1301775147931</v>
      </c>
      <c r="V1241">
        <v>20</v>
      </c>
      <c r="W1241">
        <v>0.95</v>
      </c>
      <c r="X1241">
        <v>1</v>
      </c>
      <c r="Y1241">
        <v>1349701.7597695999</v>
      </c>
      <c r="Z1241">
        <v>2699403519.5391998</v>
      </c>
      <c r="AA1241">
        <v>6748508798.8480005</v>
      </c>
      <c r="AB1241">
        <v>6748508.7988480004</v>
      </c>
      <c r="AC1241">
        <v>0</v>
      </c>
      <c r="AD1241">
        <v>27977.345762354729</v>
      </c>
      <c r="AE1241">
        <v>16786407.457412839</v>
      </c>
      <c r="AF1241">
        <v>8393203.7287064195</v>
      </c>
      <c r="AG1241">
        <v>268.92714426370623</v>
      </c>
      <c r="AH1241">
        <v>2770.386720752771</v>
      </c>
      <c r="AI1241">
        <v>1385.193360376386</v>
      </c>
      <c r="AJ1241">
        <v>219326.53596256001</v>
      </c>
      <c r="AK1241">
        <v>854.70085470085473</v>
      </c>
      <c r="AL1241" t="s">
        <v>93</v>
      </c>
      <c r="AM1241">
        <v>214704.9708583398</v>
      </c>
      <c r="AN1241">
        <v>15062.371856292941</v>
      </c>
      <c r="AO1241">
        <v>235482.87126398561</v>
      </c>
      <c r="AP1241">
        <v>449948.5795318936</v>
      </c>
      <c r="AQ1241">
        <v>214465.70826790799</v>
      </c>
      <c r="AR1241">
        <v>2.6131444327083329E-2</v>
      </c>
      <c r="AS1241">
        <v>815.56116829728262</v>
      </c>
      <c r="AT1241">
        <v>798.37597445278016</v>
      </c>
      <c r="AU1241">
        <v>56.009116883801759</v>
      </c>
      <c r="AV1241">
        <v>875.63816552885578</v>
      </c>
      <c r="AW1241">
        <v>1673.1244470088909</v>
      </c>
      <c r="AX1241">
        <v>797.48628148003536</v>
      </c>
      <c r="AY1241">
        <v>5.1508127384050333</v>
      </c>
      <c r="AZ1241" t="s">
        <v>147</v>
      </c>
      <c r="BA1241" t="str">
        <f>VLOOKUP($AZ1241,Sheet1!$A$2:$B$58,2)</f>
        <v>Phenol</v>
      </c>
      <c r="BB1241" t="s">
        <v>193</v>
      </c>
      <c r="BC1241">
        <v>94.11023999999999</v>
      </c>
      <c r="BD1241">
        <v>4.666666666666667</v>
      </c>
      <c r="BE1241">
        <v>181.7</v>
      </c>
      <c r="BF1241" t="s">
        <v>219</v>
      </c>
      <c r="BG1241">
        <v>0</v>
      </c>
      <c r="BH1241">
        <v>3.13999999999999E-2</v>
      </c>
      <c r="BI1241">
        <v>9.2961980719526605E-2</v>
      </c>
      <c r="BJ1241">
        <v>80</v>
      </c>
      <c r="BK1241">
        <v>22497.428976594681</v>
      </c>
      <c r="BL1241">
        <v>10723.285413395401</v>
      </c>
      <c r="BM1241">
        <v>69.259668018819283</v>
      </c>
      <c r="BN1241">
        <v>11774.143563199281</v>
      </c>
      <c r="BO1241">
        <v>10723.285413395401</v>
      </c>
    </row>
    <row r="1242" spans="1:67" x14ac:dyDescent="0.25">
      <c r="A1242" s="1">
        <v>1240</v>
      </c>
      <c r="B1242" t="s">
        <v>78</v>
      </c>
      <c r="C1242" t="s">
        <v>87</v>
      </c>
      <c r="D1242">
        <v>1</v>
      </c>
      <c r="E1242">
        <v>4</v>
      </c>
      <c r="F1242">
        <v>1</v>
      </c>
      <c r="G1242">
        <v>32.041060000000002</v>
      </c>
      <c r="H1242">
        <v>6</v>
      </c>
      <c r="I1242" t="s">
        <v>89</v>
      </c>
      <c r="J1242">
        <v>2.5</v>
      </c>
      <c r="K1242">
        <v>200</v>
      </c>
      <c r="L1242">
        <v>50</v>
      </c>
      <c r="N1242" t="s">
        <v>90</v>
      </c>
      <c r="O1242">
        <v>50</v>
      </c>
      <c r="P1242">
        <v>0.3125</v>
      </c>
      <c r="Q1242">
        <v>3.2500000000000001E-2</v>
      </c>
      <c r="R1242">
        <v>77.5</v>
      </c>
      <c r="S1242">
        <v>170</v>
      </c>
      <c r="T1242">
        <v>50</v>
      </c>
      <c r="U1242">
        <v>1812.1301775147931</v>
      </c>
      <c r="V1242">
        <v>20</v>
      </c>
      <c r="W1242">
        <v>0.95</v>
      </c>
      <c r="X1242">
        <v>1</v>
      </c>
      <c r="Y1242">
        <v>303907.3678167992</v>
      </c>
      <c r="Z1242">
        <v>607814735.63359845</v>
      </c>
      <c r="AA1242">
        <v>1519536839.0839961</v>
      </c>
      <c r="AB1242">
        <v>1519536.8390839959</v>
      </c>
      <c r="AC1242">
        <v>66773.504273504266</v>
      </c>
      <c r="AD1242">
        <v>6299.5557704460016</v>
      </c>
      <c r="AE1242">
        <v>3779733.4622676009</v>
      </c>
      <c r="AF1242">
        <v>1889866.7311338009</v>
      </c>
      <c r="AG1242">
        <v>60.553333324261978</v>
      </c>
      <c r="AH1242">
        <v>623.79776127898924</v>
      </c>
      <c r="AI1242">
        <v>311.89888063949462</v>
      </c>
      <c r="AJ1242">
        <v>49384.947270229874</v>
      </c>
      <c r="AK1242">
        <v>2170.1388888888891</v>
      </c>
      <c r="AL1242" t="s">
        <v>95</v>
      </c>
      <c r="AM1242">
        <v>48344.326499121657</v>
      </c>
      <c r="AN1242">
        <v>3391.538723862398</v>
      </c>
      <c r="AO1242">
        <v>53022.809708714078</v>
      </c>
      <c r="AP1242">
        <v>103290.95138210279</v>
      </c>
      <c r="AQ1242">
        <v>50268.141673388738</v>
      </c>
      <c r="AR1242">
        <v>2.6131444327083329E-2</v>
      </c>
      <c r="AS1242">
        <v>815.56116829728262</v>
      </c>
      <c r="AT1242">
        <v>798.37597445278016</v>
      </c>
      <c r="AU1242">
        <v>56.009116883801767</v>
      </c>
      <c r="AV1242">
        <v>875.63816552885567</v>
      </c>
      <c r="AW1242">
        <v>1705.7847307757891</v>
      </c>
      <c r="AX1242">
        <v>830.14656524693316</v>
      </c>
      <c r="AY1242">
        <v>5.1508127384050333</v>
      </c>
      <c r="AZ1242" t="s">
        <v>148</v>
      </c>
      <c r="BA1242" t="str">
        <f>VLOOKUP($AZ1242,Sheet1!$A$2:$B$58,2)</f>
        <v>Propane (PW1)</v>
      </c>
      <c r="BB1242" t="s">
        <v>194</v>
      </c>
      <c r="BC1242">
        <v>44.094819999999999</v>
      </c>
      <c r="BD1242">
        <v>6.666666666666667</v>
      </c>
      <c r="BE1242">
        <v>-42</v>
      </c>
      <c r="BF1242" t="s">
        <v>219</v>
      </c>
      <c r="BG1242">
        <v>0.33269213934879421</v>
      </c>
      <c r="BH1242">
        <v>0.3</v>
      </c>
      <c r="BI1242">
        <v>0.41285918755496848</v>
      </c>
      <c r="BJ1242">
        <v>80</v>
      </c>
      <c r="BK1242">
        <v>5164.5475691051406</v>
      </c>
      <c r="BL1242">
        <v>2513.4070836694368</v>
      </c>
      <c r="BM1242">
        <v>15.26225189262594</v>
      </c>
      <c r="BN1242">
        <v>2594.58282174641</v>
      </c>
      <c r="BO1242">
        <v>2569.9647473587311</v>
      </c>
    </row>
    <row r="1243" spans="1:67" x14ac:dyDescent="0.25">
      <c r="A1243" s="1">
        <v>1241</v>
      </c>
      <c r="B1243" t="s">
        <v>78</v>
      </c>
      <c r="C1243" t="s">
        <v>87</v>
      </c>
      <c r="D1243">
        <v>1</v>
      </c>
      <c r="E1243">
        <v>4</v>
      </c>
      <c r="F1243">
        <v>1</v>
      </c>
      <c r="G1243">
        <v>32.041060000000002</v>
      </c>
      <c r="H1243">
        <v>6</v>
      </c>
      <c r="I1243" t="s">
        <v>89</v>
      </c>
      <c r="J1243">
        <v>2.5</v>
      </c>
      <c r="K1243">
        <v>200</v>
      </c>
      <c r="L1243">
        <v>50</v>
      </c>
      <c r="N1243" t="s">
        <v>90</v>
      </c>
      <c r="O1243">
        <v>50</v>
      </c>
      <c r="P1243">
        <v>0.3125</v>
      </c>
      <c r="Q1243">
        <v>3.2500000000000001E-2</v>
      </c>
      <c r="R1243">
        <v>77.5</v>
      </c>
      <c r="S1243">
        <v>170</v>
      </c>
      <c r="T1243">
        <v>50</v>
      </c>
      <c r="U1243">
        <v>1812.1301775147931</v>
      </c>
      <c r="V1243">
        <v>20</v>
      </c>
      <c r="W1243">
        <v>0.95</v>
      </c>
      <c r="X1243">
        <v>1</v>
      </c>
      <c r="Y1243">
        <v>450053.90456946351</v>
      </c>
      <c r="Z1243">
        <v>900107809.13892686</v>
      </c>
      <c r="AA1243">
        <v>2250269522.8473172</v>
      </c>
      <c r="AB1243">
        <v>2250269.5228473172</v>
      </c>
      <c r="AC1243">
        <v>66773.504273504266</v>
      </c>
      <c r="AD1243">
        <v>9328.9599785267146</v>
      </c>
      <c r="AE1243">
        <v>5597375.9871160286</v>
      </c>
      <c r="AF1243">
        <v>2798687.9935580138</v>
      </c>
      <c r="AG1243">
        <v>89.672929922871944</v>
      </c>
      <c r="AH1243">
        <v>923.77693947366151</v>
      </c>
      <c r="AI1243">
        <v>461.88846973683081</v>
      </c>
      <c r="AJ1243">
        <v>73133.759492537807</v>
      </c>
      <c r="AK1243">
        <v>2170.1388888888891</v>
      </c>
      <c r="AL1243" t="s">
        <v>95</v>
      </c>
      <c r="AM1243">
        <v>71592.712809208766</v>
      </c>
      <c r="AN1243">
        <v>5022.5016133631007</v>
      </c>
      <c r="AO1243">
        <v>78521.039855261231</v>
      </c>
      <c r="AP1243">
        <v>151919.11280399849</v>
      </c>
      <c r="AQ1243">
        <v>73398.072948737317</v>
      </c>
      <c r="AR1243">
        <v>2.6131444327083329E-2</v>
      </c>
      <c r="AS1243">
        <v>815.56116829728273</v>
      </c>
      <c r="AT1243">
        <v>798.37597445278016</v>
      </c>
      <c r="AU1243">
        <v>56.009116883801767</v>
      </c>
      <c r="AV1243">
        <v>875.63816552885567</v>
      </c>
      <c r="AW1243">
        <v>1694.146861652282</v>
      </c>
      <c r="AX1243">
        <v>818.5086961234266</v>
      </c>
      <c r="AY1243">
        <v>5.1508127384050342</v>
      </c>
      <c r="AZ1243" t="s">
        <v>149</v>
      </c>
      <c r="BA1243" t="str">
        <f>VLOOKUP($AZ1243,Sheet1!$A$2:$B$58,2)</f>
        <v>Propane (PW2)</v>
      </c>
      <c r="BB1243" t="s">
        <v>194</v>
      </c>
      <c r="BC1243">
        <v>44.094819999999999</v>
      </c>
      <c r="BD1243">
        <v>6.666666666666667</v>
      </c>
      <c r="BE1243">
        <v>-42</v>
      </c>
      <c r="BF1243" t="s">
        <v>219</v>
      </c>
      <c r="BG1243">
        <v>0</v>
      </c>
      <c r="BH1243">
        <v>0.20258064516129051</v>
      </c>
      <c r="BI1243">
        <v>0.27879093525217258</v>
      </c>
      <c r="BJ1243">
        <v>80</v>
      </c>
      <c r="BK1243">
        <v>7595.9556401999271</v>
      </c>
      <c r="BL1243">
        <v>3669.9036474368659</v>
      </c>
      <c r="BM1243">
        <v>23.094423486841539</v>
      </c>
      <c r="BN1243">
        <v>3926.0519927630621</v>
      </c>
      <c r="BO1243">
        <v>3669.903647436865</v>
      </c>
    </row>
    <row r="1244" spans="1:67" x14ac:dyDescent="0.25">
      <c r="A1244" s="1">
        <v>1242</v>
      </c>
      <c r="B1244" t="s">
        <v>78</v>
      </c>
      <c r="C1244" t="s">
        <v>87</v>
      </c>
      <c r="D1244">
        <v>1</v>
      </c>
      <c r="E1244">
        <v>4</v>
      </c>
      <c r="F1244">
        <v>1</v>
      </c>
      <c r="G1244">
        <v>32.041060000000002</v>
      </c>
      <c r="H1244">
        <v>6</v>
      </c>
      <c r="I1244" t="s">
        <v>89</v>
      </c>
      <c r="J1244">
        <v>2.5</v>
      </c>
      <c r="K1244">
        <v>200</v>
      </c>
      <c r="L1244">
        <v>50</v>
      </c>
      <c r="N1244" t="s">
        <v>90</v>
      </c>
      <c r="O1244">
        <v>50</v>
      </c>
      <c r="P1244">
        <v>0.3125</v>
      </c>
      <c r="Q1244">
        <v>3.2500000000000001E-2</v>
      </c>
      <c r="R1244">
        <v>77.5</v>
      </c>
      <c r="S1244">
        <v>170</v>
      </c>
      <c r="T1244">
        <v>50</v>
      </c>
      <c r="U1244">
        <v>1812.1301775147931</v>
      </c>
      <c r="V1244">
        <v>20</v>
      </c>
      <c r="W1244">
        <v>0.95</v>
      </c>
      <c r="X1244">
        <v>1</v>
      </c>
      <c r="Y1244">
        <v>592443.18572622235</v>
      </c>
      <c r="Z1244">
        <v>1184886371.452445</v>
      </c>
      <c r="AA1244">
        <v>2962215928.6311111</v>
      </c>
      <c r="AB1244">
        <v>2962215.928631111</v>
      </c>
      <c r="AC1244">
        <v>0</v>
      </c>
      <c r="AD1244">
        <v>12280.48176690744</v>
      </c>
      <c r="AE1244">
        <v>7368289.0601444636</v>
      </c>
      <c r="AF1244">
        <v>3684144.5300722318</v>
      </c>
      <c r="AG1244">
        <v>118.0438959367162</v>
      </c>
      <c r="AH1244">
        <v>1216.0440057635919</v>
      </c>
      <c r="AI1244">
        <v>608.02200288179597</v>
      </c>
      <c r="AJ1244">
        <v>96272.017680511111</v>
      </c>
      <c r="AK1244">
        <v>854.70085470085473</v>
      </c>
      <c r="AL1244" t="s">
        <v>93</v>
      </c>
      <c r="AM1244">
        <v>94243.410446678376</v>
      </c>
      <c r="AN1244">
        <v>6611.5343649388706</v>
      </c>
      <c r="AO1244">
        <v>103363.74048990531</v>
      </c>
      <c r="AP1244">
        <v>197981.66334682921</v>
      </c>
      <c r="AQ1244">
        <v>94617.922856923891</v>
      </c>
      <c r="AR1244">
        <v>2.6131444327083329E-2</v>
      </c>
      <c r="AS1244">
        <v>815.56116829728273</v>
      </c>
      <c r="AT1244">
        <v>798.37597445278027</v>
      </c>
      <c r="AU1244">
        <v>56.009116883801781</v>
      </c>
      <c r="AV1244">
        <v>875.63816552885578</v>
      </c>
      <c r="AW1244">
        <v>1677.186793741271</v>
      </c>
      <c r="AX1244">
        <v>801.54862821241477</v>
      </c>
      <c r="AY1244">
        <v>5.1508127384050342</v>
      </c>
      <c r="AZ1244" t="s">
        <v>150</v>
      </c>
      <c r="BA1244" t="str">
        <f>VLOOKUP($AZ1244,Sheet1!$A$2:$B$58,2)</f>
        <v>Shikimate</v>
      </c>
      <c r="BB1244" t="s">
        <v>195</v>
      </c>
      <c r="BC1244">
        <v>173.14045999999999</v>
      </c>
      <c r="BD1244">
        <v>3.8571428571428572</v>
      </c>
      <c r="BE1244">
        <v>400.5</v>
      </c>
      <c r="BF1244" t="s">
        <v>219</v>
      </c>
      <c r="BG1244">
        <v>0</v>
      </c>
      <c r="BH1244">
        <v>3.8527607361963097E-2</v>
      </c>
      <c r="BI1244">
        <v>0.21178562264161971</v>
      </c>
      <c r="BJ1244">
        <v>80</v>
      </c>
      <c r="BK1244">
        <v>9899.0831673414596</v>
      </c>
      <c r="BL1244">
        <v>4730.8961428461944</v>
      </c>
      <c r="BM1244">
        <v>30.401100144089799</v>
      </c>
      <c r="BN1244">
        <v>5168.1870244952661</v>
      </c>
      <c r="BO1244">
        <v>4730.8961428461926</v>
      </c>
    </row>
    <row r="1245" spans="1:67" x14ac:dyDescent="0.25">
      <c r="A1245" s="1">
        <v>1243</v>
      </c>
      <c r="B1245" t="s">
        <v>78</v>
      </c>
      <c r="C1245" t="s">
        <v>87</v>
      </c>
      <c r="D1245">
        <v>1</v>
      </c>
      <c r="E1245">
        <v>4</v>
      </c>
      <c r="F1245">
        <v>1</v>
      </c>
      <c r="G1245">
        <v>32.041060000000002</v>
      </c>
      <c r="H1245">
        <v>6</v>
      </c>
      <c r="I1245" t="s">
        <v>89</v>
      </c>
      <c r="J1245">
        <v>2.5</v>
      </c>
      <c r="K1245">
        <v>200</v>
      </c>
      <c r="L1245">
        <v>50</v>
      </c>
      <c r="N1245" t="s">
        <v>90</v>
      </c>
      <c r="O1245">
        <v>50</v>
      </c>
      <c r="P1245">
        <v>0.3125</v>
      </c>
      <c r="Q1245">
        <v>3.2500000000000001E-2</v>
      </c>
      <c r="R1245">
        <v>77.5</v>
      </c>
      <c r="S1245">
        <v>170</v>
      </c>
      <c r="T1245">
        <v>50</v>
      </c>
      <c r="U1245">
        <v>1812.1301775147931</v>
      </c>
      <c r="V1245">
        <v>20</v>
      </c>
      <c r="W1245">
        <v>0.95</v>
      </c>
      <c r="X1245">
        <v>1</v>
      </c>
      <c r="Y1245">
        <v>1317960.394197081</v>
      </c>
      <c r="Z1245">
        <v>2635920788.3941622</v>
      </c>
      <c r="AA1245">
        <v>6589801970.985405</v>
      </c>
      <c r="AB1245">
        <v>6589801.9709854051</v>
      </c>
      <c r="AC1245">
        <v>0</v>
      </c>
      <c r="AD1245">
        <v>27319.39362354796</v>
      </c>
      <c r="AE1245">
        <v>16391636.17412878</v>
      </c>
      <c r="AF1245">
        <v>8195818.0870643882</v>
      </c>
      <c r="AG1245">
        <v>262.60269907671528</v>
      </c>
      <c r="AH1245">
        <v>2705.2346550877778</v>
      </c>
      <c r="AI1245">
        <v>1352.6173275438889</v>
      </c>
      <c r="AJ1245">
        <v>214168.56405702571</v>
      </c>
      <c r="AK1245">
        <v>854.70085470085473</v>
      </c>
      <c r="AL1245" t="s">
        <v>93</v>
      </c>
      <c r="AM1245">
        <v>209655.6857693028</v>
      </c>
      <c r="AN1245">
        <v>14708.14526658957</v>
      </c>
      <c r="AO1245">
        <v>229944.94568246111</v>
      </c>
      <c r="AP1245">
        <v>439387.09594761889</v>
      </c>
      <c r="AQ1245">
        <v>209442.1502651578</v>
      </c>
      <c r="AR1245">
        <v>2.6131444327083329E-2</v>
      </c>
      <c r="AS1245">
        <v>815.56116829728273</v>
      </c>
      <c r="AT1245">
        <v>798.37597445278038</v>
      </c>
      <c r="AU1245">
        <v>56.009116883801767</v>
      </c>
      <c r="AV1245">
        <v>875.63816552885578</v>
      </c>
      <c r="AW1245">
        <v>1673.2009895269921</v>
      </c>
      <c r="AX1245">
        <v>797.56282399813608</v>
      </c>
      <c r="AY1245">
        <v>5.1508127384050351</v>
      </c>
      <c r="AZ1245" t="s">
        <v>151</v>
      </c>
      <c r="BA1245" t="str">
        <f>VLOOKUP($AZ1245,Sheet1!$A$2:$B$58,2)</f>
        <v>Styrene</v>
      </c>
      <c r="BB1245" t="s">
        <v>196</v>
      </c>
      <c r="BC1245">
        <v>104.14832</v>
      </c>
      <c r="BD1245">
        <v>5</v>
      </c>
      <c r="BE1245">
        <v>145</v>
      </c>
      <c r="BF1245" t="s">
        <v>219</v>
      </c>
      <c r="BG1245">
        <v>0</v>
      </c>
      <c r="BH1245">
        <v>2.9074074074074301E-2</v>
      </c>
      <c r="BI1245">
        <v>9.5200849373968693E-2</v>
      </c>
      <c r="BJ1245">
        <v>80</v>
      </c>
      <c r="BK1245">
        <v>21969.35479738094</v>
      </c>
      <c r="BL1245">
        <v>10472.10751325789</v>
      </c>
      <c r="BM1245">
        <v>67.630866377194465</v>
      </c>
      <c r="BN1245">
        <v>11497.247284123059</v>
      </c>
      <c r="BO1245">
        <v>10472.107513257881</v>
      </c>
    </row>
    <row r="1246" spans="1:67" x14ac:dyDescent="0.25">
      <c r="A1246" s="1">
        <v>1244</v>
      </c>
      <c r="B1246" t="s">
        <v>78</v>
      </c>
      <c r="C1246" t="s">
        <v>87</v>
      </c>
      <c r="D1246">
        <v>1</v>
      </c>
      <c r="E1246">
        <v>4</v>
      </c>
      <c r="F1246">
        <v>1</v>
      </c>
      <c r="G1246">
        <v>32.041060000000002</v>
      </c>
      <c r="H1246">
        <v>6</v>
      </c>
      <c r="I1246" t="s">
        <v>89</v>
      </c>
      <c r="J1246">
        <v>2.5</v>
      </c>
      <c r="K1246">
        <v>200</v>
      </c>
      <c r="L1246">
        <v>50</v>
      </c>
      <c r="N1246" t="s">
        <v>90</v>
      </c>
      <c r="O1246">
        <v>50</v>
      </c>
      <c r="P1246">
        <v>0.3125</v>
      </c>
      <c r="Q1246">
        <v>3.2500000000000001E-2</v>
      </c>
      <c r="R1246">
        <v>77.5</v>
      </c>
      <c r="S1246">
        <v>170</v>
      </c>
      <c r="T1246">
        <v>50</v>
      </c>
      <c r="U1246">
        <v>1812.1301775147931</v>
      </c>
      <c r="V1246">
        <v>20</v>
      </c>
      <c r="W1246">
        <v>0.95</v>
      </c>
      <c r="X1246">
        <v>1</v>
      </c>
      <c r="Y1246">
        <v>851513.23372045101</v>
      </c>
      <c r="Z1246">
        <v>1703026467.440902</v>
      </c>
      <c r="AA1246">
        <v>4257566168.6022549</v>
      </c>
      <c r="AB1246">
        <v>4257566.1686022552</v>
      </c>
      <c r="AC1246">
        <v>0</v>
      </c>
      <c r="AD1246">
        <v>17650.625398224671</v>
      </c>
      <c r="AE1246">
        <v>10590375.2389348</v>
      </c>
      <c r="AF1246">
        <v>5295187.6194674</v>
      </c>
      <c r="AG1246">
        <v>169.66342422661219</v>
      </c>
      <c r="AH1246">
        <v>1747.8090534957021</v>
      </c>
      <c r="AI1246">
        <v>873.90452674785092</v>
      </c>
      <c r="AJ1246">
        <v>138370.90047957329</v>
      </c>
      <c r="AK1246">
        <v>854.70085470085473</v>
      </c>
      <c r="AL1246" t="s">
        <v>93</v>
      </c>
      <c r="AM1246">
        <v>135455.20164591691</v>
      </c>
      <c r="AN1246">
        <v>9502.6985584143658</v>
      </c>
      <c r="AO1246">
        <v>148563.7695471347</v>
      </c>
      <c r="AP1246">
        <v>284183.50153860537</v>
      </c>
      <c r="AQ1246">
        <v>135619.73199147079</v>
      </c>
      <c r="AR1246">
        <v>2.6131444327083329E-2</v>
      </c>
      <c r="AS1246">
        <v>815.56116829728273</v>
      </c>
      <c r="AT1246">
        <v>798.37597445278004</v>
      </c>
      <c r="AU1246">
        <v>56.009116883801767</v>
      </c>
      <c r="AV1246">
        <v>875.63816552885567</v>
      </c>
      <c r="AW1246">
        <v>1674.983885501649</v>
      </c>
      <c r="AX1246">
        <v>799.34571997279352</v>
      </c>
      <c r="AY1246">
        <v>5.1508127384050324</v>
      </c>
      <c r="AZ1246" t="s">
        <v>138</v>
      </c>
      <c r="BA1246" t="str">
        <f>VLOOKUP($AZ1246,Sheet1!$A$2:$B$58,2)</f>
        <v>Limonene</v>
      </c>
      <c r="BB1246" t="s">
        <v>186</v>
      </c>
      <c r="BC1246">
        <v>136.23244</v>
      </c>
      <c r="BD1246">
        <v>5.6</v>
      </c>
      <c r="BE1246">
        <v>176</v>
      </c>
      <c r="BF1246" t="s">
        <v>219</v>
      </c>
      <c r="BG1246">
        <v>0</v>
      </c>
      <c r="BH1246">
        <v>3.4505494505494498E-2</v>
      </c>
      <c r="BI1246">
        <v>0.14735055663269281</v>
      </c>
      <c r="BJ1246">
        <v>80</v>
      </c>
      <c r="BK1246">
        <v>14209.175076930271</v>
      </c>
      <c r="BL1246">
        <v>6780.9865995735399</v>
      </c>
      <c r="BM1246">
        <v>43.695226337392548</v>
      </c>
      <c r="BN1246">
        <v>7428.1884773567344</v>
      </c>
      <c r="BO1246">
        <v>6780.986599573539</v>
      </c>
    </row>
    <row r="1247" spans="1:67" x14ac:dyDescent="0.25">
      <c r="A1247" s="1">
        <v>1245</v>
      </c>
      <c r="B1247" t="s">
        <v>78</v>
      </c>
      <c r="C1247" t="s">
        <v>87</v>
      </c>
      <c r="D1247">
        <v>1</v>
      </c>
      <c r="E1247">
        <v>4</v>
      </c>
      <c r="F1247">
        <v>1</v>
      </c>
      <c r="G1247">
        <v>32.041060000000002</v>
      </c>
      <c r="H1247">
        <v>6</v>
      </c>
      <c r="I1247" t="s">
        <v>89</v>
      </c>
      <c r="J1247">
        <v>2.5</v>
      </c>
      <c r="K1247">
        <v>200</v>
      </c>
      <c r="L1247">
        <v>50</v>
      </c>
      <c r="N1247" t="s">
        <v>90</v>
      </c>
      <c r="O1247">
        <v>50</v>
      </c>
      <c r="P1247">
        <v>0.3125</v>
      </c>
      <c r="Q1247">
        <v>3.2500000000000001E-2</v>
      </c>
      <c r="R1247">
        <v>77.5</v>
      </c>
      <c r="S1247">
        <v>170</v>
      </c>
      <c r="T1247">
        <v>50</v>
      </c>
      <c r="U1247">
        <v>1812.1301775147931</v>
      </c>
      <c r="V1247">
        <v>20</v>
      </c>
      <c r="W1247">
        <v>0.95</v>
      </c>
      <c r="X1247">
        <v>1</v>
      </c>
      <c r="Y1247">
        <v>308422.089693802</v>
      </c>
      <c r="Z1247">
        <v>616844179.38760412</v>
      </c>
      <c r="AA1247">
        <v>1542110448.4690101</v>
      </c>
      <c r="AB1247">
        <v>1542110.4484690099</v>
      </c>
      <c r="AC1247">
        <v>0</v>
      </c>
      <c r="AD1247">
        <v>6393.1393596052376</v>
      </c>
      <c r="AE1247">
        <v>3835883.6157631432</v>
      </c>
      <c r="AF1247">
        <v>1917941.8078815709</v>
      </c>
      <c r="AG1247">
        <v>61.452888542841897</v>
      </c>
      <c r="AH1247">
        <v>633.06464223650971</v>
      </c>
      <c r="AI1247">
        <v>316.53232111825491</v>
      </c>
      <c r="AJ1247">
        <v>50118.589575242841</v>
      </c>
      <c r="AK1247">
        <v>854.70085470085473</v>
      </c>
      <c r="AL1247" t="s">
        <v>93</v>
      </c>
      <c r="AM1247">
        <v>49062.509773329497</v>
      </c>
      <c r="AN1247">
        <v>3441.9220172432738</v>
      </c>
      <c r="AO1247">
        <v>53810.494590103328</v>
      </c>
      <c r="AP1247">
        <v>103477.7222205165</v>
      </c>
      <c r="AQ1247">
        <v>49667.227630413137</v>
      </c>
      <c r="AR1247">
        <v>2.6131444327083329E-2</v>
      </c>
      <c r="AS1247">
        <v>815.56116829728273</v>
      </c>
      <c r="AT1247">
        <v>798.37597445278027</v>
      </c>
      <c r="AU1247">
        <v>56.009116883801752</v>
      </c>
      <c r="AV1247">
        <v>875.63816552885589</v>
      </c>
      <c r="AW1247">
        <v>1683.8544887662511</v>
      </c>
      <c r="AX1247">
        <v>808.21632323739539</v>
      </c>
      <c r="AY1247">
        <v>5.1508127384050342</v>
      </c>
      <c r="AZ1247" t="s">
        <v>140</v>
      </c>
      <c r="BA1247" t="str">
        <f>VLOOKUP($AZ1247,Sheet1!$A$2:$B$58,2)</f>
        <v>L-Malate</v>
      </c>
      <c r="BB1247" t="s">
        <v>188</v>
      </c>
      <c r="BC1247">
        <v>132.06916000000001</v>
      </c>
      <c r="BD1247">
        <v>2.5</v>
      </c>
      <c r="BF1247" t="s">
        <v>219</v>
      </c>
      <c r="BG1247">
        <v>0</v>
      </c>
      <c r="BH1247">
        <v>9.5151515151515098E-2</v>
      </c>
      <c r="BI1247">
        <v>0.40681570212230528</v>
      </c>
      <c r="BJ1247">
        <v>80</v>
      </c>
      <c r="BK1247">
        <v>5173.886111025824</v>
      </c>
      <c r="BL1247">
        <v>2483.3613815206568</v>
      </c>
      <c r="BM1247">
        <v>15.826616055912741</v>
      </c>
      <c r="BN1247">
        <v>2690.5247295051659</v>
      </c>
      <c r="BO1247">
        <v>2483.3613815206581</v>
      </c>
    </row>
    <row r="1248" spans="1:67" x14ac:dyDescent="0.25">
      <c r="A1248" s="1">
        <v>1246</v>
      </c>
      <c r="B1248" t="s">
        <v>78</v>
      </c>
      <c r="C1248" t="s">
        <v>87</v>
      </c>
      <c r="D1248">
        <v>1</v>
      </c>
      <c r="E1248">
        <v>4</v>
      </c>
      <c r="F1248">
        <v>1</v>
      </c>
      <c r="G1248">
        <v>32.041060000000002</v>
      </c>
      <c r="H1248">
        <v>6</v>
      </c>
      <c r="I1248" t="s">
        <v>89</v>
      </c>
      <c r="J1248">
        <v>2.5</v>
      </c>
      <c r="K1248">
        <v>200</v>
      </c>
      <c r="L1248">
        <v>50</v>
      </c>
      <c r="N1248" t="s">
        <v>90</v>
      </c>
      <c r="O1248">
        <v>50</v>
      </c>
      <c r="P1248">
        <v>0.3125</v>
      </c>
      <c r="Q1248">
        <v>3.2500000000000001E-2</v>
      </c>
      <c r="R1248">
        <v>77.5</v>
      </c>
      <c r="S1248">
        <v>170</v>
      </c>
      <c r="T1248">
        <v>50</v>
      </c>
      <c r="U1248">
        <v>1812.1301775147931</v>
      </c>
      <c r="V1248">
        <v>20</v>
      </c>
      <c r="W1248">
        <v>0.95</v>
      </c>
      <c r="X1248">
        <v>1</v>
      </c>
      <c r="Y1248">
        <v>308991.50628820743</v>
      </c>
      <c r="Z1248">
        <v>617983012.57641482</v>
      </c>
      <c r="AA1248">
        <v>1544957531.4410369</v>
      </c>
      <c r="AB1248">
        <v>1544957.5314410371</v>
      </c>
      <c r="AC1248">
        <v>0</v>
      </c>
      <c r="AD1248">
        <v>6404.9425337725588</v>
      </c>
      <c r="AE1248">
        <v>3842965.520263535</v>
      </c>
      <c r="AF1248">
        <v>1921482.760131768</v>
      </c>
      <c r="AG1248">
        <v>61.566344406347582</v>
      </c>
      <c r="AH1248">
        <v>634.23342205049312</v>
      </c>
      <c r="AI1248">
        <v>317.11671102524662</v>
      </c>
      <c r="AJ1248">
        <v>50211.119771833713</v>
      </c>
      <c r="AK1248">
        <v>854.70085470085473</v>
      </c>
      <c r="AL1248" t="s">
        <v>93</v>
      </c>
      <c r="AM1248">
        <v>49153.090208913207</v>
      </c>
      <c r="AN1248">
        <v>3448.2765799635172</v>
      </c>
      <c r="AO1248">
        <v>53909.840874291913</v>
      </c>
      <c r="AP1248">
        <v>103667.1874154113</v>
      </c>
      <c r="AQ1248">
        <v>49757.34654111939</v>
      </c>
      <c r="AR1248">
        <v>2.6131444327083329E-2</v>
      </c>
      <c r="AS1248">
        <v>815.56116829728273</v>
      </c>
      <c r="AT1248">
        <v>798.37597445278004</v>
      </c>
      <c r="AU1248">
        <v>56.009116883801767</v>
      </c>
      <c r="AV1248">
        <v>875.63816552885555</v>
      </c>
      <c r="AW1248">
        <v>1683.828858364426</v>
      </c>
      <c r="AX1248">
        <v>808.19069283557019</v>
      </c>
      <c r="AY1248">
        <v>5.1508127384050324</v>
      </c>
      <c r="AZ1248" t="s">
        <v>152</v>
      </c>
      <c r="BA1248" t="str">
        <f>VLOOKUP($AZ1248,Sheet1!$A$2:$B$58,2)</f>
        <v>Succinate</v>
      </c>
      <c r="BB1248" t="s">
        <v>197</v>
      </c>
      <c r="BC1248">
        <v>116.07016</v>
      </c>
      <c r="BD1248">
        <v>3</v>
      </c>
      <c r="BE1248">
        <v>235</v>
      </c>
      <c r="BF1248" t="s">
        <v>219</v>
      </c>
      <c r="BG1248">
        <v>0</v>
      </c>
      <c r="BH1248">
        <v>0.1082758620689655</v>
      </c>
      <c r="BI1248">
        <v>0.40606601286891519</v>
      </c>
      <c r="BJ1248">
        <v>80</v>
      </c>
      <c r="BK1248">
        <v>5183.3593707705641</v>
      </c>
      <c r="BL1248">
        <v>2487.8673270559689</v>
      </c>
      <c r="BM1248">
        <v>15.85583555126232</v>
      </c>
      <c r="BN1248">
        <v>2695.4920437145952</v>
      </c>
      <c r="BO1248">
        <v>2487.8673270559689</v>
      </c>
    </row>
    <row r="1249" spans="1:67" x14ac:dyDescent="0.25">
      <c r="A1249" s="1">
        <v>1247</v>
      </c>
      <c r="B1249" t="s">
        <v>78</v>
      </c>
      <c r="C1249" t="s">
        <v>87</v>
      </c>
      <c r="D1249">
        <v>1</v>
      </c>
      <c r="E1249">
        <v>4</v>
      </c>
      <c r="F1249">
        <v>1</v>
      </c>
      <c r="G1249">
        <v>32.041060000000002</v>
      </c>
      <c r="H1249">
        <v>6</v>
      </c>
      <c r="I1249" t="s">
        <v>89</v>
      </c>
      <c r="J1249">
        <v>2.5</v>
      </c>
      <c r="K1249">
        <v>200</v>
      </c>
      <c r="L1249">
        <v>50</v>
      </c>
      <c r="N1249" t="s">
        <v>90</v>
      </c>
      <c r="O1249">
        <v>50</v>
      </c>
      <c r="P1249">
        <v>0.3125</v>
      </c>
      <c r="Q1249">
        <v>3.2500000000000001E-2</v>
      </c>
      <c r="R1249">
        <v>77.5</v>
      </c>
      <c r="S1249">
        <v>170</v>
      </c>
      <c r="T1249">
        <v>50</v>
      </c>
      <c r="U1249">
        <v>1812.1301775147931</v>
      </c>
      <c r="V1249">
        <v>20</v>
      </c>
      <c r="W1249">
        <v>0.95</v>
      </c>
      <c r="X1249">
        <v>1</v>
      </c>
      <c r="Y1249">
        <v>672554.1109141222</v>
      </c>
      <c r="Z1249">
        <v>1345108221.828244</v>
      </c>
      <c r="AA1249">
        <v>3362770554.570611</v>
      </c>
      <c r="AB1249">
        <v>3362770.5545706111</v>
      </c>
      <c r="AC1249">
        <v>0</v>
      </c>
      <c r="AD1249">
        <v>13941.064215660121</v>
      </c>
      <c r="AE1249">
        <v>8364638.5293960748</v>
      </c>
      <c r="AF1249">
        <v>4182319.2646980369</v>
      </c>
      <c r="AG1249">
        <v>134.00594249934571</v>
      </c>
      <c r="AH1249">
        <v>1380.479031295205</v>
      </c>
      <c r="AI1249">
        <v>690.23951564760227</v>
      </c>
      <c r="AJ1249">
        <v>109290.0430235449</v>
      </c>
      <c r="AK1249">
        <v>854.70085470085473</v>
      </c>
      <c r="AL1249" t="s">
        <v>93</v>
      </c>
      <c r="AM1249">
        <v>106987.1249253783</v>
      </c>
      <c r="AN1249">
        <v>7505.5544965698718</v>
      </c>
      <c r="AO1249">
        <v>117340.7176600924</v>
      </c>
      <c r="AP1249">
        <v>224637.42330019391</v>
      </c>
      <c r="AQ1249">
        <v>107296.7056401015</v>
      </c>
      <c r="AR1249">
        <v>2.6131444327083329E-2</v>
      </c>
      <c r="AS1249">
        <v>815.56116829728273</v>
      </c>
      <c r="AT1249">
        <v>798.37597445278004</v>
      </c>
      <c r="AU1249">
        <v>56.009116883801759</v>
      </c>
      <c r="AV1249">
        <v>875.63816552885567</v>
      </c>
      <c r="AW1249">
        <v>1676.3243413723289</v>
      </c>
      <c r="AX1249">
        <v>800.68617584347351</v>
      </c>
      <c r="AY1249">
        <v>5.1508127384050333</v>
      </c>
      <c r="AZ1249" t="s">
        <v>130</v>
      </c>
      <c r="BA1249" t="str">
        <f>VLOOKUP($AZ1249,Sheet1!$A$2:$B$58,2)</f>
        <v>Glycolate</v>
      </c>
      <c r="BB1249" t="s">
        <v>180</v>
      </c>
      <c r="BC1249">
        <v>75.041920000000005</v>
      </c>
      <c r="BD1249">
        <v>2.5</v>
      </c>
      <c r="BE1249">
        <v>112</v>
      </c>
      <c r="BF1249" t="s">
        <v>219</v>
      </c>
      <c r="BG1249">
        <v>0</v>
      </c>
      <c r="BH1249">
        <v>7.6585365853658605E-2</v>
      </c>
      <c r="BI1249">
        <v>0.18655889085009841</v>
      </c>
      <c r="BJ1249">
        <v>80</v>
      </c>
      <c r="BK1249">
        <v>11231.87116500969</v>
      </c>
      <c r="BL1249">
        <v>5364.8352820050759</v>
      </c>
      <c r="BM1249">
        <v>34.511975782380112</v>
      </c>
      <c r="BN1249">
        <v>5867.0358830046189</v>
      </c>
      <c r="BO1249">
        <v>5364.835282005075</v>
      </c>
    </row>
    <row r="1250" spans="1:67" x14ac:dyDescent="0.25">
      <c r="A1250" s="1">
        <v>1248</v>
      </c>
      <c r="B1250" t="s">
        <v>78</v>
      </c>
      <c r="C1250" t="s">
        <v>87</v>
      </c>
      <c r="D1250">
        <v>1</v>
      </c>
      <c r="E1250">
        <v>4</v>
      </c>
      <c r="F1250">
        <v>1</v>
      </c>
      <c r="G1250">
        <v>32.041060000000002</v>
      </c>
      <c r="H1250">
        <v>6</v>
      </c>
      <c r="I1250" t="s">
        <v>89</v>
      </c>
      <c r="J1250">
        <v>2.5</v>
      </c>
      <c r="K1250">
        <v>200</v>
      </c>
      <c r="L1250">
        <v>50</v>
      </c>
      <c r="N1250" t="s">
        <v>90</v>
      </c>
      <c r="O1250">
        <v>50</v>
      </c>
      <c r="P1250">
        <v>0.3125</v>
      </c>
      <c r="Q1250">
        <v>3.2500000000000001E-2</v>
      </c>
      <c r="R1250">
        <v>77.5</v>
      </c>
      <c r="S1250">
        <v>170</v>
      </c>
      <c r="T1250">
        <v>50</v>
      </c>
      <c r="U1250">
        <v>1812.1301775147931</v>
      </c>
      <c r="V1250">
        <v>20</v>
      </c>
      <c r="W1250">
        <v>0.95</v>
      </c>
      <c r="X1250">
        <v>1</v>
      </c>
      <c r="Y1250">
        <v>312957.20676261018</v>
      </c>
      <c r="Z1250">
        <v>625914413.52522051</v>
      </c>
      <c r="AA1250">
        <v>1564786033.813051</v>
      </c>
      <c r="AB1250">
        <v>1564786.0338130509</v>
      </c>
      <c r="AC1250">
        <v>0</v>
      </c>
      <c r="AD1250">
        <v>6487.1457112961943</v>
      </c>
      <c r="AE1250">
        <v>3892287.4267777172</v>
      </c>
      <c r="AF1250">
        <v>1946143.7133888579</v>
      </c>
      <c r="AG1250">
        <v>62.35650748931522</v>
      </c>
      <c r="AH1250">
        <v>642.37338619682737</v>
      </c>
      <c r="AI1250">
        <v>321.18669309841368</v>
      </c>
      <c r="AJ1250">
        <v>50855.546098924162</v>
      </c>
      <c r="AK1250">
        <v>854.70085470085473</v>
      </c>
      <c r="AL1250" t="s">
        <v>93</v>
      </c>
      <c r="AM1250">
        <v>49783.937430254118</v>
      </c>
      <c r="AN1250">
        <v>3492.5329164347158</v>
      </c>
      <c r="AO1250">
        <v>54601.737826730328</v>
      </c>
      <c r="AP1250">
        <v>104986.7173003139</v>
      </c>
      <c r="AQ1250">
        <v>50384.979473583531</v>
      </c>
      <c r="AR1250">
        <v>2.6131444327083329E-2</v>
      </c>
      <c r="AS1250">
        <v>815.56116829728251</v>
      </c>
      <c r="AT1250">
        <v>798.37597445278016</v>
      </c>
      <c r="AU1250">
        <v>56.009116883801759</v>
      </c>
      <c r="AV1250">
        <v>875.63816552885567</v>
      </c>
      <c r="AW1250">
        <v>1683.652942209814</v>
      </c>
      <c r="AX1250">
        <v>808.01477668095833</v>
      </c>
      <c r="AY1250">
        <v>5.1508127384050333</v>
      </c>
      <c r="AZ1250" t="s">
        <v>123</v>
      </c>
      <c r="BA1250" t="str">
        <f>VLOOKUP($AZ1250,Sheet1!$A$2:$B$58,2)</f>
        <v>Citrate</v>
      </c>
      <c r="BB1250" t="s">
        <v>173</v>
      </c>
      <c r="BC1250">
        <v>189.09639999999999</v>
      </c>
      <c r="BD1250">
        <v>2.5</v>
      </c>
      <c r="BF1250" t="s">
        <v>219</v>
      </c>
      <c r="BG1250">
        <v>0</v>
      </c>
      <c r="BH1250">
        <v>6.5416666666666595E-2</v>
      </c>
      <c r="BI1250">
        <v>0.40092046534651971</v>
      </c>
      <c r="BJ1250">
        <v>80</v>
      </c>
      <c r="BK1250">
        <v>5249.3358650156933</v>
      </c>
      <c r="BL1250">
        <v>2519.2489736791772</v>
      </c>
      <c r="BM1250">
        <v>16.05933465492069</v>
      </c>
      <c r="BN1250">
        <v>2730.0868913365171</v>
      </c>
      <c r="BO1250">
        <v>2519.2489736791772</v>
      </c>
    </row>
    <row r="1251" spans="1:67" x14ac:dyDescent="0.25">
      <c r="A1251" s="1">
        <v>1249</v>
      </c>
      <c r="B1251" t="s">
        <v>78</v>
      </c>
      <c r="C1251" t="s">
        <v>87</v>
      </c>
      <c r="D1251">
        <v>1</v>
      </c>
      <c r="E1251">
        <v>4</v>
      </c>
      <c r="F1251">
        <v>1</v>
      </c>
      <c r="G1251">
        <v>32.041060000000002</v>
      </c>
      <c r="H1251">
        <v>6</v>
      </c>
      <c r="I1251" t="s">
        <v>89</v>
      </c>
      <c r="J1251">
        <v>2.5</v>
      </c>
      <c r="K1251">
        <v>200</v>
      </c>
      <c r="L1251">
        <v>50</v>
      </c>
      <c r="N1251" t="s">
        <v>90</v>
      </c>
      <c r="O1251">
        <v>50</v>
      </c>
      <c r="P1251">
        <v>0.3125</v>
      </c>
      <c r="Q1251">
        <v>3.2500000000000001E-2</v>
      </c>
      <c r="R1251">
        <v>77.5</v>
      </c>
      <c r="S1251">
        <v>170</v>
      </c>
      <c r="T1251">
        <v>50</v>
      </c>
      <c r="U1251">
        <v>1812.1301775147931</v>
      </c>
      <c r="V1251">
        <v>20</v>
      </c>
      <c r="W1251">
        <v>0.95</v>
      </c>
      <c r="X1251">
        <v>1</v>
      </c>
      <c r="Y1251">
        <v>127180.0696453725</v>
      </c>
      <c r="Z1251">
        <v>254360139.2907449</v>
      </c>
      <c r="AA1251">
        <v>635900348.22686219</v>
      </c>
      <c r="AB1251">
        <v>635900.34822686214</v>
      </c>
      <c r="AC1251">
        <v>0</v>
      </c>
      <c r="AD1251">
        <v>2636.2570521922812</v>
      </c>
      <c r="AE1251">
        <v>1581754.231315369</v>
      </c>
      <c r="AF1251">
        <v>790877.11565768439</v>
      </c>
      <c r="AG1251">
        <v>25.340541115414801</v>
      </c>
      <c r="AH1251">
        <v>261.04876395071022</v>
      </c>
      <c r="AI1251">
        <v>130.52438197535511</v>
      </c>
      <c r="AJ1251">
        <v>20666.761317373021</v>
      </c>
      <c r="AK1251">
        <v>854.70085470085473</v>
      </c>
      <c r="AL1251" t="s">
        <v>93</v>
      </c>
      <c r="AM1251">
        <v>20231.279206180039</v>
      </c>
      <c r="AN1251">
        <v>1419.301329232052</v>
      </c>
      <c r="AO1251">
        <v>22189.14493581036</v>
      </c>
      <c r="AP1251">
        <v>43172.042707485969</v>
      </c>
      <c r="AQ1251">
        <v>20982.897771675609</v>
      </c>
      <c r="AR1251">
        <v>2.6131444327083329E-2</v>
      </c>
      <c r="AS1251">
        <v>815.56116829728251</v>
      </c>
      <c r="AT1251">
        <v>798.37597445278027</v>
      </c>
      <c r="AU1251">
        <v>56.009116883801767</v>
      </c>
      <c r="AV1251">
        <v>875.63816552885567</v>
      </c>
      <c r="AW1251">
        <v>1703.6748548839851</v>
      </c>
      <c r="AX1251">
        <v>828.03668935512917</v>
      </c>
      <c r="AY1251">
        <v>5.1508127384050342</v>
      </c>
      <c r="AZ1251" t="s">
        <v>128</v>
      </c>
      <c r="BA1251" t="str">
        <f>VLOOKUP($AZ1251,Sheet1!$A$2:$B$58,2)</f>
        <v>L-Glutamate</v>
      </c>
      <c r="BB1251" t="s">
        <v>178</v>
      </c>
      <c r="BC1251">
        <v>146.11892</v>
      </c>
      <c r="BD1251">
        <v>3.4</v>
      </c>
      <c r="BE1251">
        <v>333.8</v>
      </c>
      <c r="BF1251" t="s">
        <v>219</v>
      </c>
      <c r="BG1251">
        <v>0</v>
      </c>
      <c r="BH1251">
        <v>0.19999999999999901</v>
      </c>
      <c r="BI1251">
        <v>0.98656141106601503</v>
      </c>
      <c r="BJ1251">
        <v>80</v>
      </c>
      <c r="BK1251">
        <v>2158.6021353742981</v>
      </c>
      <c r="BL1251">
        <v>1049.1448885837799</v>
      </c>
      <c r="BM1251">
        <v>6.5262190987677542</v>
      </c>
      <c r="BN1251">
        <v>1109.457246790518</v>
      </c>
      <c r="BO1251">
        <v>1049.1448885837799</v>
      </c>
    </row>
    <row r="1252" spans="1:67" x14ac:dyDescent="0.25">
      <c r="A1252" s="1">
        <v>1250</v>
      </c>
      <c r="B1252" t="s">
        <v>78</v>
      </c>
      <c r="C1252" t="s">
        <v>87</v>
      </c>
      <c r="D1252">
        <v>1</v>
      </c>
      <c r="E1252">
        <v>4</v>
      </c>
      <c r="F1252">
        <v>1</v>
      </c>
      <c r="G1252">
        <v>32.041060000000002</v>
      </c>
      <c r="H1252">
        <v>6</v>
      </c>
      <c r="I1252" t="s">
        <v>89</v>
      </c>
      <c r="J1252">
        <v>2.5</v>
      </c>
      <c r="K1252">
        <v>200</v>
      </c>
      <c r="L1252">
        <v>50</v>
      </c>
      <c r="N1252" t="s">
        <v>90</v>
      </c>
      <c r="O1252">
        <v>50</v>
      </c>
      <c r="P1252">
        <v>0.3125</v>
      </c>
      <c r="Q1252">
        <v>3.2500000000000001E-2</v>
      </c>
      <c r="R1252">
        <v>77.5</v>
      </c>
      <c r="S1252">
        <v>170</v>
      </c>
      <c r="T1252">
        <v>50</v>
      </c>
      <c r="U1252">
        <v>1812.1301775147931</v>
      </c>
      <c r="V1252">
        <v>20</v>
      </c>
      <c r="W1252">
        <v>0.95</v>
      </c>
      <c r="X1252">
        <v>1</v>
      </c>
      <c r="Y1252">
        <v>384548.00690715632</v>
      </c>
      <c r="Z1252">
        <v>769096013.8143127</v>
      </c>
      <c r="AA1252">
        <v>1922740034.5357821</v>
      </c>
      <c r="AB1252">
        <v>1922740.0345357819</v>
      </c>
      <c r="AC1252">
        <v>0</v>
      </c>
      <c r="AD1252">
        <v>7971.1184145617717</v>
      </c>
      <c r="AE1252">
        <v>4782671.0487370631</v>
      </c>
      <c r="AF1252">
        <v>2391335.524368532</v>
      </c>
      <c r="AG1252">
        <v>76.620925016423584</v>
      </c>
      <c r="AH1252">
        <v>789.320073205943</v>
      </c>
      <c r="AI1252">
        <v>394.6600366029715</v>
      </c>
      <c r="AJ1252">
        <v>62489.051122412908</v>
      </c>
      <c r="AK1252">
        <v>854.70085470085473</v>
      </c>
      <c r="AL1252" t="s">
        <v>93</v>
      </c>
      <c r="AM1252">
        <v>61172.305673460593</v>
      </c>
      <c r="AN1252">
        <v>4291.4703449898798</v>
      </c>
      <c r="AO1252">
        <v>67092.206222505149</v>
      </c>
      <c r="AP1252">
        <v>128807.5279955642</v>
      </c>
      <c r="AQ1252">
        <v>61715.321773059077</v>
      </c>
      <c r="AR1252">
        <v>2.613144432708334E-2</v>
      </c>
      <c r="AS1252">
        <v>815.56116829728285</v>
      </c>
      <c r="AT1252">
        <v>798.37597445278027</v>
      </c>
      <c r="AU1252">
        <v>56.009116883801767</v>
      </c>
      <c r="AV1252">
        <v>875.63816552885555</v>
      </c>
      <c r="AW1252">
        <v>1681.101187018488</v>
      </c>
      <c r="AX1252">
        <v>805.46302148963241</v>
      </c>
      <c r="AY1252">
        <v>5.1508127384050333</v>
      </c>
      <c r="AZ1252" t="s">
        <v>139</v>
      </c>
      <c r="BA1252" t="str">
        <f>VLOOKUP($AZ1252,Sheet1!$A$2:$B$58,2)</f>
        <v>L-Lysine</v>
      </c>
      <c r="BB1252" t="s">
        <v>187</v>
      </c>
      <c r="BC1252">
        <v>147.19319999999999</v>
      </c>
      <c r="BD1252">
        <v>4.833333333333333</v>
      </c>
      <c r="BF1252" t="s">
        <v>219</v>
      </c>
      <c r="BG1252">
        <v>0</v>
      </c>
      <c r="BH1252">
        <v>6.9777777777777605E-2</v>
      </c>
      <c r="BI1252">
        <v>0.32628162600022498</v>
      </c>
      <c r="BJ1252">
        <v>80</v>
      </c>
      <c r="BK1252">
        <v>6440.3763997782116</v>
      </c>
      <c r="BL1252">
        <v>3085.7660886529552</v>
      </c>
      <c r="BM1252">
        <v>19.73300183014857</v>
      </c>
      <c r="BN1252">
        <v>3354.6103111252569</v>
      </c>
      <c r="BO1252">
        <v>3085.7660886529552</v>
      </c>
    </row>
    <row r="1253" spans="1:67" x14ac:dyDescent="0.25">
      <c r="A1253" s="1">
        <v>1251</v>
      </c>
      <c r="B1253" t="s">
        <v>78</v>
      </c>
      <c r="C1253" t="s">
        <v>87</v>
      </c>
      <c r="D1253">
        <v>1</v>
      </c>
      <c r="E1253">
        <v>4</v>
      </c>
      <c r="F1253">
        <v>1</v>
      </c>
      <c r="G1253">
        <v>32.041060000000002</v>
      </c>
      <c r="H1253">
        <v>6</v>
      </c>
      <c r="I1253" t="s">
        <v>89</v>
      </c>
      <c r="J1253">
        <v>2.5</v>
      </c>
      <c r="K1253">
        <v>200</v>
      </c>
      <c r="L1253">
        <v>50</v>
      </c>
      <c r="N1253" t="s">
        <v>90</v>
      </c>
      <c r="O1253">
        <v>50</v>
      </c>
      <c r="P1253">
        <v>0.3125</v>
      </c>
      <c r="Q1253">
        <v>3.2500000000000001E-2</v>
      </c>
      <c r="R1253">
        <v>77.5</v>
      </c>
      <c r="S1253">
        <v>170</v>
      </c>
      <c r="T1253">
        <v>50</v>
      </c>
      <c r="U1253">
        <v>1812.1301775147931</v>
      </c>
      <c r="V1253">
        <v>20</v>
      </c>
      <c r="W1253">
        <v>0.95</v>
      </c>
      <c r="X1253">
        <v>1</v>
      </c>
      <c r="Y1253">
        <v>341336.55842476949</v>
      </c>
      <c r="Z1253">
        <v>682673116.84953892</v>
      </c>
      <c r="AA1253">
        <v>1706682792.123847</v>
      </c>
      <c r="AB1253">
        <v>1706682.7921238469</v>
      </c>
      <c r="AC1253">
        <v>0</v>
      </c>
      <c r="AD1253">
        <v>7075.4082131538044</v>
      </c>
      <c r="AE1253">
        <v>4245244.9278922826</v>
      </c>
      <c r="AF1253">
        <v>2122622.4639461408</v>
      </c>
      <c r="AG1253">
        <v>68.011073724646153</v>
      </c>
      <c r="AH1253">
        <v>700.62460978702256</v>
      </c>
      <c r="AI1253">
        <v>350.31230489351128</v>
      </c>
      <c r="AJ1253">
        <v>55467.190744025043</v>
      </c>
      <c r="AK1253">
        <v>854.70085470085473</v>
      </c>
      <c r="AL1253" t="s">
        <v>93</v>
      </c>
      <c r="AM1253">
        <v>54298.407258494248</v>
      </c>
      <c r="AN1253">
        <v>3809.240177636565</v>
      </c>
      <c r="AO1253">
        <v>59553.09183189692</v>
      </c>
      <c r="AP1253">
        <v>114429.5390348567</v>
      </c>
      <c r="AQ1253">
        <v>54876.447202959782</v>
      </c>
      <c r="AR1253">
        <v>2.6131444327083329E-2</v>
      </c>
      <c r="AS1253">
        <v>815.56116829728262</v>
      </c>
      <c r="AT1253">
        <v>798.37597445278016</v>
      </c>
      <c r="AU1253">
        <v>56.009116883801752</v>
      </c>
      <c r="AV1253">
        <v>875.63816552885578</v>
      </c>
      <c r="AW1253">
        <v>1682.5133433144019</v>
      </c>
      <c r="AX1253">
        <v>806.87517778554661</v>
      </c>
      <c r="AY1253">
        <v>5.1508127384050333</v>
      </c>
      <c r="AZ1253" t="s">
        <v>104</v>
      </c>
      <c r="BA1253" t="str">
        <f>VLOOKUP($AZ1253,Sheet1!$A$2:$B$58,2)</f>
        <v>2-Methyl-1-Butanol</v>
      </c>
      <c r="BB1253" t="s">
        <v>157</v>
      </c>
      <c r="BC1253">
        <v>88.14658</v>
      </c>
      <c r="BD1253">
        <v>6</v>
      </c>
      <c r="BE1253">
        <v>129</v>
      </c>
      <c r="BF1253" t="s">
        <v>219</v>
      </c>
      <c r="BG1253">
        <v>0</v>
      </c>
      <c r="BH1253">
        <v>0.133617021276595</v>
      </c>
      <c r="BI1253">
        <v>0.367587197655731</v>
      </c>
      <c r="BJ1253">
        <v>80</v>
      </c>
      <c r="BK1253">
        <v>5721.4769517428349</v>
      </c>
      <c r="BL1253">
        <v>2743.822360147989</v>
      </c>
      <c r="BM1253">
        <v>17.515615244675569</v>
      </c>
      <c r="BN1253">
        <v>2977.6545915948459</v>
      </c>
      <c r="BO1253">
        <v>2743.822360147989</v>
      </c>
    </row>
    <row r="1254" spans="1:67" x14ac:dyDescent="0.25">
      <c r="A1254" s="1">
        <v>1252</v>
      </c>
      <c r="B1254" t="s">
        <v>78</v>
      </c>
      <c r="C1254" t="s">
        <v>87</v>
      </c>
      <c r="D1254">
        <v>1</v>
      </c>
      <c r="E1254">
        <v>4</v>
      </c>
      <c r="F1254">
        <v>1</v>
      </c>
      <c r="G1254">
        <v>32.041060000000002</v>
      </c>
      <c r="H1254">
        <v>6</v>
      </c>
      <c r="I1254" t="s">
        <v>89</v>
      </c>
      <c r="J1254">
        <v>2.5</v>
      </c>
      <c r="K1254">
        <v>200</v>
      </c>
      <c r="L1254">
        <v>50</v>
      </c>
      <c r="N1254" t="s">
        <v>90</v>
      </c>
      <c r="O1254">
        <v>50</v>
      </c>
      <c r="P1254">
        <v>0.3125</v>
      </c>
      <c r="Q1254">
        <v>3.2500000000000001E-2</v>
      </c>
      <c r="R1254">
        <v>77.5</v>
      </c>
      <c r="S1254">
        <v>170</v>
      </c>
      <c r="T1254">
        <v>50</v>
      </c>
      <c r="U1254">
        <v>1812.1301775147931</v>
      </c>
      <c r="V1254">
        <v>20</v>
      </c>
      <c r="W1254">
        <v>0.95</v>
      </c>
      <c r="X1254">
        <v>1</v>
      </c>
      <c r="Y1254">
        <v>413521.76652250218</v>
      </c>
      <c r="Z1254">
        <v>827043533.04500437</v>
      </c>
      <c r="AA1254">
        <v>2067608832.6125109</v>
      </c>
      <c r="AB1254">
        <v>2067608.832612511</v>
      </c>
      <c r="AC1254">
        <v>0</v>
      </c>
      <c r="AD1254">
        <v>8571.7021249455047</v>
      </c>
      <c r="AE1254">
        <v>5143021.2749673026</v>
      </c>
      <c r="AF1254">
        <v>2571510.6374836508</v>
      </c>
      <c r="AG1254">
        <v>82.393926626251925</v>
      </c>
      <c r="AH1254">
        <v>848.79137366741622</v>
      </c>
      <c r="AI1254">
        <v>424.39568683370811</v>
      </c>
      <c r="AJ1254">
        <v>67197.287059906608</v>
      </c>
      <c r="AK1254">
        <v>854.70085470085473</v>
      </c>
      <c r="AL1254" t="s">
        <v>93</v>
      </c>
      <c r="AM1254">
        <v>65781.331459224763</v>
      </c>
      <c r="AN1254">
        <v>4614.8110669251309</v>
      </c>
      <c r="AO1254">
        <v>72147.266761730381</v>
      </c>
      <c r="AP1254">
        <v>138448.13044075729</v>
      </c>
      <c r="AQ1254">
        <v>66300.863679026967</v>
      </c>
      <c r="AR1254">
        <v>2.6131444327083329E-2</v>
      </c>
      <c r="AS1254">
        <v>815.56116829728273</v>
      </c>
      <c r="AT1254">
        <v>798.37597445278027</v>
      </c>
      <c r="AU1254">
        <v>56.009116883801767</v>
      </c>
      <c r="AV1254">
        <v>875.63816552885578</v>
      </c>
      <c r="AW1254">
        <v>1680.3196073998699</v>
      </c>
      <c r="AX1254">
        <v>804.68144187101461</v>
      </c>
      <c r="AY1254">
        <v>5.1508127384050342</v>
      </c>
      <c r="AZ1254" t="s">
        <v>106</v>
      </c>
      <c r="BA1254" t="str">
        <f>VLOOKUP($AZ1254,Sheet1!$A$2:$B$58,2)</f>
        <v>3-Methyl-1-Pentanol</v>
      </c>
      <c r="BB1254" t="s">
        <v>159</v>
      </c>
      <c r="BC1254">
        <v>102.17296</v>
      </c>
      <c r="BD1254">
        <v>6</v>
      </c>
      <c r="BE1254">
        <v>153</v>
      </c>
      <c r="BF1254" t="s">
        <v>219</v>
      </c>
      <c r="BG1254">
        <v>0</v>
      </c>
      <c r="BH1254">
        <v>9.5151515151512794E-2</v>
      </c>
      <c r="BI1254">
        <v>0.30342042215566201</v>
      </c>
      <c r="BJ1254">
        <v>80</v>
      </c>
      <c r="BK1254">
        <v>6922.4065220378679</v>
      </c>
      <c r="BL1254">
        <v>3315.043183951349</v>
      </c>
      <c r="BM1254">
        <v>21.219784341685411</v>
      </c>
      <c r="BN1254">
        <v>3607.363338086519</v>
      </c>
      <c r="BO1254">
        <v>3315.043183951349</v>
      </c>
    </row>
    <row r="1255" spans="1:67" x14ac:dyDescent="0.25">
      <c r="A1255" s="1">
        <v>1253</v>
      </c>
      <c r="B1255" t="s">
        <v>78</v>
      </c>
      <c r="C1255" t="s">
        <v>87</v>
      </c>
      <c r="D1255">
        <v>1</v>
      </c>
      <c r="E1255">
        <v>4</v>
      </c>
      <c r="F1255">
        <v>1</v>
      </c>
      <c r="G1255">
        <v>32.041060000000002</v>
      </c>
      <c r="H1255">
        <v>6</v>
      </c>
      <c r="I1255" t="s">
        <v>89</v>
      </c>
      <c r="J1255">
        <v>2.5</v>
      </c>
      <c r="K1255">
        <v>200</v>
      </c>
      <c r="L1255">
        <v>50</v>
      </c>
      <c r="N1255" t="s">
        <v>90</v>
      </c>
      <c r="O1255">
        <v>50</v>
      </c>
      <c r="P1255">
        <v>0.3125</v>
      </c>
      <c r="Q1255">
        <v>3.2500000000000001E-2</v>
      </c>
      <c r="R1255">
        <v>77.5</v>
      </c>
      <c r="S1255">
        <v>170</v>
      </c>
      <c r="T1255">
        <v>50</v>
      </c>
      <c r="U1255">
        <v>1812.1301775147931</v>
      </c>
      <c r="V1255">
        <v>20</v>
      </c>
      <c r="W1255">
        <v>0.95</v>
      </c>
      <c r="X1255">
        <v>1</v>
      </c>
      <c r="Y1255">
        <v>175633.3765007405</v>
      </c>
      <c r="Z1255">
        <v>351266753.00148112</v>
      </c>
      <c r="AA1255">
        <v>878166882.50370264</v>
      </c>
      <c r="AB1255">
        <v>878166.88250370265</v>
      </c>
      <c r="AC1255">
        <v>0</v>
      </c>
      <c r="AD1255">
        <v>3640.6233200806118</v>
      </c>
      <c r="AE1255">
        <v>2184373.9920483669</v>
      </c>
      <c r="AF1255">
        <v>1092186.9960241839</v>
      </c>
      <c r="AG1255">
        <v>34.994829070830633</v>
      </c>
      <c r="AH1255">
        <v>360.50362271268227</v>
      </c>
      <c r="AI1255">
        <v>180.25181135634119</v>
      </c>
      <c r="AJ1255">
        <v>28540.423681370339</v>
      </c>
      <c r="AK1255">
        <v>854.70085470085473</v>
      </c>
      <c r="AL1255" t="s">
        <v>93</v>
      </c>
      <c r="AM1255">
        <v>27939.030760232879</v>
      </c>
      <c r="AN1255">
        <v>1960.029471756817</v>
      </c>
      <c r="AO1255">
        <v>30642.807930578001</v>
      </c>
      <c r="AP1255">
        <v>59294.184768060877</v>
      </c>
      <c r="AQ1255">
        <v>28651.376837482891</v>
      </c>
      <c r="AR1255">
        <v>2.6131444327083329E-2</v>
      </c>
      <c r="AS1255">
        <v>815.56116829728251</v>
      </c>
      <c r="AT1255">
        <v>798.37597445277993</v>
      </c>
      <c r="AU1255">
        <v>56.009116883801759</v>
      </c>
      <c r="AV1255">
        <v>875.63816552885544</v>
      </c>
      <c r="AW1255">
        <v>1694.369892421752</v>
      </c>
      <c r="AX1255">
        <v>818.73172689289606</v>
      </c>
      <c r="AY1255">
        <v>5.1508127384050324</v>
      </c>
      <c r="AZ1255" t="s">
        <v>96</v>
      </c>
      <c r="BA1255" t="str">
        <f>VLOOKUP($AZ1255,Sheet1!$A$2:$B$58,2)</f>
        <v>1,3-Butanediol (PW1)</v>
      </c>
      <c r="BB1255" t="s">
        <v>153</v>
      </c>
      <c r="BC1255">
        <v>90.119200000000006</v>
      </c>
      <c r="BD1255">
        <v>5.5</v>
      </c>
      <c r="BE1255">
        <v>207</v>
      </c>
      <c r="BF1255" t="s">
        <v>220</v>
      </c>
      <c r="BG1255">
        <v>0</v>
      </c>
      <c r="BH1255">
        <v>0.25</v>
      </c>
      <c r="BI1255">
        <v>0.71439125904570688</v>
      </c>
      <c r="BJ1255">
        <v>80</v>
      </c>
      <c r="BK1255">
        <v>2964.7092384030439</v>
      </c>
      <c r="BL1255">
        <v>1432.568841874144</v>
      </c>
      <c r="BM1255">
        <v>9.0125905678170586</v>
      </c>
      <c r="BN1255">
        <v>1532.1403965289001</v>
      </c>
      <c r="BO1255">
        <v>1432.568841874144</v>
      </c>
    </row>
    <row r="1256" spans="1:67" x14ac:dyDescent="0.25">
      <c r="A1256" s="1">
        <v>1254</v>
      </c>
      <c r="B1256" t="s">
        <v>78</v>
      </c>
      <c r="C1256" t="s">
        <v>87</v>
      </c>
      <c r="D1256">
        <v>1</v>
      </c>
      <c r="E1256">
        <v>4</v>
      </c>
      <c r="F1256">
        <v>1</v>
      </c>
      <c r="G1256">
        <v>32.041060000000002</v>
      </c>
      <c r="H1256">
        <v>6</v>
      </c>
      <c r="I1256" t="s">
        <v>89</v>
      </c>
      <c r="J1256">
        <v>2.5</v>
      </c>
      <c r="K1256">
        <v>200</v>
      </c>
      <c r="L1256">
        <v>50</v>
      </c>
      <c r="N1256" t="s">
        <v>90</v>
      </c>
      <c r="O1256">
        <v>50</v>
      </c>
      <c r="P1256">
        <v>0.3125</v>
      </c>
      <c r="Q1256">
        <v>3.2500000000000001E-2</v>
      </c>
      <c r="R1256">
        <v>77.5</v>
      </c>
      <c r="S1256">
        <v>170</v>
      </c>
      <c r="T1256">
        <v>50</v>
      </c>
      <c r="U1256">
        <v>1812.1301775147931</v>
      </c>
      <c r="V1256">
        <v>20</v>
      </c>
      <c r="W1256">
        <v>0.95</v>
      </c>
      <c r="X1256">
        <v>1</v>
      </c>
      <c r="Y1256">
        <v>175633.3765007405</v>
      </c>
      <c r="Z1256">
        <v>351266753.00148112</v>
      </c>
      <c r="AA1256">
        <v>878166882.50370264</v>
      </c>
      <c r="AB1256">
        <v>878166.88250370265</v>
      </c>
      <c r="AC1256">
        <v>0</v>
      </c>
      <c r="AD1256">
        <v>3640.6233200806118</v>
      </c>
      <c r="AE1256">
        <v>2184373.9920483669</v>
      </c>
      <c r="AF1256">
        <v>1092186.9960241839</v>
      </c>
      <c r="AG1256">
        <v>34.994829070830633</v>
      </c>
      <c r="AH1256">
        <v>360.50362271268227</v>
      </c>
      <c r="AI1256">
        <v>180.25181135634119</v>
      </c>
      <c r="AJ1256">
        <v>28540.423681370339</v>
      </c>
      <c r="AK1256">
        <v>854.70085470085473</v>
      </c>
      <c r="AL1256" t="s">
        <v>93</v>
      </c>
      <c r="AM1256">
        <v>27939.030760232879</v>
      </c>
      <c r="AN1256">
        <v>1960.029471756817</v>
      </c>
      <c r="AO1256">
        <v>30642.807930578001</v>
      </c>
      <c r="AP1256">
        <v>59294.184768060877</v>
      </c>
      <c r="AQ1256">
        <v>28651.376837482891</v>
      </c>
      <c r="AR1256">
        <v>2.6131444327083329E-2</v>
      </c>
      <c r="AS1256">
        <v>815.56116829728251</v>
      </c>
      <c r="AT1256">
        <v>798.37597445277993</v>
      </c>
      <c r="AU1256">
        <v>56.009116883801759</v>
      </c>
      <c r="AV1256">
        <v>875.63816552885544</v>
      </c>
      <c r="AW1256">
        <v>1694.369892421752</v>
      </c>
      <c r="AX1256">
        <v>818.73172689289606</v>
      </c>
      <c r="AY1256">
        <v>5.1508127384050324</v>
      </c>
      <c r="AZ1256" t="s">
        <v>97</v>
      </c>
      <c r="BA1256" t="str">
        <f>VLOOKUP($AZ1256,Sheet1!$A$2:$B$58,2)</f>
        <v>1,3-Butanediol (PW2)</v>
      </c>
      <c r="BB1256" t="s">
        <v>153</v>
      </c>
      <c r="BC1256">
        <v>90.119200000000006</v>
      </c>
      <c r="BD1256">
        <v>5.5</v>
      </c>
      <c r="BE1256">
        <v>207</v>
      </c>
      <c r="BF1256" t="s">
        <v>220</v>
      </c>
      <c r="BG1256">
        <v>0</v>
      </c>
      <c r="BH1256">
        <v>0.25</v>
      </c>
      <c r="BI1256">
        <v>0.71439125904570688</v>
      </c>
      <c r="BJ1256">
        <v>80</v>
      </c>
      <c r="BK1256">
        <v>2964.7092384030439</v>
      </c>
      <c r="BL1256">
        <v>1432.568841874144</v>
      </c>
      <c r="BM1256">
        <v>9.0125905678170586</v>
      </c>
      <c r="BN1256">
        <v>1532.1403965289001</v>
      </c>
      <c r="BO1256">
        <v>1432.568841874144</v>
      </c>
    </row>
    <row r="1257" spans="1:67" x14ac:dyDescent="0.25">
      <c r="A1257" s="1">
        <v>1255</v>
      </c>
      <c r="B1257" t="s">
        <v>78</v>
      </c>
      <c r="C1257" t="s">
        <v>87</v>
      </c>
      <c r="D1257">
        <v>1</v>
      </c>
      <c r="E1257">
        <v>4</v>
      </c>
      <c r="F1257">
        <v>1</v>
      </c>
      <c r="G1257">
        <v>32.041060000000002</v>
      </c>
      <c r="H1257">
        <v>6</v>
      </c>
      <c r="I1257" t="s">
        <v>89</v>
      </c>
      <c r="J1257">
        <v>2.5</v>
      </c>
      <c r="K1257">
        <v>200</v>
      </c>
      <c r="L1257">
        <v>50</v>
      </c>
      <c r="N1257" t="s">
        <v>90</v>
      </c>
      <c r="O1257">
        <v>50</v>
      </c>
      <c r="P1257">
        <v>0.3125</v>
      </c>
      <c r="Q1257">
        <v>3.2500000000000001E-2</v>
      </c>
      <c r="R1257">
        <v>77.5</v>
      </c>
      <c r="S1257">
        <v>170</v>
      </c>
      <c r="T1257">
        <v>50</v>
      </c>
      <c r="U1257">
        <v>1812.1301775147931</v>
      </c>
      <c r="V1257">
        <v>20</v>
      </c>
      <c r="W1257">
        <v>0.95</v>
      </c>
      <c r="X1257">
        <v>1</v>
      </c>
      <c r="Y1257">
        <v>316645.12198171823</v>
      </c>
      <c r="Z1257">
        <v>633290243.96343648</v>
      </c>
      <c r="AA1257">
        <v>1583225609.908591</v>
      </c>
      <c r="AB1257">
        <v>1583225.609908591</v>
      </c>
      <c r="AC1257">
        <v>0</v>
      </c>
      <c r="AD1257">
        <v>6563.5908062813614</v>
      </c>
      <c r="AE1257">
        <v>3938154.483768817</v>
      </c>
      <c r="AF1257">
        <v>1969077.241884409</v>
      </c>
      <c r="AG1257">
        <v>63.091322051852849</v>
      </c>
      <c r="AH1257">
        <v>649.94317061499612</v>
      </c>
      <c r="AI1257">
        <v>324.97158530749812</v>
      </c>
      <c r="AJ1257">
        <v>51454.832322029208</v>
      </c>
      <c r="AK1257">
        <v>854.70085470085473</v>
      </c>
      <c r="AL1257" t="s">
        <v>93</v>
      </c>
      <c r="AM1257">
        <v>50370.595722662198</v>
      </c>
      <c r="AN1257">
        <v>3533.6892311558058</v>
      </c>
      <c r="AO1257">
        <v>55245.169502274672</v>
      </c>
      <c r="AP1257">
        <v>106213.8181305481</v>
      </c>
      <c r="AQ1257">
        <v>50968.648628273411</v>
      </c>
      <c r="AR1257">
        <v>2.6131444327083329E-2</v>
      </c>
      <c r="AS1257">
        <v>815.56116829728262</v>
      </c>
      <c r="AT1257">
        <v>798.37597445278016</v>
      </c>
      <c r="AU1257">
        <v>56.009116883801767</v>
      </c>
      <c r="AV1257">
        <v>875.63816552885578</v>
      </c>
      <c r="AW1257">
        <v>1683.4933026645749</v>
      </c>
      <c r="AX1257">
        <v>807.85513713571913</v>
      </c>
      <c r="AY1257">
        <v>5.1508127384050333</v>
      </c>
      <c r="AZ1257" t="s">
        <v>98</v>
      </c>
      <c r="BA1257" t="str">
        <f>VLOOKUP($AZ1257,Sheet1!$A$2:$B$58,2)</f>
        <v>1,3-Diaminopropane</v>
      </c>
      <c r="BB1257" t="s">
        <v>154</v>
      </c>
      <c r="BC1257">
        <v>76.139580000000009</v>
      </c>
      <c r="BD1257">
        <v>6</v>
      </c>
      <c r="BE1257">
        <v>139.30000000000001</v>
      </c>
      <c r="BF1257" t="s">
        <v>220</v>
      </c>
      <c r="BG1257">
        <v>0</v>
      </c>
      <c r="BH1257">
        <v>0.165019011406844</v>
      </c>
      <c r="BI1257">
        <v>0.39625100864827739</v>
      </c>
      <c r="BJ1257">
        <v>80</v>
      </c>
      <c r="BK1257">
        <v>5310.690906527404</v>
      </c>
      <c r="BL1257">
        <v>2548.4324314136702</v>
      </c>
      <c r="BM1257">
        <v>16.2485792653749</v>
      </c>
      <c r="BN1257">
        <v>2762.2584751137342</v>
      </c>
      <c r="BO1257">
        <v>2548.4324314136702</v>
      </c>
    </row>
    <row r="1258" spans="1:67" x14ac:dyDescent="0.25">
      <c r="A1258" s="1">
        <v>1256</v>
      </c>
      <c r="B1258" t="s">
        <v>78</v>
      </c>
      <c r="C1258" t="s">
        <v>87</v>
      </c>
      <c r="D1258">
        <v>1</v>
      </c>
      <c r="E1258">
        <v>4</v>
      </c>
      <c r="F1258">
        <v>1</v>
      </c>
      <c r="G1258">
        <v>32.041060000000002</v>
      </c>
      <c r="H1258">
        <v>6</v>
      </c>
      <c r="I1258" t="s">
        <v>89</v>
      </c>
      <c r="J1258">
        <v>2.5</v>
      </c>
      <c r="K1258">
        <v>200</v>
      </c>
      <c r="L1258">
        <v>50</v>
      </c>
      <c r="N1258" t="s">
        <v>90</v>
      </c>
      <c r="O1258">
        <v>50</v>
      </c>
      <c r="P1258">
        <v>0.3125</v>
      </c>
      <c r="Q1258">
        <v>3.2500000000000001E-2</v>
      </c>
      <c r="R1258">
        <v>77.5</v>
      </c>
      <c r="S1258">
        <v>170</v>
      </c>
      <c r="T1258">
        <v>50</v>
      </c>
      <c r="U1258">
        <v>1812.1301775147931</v>
      </c>
      <c r="V1258">
        <v>20</v>
      </c>
      <c r="W1258">
        <v>0.95</v>
      </c>
      <c r="X1258">
        <v>1</v>
      </c>
      <c r="Y1258">
        <v>155175.1818289673</v>
      </c>
      <c r="Z1258">
        <v>310350363.65793449</v>
      </c>
      <c r="AA1258">
        <v>775875909.14483643</v>
      </c>
      <c r="AB1258">
        <v>775875.90914483648</v>
      </c>
      <c r="AC1258">
        <v>0</v>
      </c>
      <c r="AD1258">
        <v>3216.5548309771598</v>
      </c>
      <c r="AE1258">
        <v>1929932.898586296</v>
      </c>
      <c r="AF1258">
        <v>964966.44929314801</v>
      </c>
      <c r="AG1258">
        <v>30.91854789978872</v>
      </c>
      <c r="AH1258">
        <v>318.51130075043591</v>
      </c>
      <c r="AI1258">
        <v>159.25565037521801</v>
      </c>
      <c r="AJ1258">
        <v>25215.967047207181</v>
      </c>
      <c r="AK1258">
        <v>854.70085470085473</v>
      </c>
      <c r="AL1258" t="s">
        <v>93</v>
      </c>
      <c r="AM1258">
        <v>24684.62580815878</v>
      </c>
      <c r="AN1258">
        <v>1731.7205631966899</v>
      </c>
      <c r="AO1258">
        <v>27073.460563787052</v>
      </c>
      <c r="AP1258">
        <v>52487.014273263507</v>
      </c>
      <c r="AQ1258">
        <v>25413.553709476451</v>
      </c>
      <c r="AR1258">
        <v>2.613144432708334E-2</v>
      </c>
      <c r="AS1258">
        <v>815.56116829728296</v>
      </c>
      <c r="AT1258">
        <v>798.3759744527805</v>
      </c>
      <c r="AU1258">
        <v>56.009116883801759</v>
      </c>
      <c r="AV1258">
        <v>875.63816552885601</v>
      </c>
      <c r="AW1258">
        <v>1697.5898882244139</v>
      </c>
      <c r="AX1258">
        <v>821.95172269555769</v>
      </c>
      <c r="AY1258">
        <v>5.1508127384050351</v>
      </c>
      <c r="AZ1258" t="s">
        <v>99</v>
      </c>
      <c r="BA1258" t="str">
        <f>VLOOKUP($AZ1258,Sheet1!$A$2:$B$58,2)</f>
        <v>1,3-Propanediol</v>
      </c>
      <c r="BB1258" t="s">
        <v>155</v>
      </c>
      <c r="BC1258">
        <v>76.092820000000003</v>
      </c>
      <c r="BD1258">
        <v>5.333333333333333</v>
      </c>
      <c r="BE1258">
        <v>213</v>
      </c>
      <c r="BF1258" t="s">
        <v>220</v>
      </c>
      <c r="BG1258">
        <v>0</v>
      </c>
      <c r="BH1258">
        <v>0.3333333333333332</v>
      </c>
      <c r="BI1258">
        <v>0.80857613627355507</v>
      </c>
      <c r="BJ1258">
        <v>80</v>
      </c>
      <c r="BK1258">
        <v>2624.3507136631752</v>
      </c>
      <c r="BL1258">
        <v>1270.677685473823</v>
      </c>
      <c r="BM1258">
        <v>7.9627825187608989</v>
      </c>
      <c r="BN1258">
        <v>1353.6730281893531</v>
      </c>
      <c r="BO1258">
        <v>1270.6776854738221</v>
      </c>
    </row>
    <row r="1259" spans="1:67" x14ac:dyDescent="0.25">
      <c r="A1259" s="1">
        <v>1257</v>
      </c>
      <c r="B1259" t="s">
        <v>78</v>
      </c>
      <c r="C1259" t="s">
        <v>87</v>
      </c>
      <c r="D1259">
        <v>1</v>
      </c>
      <c r="E1259">
        <v>4</v>
      </c>
      <c r="F1259">
        <v>1</v>
      </c>
      <c r="G1259">
        <v>32.041060000000002</v>
      </c>
      <c r="H1259">
        <v>6</v>
      </c>
      <c r="I1259" t="s">
        <v>89</v>
      </c>
      <c r="J1259">
        <v>2.5</v>
      </c>
      <c r="K1259">
        <v>200</v>
      </c>
      <c r="L1259">
        <v>50</v>
      </c>
      <c r="N1259" t="s">
        <v>90</v>
      </c>
      <c r="O1259">
        <v>50</v>
      </c>
      <c r="P1259">
        <v>0.3125</v>
      </c>
      <c r="Q1259">
        <v>3.2500000000000001E-2</v>
      </c>
      <c r="R1259">
        <v>77.5</v>
      </c>
      <c r="S1259">
        <v>170</v>
      </c>
      <c r="T1259">
        <v>50</v>
      </c>
      <c r="U1259">
        <v>1812.1301775147931</v>
      </c>
      <c r="V1259">
        <v>20</v>
      </c>
      <c r="W1259">
        <v>0.95</v>
      </c>
      <c r="X1259">
        <v>1</v>
      </c>
      <c r="Y1259">
        <v>398066.90800146363</v>
      </c>
      <c r="Z1259">
        <v>796133816.00292718</v>
      </c>
      <c r="AA1259">
        <v>1990334540.007318</v>
      </c>
      <c r="AB1259">
        <v>1990334.5400073179</v>
      </c>
      <c r="AC1259">
        <v>0</v>
      </c>
      <c r="AD1259">
        <v>8251.3454851014685</v>
      </c>
      <c r="AE1259">
        <v>4950807.2910608808</v>
      </c>
      <c r="AF1259">
        <v>2475403.6455304399</v>
      </c>
      <c r="AG1259">
        <v>79.314556730659575</v>
      </c>
      <c r="AH1259">
        <v>817.06885829846021</v>
      </c>
      <c r="AI1259">
        <v>408.53442914923011</v>
      </c>
      <c r="AJ1259">
        <v>64685.872550237837</v>
      </c>
      <c r="AK1259">
        <v>854.70085470085473</v>
      </c>
      <c r="AL1259" t="s">
        <v>93</v>
      </c>
      <c r="AM1259">
        <v>63322.836518130673</v>
      </c>
      <c r="AN1259">
        <v>4442.3382785144386</v>
      </c>
      <c r="AO1259">
        <v>69450.852955369119</v>
      </c>
      <c r="AP1259">
        <v>133305.7482015838</v>
      </c>
      <c r="AQ1259">
        <v>63854.895246214677</v>
      </c>
      <c r="AR1259">
        <v>2.613144432708334E-2</v>
      </c>
      <c r="AS1259">
        <v>815.56116829728285</v>
      </c>
      <c r="AT1259">
        <v>798.37597445278027</v>
      </c>
      <c r="AU1259">
        <v>56.009116883801767</v>
      </c>
      <c r="AV1259">
        <v>875.63816552885589</v>
      </c>
      <c r="AW1259">
        <v>1680.722350302862</v>
      </c>
      <c r="AX1259">
        <v>805.08418477400562</v>
      </c>
      <c r="AY1259">
        <v>5.1508127384050342</v>
      </c>
      <c r="AZ1259" t="s">
        <v>100</v>
      </c>
      <c r="BA1259" t="str">
        <f>VLOOKUP($AZ1259,Sheet1!$A$2:$B$58,2)</f>
        <v>1,4-Butanediol</v>
      </c>
      <c r="BB1259" t="s">
        <v>153</v>
      </c>
      <c r="BC1259">
        <v>90.119200000000006</v>
      </c>
      <c r="BD1259">
        <v>5.5</v>
      </c>
      <c r="BE1259">
        <v>230</v>
      </c>
      <c r="BF1259" t="s">
        <v>220</v>
      </c>
      <c r="BG1259">
        <v>0</v>
      </c>
      <c r="BH1259">
        <v>0.11128205128205131</v>
      </c>
      <c r="BI1259">
        <v>0.31520065206814779</v>
      </c>
      <c r="BJ1259">
        <v>80</v>
      </c>
      <c r="BK1259">
        <v>6665.2874100791914</v>
      </c>
      <c r="BL1259">
        <v>3192.7447623107341</v>
      </c>
      <c r="BM1259">
        <v>20.4267214574615</v>
      </c>
      <c r="BN1259">
        <v>3472.542647768455</v>
      </c>
      <c r="BO1259">
        <v>3192.744762310735</v>
      </c>
    </row>
    <row r="1260" spans="1:67" x14ac:dyDescent="0.25">
      <c r="A1260" s="1">
        <v>1258</v>
      </c>
      <c r="B1260" t="s">
        <v>78</v>
      </c>
      <c r="C1260" t="s">
        <v>87</v>
      </c>
      <c r="D1260">
        <v>1</v>
      </c>
      <c r="E1260">
        <v>4</v>
      </c>
      <c r="F1260">
        <v>1</v>
      </c>
      <c r="G1260">
        <v>32.041060000000002</v>
      </c>
      <c r="H1260">
        <v>6</v>
      </c>
      <c r="I1260" t="s">
        <v>89</v>
      </c>
      <c r="J1260">
        <v>2.5</v>
      </c>
      <c r="K1260">
        <v>200</v>
      </c>
      <c r="L1260">
        <v>50</v>
      </c>
      <c r="N1260" t="s">
        <v>90</v>
      </c>
      <c r="O1260">
        <v>50</v>
      </c>
      <c r="P1260">
        <v>0.3125</v>
      </c>
      <c r="Q1260">
        <v>3.2500000000000001E-2</v>
      </c>
      <c r="R1260">
        <v>77.5</v>
      </c>
      <c r="S1260">
        <v>170</v>
      </c>
      <c r="T1260">
        <v>50</v>
      </c>
      <c r="U1260">
        <v>1812.1301775147931</v>
      </c>
      <c r="V1260">
        <v>20</v>
      </c>
      <c r="W1260">
        <v>0.95</v>
      </c>
      <c r="X1260">
        <v>1</v>
      </c>
      <c r="Y1260">
        <v>389987.81488071801</v>
      </c>
      <c r="Z1260">
        <v>779975629.7614361</v>
      </c>
      <c r="AA1260">
        <v>1949939074.40359</v>
      </c>
      <c r="AB1260">
        <v>1949939.0744035901</v>
      </c>
      <c r="AC1260">
        <v>0</v>
      </c>
      <c r="AD1260">
        <v>8083.8776870866368</v>
      </c>
      <c r="AE1260">
        <v>4850326.6122519821</v>
      </c>
      <c r="AF1260">
        <v>2425163.306125991</v>
      </c>
      <c r="AG1260">
        <v>77.704803001381251</v>
      </c>
      <c r="AH1260">
        <v>800.48577826953647</v>
      </c>
      <c r="AI1260">
        <v>400.24288913476818</v>
      </c>
      <c r="AJ1260">
        <v>63373.01991811669</v>
      </c>
      <c r="AK1260">
        <v>854.70085470085473</v>
      </c>
      <c r="AL1260" t="s">
        <v>93</v>
      </c>
      <c r="AM1260">
        <v>62037.647815889068</v>
      </c>
      <c r="AN1260">
        <v>4352.1773937371536</v>
      </c>
      <c r="AO1260">
        <v>68041.291152910606</v>
      </c>
      <c r="AP1260">
        <v>130617.5459824438</v>
      </c>
      <c r="AQ1260">
        <v>62576.254829533173</v>
      </c>
      <c r="AR1260">
        <v>2.6131444327083329E-2</v>
      </c>
      <c r="AS1260">
        <v>815.56116829728273</v>
      </c>
      <c r="AT1260">
        <v>798.37597445278016</v>
      </c>
      <c r="AU1260">
        <v>56.009116883801767</v>
      </c>
      <c r="AV1260">
        <v>875.63816552885578</v>
      </c>
      <c r="AW1260">
        <v>1680.9455907136389</v>
      </c>
      <c r="AX1260">
        <v>805.30742518478337</v>
      </c>
      <c r="AY1260">
        <v>5.1508127384050333</v>
      </c>
      <c r="AZ1260" t="s">
        <v>101</v>
      </c>
      <c r="BA1260" t="str">
        <f>VLOOKUP($AZ1260,Sheet1!$A$2:$B$58,2)</f>
        <v>1-Propanol (PW1)</v>
      </c>
      <c r="BB1260" t="s">
        <v>156</v>
      </c>
      <c r="BC1260">
        <v>60.093820000000001</v>
      </c>
      <c r="BD1260">
        <v>6</v>
      </c>
      <c r="BE1260">
        <v>97</v>
      </c>
      <c r="BF1260" t="s">
        <v>220</v>
      </c>
      <c r="BG1260">
        <v>0</v>
      </c>
      <c r="BH1260">
        <v>0.1715415019762844</v>
      </c>
      <c r="BI1260">
        <v>0.32173043408340679</v>
      </c>
      <c r="BJ1260">
        <v>80</v>
      </c>
      <c r="BK1260">
        <v>6530.8772991221877</v>
      </c>
      <c r="BL1260">
        <v>3128.8127414766582</v>
      </c>
      <c r="BM1260">
        <v>20.012144456738412</v>
      </c>
      <c r="BN1260">
        <v>3402.0645576455299</v>
      </c>
      <c r="BO1260">
        <v>3128.8127414766582</v>
      </c>
    </row>
    <row r="1261" spans="1:67" x14ac:dyDescent="0.25">
      <c r="A1261" s="1">
        <v>1259</v>
      </c>
      <c r="B1261" t="s">
        <v>78</v>
      </c>
      <c r="C1261" t="s">
        <v>87</v>
      </c>
      <c r="D1261">
        <v>1</v>
      </c>
      <c r="E1261">
        <v>4</v>
      </c>
      <c r="F1261">
        <v>1</v>
      </c>
      <c r="G1261">
        <v>32.041060000000002</v>
      </c>
      <c r="H1261">
        <v>6</v>
      </c>
      <c r="I1261" t="s">
        <v>89</v>
      </c>
      <c r="J1261">
        <v>2.5</v>
      </c>
      <c r="K1261">
        <v>200</v>
      </c>
      <c r="L1261">
        <v>50</v>
      </c>
      <c r="N1261" t="s">
        <v>90</v>
      </c>
      <c r="O1261">
        <v>50</v>
      </c>
      <c r="P1261">
        <v>0.3125</v>
      </c>
      <c r="Q1261">
        <v>3.2500000000000001E-2</v>
      </c>
      <c r="R1261">
        <v>77.5</v>
      </c>
      <c r="S1261">
        <v>170</v>
      </c>
      <c r="T1261">
        <v>50</v>
      </c>
      <c r="U1261">
        <v>1812.1301775147931</v>
      </c>
      <c r="V1261">
        <v>20</v>
      </c>
      <c r="W1261">
        <v>0.95</v>
      </c>
      <c r="X1261">
        <v>1</v>
      </c>
      <c r="Y1261">
        <v>226593.71062239329</v>
      </c>
      <c r="Z1261">
        <v>453187421.24478668</v>
      </c>
      <c r="AA1261">
        <v>1132968553.1119671</v>
      </c>
      <c r="AB1261">
        <v>1132968.5531119669</v>
      </c>
      <c r="AC1261">
        <v>0</v>
      </c>
      <c r="AD1261">
        <v>4696.9566007973708</v>
      </c>
      <c r="AE1261">
        <v>2818173.9604784222</v>
      </c>
      <c r="AF1261">
        <v>1409086.9802392111</v>
      </c>
      <c r="AG1261">
        <v>45.148640479063367</v>
      </c>
      <c r="AH1261">
        <v>465.10438500245749</v>
      </c>
      <c r="AI1261">
        <v>232.5521925012288</v>
      </c>
      <c r="AJ1261">
        <v>36821.477976138922</v>
      </c>
      <c r="AK1261">
        <v>854.70085470085473</v>
      </c>
      <c r="AL1261" t="s">
        <v>93</v>
      </c>
      <c r="AM1261">
        <v>36045.589837690459</v>
      </c>
      <c r="AN1261">
        <v>2528.735481736604</v>
      </c>
      <c r="AO1261">
        <v>39533.872725208887</v>
      </c>
      <c r="AP1261">
        <v>76250.504150266832</v>
      </c>
      <c r="AQ1261">
        <v>36716.631425057938</v>
      </c>
      <c r="AR1261">
        <v>2.613144432708334E-2</v>
      </c>
      <c r="AS1261">
        <v>815.56116829728285</v>
      </c>
      <c r="AT1261">
        <v>798.37597445278004</v>
      </c>
      <c r="AU1261">
        <v>56.009116883801752</v>
      </c>
      <c r="AV1261">
        <v>875.63816552885567</v>
      </c>
      <c r="AW1261">
        <v>1688.877081152116</v>
      </c>
      <c r="AX1261">
        <v>813.23891562326037</v>
      </c>
      <c r="AY1261">
        <v>5.1508127384050342</v>
      </c>
      <c r="AZ1261" t="s">
        <v>102</v>
      </c>
      <c r="BA1261" t="str">
        <f>VLOOKUP($AZ1261,Sheet1!$A$2:$B$58,2)</f>
        <v>1-Propanol (PW2)</v>
      </c>
      <c r="BB1261" t="s">
        <v>156</v>
      </c>
      <c r="BC1261">
        <v>60.093820000000001</v>
      </c>
      <c r="BD1261">
        <v>6</v>
      </c>
      <c r="BE1261">
        <v>97</v>
      </c>
      <c r="BF1261" t="s">
        <v>220</v>
      </c>
      <c r="BG1261">
        <v>0</v>
      </c>
      <c r="BH1261">
        <v>0.29523809523809519</v>
      </c>
      <c r="BI1261">
        <v>0.55372652940885703</v>
      </c>
      <c r="BJ1261">
        <v>80</v>
      </c>
      <c r="BK1261">
        <v>3812.5252075133408</v>
      </c>
      <c r="BL1261">
        <v>1835.831571252897</v>
      </c>
      <c r="BM1261">
        <v>11.62760962506144</v>
      </c>
      <c r="BN1261">
        <v>1976.6936362604449</v>
      </c>
      <c r="BO1261">
        <v>1835.8315712528961</v>
      </c>
    </row>
    <row r="1262" spans="1:67" x14ac:dyDescent="0.25">
      <c r="A1262" s="1">
        <v>1260</v>
      </c>
      <c r="B1262" t="s">
        <v>78</v>
      </c>
      <c r="C1262" t="s">
        <v>87</v>
      </c>
      <c r="D1262">
        <v>1</v>
      </c>
      <c r="E1262">
        <v>4</v>
      </c>
      <c r="F1262">
        <v>1</v>
      </c>
      <c r="G1262">
        <v>32.041060000000002</v>
      </c>
      <c r="H1262">
        <v>6</v>
      </c>
      <c r="I1262" t="s">
        <v>89</v>
      </c>
      <c r="J1262">
        <v>2.5</v>
      </c>
      <c r="K1262">
        <v>200</v>
      </c>
      <c r="L1262">
        <v>50</v>
      </c>
      <c r="N1262" t="s">
        <v>90</v>
      </c>
      <c r="O1262">
        <v>50</v>
      </c>
      <c r="P1262">
        <v>0.3125</v>
      </c>
      <c r="Q1262">
        <v>3.2500000000000001E-2</v>
      </c>
      <c r="R1262">
        <v>77.5</v>
      </c>
      <c r="S1262">
        <v>170</v>
      </c>
      <c r="T1262">
        <v>50</v>
      </c>
      <c r="U1262">
        <v>1812.1301775147931</v>
      </c>
      <c r="V1262">
        <v>20</v>
      </c>
      <c r="W1262">
        <v>0.95</v>
      </c>
      <c r="X1262">
        <v>1</v>
      </c>
      <c r="Y1262">
        <v>175633.3765007405</v>
      </c>
      <c r="Z1262">
        <v>351266753.00148112</v>
      </c>
      <c r="AA1262">
        <v>878166882.50370264</v>
      </c>
      <c r="AB1262">
        <v>878166.88250370265</v>
      </c>
      <c r="AC1262">
        <v>0</v>
      </c>
      <c r="AD1262">
        <v>3640.6233200806118</v>
      </c>
      <c r="AE1262">
        <v>2184373.9920483669</v>
      </c>
      <c r="AF1262">
        <v>1092186.9960241839</v>
      </c>
      <c r="AG1262">
        <v>34.994829070830633</v>
      </c>
      <c r="AH1262">
        <v>360.50362271268227</v>
      </c>
      <c r="AI1262">
        <v>180.25181135634119</v>
      </c>
      <c r="AJ1262">
        <v>28540.423681370339</v>
      </c>
      <c r="AK1262">
        <v>854.70085470085473</v>
      </c>
      <c r="AL1262" t="s">
        <v>93</v>
      </c>
      <c r="AM1262">
        <v>27939.030760232879</v>
      </c>
      <c r="AN1262">
        <v>1960.029471756817</v>
      </c>
      <c r="AO1262">
        <v>30642.807930578001</v>
      </c>
      <c r="AP1262">
        <v>59294.184768060877</v>
      </c>
      <c r="AQ1262">
        <v>28651.376837482891</v>
      </c>
      <c r="AR1262">
        <v>2.6131444327083329E-2</v>
      </c>
      <c r="AS1262">
        <v>815.56116829728251</v>
      </c>
      <c r="AT1262">
        <v>798.37597445277993</v>
      </c>
      <c r="AU1262">
        <v>56.009116883801759</v>
      </c>
      <c r="AV1262">
        <v>875.63816552885544</v>
      </c>
      <c r="AW1262">
        <v>1694.369892421752</v>
      </c>
      <c r="AX1262">
        <v>818.73172689289606</v>
      </c>
      <c r="AY1262">
        <v>5.1508127384050324</v>
      </c>
      <c r="AZ1262" t="s">
        <v>103</v>
      </c>
      <c r="BA1262" t="str">
        <f>VLOOKUP($AZ1262,Sheet1!$A$2:$B$58,2)</f>
        <v>2,3-Butanediol</v>
      </c>
      <c r="BB1262" t="s">
        <v>153</v>
      </c>
      <c r="BC1262">
        <v>90.119200000000006</v>
      </c>
      <c r="BD1262">
        <v>5.5</v>
      </c>
      <c r="BE1262">
        <v>177</v>
      </c>
      <c r="BF1262" t="s">
        <v>220</v>
      </c>
      <c r="BG1262">
        <v>0</v>
      </c>
      <c r="BH1262">
        <v>0.25</v>
      </c>
      <c r="BI1262">
        <v>0.71439125904570688</v>
      </c>
      <c r="BJ1262">
        <v>80</v>
      </c>
      <c r="BK1262">
        <v>2964.7092384030439</v>
      </c>
      <c r="BL1262">
        <v>1432.568841874144</v>
      </c>
      <c r="BM1262">
        <v>9.0125905678170586</v>
      </c>
      <c r="BN1262">
        <v>1532.1403965289001</v>
      </c>
      <c r="BO1262">
        <v>1432.568841874144</v>
      </c>
    </row>
    <row r="1263" spans="1:67" x14ac:dyDescent="0.25">
      <c r="A1263" s="1">
        <v>1261</v>
      </c>
      <c r="B1263" t="s">
        <v>78</v>
      </c>
      <c r="C1263" t="s">
        <v>87</v>
      </c>
      <c r="D1263">
        <v>1</v>
      </c>
      <c r="E1263">
        <v>4</v>
      </c>
      <c r="F1263">
        <v>1</v>
      </c>
      <c r="G1263">
        <v>32.041060000000002</v>
      </c>
      <c r="H1263">
        <v>6</v>
      </c>
      <c r="I1263" t="s">
        <v>89</v>
      </c>
      <c r="J1263">
        <v>2.5</v>
      </c>
      <c r="K1263">
        <v>200</v>
      </c>
      <c r="L1263">
        <v>50</v>
      </c>
      <c r="N1263" t="s">
        <v>90</v>
      </c>
      <c r="O1263">
        <v>50</v>
      </c>
      <c r="P1263">
        <v>0.3125</v>
      </c>
      <c r="Q1263">
        <v>3.2500000000000001E-2</v>
      </c>
      <c r="R1263">
        <v>77.5</v>
      </c>
      <c r="S1263">
        <v>170</v>
      </c>
      <c r="T1263">
        <v>50</v>
      </c>
      <c r="U1263">
        <v>1812.1301775147931</v>
      </c>
      <c r="V1263">
        <v>20</v>
      </c>
      <c r="W1263">
        <v>0.95</v>
      </c>
      <c r="X1263">
        <v>1</v>
      </c>
      <c r="Y1263">
        <v>832931.55911227211</v>
      </c>
      <c r="Z1263">
        <v>1665863118.224544</v>
      </c>
      <c r="AA1263">
        <v>4164657795.5613599</v>
      </c>
      <c r="AB1263">
        <v>4164657.7955613602</v>
      </c>
      <c r="AC1263">
        <v>0</v>
      </c>
      <c r="AD1263">
        <v>17265.45442871705</v>
      </c>
      <c r="AE1263">
        <v>10359272.65723023</v>
      </c>
      <c r="AF1263">
        <v>5179636.328615116</v>
      </c>
      <c r="AG1263">
        <v>165.9610383833367</v>
      </c>
      <c r="AH1263">
        <v>1709.668461167634</v>
      </c>
      <c r="AI1263">
        <v>854.83423058381709</v>
      </c>
      <c r="AJ1263">
        <v>135351.37835574421</v>
      </c>
      <c r="AK1263">
        <v>854.70085470085473</v>
      </c>
      <c r="AL1263" t="s">
        <v>93</v>
      </c>
      <c r="AM1263">
        <v>132499.30574049169</v>
      </c>
      <c r="AN1263">
        <v>9295.331196969415</v>
      </c>
      <c r="AO1263">
        <v>145321.81919924889</v>
      </c>
      <c r="AP1263">
        <v>278000.71614790621</v>
      </c>
      <c r="AQ1263">
        <v>132678.89694865729</v>
      </c>
      <c r="AR1263">
        <v>2.6131444327083329E-2</v>
      </c>
      <c r="AS1263">
        <v>815.56116829728273</v>
      </c>
      <c r="AT1263">
        <v>798.37597445278016</v>
      </c>
      <c r="AU1263">
        <v>56.009116883801767</v>
      </c>
      <c r="AV1263">
        <v>875.63816552885567</v>
      </c>
      <c r="AW1263">
        <v>1675.0962687144699</v>
      </c>
      <c r="AX1263">
        <v>799.4581031856145</v>
      </c>
      <c r="AY1263">
        <v>5.1508127384050324</v>
      </c>
      <c r="AZ1263" t="s">
        <v>107</v>
      </c>
      <c r="BA1263" t="str">
        <f>VLOOKUP($AZ1263,Sheet1!$A$2:$B$58,2)</f>
        <v>4-Hydroxystyrene</v>
      </c>
      <c r="BB1263" t="s">
        <v>160</v>
      </c>
      <c r="BC1263">
        <v>120.14731999999999</v>
      </c>
      <c r="BD1263">
        <v>4.75</v>
      </c>
      <c r="BE1263">
        <v>229</v>
      </c>
      <c r="BF1263" t="s">
        <v>220</v>
      </c>
      <c r="BG1263">
        <v>0</v>
      </c>
      <c r="BH1263">
        <v>3.9670932358318201E-2</v>
      </c>
      <c r="BI1263">
        <v>0.15063776560770259</v>
      </c>
      <c r="BJ1263">
        <v>80</v>
      </c>
      <c r="BK1263">
        <v>13900.03580739531</v>
      </c>
      <c r="BL1263">
        <v>6633.9448474328638</v>
      </c>
      <c r="BM1263">
        <v>42.741711529190837</v>
      </c>
      <c r="BN1263">
        <v>7266.0909599624438</v>
      </c>
      <c r="BO1263">
        <v>6633.9448474328647</v>
      </c>
    </row>
    <row r="1264" spans="1:67" x14ac:dyDescent="0.25">
      <c r="A1264" s="1">
        <v>1262</v>
      </c>
      <c r="B1264" t="s">
        <v>78</v>
      </c>
      <c r="C1264" t="s">
        <v>87</v>
      </c>
      <c r="D1264">
        <v>1</v>
      </c>
      <c r="E1264">
        <v>4</v>
      </c>
      <c r="F1264">
        <v>1</v>
      </c>
      <c r="G1264">
        <v>32.041060000000002</v>
      </c>
      <c r="H1264">
        <v>6</v>
      </c>
      <c r="I1264" t="s">
        <v>89</v>
      </c>
      <c r="J1264">
        <v>2.5</v>
      </c>
      <c r="K1264">
        <v>200</v>
      </c>
      <c r="L1264">
        <v>50</v>
      </c>
      <c r="N1264" t="s">
        <v>90</v>
      </c>
      <c r="O1264">
        <v>50</v>
      </c>
      <c r="P1264">
        <v>0.3125</v>
      </c>
      <c r="Q1264">
        <v>3.2500000000000001E-2</v>
      </c>
      <c r="R1264">
        <v>77.5</v>
      </c>
      <c r="S1264">
        <v>170</v>
      </c>
      <c r="T1264">
        <v>50</v>
      </c>
      <c r="U1264">
        <v>1812.1301775147931</v>
      </c>
      <c r="V1264">
        <v>20</v>
      </c>
      <c r="W1264">
        <v>0.95</v>
      </c>
      <c r="X1264">
        <v>1</v>
      </c>
      <c r="Y1264" t="s">
        <v>92</v>
      </c>
      <c r="Z1264" t="s">
        <v>92</v>
      </c>
      <c r="AA1264" t="s">
        <v>92</v>
      </c>
      <c r="AB1264" t="s">
        <v>92</v>
      </c>
      <c r="AC1264">
        <v>0</v>
      </c>
      <c r="AD1264" t="s">
        <v>92</v>
      </c>
      <c r="AE1264" t="s">
        <v>92</v>
      </c>
      <c r="AF1264" t="s">
        <v>92</v>
      </c>
      <c r="AG1264" t="s">
        <v>92</v>
      </c>
      <c r="AH1264" t="s">
        <v>92</v>
      </c>
      <c r="AI1264" t="s">
        <v>92</v>
      </c>
      <c r="AJ1264" t="s">
        <v>92</v>
      </c>
      <c r="AK1264">
        <v>854.70085470085473</v>
      </c>
      <c r="AL1264" t="s">
        <v>93</v>
      </c>
      <c r="AM1264" t="s">
        <v>92</v>
      </c>
      <c r="AN1264" t="s">
        <v>92</v>
      </c>
      <c r="AO1264" t="s">
        <v>92</v>
      </c>
      <c r="AP1264" t="s">
        <v>92</v>
      </c>
      <c r="AZ1264" t="s">
        <v>108</v>
      </c>
      <c r="BA1264" t="str">
        <f>VLOOKUP($AZ1264,Sheet1!$A$2:$B$58,2)</f>
        <v>5-Aminopentanoate</v>
      </c>
      <c r="BB1264" t="s">
        <v>161</v>
      </c>
      <c r="BC1264">
        <v>117.14444</v>
      </c>
      <c r="BD1264">
        <v>4.8</v>
      </c>
      <c r="BE1264">
        <v>247.5</v>
      </c>
      <c r="BF1264" t="s">
        <v>220</v>
      </c>
      <c r="BH1264">
        <v>0</v>
      </c>
      <c r="BI1264">
        <v>0</v>
      </c>
      <c r="BJ1264">
        <v>80</v>
      </c>
    </row>
    <row r="1265" spans="1:67" x14ac:dyDescent="0.25">
      <c r="A1265" s="1">
        <v>1263</v>
      </c>
      <c r="B1265" t="s">
        <v>78</v>
      </c>
      <c r="C1265" t="s">
        <v>87</v>
      </c>
      <c r="D1265">
        <v>1</v>
      </c>
      <c r="E1265">
        <v>4</v>
      </c>
      <c r="F1265">
        <v>1</v>
      </c>
      <c r="G1265">
        <v>32.041060000000002</v>
      </c>
      <c r="H1265">
        <v>6</v>
      </c>
      <c r="I1265" t="s">
        <v>89</v>
      </c>
      <c r="J1265">
        <v>2.5</v>
      </c>
      <c r="K1265">
        <v>200</v>
      </c>
      <c r="L1265">
        <v>50</v>
      </c>
      <c r="N1265" t="s">
        <v>90</v>
      </c>
      <c r="O1265">
        <v>50</v>
      </c>
      <c r="P1265">
        <v>0.3125</v>
      </c>
      <c r="Q1265">
        <v>3.2500000000000001E-2</v>
      </c>
      <c r="R1265">
        <v>77.5</v>
      </c>
      <c r="S1265">
        <v>170</v>
      </c>
      <c r="T1265">
        <v>50</v>
      </c>
      <c r="U1265">
        <v>1812.1301775147931</v>
      </c>
      <c r="V1265">
        <v>20</v>
      </c>
      <c r="W1265">
        <v>0.95</v>
      </c>
      <c r="X1265">
        <v>1</v>
      </c>
      <c r="Y1265">
        <v>203307.4265012425</v>
      </c>
      <c r="Z1265">
        <v>406614853.0024851</v>
      </c>
      <c r="AA1265">
        <v>1016537132.5062129</v>
      </c>
      <c r="AB1265">
        <v>1016537.132506213</v>
      </c>
      <c r="AC1265">
        <v>0</v>
      </c>
      <c r="AD1265">
        <v>4214.26594883506</v>
      </c>
      <c r="AE1265">
        <v>2528559.5693010362</v>
      </c>
      <c r="AF1265">
        <v>1264279.7846505181</v>
      </c>
      <c r="AG1265">
        <v>40.508864436774317</v>
      </c>
      <c r="AH1265">
        <v>417.30714991851971</v>
      </c>
      <c r="AI1265">
        <v>208.65357495925991</v>
      </c>
      <c r="AJ1265">
        <v>33037.456806451912</v>
      </c>
      <c r="AK1265">
        <v>854.70085470085473</v>
      </c>
      <c r="AL1265" t="s">
        <v>93</v>
      </c>
      <c r="AM1265">
        <v>32341.304118685279</v>
      </c>
      <c r="AN1265">
        <v>2268.865723069373</v>
      </c>
      <c r="AO1265">
        <v>35471.107743074179</v>
      </c>
      <c r="AP1265">
        <v>68502.327502907428</v>
      </c>
      <c r="AQ1265">
        <v>33031.21975983325</v>
      </c>
      <c r="AR1265">
        <v>2.6131444327083329E-2</v>
      </c>
      <c r="AS1265">
        <v>815.56116829728273</v>
      </c>
      <c r="AT1265">
        <v>798.37597445278027</v>
      </c>
      <c r="AU1265">
        <v>56.009116883801752</v>
      </c>
      <c r="AV1265">
        <v>875.63816552885589</v>
      </c>
      <c r="AW1265">
        <v>1691.0453663746839</v>
      </c>
      <c r="AX1265">
        <v>815.40720084582779</v>
      </c>
      <c r="AY1265">
        <v>5.1508127384050342</v>
      </c>
      <c r="AZ1265" t="s">
        <v>109</v>
      </c>
      <c r="BA1265" t="str">
        <f>VLOOKUP($AZ1265,Sheet1!$A$2:$B$58,2)</f>
        <v>Acetone</v>
      </c>
      <c r="BB1265" t="s">
        <v>162</v>
      </c>
      <c r="BC1265">
        <v>58.078139999999998</v>
      </c>
      <c r="BD1265">
        <v>5.333333333333333</v>
      </c>
      <c r="BE1265">
        <v>56</v>
      </c>
      <c r="BF1265" t="s">
        <v>220</v>
      </c>
      <c r="BG1265">
        <v>0</v>
      </c>
      <c r="BH1265">
        <v>0.33333333333333331</v>
      </c>
      <c r="BI1265">
        <v>0.61714887216894609</v>
      </c>
      <c r="BJ1265">
        <v>80</v>
      </c>
      <c r="BK1265">
        <v>3425.116375145371</v>
      </c>
      <c r="BL1265">
        <v>1651.5609879916619</v>
      </c>
      <c r="BM1265">
        <v>10.43267874796299</v>
      </c>
      <c r="BN1265">
        <v>1773.555387153709</v>
      </c>
      <c r="BO1265">
        <v>1651.5609879916619</v>
      </c>
    </row>
    <row r="1266" spans="1:67" x14ac:dyDescent="0.25">
      <c r="A1266" s="1">
        <v>1264</v>
      </c>
      <c r="B1266" t="s">
        <v>78</v>
      </c>
      <c r="C1266" t="s">
        <v>87</v>
      </c>
      <c r="D1266">
        <v>1</v>
      </c>
      <c r="E1266">
        <v>4</v>
      </c>
      <c r="F1266">
        <v>1</v>
      </c>
      <c r="G1266">
        <v>32.041060000000002</v>
      </c>
      <c r="H1266">
        <v>6</v>
      </c>
      <c r="I1266" t="s">
        <v>89</v>
      </c>
      <c r="J1266">
        <v>2.5</v>
      </c>
      <c r="K1266">
        <v>200</v>
      </c>
      <c r="L1266">
        <v>50</v>
      </c>
      <c r="N1266" t="s">
        <v>90</v>
      </c>
      <c r="O1266">
        <v>50</v>
      </c>
      <c r="P1266">
        <v>0.3125</v>
      </c>
      <c r="Q1266">
        <v>3.2500000000000001E-2</v>
      </c>
      <c r="R1266">
        <v>77.5</v>
      </c>
      <c r="S1266">
        <v>170</v>
      </c>
      <c r="T1266">
        <v>50</v>
      </c>
      <c r="U1266">
        <v>1812.1301775147931</v>
      </c>
      <c r="V1266">
        <v>20</v>
      </c>
      <c r="W1266">
        <v>0.95</v>
      </c>
      <c r="X1266">
        <v>1</v>
      </c>
      <c r="Y1266">
        <v>592928.23271987052</v>
      </c>
      <c r="Z1266">
        <v>1185856465.4397409</v>
      </c>
      <c r="AA1266">
        <v>2964641163.5993528</v>
      </c>
      <c r="AB1266">
        <v>2964641.1635993528</v>
      </c>
      <c r="AC1266">
        <v>0</v>
      </c>
      <c r="AD1266">
        <v>12290.536082502769</v>
      </c>
      <c r="AE1266">
        <v>7374321.649501659</v>
      </c>
      <c r="AF1266">
        <v>3687160.824750829</v>
      </c>
      <c r="AG1266">
        <v>118.1405412154908</v>
      </c>
      <c r="AH1266">
        <v>1217.0396092296301</v>
      </c>
      <c r="AI1266">
        <v>608.51980461481503</v>
      </c>
      <c r="AJ1266">
        <v>96350.837816978965</v>
      </c>
      <c r="AK1266">
        <v>854.70085470085473</v>
      </c>
      <c r="AL1266" t="s">
        <v>93</v>
      </c>
      <c r="AM1266">
        <v>94320.569715296326</v>
      </c>
      <c r="AN1266">
        <v>6616.9473816540249</v>
      </c>
      <c r="AO1266">
        <v>103448.3667845186</v>
      </c>
      <c r="AP1266">
        <v>198143.05576863021</v>
      </c>
      <c r="AQ1266">
        <v>94694.688984111621</v>
      </c>
      <c r="AR1266">
        <v>2.6131444327083329E-2</v>
      </c>
      <c r="AS1266">
        <v>815.56116829728273</v>
      </c>
      <c r="AT1266">
        <v>798.37597445278016</v>
      </c>
      <c r="AU1266">
        <v>56.009116883801759</v>
      </c>
      <c r="AV1266">
        <v>875.63816552885578</v>
      </c>
      <c r="AW1266">
        <v>1677.1808705972751</v>
      </c>
      <c r="AX1266">
        <v>801.54270506841954</v>
      </c>
      <c r="AY1266">
        <v>5.1508127384050342</v>
      </c>
      <c r="AZ1266" t="s">
        <v>110</v>
      </c>
      <c r="BA1266" t="str">
        <f>VLOOKUP($AZ1266,Sheet1!$A$2:$B$58,2)</f>
        <v>Acrylate (PW1)</v>
      </c>
      <c r="BB1266" t="s">
        <v>163</v>
      </c>
      <c r="BC1266">
        <v>71.053619999999995</v>
      </c>
      <c r="BD1266">
        <v>3.666666666666667</v>
      </c>
      <c r="BE1266">
        <v>80</v>
      </c>
      <c r="BF1266" t="s">
        <v>220</v>
      </c>
      <c r="BG1266">
        <v>0</v>
      </c>
      <c r="BH1266">
        <v>9.3736501079913506E-2</v>
      </c>
      <c r="BI1266">
        <v>0.2116123706797608</v>
      </c>
      <c r="BJ1266">
        <v>80</v>
      </c>
      <c r="BK1266">
        <v>9907.1527884315074</v>
      </c>
      <c r="BL1266">
        <v>4734.7344492055799</v>
      </c>
      <c r="BM1266">
        <v>30.425990230740751</v>
      </c>
      <c r="BN1266">
        <v>5172.4183392259274</v>
      </c>
      <c r="BO1266">
        <v>4734.7344492055799</v>
      </c>
    </row>
    <row r="1267" spans="1:67" x14ac:dyDescent="0.25">
      <c r="A1267" s="1">
        <v>1265</v>
      </c>
      <c r="B1267" t="s">
        <v>78</v>
      </c>
      <c r="C1267" t="s">
        <v>87</v>
      </c>
      <c r="D1267">
        <v>1</v>
      </c>
      <c r="E1267">
        <v>4</v>
      </c>
      <c r="F1267">
        <v>1</v>
      </c>
      <c r="G1267">
        <v>32.041060000000002</v>
      </c>
      <c r="H1267">
        <v>6</v>
      </c>
      <c r="I1267" t="s">
        <v>89</v>
      </c>
      <c r="J1267">
        <v>2.5</v>
      </c>
      <c r="K1267">
        <v>200</v>
      </c>
      <c r="L1267">
        <v>50</v>
      </c>
      <c r="N1267" t="s">
        <v>90</v>
      </c>
      <c r="O1267">
        <v>50</v>
      </c>
      <c r="P1267">
        <v>0.3125</v>
      </c>
      <c r="Q1267">
        <v>3.2500000000000001E-2</v>
      </c>
      <c r="R1267">
        <v>77.5</v>
      </c>
      <c r="S1267">
        <v>170</v>
      </c>
      <c r="T1267">
        <v>50</v>
      </c>
      <c r="U1267">
        <v>1812.1301775147931</v>
      </c>
      <c r="V1267">
        <v>20</v>
      </c>
      <c r="W1267">
        <v>0.95</v>
      </c>
      <c r="X1267">
        <v>1</v>
      </c>
      <c r="Y1267">
        <v>253969.0004416118</v>
      </c>
      <c r="Z1267">
        <v>507938000.88322371</v>
      </c>
      <c r="AA1267">
        <v>1269845002.2080591</v>
      </c>
      <c r="AB1267">
        <v>1269845.002208059</v>
      </c>
      <c r="AC1267">
        <v>0</v>
      </c>
      <c r="AD1267">
        <v>5264.4063674389181</v>
      </c>
      <c r="AE1267">
        <v>3158643.820463351</v>
      </c>
      <c r="AF1267">
        <v>1579321.910231675</v>
      </c>
      <c r="AG1267">
        <v>50.603148085047721</v>
      </c>
      <c r="AH1267">
        <v>521.29467951972026</v>
      </c>
      <c r="AI1267">
        <v>260.64733975986007</v>
      </c>
      <c r="AJ1267">
        <v>41269.962571761927</v>
      </c>
      <c r="AK1267">
        <v>854.70085470085473</v>
      </c>
      <c r="AL1267" t="s">
        <v>93</v>
      </c>
      <c r="AM1267">
        <v>40400.337662778322</v>
      </c>
      <c r="AN1267">
        <v>2834.237635783767</v>
      </c>
      <c r="AO1267">
        <v>44310.047759176217</v>
      </c>
      <c r="AP1267">
        <v>85359.238725024872</v>
      </c>
      <c r="AQ1267">
        <v>41049.190965848647</v>
      </c>
      <c r="AR1267">
        <v>2.613144432708334E-2</v>
      </c>
      <c r="AS1267">
        <v>815.56116829728296</v>
      </c>
      <c r="AT1267">
        <v>798.37597445278038</v>
      </c>
      <c r="AU1267">
        <v>56.009116883801752</v>
      </c>
      <c r="AV1267">
        <v>875.63816552885589</v>
      </c>
      <c r="AW1267">
        <v>1686.83653004282</v>
      </c>
      <c r="AX1267">
        <v>811.19836451396429</v>
      </c>
      <c r="AY1267">
        <v>5.1508127384050342</v>
      </c>
      <c r="AZ1267" t="s">
        <v>111</v>
      </c>
      <c r="BA1267" t="str">
        <f>VLOOKUP($AZ1267,Sheet1!$A$2:$B$58,2)</f>
        <v>Acrylate (PW2)</v>
      </c>
      <c r="BB1267" t="s">
        <v>163</v>
      </c>
      <c r="BC1267">
        <v>71.053619999999995</v>
      </c>
      <c r="BD1267">
        <v>3.666666666666667</v>
      </c>
      <c r="BE1267">
        <v>80</v>
      </c>
      <c r="BF1267" t="s">
        <v>220</v>
      </c>
      <c r="BG1267">
        <v>0</v>
      </c>
      <c r="BH1267">
        <v>0.2137931034482759</v>
      </c>
      <c r="BI1267">
        <v>0.49404040946193678</v>
      </c>
      <c r="BJ1267">
        <v>80</v>
      </c>
      <c r="BK1267">
        <v>4267.961936251244</v>
      </c>
      <c r="BL1267">
        <v>2052.4595482924328</v>
      </c>
      <c r="BM1267">
        <v>13.03236698799301</v>
      </c>
      <c r="BN1267">
        <v>2215.5023879588111</v>
      </c>
      <c r="BO1267">
        <v>2052.4595482924328</v>
      </c>
    </row>
    <row r="1268" spans="1:67" x14ac:dyDescent="0.25">
      <c r="A1268" s="1">
        <v>1266</v>
      </c>
      <c r="B1268" t="s">
        <v>78</v>
      </c>
      <c r="C1268" t="s">
        <v>87</v>
      </c>
      <c r="D1268">
        <v>1</v>
      </c>
      <c r="E1268">
        <v>4</v>
      </c>
      <c r="F1268">
        <v>1</v>
      </c>
      <c r="G1268">
        <v>32.041060000000002</v>
      </c>
      <c r="H1268">
        <v>6</v>
      </c>
      <c r="I1268" t="s">
        <v>89</v>
      </c>
      <c r="J1268">
        <v>2.5</v>
      </c>
      <c r="K1268">
        <v>200</v>
      </c>
      <c r="L1268">
        <v>50</v>
      </c>
      <c r="N1268" t="s">
        <v>90</v>
      </c>
      <c r="O1268">
        <v>50</v>
      </c>
      <c r="P1268">
        <v>0.3125</v>
      </c>
      <c r="Q1268">
        <v>3.2500000000000001E-2</v>
      </c>
      <c r="R1268">
        <v>77.5</v>
      </c>
      <c r="S1268">
        <v>170</v>
      </c>
      <c r="T1268">
        <v>50</v>
      </c>
      <c r="U1268">
        <v>1812.1301775147931</v>
      </c>
      <c r="V1268">
        <v>20</v>
      </c>
      <c r="W1268">
        <v>0.95</v>
      </c>
      <c r="X1268">
        <v>1</v>
      </c>
      <c r="Y1268" t="s">
        <v>92</v>
      </c>
      <c r="Z1268" t="s">
        <v>92</v>
      </c>
      <c r="AA1268" t="s">
        <v>92</v>
      </c>
      <c r="AB1268" t="s">
        <v>92</v>
      </c>
      <c r="AC1268">
        <v>0</v>
      </c>
      <c r="AD1268" t="s">
        <v>92</v>
      </c>
      <c r="AE1268" t="s">
        <v>92</v>
      </c>
      <c r="AF1268" t="s">
        <v>92</v>
      </c>
      <c r="AG1268" t="s">
        <v>92</v>
      </c>
      <c r="AH1268" t="s">
        <v>92</v>
      </c>
      <c r="AI1268" t="s">
        <v>92</v>
      </c>
      <c r="AJ1268" t="s">
        <v>92</v>
      </c>
      <c r="AK1268">
        <v>854.70085470085473</v>
      </c>
      <c r="AL1268" t="s">
        <v>93</v>
      </c>
      <c r="AM1268" t="s">
        <v>92</v>
      </c>
      <c r="AN1268" t="s">
        <v>92</v>
      </c>
      <c r="AO1268" t="s">
        <v>92</v>
      </c>
      <c r="AP1268" t="s">
        <v>92</v>
      </c>
      <c r="AZ1268" t="s">
        <v>112</v>
      </c>
      <c r="BA1268" t="str">
        <f>VLOOKUP($AZ1268,Sheet1!$A$2:$B$58,2)</f>
        <v>Adipate</v>
      </c>
      <c r="BB1268" t="s">
        <v>164</v>
      </c>
      <c r="BC1268">
        <v>144.12291999999999</v>
      </c>
      <c r="BD1268">
        <v>4</v>
      </c>
      <c r="BE1268">
        <v>337.5</v>
      </c>
      <c r="BF1268" t="s">
        <v>220</v>
      </c>
      <c r="BH1268">
        <v>0</v>
      </c>
      <c r="BI1268">
        <v>0</v>
      </c>
      <c r="BJ1268">
        <v>80</v>
      </c>
    </row>
    <row r="1269" spans="1:67" x14ac:dyDescent="0.25">
      <c r="A1269" s="1">
        <v>1267</v>
      </c>
      <c r="B1269" t="s">
        <v>78</v>
      </c>
      <c r="C1269" t="s">
        <v>87</v>
      </c>
      <c r="D1269">
        <v>1</v>
      </c>
      <c r="E1269">
        <v>4</v>
      </c>
      <c r="F1269">
        <v>1</v>
      </c>
      <c r="G1269">
        <v>32.041060000000002</v>
      </c>
      <c r="H1269">
        <v>6</v>
      </c>
      <c r="I1269" t="s">
        <v>89</v>
      </c>
      <c r="J1269">
        <v>2.5</v>
      </c>
      <c r="K1269">
        <v>200</v>
      </c>
      <c r="L1269">
        <v>50</v>
      </c>
      <c r="N1269" t="s">
        <v>90</v>
      </c>
      <c r="O1269">
        <v>50</v>
      </c>
      <c r="P1269">
        <v>0.3125</v>
      </c>
      <c r="Q1269">
        <v>3.2500000000000001E-2</v>
      </c>
      <c r="R1269">
        <v>77.5</v>
      </c>
      <c r="S1269">
        <v>170</v>
      </c>
      <c r="T1269">
        <v>50</v>
      </c>
      <c r="U1269">
        <v>1812.1301775147931</v>
      </c>
      <c r="V1269">
        <v>20</v>
      </c>
      <c r="W1269">
        <v>0.95</v>
      </c>
      <c r="X1269">
        <v>1</v>
      </c>
      <c r="Y1269">
        <v>857096.14978685183</v>
      </c>
      <c r="Z1269">
        <v>1714192299.573704</v>
      </c>
      <c r="AA1269">
        <v>4285480748.9342599</v>
      </c>
      <c r="AB1269">
        <v>4285480.7489342596</v>
      </c>
      <c r="AC1269">
        <v>0</v>
      </c>
      <c r="AD1269">
        <v>17766.35109245401</v>
      </c>
      <c r="AE1269">
        <v>10659810.655472411</v>
      </c>
      <c r="AF1269">
        <v>5329905.3277362036</v>
      </c>
      <c r="AG1269">
        <v>170.77581640031539</v>
      </c>
      <c r="AH1269">
        <v>1759.268501052527</v>
      </c>
      <c r="AI1269">
        <v>879.6342505262636</v>
      </c>
      <c r="AJ1269">
        <v>139278.1243403634</v>
      </c>
      <c r="AK1269">
        <v>854.70085470085473</v>
      </c>
      <c r="AL1269" t="s">
        <v>93</v>
      </c>
      <c r="AM1269">
        <v>136343.30883157079</v>
      </c>
      <c r="AN1269">
        <v>9565.0026616919331</v>
      </c>
      <c r="AO1269">
        <v>149537.82258946481</v>
      </c>
      <c r="AP1269">
        <v>286041.13668832713</v>
      </c>
      <c r="AQ1269">
        <v>136503.31409886229</v>
      </c>
      <c r="AR1269">
        <v>2.6131444327083329E-2</v>
      </c>
      <c r="AS1269">
        <v>815.56116829728262</v>
      </c>
      <c r="AT1269">
        <v>798.37597445278004</v>
      </c>
      <c r="AU1269">
        <v>56.009116883801759</v>
      </c>
      <c r="AV1269">
        <v>875.63816552885555</v>
      </c>
      <c r="AW1269">
        <v>1674.951071630765</v>
      </c>
      <c r="AX1269">
        <v>799.3129061019099</v>
      </c>
      <c r="AY1269">
        <v>5.1508127384050333</v>
      </c>
      <c r="AZ1269" t="s">
        <v>113</v>
      </c>
      <c r="BA1269" t="str">
        <f>VLOOKUP($AZ1269,Sheet1!$A$2:$B$58,2)</f>
        <v>Benzoate (PW1)</v>
      </c>
      <c r="BB1269" t="s">
        <v>165</v>
      </c>
      <c r="BC1269">
        <v>121.1121</v>
      </c>
      <c r="BD1269">
        <v>4.1428571428571432</v>
      </c>
      <c r="BE1269">
        <v>249.2</v>
      </c>
      <c r="BF1269" t="s">
        <v>220</v>
      </c>
      <c r="BG1269">
        <v>0</v>
      </c>
      <c r="BH1269">
        <v>3.8170624450307E-2</v>
      </c>
      <c r="BI1269">
        <v>0.14639075090935319</v>
      </c>
      <c r="BJ1269">
        <v>80</v>
      </c>
      <c r="BK1269">
        <v>14302.056834416349</v>
      </c>
      <c r="BL1269">
        <v>6825.1657049431133</v>
      </c>
      <c r="BM1269">
        <v>43.981712526313181</v>
      </c>
      <c r="BN1269">
        <v>7476.8911294732407</v>
      </c>
      <c r="BO1269">
        <v>6825.1657049431124</v>
      </c>
    </row>
    <row r="1270" spans="1:67" x14ac:dyDescent="0.25">
      <c r="A1270" s="1">
        <v>1268</v>
      </c>
      <c r="B1270" t="s">
        <v>78</v>
      </c>
      <c r="C1270" t="s">
        <v>87</v>
      </c>
      <c r="D1270">
        <v>1</v>
      </c>
      <c r="E1270">
        <v>4</v>
      </c>
      <c r="F1270">
        <v>1</v>
      </c>
      <c r="G1270">
        <v>32.041060000000002</v>
      </c>
      <c r="H1270">
        <v>6</v>
      </c>
      <c r="I1270" t="s">
        <v>89</v>
      </c>
      <c r="J1270">
        <v>2.5</v>
      </c>
      <c r="K1270">
        <v>200</v>
      </c>
      <c r="L1270">
        <v>50</v>
      </c>
      <c r="N1270" t="s">
        <v>90</v>
      </c>
      <c r="O1270">
        <v>50</v>
      </c>
      <c r="P1270">
        <v>0.3125</v>
      </c>
      <c r="Q1270">
        <v>3.2500000000000001E-2</v>
      </c>
      <c r="R1270">
        <v>77.5</v>
      </c>
      <c r="S1270">
        <v>170</v>
      </c>
      <c r="T1270">
        <v>50</v>
      </c>
      <c r="U1270">
        <v>1812.1301775147931</v>
      </c>
      <c r="V1270">
        <v>20</v>
      </c>
      <c r="W1270">
        <v>0.95</v>
      </c>
      <c r="X1270">
        <v>1</v>
      </c>
      <c r="Y1270">
        <v>918283.65988516726</v>
      </c>
      <c r="Z1270">
        <v>1836567319.770334</v>
      </c>
      <c r="AA1270">
        <v>4591418299.4258366</v>
      </c>
      <c r="AB1270">
        <v>4591418.2994258367</v>
      </c>
      <c r="AC1270">
        <v>0</v>
      </c>
      <c r="AD1270">
        <v>19034.678790752601</v>
      </c>
      <c r="AE1270">
        <v>11420807.274451559</v>
      </c>
      <c r="AF1270">
        <v>5710403.6372257816</v>
      </c>
      <c r="AG1270">
        <v>182.9673855645695</v>
      </c>
      <c r="AH1270">
        <v>1884.8614805573</v>
      </c>
      <c r="AI1270">
        <v>942.43074027864998</v>
      </c>
      <c r="AJ1270">
        <v>149221.09473133969</v>
      </c>
      <c r="AK1270">
        <v>854.70085470085473</v>
      </c>
      <c r="AL1270" t="s">
        <v>93</v>
      </c>
      <c r="AM1270">
        <v>146076.76474319081</v>
      </c>
      <c r="AN1270">
        <v>10247.8416840096</v>
      </c>
      <c r="AO1270">
        <v>160213.22584737049</v>
      </c>
      <c r="AP1270">
        <v>306400.40201324091</v>
      </c>
      <c r="AQ1270">
        <v>146187.17616587039</v>
      </c>
      <c r="AR1270">
        <v>2.6131444327083329E-2</v>
      </c>
      <c r="AS1270">
        <v>815.56116829728262</v>
      </c>
      <c r="AT1270">
        <v>798.37597445278016</v>
      </c>
      <c r="AU1270">
        <v>56.009116883801752</v>
      </c>
      <c r="AV1270">
        <v>875.63816552885555</v>
      </c>
      <c r="AW1270">
        <v>1674.6175886363731</v>
      </c>
      <c r="AX1270">
        <v>798.97942310751705</v>
      </c>
      <c r="AY1270">
        <v>5.1508127384050333</v>
      </c>
      <c r="AZ1270" t="s">
        <v>114</v>
      </c>
      <c r="BA1270" t="str">
        <f>VLOOKUP($AZ1270,Sheet1!$A$2:$B$58,2)</f>
        <v>Benzoate (PW2)</v>
      </c>
      <c r="BB1270" t="s">
        <v>165</v>
      </c>
      <c r="BC1270">
        <v>121.1121</v>
      </c>
      <c r="BD1270">
        <v>4.1428571428571432</v>
      </c>
      <c r="BE1270">
        <v>249.2</v>
      </c>
      <c r="BF1270" t="s">
        <v>220</v>
      </c>
      <c r="BG1270">
        <v>0</v>
      </c>
      <c r="BH1270">
        <v>3.5661462612983197E-2</v>
      </c>
      <c r="BI1270">
        <v>0.13663637332336179</v>
      </c>
      <c r="BJ1270">
        <v>80</v>
      </c>
      <c r="BK1270">
        <v>15320.020100662039</v>
      </c>
      <c r="BL1270">
        <v>7309.3588082935203</v>
      </c>
      <c r="BM1270">
        <v>47.121537013932503</v>
      </c>
      <c r="BN1270">
        <v>8010.6612923685243</v>
      </c>
      <c r="BO1270">
        <v>7309.3588082935203</v>
      </c>
    </row>
    <row r="1271" spans="1:67" x14ac:dyDescent="0.25">
      <c r="A1271" s="1">
        <v>1269</v>
      </c>
      <c r="B1271" t="s">
        <v>78</v>
      </c>
      <c r="C1271" t="s">
        <v>87</v>
      </c>
      <c r="D1271">
        <v>1</v>
      </c>
      <c r="E1271">
        <v>4</v>
      </c>
      <c r="F1271">
        <v>1</v>
      </c>
      <c r="G1271">
        <v>32.041060000000002</v>
      </c>
      <c r="H1271">
        <v>6</v>
      </c>
      <c r="I1271" t="s">
        <v>89</v>
      </c>
      <c r="J1271">
        <v>2.5</v>
      </c>
      <c r="K1271">
        <v>200</v>
      </c>
      <c r="L1271">
        <v>50</v>
      </c>
      <c r="N1271" t="s">
        <v>90</v>
      </c>
      <c r="O1271">
        <v>50</v>
      </c>
      <c r="P1271">
        <v>0.3125</v>
      </c>
      <c r="Q1271">
        <v>3.2500000000000001E-2</v>
      </c>
      <c r="R1271">
        <v>77.5</v>
      </c>
      <c r="S1271">
        <v>170</v>
      </c>
      <c r="T1271">
        <v>50</v>
      </c>
      <c r="U1271">
        <v>1812.1301775147931</v>
      </c>
      <c r="V1271">
        <v>20</v>
      </c>
      <c r="W1271">
        <v>0.95</v>
      </c>
      <c r="X1271">
        <v>1</v>
      </c>
      <c r="Y1271" t="s">
        <v>92</v>
      </c>
      <c r="Z1271" t="s">
        <v>92</v>
      </c>
      <c r="AA1271" t="s">
        <v>92</v>
      </c>
      <c r="AB1271" t="s">
        <v>92</v>
      </c>
      <c r="AC1271">
        <v>0</v>
      </c>
      <c r="AD1271" t="s">
        <v>92</v>
      </c>
      <c r="AE1271" t="s">
        <v>92</v>
      </c>
      <c r="AF1271" t="s">
        <v>92</v>
      </c>
      <c r="AG1271" t="s">
        <v>92</v>
      </c>
      <c r="AH1271" t="s">
        <v>92</v>
      </c>
      <c r="AI1271" t="s">
        <v>92</v>
      </c>
      <c r="AJ1271" t="s">
        <v>92</v>
      </c>
      <c r="AK1271">
        <v>854.70085470085473</v>
      </c>
      <c r="AL1271" t="s">
        <v>93</v>
      </c>
      <c r="AM1271" t="s">
        <v>92</v>
      </c>
      <c r="AN1271" t="s">
        <v>92</v>
      </c>
      <c r="AO1271" t="s">
        <v>92</v>
      </c>
      <c r="AP1271" t="s">
        <v>92</v>
      </c>
      <c r="AZ1271" t="s">
        <v>115</v>
      </c>
      <c r="BA1271" t="str">
        <f>VLOOKUP($AZ1271,Sheet1!$A$2:$B$58,2)</f>
        <v>Benzyl Alcohol</v>
      </c>
      <c r="BB1271" t="s">
        <v>166</v>
      </c>
      <c r="BC1271">
        <v>108.13661999999999</v>
      </c>
      <c r="BD1271">
        <v>4.8571428571428568</v>
      </c>
      <c r="BE1271">
        <v>205</v>
      </c>
      <c r="BF1271" t="s">
        <v>220</v>
      </c>
      <c r="BH1271">
        <v>0</v>
      </c>
      <c r="BI1271">
        <v>0</v>
      </c>
      <c r="BJ1271">
        <v>80</v>
      </c>
    </row>
    <row r="1272" spans="1:67" x14ac:dyDescent="0.25">
      <c r="A1272" s="1">
        <v>1270</v>
      </c>
      <c r="B1272" t="s">
        <v>78</v>
      </c>
      <c r="C1272" t="s">
        <v>87</v>
      </c>
      <c r="D1272">
        <v>1</v>
      </c>
      <c r="E1272">
        <v>4</v>
      </c>
      <c r="F1272">
        <v>1</v>
      </c>
      <c r="G1272">
        <v>32.041060000000002</v>
      </c>
      <c r="H1272">
        <v>6</v>
      </c>
      <c r="I1272" t="s">
        <v>89</v>
      </c>
      <c r="J1272">
        <v>2.5</v>
      </c>
      <c r="K1272">
        <v>200</v>
      </c>
      <c r="L1272">
        <v>50</v>
      </c>
      <c r="N1272" t="s">
        <v>90</v>
      </c>
      <c r="O1272">
        <v>50</v>
      </c>
      <c r="P1272">
        <v>0.3125</v>
      </c>
      <c r="Q1272">
        <v>3.2500000000000001E-2</v>
      </c>
      <c r="R1272">
        <v>77.5</v>
      </c>
      <c r="S1272">
        <v>170</v>
      </c>
      <c r="T1272">
        <v>50</v>
      </c>
      <c r="U1272">
        <v>1812.1301775147931</v>
      </c>
      <c r="V1272">
        <v>20</v>
      </c>
      <c r="W1272">
        <v>0.95</v>
      </c>
      <c r="X1272">
        <v>1</v>
      </c>
      <c r="Y1272" t="s">
        <v>92</v>
      </c>
      <c r="Z1272" t="s">
        <v>92</v>
      </c>
      <c r="AA1272" t="s">
        <v>92</v>
      </c>
      <c r="AB1272" t="s">
        <v>92</v>
      </c>
      <c r="AC1272">
        <v>0</v>
      </c>
      <c r="AD1272" t="s">
        <v>92</v>
      </c>
      <c r="AE1272" t="s">
        <v>92</v>
      </c>
      <c r="AF1272" t="s">
        <v>92</v>
      </c>
      <c r="AG1272" t="s">
        <v>92</v>
      </c>
      <c r="AH1272" t="s">
        <v>92</v>
      </c>
      <c r="AI1272" t="s">
        <v>92</v>
      </c>
      <c r="AJ1272" t="s">
        <v>92</v>
      </c>
      <c r="AK1272">
        <v>854.70085470085473</v>
      </c>
      <c r="AL1272" t="s">
        <v>93</v>
      </c>
      <c r="AM1272" t="s">
        <v>92</v>
      </c>
      <c r="AN1272" t="s">
        <v>92</v>
      </c>
      <c r="AO1272" t="s">
        <v>92</v>
      </c>
      <c r="AP1272" t="s">
        <v>92</v>
      </c>
      <c r="AZ1272" t="s">
        <v>116</v>
      </c>
      <c r="BA1272" t="str">
        <f>VLOOKUP($AZ1272,Sheet1!$A$2:$B$58,2)</f>
        <v>Beta Carotene</v>
      </c>
      <c r="BB1272" t="s">
        <v>167</v>
      </c>
      <c r="BC1272">
        <v>536.86703999999997</v>
      </c>
      <c r="BD1272">
        <v>5.4</v>
      </c>
      <c r="BE1272">
        <v>633</v>
      </c>
      <c r="BF1272" t="s">
        <v>220</v>
      </c>
      <c r="BH1272">
        <v>0</v>
      </c>
      <c r="BI1272">
        <v>0</v>
      </c>
      <c r="BJ1272">
        <v>80</v>
      </c>
    </row>
    <row r="1273" spans="1:67" x14ac:dyDescent="0.25">
      <c r="A1273" s="1">
        <v>1271</v>
      </c>
      <c r="B1273" t="s">
        <v>78</v>
      </c>
      <c r="C1273" t="s">
        <v>87</v>
      </c>
      <c r="D1273">
        <v>1</v>
      </c>
      <c r="E1273">
        <v>4</v>
      </c>
      <c r="F1273">
        <v>1</v>
      </c>
      <c r="G1273">
        <v>32.041060000000002</v>
      </c>
      <c r="H1273">
        <v>6</v>
      </c>
      <c r="I1273" t="s">
        <v>89</v>
      </c>
      <c r="J1273">
        <v>2.5</v>
      </c>
      <c r="K1273">
        <v>200</v>
      </c>
      <c r="L1273">
        <v>50</v>
      </c>
      <c r="N1273" t="s">
        <v>90</v>
      </c>
      <c r="O1273">
        <v>50</v>
      </c>
      <c r="P1273">
        <v>0.3125</v>
      </c>
      <c r="Q1273">
        <v>3.2500000000000001E-2</v>
      </c>
      <c r="R1273">
        <v>77.5</v>
      </c>
      <c r="S1273">
        <v>170</v>
      </c>
      <c r="T1273">
        <v>50</v>
      </c>
      <c r="U1273">
        <v>1812.1301775147931</v>
      </c>
      <c r="V1273">
        <v>20</v>
      </c>
      <c r="W1273">
        <v>0.95</v>
      </c>
      <c r="X1273">
        <v>1</v>
      </c>
      <c r="Y1273">
        <v>532319.31273682101</v>
      </c>
      <c r="Z1273">
        <v>1064638625.473642</v>
      </c>
      <c r="AA1273">
        <v>2661596563.6841049</v>
      </c>
      <c r="AB1273">
        <v>2661596.5636841049</v>
      </c>
      <c r="AC1273">
        <v>66773.504273504266</v>
      </c>
      <c r="AD1273">
        <v>11034.201712057749</v>
      </c>
      <c r="AE1273">
        <v>6620521.0272346511</v>
      </c>
      <c r="AF1273">
        <v>3310260.513617326</v>
      </c>
      <c r="AG1273">
        <v>106.0642557324436</v>
      </c>
      <c r="AH1273">
        <v>1092.6342390322391</v>
      </c>
      <c r="AI1273">
        <v>546.31711951611931</v>
      </c>
      <c r="AJ1273">
        <v>86501.888319733407</v>
      </c>
      <c r="AK1273">
        <v>2170.1388888888891</v>
      </c>
      <c r="AL1273" t="s">
        <v>95</v>
      </c>
      <c r="AM1273">
        <v>84679.153524998488</v>
      </c>
      <c r="AN1273">
        <v>5940.5652965118707</v>
      </c>
      <c r="AO1273">
        <v>92873.910317740287</v>
      </c>
      <c r="AP1273">
        <v>179291.74603013261</v>
      </c>
      <c r="AQ1273">
        <v>86417.835712392349</v>
      </c>
      <c r="AR1273">
        <v>2.6131444327083329E-2</v>
      </c>
      <c r="AS1273">
        <v>815.56116829728262</v>
      </c>
      <c r="AT1273">
        <v>798.37597445278004</v>
      </c>
      <c r="AU1273">
        <v>56.009116883801752</v>
      </c>
      <c r="AV1273">
        <v>875.63816552885567</v>
      </c>
      <c r="AW1273">
        <v>1690.406865083859</v>
      </c>
      <c r="AX1273">
        <v>814.76869955500354</v>
      </c>
      <c r="AY1273">
        <v>5.1508127384050333</v>
      </c>
      <c r="AZ1273" t="s">
        <v>117</v>
      </c>
      <c r="BA1273" t="str">
        <f>VLOOKUP($AZ1273,Sheet1!$A$2:$B$58,2)</f>
        <v>Butane</v>
      </c>
      <c r="BB1273" t="s">
        <v>168</v>
      </c>
      <c r="BC1273">
        <v>58.121200000000002</v>
      </c>
      <c r="BD1273">
        <v>6.5</v>
      </c>
      <c r="BE1273">
        <v>-1</v>
      </c>
      <c r="BF1273" t="s">
        <v>220</v>
      </c>
      <c r="BG1273">
        <v>0</v>
      </c>
      <c r="BH1273">
        <v>0.12994011976047901</v>
      </c>
      <c r="BI1273">
        <v>0.2357061747839414</v>
      </c>
      <c r="BJ1273">
        <v>80</v>
      </c>
      <c r="BK1273">
        <v>8964.5873015066318</v>
      </c>
      <c r="BL1273">
        <v>4320.8917856196176</v>
      </c>
      <c r="BM1273">
        <v>27.31585597580597</v>
      </c>
      <c r="BN1273">
        <v>4643.6955158870142</v>
      </c>
      <c r="BO1273">
        <v>4320.8917856196176</v>
      </c>
    </row>
    <row r="1274" spans="1:67" x14ac:dyDescent="0.25">
      <c r="A1274" s="1">
        <v>1272</v>
      </c>
      <c r="B1274" t="s">
        <v>78</v>
      </c>
      <c r="C1274" t="s">
        <v>87</v>
      </c>
      <c r="D1274">
        <v>1</v>
      </c>
      <c r="E1274">
        <v>4</v>
      </c>
      <c r="F1274">
        <v>1</v>
      </c>
      <c r="G1274">
        <v>32.041060000000002</v>
      </c>
      <c r="H1274">
        <v>6</v>
      </c>
      <c r="I1274" t="s">
        <v>89</v>
      </c>
      <c r="J1274">
        <v>2.5</v>
      </c>
      <c r="K1274">
        <v>200</v>
      </c>
      <c r="L1274">
        <v>50</v>
      </c>
      <c r="N1274" t="s">
        <v>90</v>
      </c>
      <c r="O1274">
        <v>50</v>
      </c>
      <c r="P1274">
        <v>0.3125</v>
      </c>
      <c r="Q1274">
        <v>3.2500000000000001E-2</v>
      </c>
      <c r="R1274">
        <v>77.5</v>
      </c>
      <c r="S1274">
        <v>170</v>
      </c>
      <c r="T1274">
        <v>50</v>
      </c>
      <c r="U1274">
        <v>1812.1301775147931</v>
      </c>
      <c r="V1274">
        <v>20</v>
      </c>
      <c r="W1274">
        <v>0.95</v>
      </c>
      <c r="X1274">
        <v>1</v>
      </c>
      <c r="Y1274">
        <v>216956.89996339279</v>
      </c>
      <c r="Z1274">
        <v>433913799.92678559</v>
      </c>
      <c r="AA1274">
        <v>1084784499.8169639</v>
      </c>
      <c r="AB1274">
        <v>1084784.4998169639</v>
      </c>
      <c r="AC1274">
        <v>0</v>
      </c>
      <c r="AD1274">
        <v>4497.199593812933</v>
      </c>
      <c r="AE1274">
        <v>2698319.7562877601</v>
      </c>
      <c r="AF1274">
        <v>1349159.8781438801</v>
      </c>
      <c r="AG1274">
        <v>43.228512605200748</v>
      </c>
      <c r="AH1274">
        <v>445.32394677834122</v>
      </c>
      <c r="AI1274">
        <v>222.66197338917061</v>
      </c>
      <c r="AJ1274">
        <v>35255.496244051334</v>
      </c>
      <c r="AK1274">
        <v>854.70085470085473</v>
      </c>
      <c r="AL1274" t="s">
        <v>93</v>
      </c>
      <c r="AM1274">
        <v>34512.605875321438</v>
      </c>
      <c r="AN1274">
        <v>2421.1908152175861</v>
      </c>
      <c r="AO1274">
        <v>37852.535476158999</v>
      </c>
      <c r="AP1274">
        <v>73043.993789291213</v>
      </c>
      <c r="AQ1274">
        <v>35191.458313132207</v>
      </c>
      <c r="AR1274">
        <v>2.6131444327083329E-2</v>
      </c>
      <c r="AS1274">
        <v>815.56116829728262</v>
      </c>
      <c r="AT1274">
        <v>798.37597445278027</v>
      </c>
      <c r="AU1274">
        <v>56.009116883801752</v>
      </c>
      <c r="AV1274">
        <v>875.63816552885578</v>
      </c>
      <c r="AW1274">
        <v>1689.7179520468489</v>
      </c>
      <c r="AX1274">
        <v>814.07978651799363</v>
      </c>
      <c r="AY1274">
        <v>5.1508127384050333</v>
      </c>
      <c r="AZ1274" t="s">
        <v>118</v>
      </c>
      <c r="BA1274" t="str">
        <f>VLOOKUP($AZ1274,Sheet1!$A$2:$B$58,2)</f>
        <v>Butanol (PW1)</v>
      </c>
      <c r="BB1274" t="s">
        <v>169</v>
      </c>
      <c r="BC1274">
        <v>74.120199999999997</v>
      </c>
      <c r="BD1274">
        <v>6</v>
      </c>
      <c r="BE1274">
        <v>117.7</v>
      </c>
      <c r="BF1274" t="s">
        <v>220</v>
      </c>
      <c r="BG1274">
        <v>0</v>
      </c>
      <c r="BH1274">
        <v>0.25</v>
      </c>
      <c r="BI1274">
        <v>0.5783220030797982</v>
      </c>
      <c r="BJ1274">
        <v>80</v>
      </c>
      <c r="BK1274">
        <v>3652.1996894645608</v>
      </c>
      <c r="BL1274">
        <v>1759.572915656611</v>
      </c>
      <c r="BM1274">
        <v>11.13309866945853</v>
      </c>
      <c r="BN1274">
        <v>1892.62677380795</v>
      </c>
      <c r="BO1274">
        <v>1759.572915656611</v>
      </c>
    </row>
    <row r="1275" spans="1:67" x14ac:dyDescent="0.25">
      <c r="A1275" s="1">
        <v>1273</v>
      </c>
      <c r="B1275" t="s">
        <v>78</v>
      </c>
      <c r="C1275" t="s">
        <v>87</v>
      </c>
      <c r="D1275">
        <v>1</v>
      </c>
      <c r="E1275">
        <v>4</v>
      </c>
      <c r="F1275">
        <v>1</v>
      </c>
      <c r="G1275">
        <v>32.041060000000002</v>
      </c>
      <c r="H1275">
        <v>6</v>
      </c>
      <c r="I1275" t="s">
        <v>89</v>
      </c>
      <c r="J1275">
        <v>2.5</v>
      </c>
      <c r="K1275">
        <v>200</v>
      </c>
      <c r="L1275">
        <v>50</v>
      </c>
      <c r="N1275" t="s">
        <v>90</v>
      </c>
      <c r="O1275">
        <v>50</v>
      </c>
      <c r="P1275">
        <v>0.3125</v>
      </c>
      <c r="Q1275">
        <v>3.2500000000000001E-2</v>
      </c>
      <c r="R1275">
        <v>77.5</v>
      </c>
      <c r="S1275">
        <v>170</v>
      </c>
      <c r="T1275">
        <v>50</v>
      </c>
      <c r="U1275">
        <v>1812.1301775147931</v>
      </c>
      <c r="V1275">
        <v>20</v>
      </c>
      <c r="W1275">
        <v>0.95</v>
      </c>
      <c r="X1275">
        <v>1</v>
      </c>
      <c r="Y1275">
        <v>216956.89996339279</v>
      </c>
      <c r="Z1275">
        <v>433913799.92678559</v>
      </c>
      <c r="AA1275">
        <v>1084784499.8169639</v>
      </c>
      <c r="AB1275">
        <v>1084784.4998169639</v>
      </c>
      <c r="AC1275">
        <v>0</v>
      </c>
      <c r="AD1275">
        <v>4497.199593812933</v>
      </c>
      <c r="AE1275">
        <v>2698319.7562877601</v>
      </c>
      <c r="AF1275">
        <v>1349159.8781438801</v>
      </c>
      <c r="AG1275">
        <v>43.228512605200748</v>
      </c>
      <c r="AH1275">
        <v>445.32394677834122</v>
      </c>
      <c r="AI1275">
        <v>222.66197338917061</v>
      </c>
      <c r="AJ1275">
        <v>35255.496244051334</v>
      </c>
      <c r="AK1275">
        <v>854.70085470085473</v>
      </c>
      <c r="AL1275" t="s">
        <v>93</v>
      </c>
      <c r="AM1275">
        <v>34512.605875321438</v>
      </c>
      <c r="AN1275">
        <v>2421.1908152175861</v>
      </c>
      <c r="AO1275">
        <v>37852.535476158999</v>
      </c>
      <c r="AP1275">
        <v>73043.993789291213</v>
      </c>
      <c r="AQ1275">
        <v>35191.458313132207</v>
      </c>
      <c r="AR1275">
        <v>2.6131444327083329E-2</v>
      </c>
      <c r="AS1275">
        <v>815.56116829728262</v>
      </c>
      <c r="AT1275">
        <v>798.37597445278027</v>
      </c>
      <c r="AU1275">
        <v>56.009116883801752</v>
      </c>
      <c r="AV1275">
        <v>875.63816552885578</v>
      </c>
      <c r="AW1275">
        <v>1689.7179520468489</v>
      </c>
      <c r="AX1275">
        <v>814.07978651799363</v>
      </c>
      <c r="AY1275">
        <v>5.1508127384050333</v>
      </c>
      <c r="AZ1275" t="s">
        <v>119</v>
      </c>
      <c r="BA1275" t="str">
        <f>VLOOKUP($AZ1275,Sheet1!$A$2:$B$58,2)</f>
        <v>Butanol (PW2)</v>
      </c>
      <c r="BB1275" t="s">
        <v>169</v>
      </c>
      <c r="BC1275">
        <v>74.120199999999997</v>
      </c>
      <c r="BD1275">
        <v>6</v>
      </c>
      <c r="BE1275">
        <v>117.7</v>
      </c>
      <c r="BF1275" t="s">
        <v>220</v>
      </c>
      <c r="BG1275">
        <v>0</v>
      </c>
      <c r="BH1275">
        <v>0.25</v>
      </c>
      <c r="BI1275">
        <v>0.5783220030797982</v>
      </c>
      <c r="BJ1275">
        <v>80</v>
      </c>
      <c r="BK1275">
        <v>3652.1996894645608</v>
      </c>
      <c r="BL1275">
        <v>1759.572915656611</v>
      </c>
      <c r="BM1275">
        <v>11.13309866945853</v>
      </c>
      <c r="BN1275">
        <v>1892.62677380795</v>
      </c>
      <c r="BO1275">
        <v>1759.572915656611</v>
      </c>
    </row>
    <row r="1276" spans="1:67" x14ac:dyDescent="0.25">
      <c r="A1276" s="1">
        <v>1274</v>
      </c>
      <c r="B1276" t="s">
        <v>78</v>
      </c>
      <c r="C1276" t="s">
        <v>87</v>
      </c>
      <c r="D1276">
        <v>1</v>
      </c>
      <c r="E1276">
        <v>4</v>
      </c>
      <c r="F1276">
        <v>1</v>
      </c>
      <c r="G1276">
        <v>32.041060000000002</v>
      </c>
      <c r="H1276">
        <v>6</v>
      </c>
      <c r="I1276" t="s">
        <v>89</v>
      </c>
      <c r="J1276">
        <v>2.5</v>
      </c>
      <c r="K1276">
        <v>200</v>
      </c>
      <c r="L1276">
        <v>50</v>
      </c>
      <c r="N1276" t="s">
        <v>90</v>
      </c>
      <c r="O1276">
        <v>50</v>
      </c>
      <c r="P1276">
        <v>0.3125</v>
      </c>
      <c r="Q1276">
        <v>3.2500000000000001E-2</v>
      </c>
      <c r="R1276">
        <v>77.5</v>
      </c>
      <c r="S1276">
        <v>170</v>
      </c>
      <c r="T1276">
        <v>50</v>
      </c>
      <c r="U1276">
        <v>1812.1301775147931</v>
      </c>
      <c r="V1276">
        <v>20</v>
      </c>
      <c r="W1276">
        <v>0.95</v>
      </c>
      <c r="X1276">
        <v>1</v>
      </c>
      <c r="Y1276">
        <v>178826.20527705181</v>
      </c>
      <c r="Z1276">
        <v>357652410.55410361</v>
      </c>
      <c r="AA1276">
        <v>894131026.38525891</v>
      </c>
      <c r="AB1276">
        <v>894131.02638525888</v>
      </c>
      <c r="AC1276">
        <v>0</v>
      </c>
      <c r="AD1276">
        <v>3706.8059963557789</v>
      </c>
      <c r="AE1276">
        <v>2224083.597813467</v>
      </c>
      <c r="AF1276">
        <v>1112041.798906734</v>
      </c>
      <c r="AG1276">
        <v>35.630998001278591</v>
      </c>
      <c r="AH1276">
        <v>367.0571967741401</v>
      </c>
      <c r="AI1276">
        <v>183.52859838706999</v>
      </c>
      <c r="AJ1276">
        <v>29059.25835752091</v>
      </c>
      <c r="AK1276">
        <v>854.70085470085473</v>
      </c>
      <c r="AL1276" t="s">
        <v>93</v>
      </c>
      <c r="AM1276">
        <v>28446.93274999586</v>
      </c>
      <c r="AN1276">
        <v>1995.6607317401199</v>
      </c>
      <c r="AO1276">
        <v>31199.861725801911</v>
      </c>
      <c r="AP1276">
        <v>60356.552693957747</v>
      </c>
      <c r="AQ1276">
        <v>29156.690968155839</v>
      </c>
      <c r="AR1276">
        <v>2.6131444327083329E-2</v>
      </c>
      <c r="AS1276">
        <v>815.56116829728273</v>
      </c>
      <c r="AT1276">
        <v>798.37597445278004</v>
      </c>
      <c r="AU1276">
        <v>56.009116883801767</v>
      </c>
      <c r="AV1276">
        <v>875.63816552885555</v>
      </c>
      <c r="AW1276">
        <v>1693.9338239078199</v>
      </c>
      <c r="AX1276">
        <v>818.29565837896484</v>
      </c>
      <c r="AY1276">
        <v>5.1508127384050333</v>
      </c>
      <c r="AZ1276" t="s">
        <v>120</v>
      </c>
      <c r="BA1276" t="str">
        <f>VLOOKUP($AZ1276,Sheet1!$A$2:$B$58,2)</f>
        <v>Butyrate</v>
      </c>
      <c r="BB1276" t="s">
        <v>170</v>
      </c>
      <c r="BC1276">
        <v>87.095680000000002</v>
      </c>
      <c r="BD1276">
        <v>4.75</v>
      </c>
      <c r="BE1276">
        <v>163.5</v>
      </c>
      <c r="BF1276" t="s">
        <v>220</v>
      </c>
      <c r="BG1276">
        <v>0</v>
      </c>
      <c r="BH1276">
        <v>0.25</v>
      </c>
      <c r="BI1276">
        <v>0.70163625501320204</v>
      </c>
      <c r="BJ1276">
        <v>80</v>
      </c>
      <c r="BK1276">
        <v>3017.8276346978878</v>
      </c>
      <c r="BL1276">
        <v>1457.834548407792</v>
      </c>
      <c r="BM1276">
        <v>9.1764299193535024</v>
      </c>
      <c r="BN1276">
        <v>1559.9930862900951</v>
      </c>
      <c r="BO1276">
        <v>1457.834548407792</v>
      </c>
    </row>
    <row r="1277" spans="1:67" x14ac:dyDescent="0.25">
      <c r="A1277" s="1">
        <v>1275</v>
      </c>
      <c r="B1277" t="s">
        <v>78</v>
      </c>
      <c r="C1277" t="s">
        <v>87</v>
      </c>
      <c r="D1277">
        <v>1</v>
      </c>
      <c r="E1277">
        <v>4</v>
      </c>
      <c r="F1277">
        <v>1</v>
      </c>
      <c r="G1277">
        <v>32.041060000000002</v>
      </c>
      <c r="H1277">
        <v>6</v>
      </c>
      <c r="I1277" t="s">
        <v>89</v>
      </c>
      <c r="J1277">
        <v>2.5</v>
      </c>
      <c r="K1277">
        <v>200</v>
      </c>
      <c r="L1277">
        <v>50</v>
      </c>
      <c r="N1277" t="s">
        <v>90</v>
      </c>
      <c r="O1277">
        <v>50</v>
      </c>
      <c r="P1277">
        <v>0.3125</v>
      </c>
      <c r="Q1277">
        <v>3.2500000000000001E-2</v>
      </c>
      <c r="R1277">
        <v>77.5</v>
      </c>
      <c r="S1277">
        <v>170</v>
      </c>
      <c r="T1277">
        <v>50</v>
      </c>
      <c r="U1277">
        <v>1812.1301775147931</v>
      </c>
      <c r="V1277">
        <v>20</v>
      </c>
      <c r="W1277">
        <v>0.95</v>
      </c>
      <c r="X1277">
        <v>1</v>
      </c>
      <c r="Y1277">
        <v>606007.53654046706</v>
      </c>
      <c r="Z1277">
        <v>1212015073.080934</v>
      </c>
      <c r="AA1277">
        <v>3030037682.7023358</v>
      </c>
      <c r="AB1277">
        <v>3030037.682702336</v>
      </c>
      <c r="AC1277">
        <v>0</v>
      </c>
      <c r="AD1277">
        <v>12561.650943746021</v>
      </c>
      <c r="AE1277">
        <v>7536990.5662476141</v>
      </c>
      <c r="AF1277">
        <v>3768495.2831238071</v>
      </c>
      <c r="AG1277">
        <v>120.7465834762869</v>
      </c>
      <c r="AH1277">
        <v>1243.886080577091</v>
      </c>
      <c r="AI1277">
        <v>621.94304028854526</v>
      </c>
      <c r="AJ1277">
        <v>98476.224687825917</v>
      </c>
      <c r="AK1277">
        <v>854.70085470085473</v>
      </c>
      <c r="AL1277" t="s">
        <v>93</v>
      </c>
      <c r="AM1277">
        <v>96401.171244724523</v>
      </c>
      <c r="AN1277">
        <v>6762.90950724308</v>
      </c>
      <c r="AO1277">
        <v>105730.3168490527</v>
      </c>
      <c r="AP1277">
        <v>202495.00629449429</v>
      </c>
      <c r="AQ1277">
        <v>96764.689445441662</v>
      </c>
      <c r="AR1277">
        <v>2.613144432708334E-2</v>
      </c>
      <c r="AS1277">
        <v>815.56116829728285</v>
      </c>
      <c r="AT1277">
        <v>798.37597445278027</v>
      </c>
      <c r="AU1277">
        <v>56.009116883801767</v>
      </c>
      <c r="AV1277">
        <v>875.63816552885555</v>
      </c>
      <c r="AW1277">
        <v>1677.024727861238</v>
      </c>
      <c r="AX1277">
        <v>801.38656233238294</v>
      </c>
      <c r="AY1277">
        <v>5.1508127384050342</v>
      </c>
      <c r="AZ1277" t="s">
        <v>121</v>
      </c>
      <c r="BA1277" t="str">
        <f>VLOOKUP($AZ1277,Sheet1!$A$2:$B$58,2)</f>
        <v>Catechol</v>
      </c>
      <c r="BB1277" t="s">
        <v>171</v>
      </c>
      <c r="BC1277">
        <v>110.10924</v>
      </c>
      <c r="BD1277">
        <v>4.333333333333333</v>
      </c>
      <c r="BE1277">
        <v>245</v>
      </c>
      <c r="BF1277" t="s">
        <v>220</v>
      </c>
      <c r="BG1277">
        <v>0</v>
      </c>
      <c r="BH1277">
        <v>5.9128065395095297E-2</v>
      </c>
      <c r="BI1277">
        <v>0.20704519565068841</v>
      </c>
      <c r="BJ1277">
        <v>80</v>
      </c>
      <c r="BK1277">
        <v>10124.750314724721</v>
      </c>
      <c r="BL1277">
        <v>4838.2344722720836</v>
      </c>
      <c r="BM1277">
        <v>31.097152014427259</v>
      </c>
      <c r="BN1277">
        <v>5286.5158424526344</v>
      </c>
      <c r="BO1277">
        <v>4838.2344722720827</v>
      </c>
    </row>
    <row r="1278" spans="1:67" x14ac:dyDescent="0.25">
      <c r="A1278" s="1">
        <v>1276</v>
      </c>
      <c r="B1278" t="s">
        <v>78</v>
      </c>
      <c r="C1278" t="s">
        <v>87</v>
      </c>
      <c r="D1278">
        <v>1</v>
      </c>
      <c r="E1278">
        <v>4</v>
      </c>
      <c r="F1278">
        <v>1</v>
      </c>
      <c r="G1278">
        <v>32.041060000000002</v>
      </c>
      <c r="H1278">
        <v>6</v>
      </c>
      <c r="I1278" t="s">
        <v>89</v>
      </c>
      <c r="J1278">
        <v>2.5</v>
      </c>
      <c r="K1278">
        <v>200</v>
      </c>
      <c r="L1278">
        <v>50</v>
      </c>
      <c r="N1278" t="s">
        <v>90</v>
      </c>
      <c r="O1278">
        <v>50</v>
      </c>
      <c r="P1278">
        <v>0.3125</v>
      </c>
      <c r="Q1278">
        <v>3.2500000000000001E-2</v>
      </c>
      <c r="R1278">
        <v>77.5</v>
      </c>
      <c r="S1278">
        <v>170</v>
      </c>
      <c r="T1278">
        <v>50</v>
      </c>
      <c r="U1278">
        <v>1812.1301775147931</v>
      </c>
      <c r="V1278">
        <v>20</v>
      </c>
      <c r="W1278">
        <v>0.95</v>
      </c>
      <c r="X1278">
        <v>1</v>
      </c>
      <c r="Y1278" t="s">
        <v>92</v>
      </c>
      <c r="Z1278" t="s">
        <v>92</v>
      </c>
      <c r="AA1278" t="s">
        <v>92</v>
      </c>
      <c r="AB1278" t="s">
        <v>92</v>
      </c>
      <c r="AC1278">
        <v>0</v>
      </c>
      <c r="AD1278" t="s">
        <v>92</v>
      </c>
      <c r="AE1278" t="s">
        <v>92</v>
      </c>
      <c r="AF1278" t="s">
        <v>92</v>
      </c>
      <c r="AG1278" t="s">
        <v>92</v>
      </c>
      <c r="AH1278" t="s">
        <v>92</v>
      </c>
      <c r="AI1278" t="s">
        <v>92</v>
      </c>
      <c r="AJ1278" t="s">
        <v>92</v>
      </c>
      <c r="AK1278">
        <v>854.70085470085473</v>
      </c>
      <c r="AL1278" t="s">
        <v>93</v>
      </c>
      <c r="AM1278" t="s">
        <v>92</v>
      </c>
      <c r="AN1278" t="s">
        <v>92</v>
      </c>
      <c r="AO1278" t="s">
        <v>92</v>
      </c>
      <c r="AP1278" t="s">
        <v>92</v>
      </c>
      <c r="AZ1278" t="s">
        <v>122</v>
      </c>
      <c r="BA1278" t="str">
        <f>VLOOKUP($AZ1278,Sheet1!$A$2:$B$58,2)</f>
        <v>cis,cis-Muconate</v>
      </c>
      <c r="BB1278" t="s">
        <v>172</v>
      </c>
      <c r="BC1278">
        <v>140.09155999999999</v>
      </c>
      <c r="BD1278">
        <v>3.333333333333333</v>
      </c>
      <c r="BE1278">
        <v>345.4</v>
      </c>
      <c r="BF1278" t="s">
        <v>220</v>
      </c>
      <c r="BH1278">
        <v>0</v>
      </c>
      <c r="BI1278">
        <v>0</v>
      </c>
      <c r="BJ1278">
        <v>80</v>
      </c>
    </row>
    <row r="1279" spans="1:67" x14ac:dyDescent="0.25">
      <c r="A1279" s="1">
        <v>1277</v>
      </c>
      <c r="B1279" t="s">
        <v>78</v>
      </c>
      <c r="C1279" t="s">
        <v>87</v>
      </c>
      <c r="D1279">
        <v>1</v>
      </c>
      <c r="E1279">
        <v>4</v>
      </c>
      <c r="F1279">
        <v>1</v>
      </c>
      <c r="G1279">
        <v>32.041060000000002</v>
      </c>
      <c r="H1279">
        <v>6</v>
      </c>
      <c r="I1279" t="s">
        <v>89</v>
      </c>
      <c r="J1279">
        <v>2.5</v>
      </c>
      <c r="K1279">
        <v>200</v>
      </c>
      <c r="L1279">
        <v>50</v>
      </c>
      <c r="N1279" t="s">
        <v>90</v>
      </c>
      <c r="O1279">
        <v>50</v>
      </c>
      <c r="P1279">
        <v>0.3125</v>
      </c>
      <c r="Q1279">
        <v>3.2500000000000001E-2</v>
      </c>
      <c r="R1279">
        <v>77.5</v>
      </c>
      <c r="S1279">
        <v>170</v>
      </c>
      <c r="T1279">
        <v>50</v>
      </c>
      <c r="U1279">
        <v>1812.1301775147931</v>
      </c>
      <c r="V1279">
        <v>20</v>
      </c>
      <c r="W1279">
        <v>0.95</v>
      </c>
      <c r="X1279">
        <v>1</v>
      </c>
      <c r="Y1279">
        <v>644515.02123285295</v>
      </c>
      <c r="Z1279">
        <v>1289030042.4657061</v>
      </c>
      <c r="AA1279">
        <v>3222575106.1642652</v>
      </c>
      <c r="AB1279">
        <v>3222575.106164264</v>
      </c>
      <c r="AC1279">
        <v>0</v>
      </c>
      <c r="AD1279">
        <v>13359.854847593169</v>
      </c>
      <c r="AE1279">
        <v>8015912.9085559025</v>
      </c>
      <c r="AF1279">
        <v>4007956.4542779508</v>
      </c>
      <c r="AG1279">
        <v>128.41917322890711</v>
      </c>
      <c r="AH1279">
        <v>1322.9262266457949</v>
      </c>
      <c r="AI1279">
        <v>661.46311332289747</v>
      </c>
      <c r="AJ1279">
        <v>104733.6909503386</v>
      </c>
      <c r="AK1279">
        <v>854.70085470085473</v>
      </c>
      <c r="AL1279" t="s">
        <v>93</v>
      </c>
      <c r="AM1279">
        <v>102526.7825650491</v>
      </c>
      <c r="AN1279">
        <v>7192.6444834990443</v>
      </c>
      <c r="AO1279">
        <v>112448.72926489259</v>
      </c>
      <c r="AP1279">
        <v>215307.81885358761</v>
      </c>
      <c r="AQ1279">
        <v>102859.089588695</v>
      </c>
      <c r="AR1279">
        <v>2.6131444327083329E-2</v>
      </c>
      <c r="AS1279">
        <v>815.56116829728273</v>
      </c>
      <c r="AT1279">
        <v>798.37597445278038</v>
      </c>
      <c r="AU1279">
        <v>56.009116883801759</v>
      </c>
      <c r="AV1279">
        <v>875.63816552885578</v>
      </c>
      <c r="AW1279">
        <v>1676.6018145109961</v>
      </c>
      <c r="AX1279">
        <v>800.96364898214051</v>
      </c>
      <c r="AY1279">
        <v>5.1508127384050351</v>
      </c>
      <c r="AZ1279" t="s">
        <v>124</v>
      </c>
      <c r="BA1279" t="str">
        <f>VLOOKUP($AZ1279,Sheet1!$A$2:$B$58,2)</f>
        <v>Coumaric Acid</v>
      </c>
      <c r="BB1279" t="s">
        <v>174</v>
      </c>
      <c r="BC1279">
        <v>163.14818</v>
      </c>
      <c r="BD1279">
        <v>4.1111111111111107</v>
      </c>
      <c r="BE1279">
        <v>346</v>
      </c>
      <c r="BF1279" t="s">
        <v>220</v>
      </c>
      <c r="BG1279">
        <v>0</v>
      </c>
      <c r="BH1279">
        <v>3.75108038029386E-2</v>
      </c>
      <c r="BI1279">
        <v>0.19467498015609799</v>
      </c>
      <c r="BJ1279">
        <v>80</v>
      </c>
      <c r="BK1279">
        <v>10765.39094267938</v>
      </c>
      <c r="BL1279">
        <v>5142.9544794347521</v>
      </c>
      <c r="BM1279">
        <v>33.073155666144878</v>
      </c>
      <c r="BN1279">
        <v>5622.4364632446304</v>
      </c>
      <c r="BO1279">
        <v>5142.9544794347503</v>
      </c>
    </row>
    <row r="1280" spans="1:67" x14ac:dyDescent="0.25">
      <c r="A1280" s="1">
        <v>1278</v>
      </c>
      <c r="B1280" t="s">
        <v>78</v>
      </c>
      <c r="C1280" t="s">
        <v>87</v>
      </c>
      <c r="D1280">
        <v>1</v>
      </c>
      <c r="E1280">
        <v>4</v>
      </c>
      <c r="F1280">
        <v>1</v>
      </c>
      <c r="G1280">
        <v>32.041060000000002</v>
      </c>
      <c r="H1280">
        <v>6</v>
      </c>
      <c r="I1280" t="s">
        <v>89</v>
      </c>
      <c r="J1280">
        <v>2.5</v>
      </c>
      <c r="K1280">
        <v>200</v>
      </c>
      <c r="L1280">
        <v>50</v>
      </c>
      <c r="N1280" t="s">
        <v>90</v>
      </c>
      <c r="O1280">
        <v>50</v>
      </c>
      <c r="P1280">
        <v>0.3125</v>
      </c>
      <c r="Q1280">
        <v>3.2500000000000001E-2</v>
      </c>
      <c r="R1280">
        <v>77.5</v>
      </c>
      <c r="S1280">
        <v>170</v>
      </c>
      <c r="T1280">
        <v>50</v>
      </c>
      <c r="U1280">
        <v>1812.1301775147931</v>
      </c>
      <c r="V1280">
        <v>20</v>
      </c>
      <c r="W1280">
        <v>0.95</v>
      </c>
      <c r="X1280">
        <v>1</v>
      </c>
      <c r="Y1280">
        <v>176780.56393688259</v>
      </c>
      <c r="Z1280">
        <v>353561127.87376517</v>
      </c>
      <c r="AA1280">
        <v>883902819.68441308</v>
      </c>
      <c r="AB1280">
        <v>883902.81968441303</v>
      </c>
      <c r="AC1280">
        <v>0</v>
      </c>
      <c r="AD1280">
        <v>3664.402839758096</v>
      </c>
      <c r="AE1280">
        <v>2198641.703854857</v>
      </c>
      <c r="AF1280">
        <v>1099320.851927429</v>
      </c>
      <c r="AG1280">
        <v>35.223405375857858</v>
      </c>
      <c r="AH1280">
        <v>362.85833019994612</v>
      </c>
      <c r="AI1280">
        <v>181.42916509997309</v>
      </c>
      <c r="AJ1280">
        <v>28726.841639743419</v>
      </c>
      <c r="AK1280">
        <v>854.70085470085473</v>
      </c>
      <c r="AL1280" t="s">
        <v>93</v>
      </c>
      <c r="AM1280">
        <v>28121.52059049582</v>
      </c>
      <c r="AN1280">
        <v>1972.831828741955</v>
      </c>
      <c r="AO1280">
        <v>30842.958066995419</v>
      </c>
      <c r="AP1280">
        <v>59675.894913682052</v>
      </c>
      <c r="AQ1280">
        <v>28832.936846686629</v>
      </c>
      <c r="AR1280">
        <v>2.6131444327083329E-2</v>
      </c>
      <c r="AS1280">
        <v>815.56116829728273</v>
      </c>
      <c r="AT1280">
        <v>798.37597445278038</v>
      </c>
      <c r="AU1280">
        <v>56.009116883801767</v>
      </c>
      <c r="AV1280">
        <v>875.63816552885589</v>
      </c>
      <c r="AW1280">
        <v>1694.211399406144</v>
      </c>
      <c r="AX1280">
        <v>818.57323387728832</v>
      </c>
      <c r="AY1280">
        <v>5.1508127384050351</v>
      </c>
      <c r="AZ1280" t="s">
        <v>125</v>
      </c>
      <c r="BA1280" t="str">
        <f>VLOOKUP($AZ1280,Sheet1!$A$2:$B$58,2)</f>
        <v>Ethyl Acetate</v>
      </c>
      <c r="BB1280" t="s">
        <v>175</v>
      </c>
      <c r="BC1280">
        <v>88.103520000000003</v>
      </c>
      <c r="BD1280">
        <v>5</v>
      </c>
      <c r="BE1280">
        <v>77.099999999999994</v>
      </c>
      <c r="BF1280" t="s">
        <v>220</v>
      </c>
      <c r="BG1280">
        <v>0</v>
      </c>
      <c r="BH1280">
        <v>0.25</v>
      </c>
      <c r="BI1280">
        <v>0.70975533833917759</v>
      </c>
      <c r="BJ1280">
        <v>80</v>
      </c>
      <c r="BK1280">
        <v>2983.7947456841021</v>
      </c>
      <c r="BL1280">
        <v>1441.646842334331</v>
      </c>
      <c r="BM1280">
        <v>9.0714582549986513</v>
      </c>
      <c r="BN1280">
        <v>1542.147903349771</v>
      </c>
      <c r="BO1280">
        <v>1441.646842334331</v>
      </c>
    </row>
    <row r="1281" spans="1:67" x14ac:dyDescent="0.25">
      <c r="A1281" s="1">
        <v>1279</v>
      </c>
      <c r="B1281" t="s">
        <v>78</v>
      </c>
      <c r="C1281" t="s">
        <v>87</v>
      </c>
      <c r="D1281">
        <v>1</v>
      </c>
      <c r="E1281">
        <v>4</v>
      </c>
      <c r="F1281">
        <v>1</v>
      </c>
      <c r="G1281">
        <v>32.041060000000002</v>
      </c>
      <c r="H1281">
        <v>6</v>
      </c>
      <c r="I1281" t="s">
        <v>89</v>
      </c>
      <c r="J1281">
        <v>2.5</v>
      </c>
      <c r="K1281">
        <v>200</v>
      </c>
      <c r="L1281">
        <v>50</v>
      </c>
      <c r="N1281" t="s">
        <v>90</v>
      </c>
      <c r="O1281">
        <v>50</v>
      </c>
      <c r="P1281">
        <v>0.3125</v>
      </c>
      <c r="Q1281">
        <v>3.2500000000000001E-2</v>
      </c>
      <c r="R1281">
        <v>77.5</v>
      </c>
      <c r="S1281">
        <v>170</v>
      </c>
      <c r="T1281">
        <v>50</v>
      </c>
      <c r="U1281">
        <v>1812.1301775147931</v>
      </c>
      <c r="V1281">
        <v>20</v>
      </c>
      <c r="W1281">
        <v>0.95</v>
      </c>
      <c r="X1281">
        <v>1</v>
      </c>
      <c r="Y1281">
        <v>635896.94818681234</v>
      </c>
      <c r="Z1281">
        <v>1271793896.373625</v>
      </c>
      <c r="AA1281">
        <v>3179484740.934062</v>
      </c>
      <c r="AB1281">
        <v>3179484.7409340609</v>
      </c>
      <c r="AC1281">
        <v>0</v>
      </c>
      <c r="AD1281">
        <v>13181.21478309813</v>
      </c>
      <c r="AE1281">
        <v>7908728.8698588815</v>
      </c>
      <c r="AF1281">
        <v>3954364.4349294412</v>
      </c>
      <c r="AG1281">
        <v>126.70202812144031</v>
      </c>
      <c r="AH1281">
        <v>1305.236840859335</v>
      </c>
      <c r="AI1281">
        <v>652.61842042966748</v>
      </c>
      <c r="AJ1281">
        <v>103333.254080357</v>
      </c>
      <c r="AK1281">
        <v>1835.336538461539</v>
      </c>
      <c r="AL1281" t="s">
        <v>94</v>
      </c>
      <c r="AM1281">
        <v>101155.8551665985</v>
      </c>
      <c r="AN1281">
        <v>7096.4687024684881</v>
      </c>
      <c r="AO1281">
        <v>110945.1314730435</v>
      </c>
      <c r="AP1281">
        <v>213420.91448788549</v>
      </c>
      <c r="AQ1281">
        <v>102475.783014842</v>
      </c>
      <c r="AR1281">
        <v>2.6131444327083329E-2</v>
      </c>
      <c r="AS1281">
        <v>815.56116829728251</v>
      </c>
      <c r="AT1281">
        <v>798.37597445278004</v>
      </c>
      <c r="AU1281">
        <v>56.009116883801759</v>
      </c>
      <c r="AV1281">
        <v>875.63816552885555</v>
      </c>
      <c r="AW1281">
        <v>1684.431714726205</v>
      </c>
      <c r="AX1281">
        <v>808.79354919734897</v>
      </c>
      <c r="AY1281">
        <v>5.1508127384050333</v>
      </c>
      <c r="AZ1281" t="s">
        <v>126</v>
      </c>
      <c r="BA1281" t="str">
        <f>VLOOKUP($AZ1281,Sheet1!$A$2:$B$58,2)</f>
        <v>Farnesene</v>
      </c>
      <c r="BB1281" t="s">
        <v>176</v>
      </c>
      <c r="BC1281">
        <v>204.34866</v>
      </c>
      <c r="BD1281">
        <v>5.6</v>
      </c>
      <c r="BE1281" t="s">
        <v>198</v>
      </c>
      <c r="BF1281" t="s">
        <v>220</v>
      </c>
      <c r="BG1281">
        <v>0</v>
      </c>
      <c r="BH1281">
        <v>3.0758327427356399E-2</v>
      </c>
      <c r="BI1281">
        <v>0.1973133372106578</v>
      </c>
      <c r="BJ1281">
        <v>80</v>
      </c>
      <c r="BK1281">
        <v>10671.045724394269</v>
      </c>
      <c r="BL1281">
        <v>5123.7891507421009</v>
      </c>
      <c r="BM1281">
        <v>32.630921021483367</v>
      </c>
      <c r="BN1281">
        <v>5547.2565736521738</v>
      </c>
      <c r="BO1281">
        <v>5123.7891507421009</v>
      </c>
    </row>
    <row r="1282" spans="1:67" x14ac:dyDescent="0.25">
      <c r="A1282" s="1">
        <v>1280</v>
      </c>
      <c r="B1282" t="s">
        <v>78</v>
      </c>
      <c r="C1282" t="s">
        <v>87</v>
      </c>
      <c r="D1282">
        <v>1</v>
      </c>
      <c r="E1282">
        <v>4</v>
      </c>
      <c r="F1282">
        <v>1</v>
      </c>
      <c r="G1282">
        <v>32.041060000000002</v>
      </c>
      <c r="H1282">
        <v>6</v>
      </c>
      <c r="I1282" t="s">
        <v>89</v>
      </c>
      <c r="J1282">
        <v>2.5</v>
      </c>
      <c r="K1282">
        <v>200</v>
      </c>
      <c r="L1282">
        <v>50</v>
      </c>
      <c r="N1282" t="s">
        <v>90</v>
      </c>
      <c r="O1282">
        <v>50</v>
      </c>
      <c r="P1282">
        <v>0.3125</v>
      </c>
      <c r="Q1282">
        <v>3.2500000000000001E-2</v>
      </c>
      <c r="R1282">
        <v>77.5</v>
      </c>
      <c r="S1282">
        <v>170</v>
      </c>
      <c r="T1282">
        <v>50</v>
      </c>
      <c r="U1282">
        <v>1812.1301775147931</v>
      </c>
      <c r="V1282">
        <v>20</v>
      </c>
      <c r="W1282">
        <v>0.95</v>
      </c>
      <c r="X1282">
        <v>1</v>
      </c>
      <c r="Y1282">
        <v>475392.14958418813</v>
      </c>
      <c r="Z1282">
        <v>950784299.16837621</v>
      </c>
      <c r="AA1282">
        <v>2376960747.9209399</v>
      </c>
      <c r="AB1282">
        <v>2376960.7479209411</v>
      </c>
      <c r="AC1282">
        <v>0</v>
      </c>
      <c r="AD1282">
        <v>9854.1847821968422</v>
      </c>
      <c r="AE1282">
        <v>5912510.8693181053</v>
      </c>
      <c r="AF1282">
        <v>2956255.4346590531</v>
      </c>
      <c r="AG1282">
        <v>94.721557757236795</v>
      </c>
      <c r="AH1282">
        <v>975.78601259508685</v>
      </c>
      <c r="AI1282">
        <v>487.89300629754342</v>
      </c>
      <c r="AJ1282">
        <v>77251.224307430573</v>
      </c>
      <c r="AK1282">
        <v>1835.336538461539</v>
      </c>
      <c r="AL1282" t="s">
        <v>94</v>
      </c>
      <c r="AM1282">
        <v>75623.415976119228</v>
      </c>
      <c r="AN1282">
        <v>5305.2707998408541</v>
      </c>
      <c r="AO1282">
        <v>82941.811070582378</v>
      </c>
      <c r="AP1282">
        <v>160015.24762185221</v>
      </c>
      <c r="AQ1282">
        <v>77073.436551269799</v>
      </c>
      <c r="AR1282">
        <v>2.6131444327083329E-2</v>
      </c>
      <c r="AS1282">
        <v>815.56116829728273</v>
      </c>
      <c r="AT1282">
        <v>798.37597445278027</v>
      </c>
      <c r="AU1282">
        <v>56.009116883801752</v>
      </c>
      <c r="AV1282">
        <v>875.63816552885578</v>
      </c>
      <c r="AW1282">
        <v>1689.322382471343</v>
      </c>
      <c r="AX1282">
        <v>813.68421694248718</v>
      </c>
      <c r="AY1282">
        <v>5.1508127384050342</v>
      </c>
      <c r="AZ1282" t="s">
        <v>127</v>
      </c>
      <c r="BA1282" t="str">
        <f>VLOOKUP($AZ1282,Sheet1!$A$2:$B$58,2)</f>
        <v>Gamma Butyrolactone</v>
      </c>
      <c r="BB1282" t="s">
        <v>177</v>
      </c>
      <c r="BC1282">
        <v>86.08784</v>
      </c>
      <c r="BD1282">
        <v>4.5</v>
      </c>
      <c r="BE1282">
        <v>204</v>
      </c>
      <c r="BF1282" t="s">
        <v>220</v>
      </c>
      <c r="BG1282">
        <v>0</v>
      </c>
      <c r="BH1282">
        <v>9.6444444444444402E-2</v>
      </c>
      <c r="BI1282">
        <v>0.2639314702158177</v>
      </c>
      <c r="BJ1282">
        <v>80</v>
      </c>
      <c r="BK1282">
        <v>8000.7623810926088</v>
      </c>
      <c r="BL1282">
        <v>3853.6718275634898</v>
      </c>
      <c r="BM1282">
        <v>24.394650314877179</v>
      </c>
      <c r="BN1282">
        <v>4147.0905535291186</v>
      </c>
      <c r="BO1282">
        <v>3853.6718275634889</v>
      </c>
    </row>
    <row r="1283" spans="1:67" x14ac:dyDescent="0.25">
      <c r="A1283" s="1">
        <v>1281</v>
      </c>
      <c r="B1283" t="s">
        <v>78</v>
      </c>
      <c r="C1283" t="s">
        <v>87</v>
      </c>
      <c r="D1283">
        <v>1</v>
      </c>
      <c r="E1283">
        <v>4</v>
      </c>
      <c r="F1283">
        <v>1</v>
      </c>
      <c r="G1283">
        <v>32.041060000000002</v>
      </c>
      <c r="H1283">
        <v>6</v>
      </c>
      <c r="I1283" t="s">
        <v>89</v>
      </c>
      <c r="J1283">
        <v>2.5</v>
      </c>
      <c r="K1283">
        <v>200</v>
      </c>
      <c r="L1283">
        <v>50</v>
      </c>
      <c r="N1283" t="s">
        <v>90</v>
      </c>
      <c r="O1283">
        <v>50</v>
      </c>
      <c r="P1283">
        <v>0.3125</v>
      </c>
      <c r="Q1283">
        <v>3.2500000000000001E-2</v>
      </c>
      <c r="R1283">
        <v>77.5</v>
      </c>
      <c r="S1283">
        <v>170</v>
      </c>
      <c r="T1283">
        <v>50</v>
      </c>
      <c r="U1283">
        <v>1812.1301775147931</v>
      </c>
      <c r="V1283">
        <v>20</v>
      </c>
      <c r="W1283">
        <v>0.95</v>
      </c>
      <c r="X1283">
        <v>1</v>
      </c>
      <c r="Y1283" t="s">
        <v>92</v>
      </c>
      <c r="Z1283" t="s">
        <v>92</v>
      </c>
      <c r="AA1283" t="s">
        <v>92</v>
      </c>
      <c r="AB1283" t="s">
        <v>92</v>
      </c>
      <c r="AC1283">
        <v>0</v>
      </c>
      <c r="AD1283" t="s">
        <v>92</v>
      </c>
      <c r="AE1283" t="s">
        <v>92</v>
      </c>
      <c r="AF1283" t="s">
        <v>92</v>
      </c>
      <c r="AG1283" t="s">
        <v>92</v>
      </c>
      <c r="AH1283" t="s">
        <v>92</v>
      </c>
      <c r="AI1283" t="s">
        <v>92</v>
      </c>
      <c r="AJ1283" t="s">
        <v>92</v>
      </c>
      <c r="AK1283">
        <v>854.70085470085473</v>
      </c>
      <c r="AL1283" t="s">
        <v>93</v>
      </c>
      <c r="AM1283" t="s">
        <v>92</v>
      </c>
      <c r="AN1283" t="s">
        <v>92</v>
      </c>
      <c r="AO1283" t="s">
        <v>92</v>
      </c>
      <c r="AP1283" t="s">
        <v>92</v>
      </c>
      <c r="AZ1283" t="s">
        <v>129</v>
      </c>
      <c r="BA1283" t="str">
        <f>VLOOKUP($AZ1283,Sheet1!$A$2:$B$58,2)</f>
        <v>Glutarate</v>
      </c>
      <c r="BB1283" t="s">
        <v>179</v>
      </c>
      <c r="BC1283">
        <v>130.09654</v>
      </c>
      <c r="BD1283">
        <v>3.6</v>
      </c>
      <c r="BE1283">
        <v>200</v>
      </c>
      <c r="BF1283" t="s">
        <v>220</v>
      </c>
      <c r="BH1283">
        <v>0</v>
      </c>
      <c r="BI1283">
        <v>0</v>
      </c>
      <c r="BJ1283">
        <v>80</v>
      </c>
    </row>
    <row r="1284" spans="1:67" x14ac:dyDescent="0.25">
      <c r="A1284" s="1">
        <v>1282</v>
      </c>
      <c r="B1284" t="s">
        <v>78</v>
      </c>
      <c r="C1284" t="s">
        <v>87</v>
      </c>
      <c r="D1284">
        <v>1</v>
      </c>
      <c r="E1284">
        <v>4</v>
      </c>
      <c r="F1284">
        <v>1</v>
      </c>
      <c r="G1284">
        <v>32.041060000000002</v>
      </c>
      <c r="H1284">
        <v>6</v>
      </c>
      <c r="I1284" t="s">
        <v>89</v>
      </c>
      <c r="J1284">
        <v>2.5</v>
      </c>
      <c r="K1284">
        <v>200</v>
      </c>
      <c r="L1284">
        <v>50</v>
      </c>
      <c r="N1284" t="s">
        <v>90</v>
      </c>
      <c r="O1284">
        <v>50</v>
      </c>
      <c r="P1284">
        <v>0.3125</v>
      </c>
      <c r="Q1284">
        <v>3.2500000000000001E-2</v>
      </c>
      <c r="R1284">
        <v>77.5</v>
      </c>
      <c r="S1284">
        <v>170</v>
      </c>
      <c r="T1284">
        <v>50</v>
      </c>
      <c r="U1284">
        <v>1812.1301775147931</v>
      </c>
      <c r="V1284">
        <v>20</v>
      </c>
      <c r="W1284">
        <v>0.95</v>
      </c>
      <c r="X1284">
        <v>1</v>
      </c>
      <c r="Y1284">
        <v>294226.84091912472</v>
      </c>
      <c r="Z1284">
        <v>588453681.83824944</v>
      </c>
      <c r="AA1284">
        <v>1471134204.595623</v>
      </c>
      <c r="AB1284">
        <v>1471134.204595624</v>
      </c>
      <c r="AC1284">
        <v>0</v>
      </c>
      <c r="AD1284">
        <v>6098.8925896969104</v>
      </c>
      <c r="AE1284">
        <v>3659335.5538181472</v>
      </c>
      <c r="AF1284">
        <v>1829667.7769090731</v>
      </c>
      <c r="AG1284">
        <v>58.624495020010237</v>
      </c>
      <c r="AH1284">
        <v>603.92759146326216</v>
      </c>
      <c r="AI1284">
        <v>301.96379573163108</v>
      </c>
      <c r="AJ1284">
        <v>47811.861649357757</v>
      </c>
      <c r="AK1284">
        <v>854.70085470085473</v>
      </c>
      <c r="AL1284" t="s">
        <v>93</v>
      </c>
      <c r="AM1284">
        <v>46804.388338402823</v>
      </c>
      <c r="AN1284">
        <v>3283.5061938296071</v>
      </c>
      <c r="AO1284">
        <v>51333.845274377287</v>
      </c>
      <c r="AP1284">
        <v>98754.45703629106</v>
      </c>
      <c r="AQ1284">
        <v>47420.611761913773</v>
      </c>
      <c r="AR1284">
        <v>2.6131444327083329E-2</v>
      </c>
      <c r="AS1284">
        <v>815.56116829728251</v>
      </c>
      <c r="AT1284">
        <v>798.37597445277993</v>
      </c>
      <c r="AU1284">
        <v>56.009116883801752</v>
      </c>
      <c r="AV1284">
        <v>875.63816552885544</v>
      </c>
      <c r="AW1284">
        <v>1684.525504272289</v>
      </c>
      <c r="AX1284">
        <v>808.88733874343404</v>
      </c>
      <c r="AY1284">
        <v>5.1508127384050324</v>
      </c>
      <c r="AZ1284" t="s">
        <v>131</v>
      </c>
      <c r="BA1284" t="str">
        <f>VLOOKUP($AZ1284,Sheet1!$A$2:$B$58,2)</f>
        <v>Heptane</v>
      </c>
      <c r="BB1284" t="s">
        <v>181</v>
      </c>
      <c r="BC1284">
        <v>100.20034</v>
      </c>
      <c r="BD1284">
        <v>6.2857142857142856</v>
      </c>
      <c r="BE1284">
        <v>98</v>
      </c>
      <c r="BF1284" t="s">
        <v>220</v>
      </c>
      <c r="BG1284">
        <v>0.1464066888395783</v>
      </c>
      <c r="BH1284">
        <v>0.1363636363636363</v>
      </c>
      <c r="BI1284">
        <v>0.4264429056739299</v>
      </c>
      <c r="BJ1284">
        <v>80</v>
      </c>
      <c r="BK1284">
        <v>4937.722851814553</v>
      </c>
      <c r="BL1284">
        <v>2371.0305880956889</v>
      </c>
      <c r="BM1284">
        <v>14.95178309774197</v>
      </c>
      <c r="BN1284">
        <v>2541.8031266161361</v>
      </c>
      <c r="BO1284">
        <v>2395.9197251984169</v>
      </c>
    </row>
    <row r="1285" spans="1:67" x14ac:dyDescent="0.25">
      <c r="A1285" s="1">
        <v>1283</v>
      </c>
      <c r="B1285" t="s">
        <v>78</v>
      </c>
      <c r="C1285" t="s">
        <v>87</v>
      </c>
      <c r="D1285">
        <v>1</v>
      </c>
      <c r="E1285">
        <v>4</v>
      </c>
      <c r="F1285">
        <v>1</v>
      </c>
      <c r="G1285">
        <v>32.041060000000002</v>
      </c>
      <c r="H1285">
        <v>6</v>
      </c>
      <c r="I1285" t="s">
        <v>89</v>
      </c>
      <c r="J1285">
        <v>2.5</v>
      </c>
      <c r="K1285">
        <v>200</v>
      </c>
      <c r="L1285">
        <v>50</v>
      </c>
      <c r="N1285" t="s">
        <v>90</v>
      </c>
      <c r="O1285">
        <v>50</v>
      </c>
      <c r="P1285">
        <v>0.3125</v>
      </c>
      <c r="Q1285">
        <v>3.2500000000000001E-2</v>
      </c>
      <c r="R1285">
        <v>77.5</v>
      </c>
      <c r="S1285">
        <v>170</v>
      </c>
      <c r="T1285">
        <v>50</v>
      </c>
      <c r="U1285">
        <v>1812.1301775147931</v>
      </c>
      <c r="V1285">
        <v>20</v>
      </c>
      <c r="W1285">
        <v>0.95</v>
      </c>
      <c r="X1285">
        <v>1</v>
      </c>
      <c r="Y1285">
        <v>295465.21121990401</v>
      </c>
      <c r="Z1285">
        <v>590930422.43980789</v>
      </c>
      <c r="AA1285">
        <v>1477326056.09952</v>
      </c>
      <c r="AB1285">
        <v>1477326.0560995201</v>
      </c>
      <c r="AC1285">
        <v>0</v>
      </c>
      <c r="AD1285">
        <v>6124.5621969534386</v>
      </c>
      <c r="AE1285">
        <v>3674737.3181720632</v>
      </c>
      <c r="AF1285">
        <v>1837368.6590860321</v>
      </c>
      <c r="AG1285">
        <v>58.871239447895093</v>
      </c>
      <c r="AH1285">
        <v>606.46946014782179</v>
      </c>
      <c r="AI1285">
        <v>303.2347300739109</v>
      </c>
      <c r="AJ1285">
        <v>48013.096823234388</v>
      </c>
      <c r="AK1285">
        <v>854.70085470085473</v>
      </c>
      <c r="AL1285" t="s">
        <v>93</v>
      </c>
      <c r="AM1285">
        <v>47001.383161456193</v>
      </c>
      <c r="AN1285">
        <v>3297.326131331437</v>
      </c>
      <c r="AO1285">
        <v>51549.904112564851</v>
      </c>
      <c r="AP1285">
        <v>99166.506970722883</v>
      </c>
      <c r="AQ1285">
        <v>47616.602858158032</v>
      </c>
      <c r="AR1285">
        <v>2.613144432708334E-2</v>
      </c>
      <c r="AS1285">
        <v>815.56116829728285</v>
      </c>
      <c r="AT1285">
        <v>798.37597445278004</v>
      </c>
      <c r="AU1285">
        <v>56.009116883801759</v>
      </c>
      <c r="AV1285">
        <v>875.63816552885555</v>
      </c>
      <c r="AW1285">
        <v>1684.4643989276251</v>
      </c>
      <c r="AX1285">
        <v>808.82623339876932</v>
      </c>
      <c r="AY1285">
        <v>5.1508127384050333</v>
      </c>
      <c r="AZ1285" t="s">
        <v>132</v>
      </c>
      <c r="BA1285" t="str">
        <f>VLOOKUP($AZ1285,Sheet1!$A$2:$B$58,2)</f>
        <v>Hexane</v>
      </c>
      <c r="BB1285" t="s">
        <v>182</v>
      </c>
      <c r="BC1285">
        <v>86.173959999999994</v>
      </c>
      <c r="BD1285">
        <v>6.333333333333333</v>
      </c>
      <c r="BE1285">
        <v>69</v>
      </c>
      <c r="BF1285" t="s">
        <v>220</v>
      </c>
      <c r="BG1285">
        <v>0.1702370414450029</v>
      </c>
      <c r="BH1285">
        <v>0.1578947368421052</v>
      </c>
      <c r="BI1285">
        <v>0.42465557434248757</v>
      </c>
      <c r="BJ1285">
        <v>80</v>
      </c>
      <c r="BK1285">
        <v>4958.3253485361438</v>
      </c>
      <c r="BL1285">
        <v>2380.830142907902</v>
      </c>
      <c r="BM1285">
        <v>14.991499462250539</v>
      </c>
      <c r="BN1285">
        <v>2548.5549085825919</v>
      </c>
      <c r="BO1285">
        <v>2409.7704399535519</v>
      </c>
    </row>
    <row r="1286" spans="1:67" x14ac:dyDescent="0.25">
      <c r="A1286" s="1">
        <v>1284</v>
      </c>
      <c r="B1286" t="s">
        <v>78</v>
      </c>
      <c r="C1286" t="s">
        <v>87</v>
      </c>
      <c r="D1286">
        <v>1</v>
      </c>
      <c r="E1286">
        <v>4</v>
      </c>
      <c r="F1286">
        <v>1</v>
      </c>
      <c r="G1286">
        <v>32.041060000000002</v>
      </c>
      <c r="H1286">
        <v>6</v>
      </c>
      <c r="I1286" t="s">
        <v>89</v>
      </c>
      <c r="J1286">
        <v>2.5</v>
      </c>
      <c r="K1286">
        <v>200</v>
      </c>
      <c r="L1286">
        <v>50</v>
      </c>
      <c r="N1286" t="s">
        <v>90</v>
      </c>
      <c r="O1286">
        <v>50</v>
      </c>
      <c r="P1286">
        <v>0.3125</v>
      </c>
      <c r="Q1286">
        <v>3.2500000000000001E-2</v>
      </c>
      <c r="R1286">
        <v>77.5</v>
      </c>
      <c r="S1286">
        <v>170</v>
      </c>
      <c r="T1286">
        <v>50</v>
      </c>
      <c r="U1286">
        <v>1812.1301775147931</v>
      </c>
      <c r="V1286">
        <v>20</v>
      </c>
      <c r="W1286">
        <v>0.95</v>
      </c>
      <c r="X1286">
        <v>1</v>
      </c>
      <c r="Y1286">
        <v>186702.90008192961</v>
      </c>
      <c r="Z1286">
        <v>373405800.16385913</v>
      </c>
      <c r="AA1286">
        <v>933514500.40964782</v>
      </c>
      <c r="AB1286">
        <v>933514.50040964782</v>
      </c>
      <c r="AC1286">
        <v>0</v>
      </c>
      <c r="AD1286">
        <v>3870.0783729571308</v>
      </c>
      <c r="AE1286">
        <v>2322047.0237742788</v>
      </c>
      <c r="AF1286">
        <v>1161023.5118871389</v>
      </c>
      <c r="AG1286">
        <v>37.200424005786537</v>
      </c>
      <c r="AH1286">
        <v>383.22483568614751</v>
      </c>
      <c r="AI1286">
        <v>191.61241784307381</v>
      </c>
      <c r="AJ1286">
        <v>30339.22126331356</v>
      </c>
      <c r="AK1286">
        <v>854.70085470085473</v>
      </c>
      <c r="AL1286" t="s">
        <v>93</v>
      </c>
      <c r="AM1286">
        <v>29699.924765676431</v>
      </c>
      <c r="AN1286">
        <v>2083.5628962670839</v>
      </c>
      <c r="AO1286">
        <v>32574.111033322541</v>
      </c>
      <c r="AP1286">
        <v>62977.409779957918</v>
      </c>
      <c r="AQ1286">
        <v>30403.298746635381</v>
      </c>
      <c r="AR1286">
        <v>2.6131444327083329E-2</v>
      </c>
      <c r="AS1286">
        <v>815.56116829728273</v>
      </c>
      <c r="AT1286">
        <v>798.37597445278016</v>
      </c>
      <c r="AU1286">
        <v>56.009116883801767</v>
      </c>
      <c r="AV1286">
        <v>875.63816552885567</v>
      </c>
      <c r="AW1286">
        <v>1692.9218271856721</v>
      </c>
      <c r="AX1286">
        <v>817.28366165681666</v>
      </c>
      <c r="AY1286">
        <v>5.1508127384050342</v>
      </c>
      <c r="AZ1286" t="s">
        <v>133</v>
      </c>
      <c r="BA1286" t="str">
        <f>VLOOKUP($AZ1286,Sheet1!$A$2:$B$58,2)</f>
        <v>Isobutanol</v>
      </c>
      <c r="BB1286" t="s">
        <v>183</v>
      </c>
      <c r="BC1286">
        <v>86.130899999999997</v>
      </c>
      <c r="BD1286">
        <v>5.6</v>
      </c>
      <c r="BE1286">
        <v>108</v>
      </c>
      <c r="BF1286" t="s">
        <v>220</v>
      </c>
      <c r="BG1286">
        <v>0</v>
      </c>
      <c r="BH1286">
        <v>0.25</v>
      </c>
      <c r="BI1286">
        <v>0.67203535089038868</v>
      </c>
      <c r="BJ1286">
        <v>80</v>
      </c>
      <c r="BK1286">
        <v>3148.8704889978949</v>
      </c>
      <c r="BL1286">
        <v>1520.1649373317689</v>
      </c>
      <c r="BM1286">
        <v>9.5806208921536893</v>
      </c>
      <c r="BN1286">
        <v>1628.7055516661269</v>
      </c>
      <c r="BO1286">
        <v>1520.164937331768</v>
      </c>
    </row>
    <row r="1287" spans="1:67" x14ac:dyDescent="0.25">
      <c r="A1287" s="1">
        <v>1285</v>
      </c>
      <c r="B1287" t="s">
        <v>78</v>
      </c>
      <c r="C1287" t="s">
        <v>87</v>
      </c>
      <c r="D1287">
        <v>1</v>
      </c>
      <c r="E1287">
        <v>4</v>
      </c>
      <c r="F1287">
        <v>1</v>
      </c>
      <c r="G1287">
        <v>32.041060000000002</v>
      </c>
      <c r="H1287">
        <v>6</v>
      </c>
      <c r="I1287" t="s">
        <v>89</v>
      </c>
      <c r="J1287">
        <v>2.5</v>
      </c>
      <c r="K1287">
        <v>200</v>
      </c>
      <c r="L1287">
        <v>50</v>
      </c>
      <c r="N1287" t="s">
        <v>90</v>
      </c>
      <c r="O1287">
        <v>50</v>
      </c>
      <c r="P1287">
        <v>0.3125</v>
      </c>
      <c r="Q1287">
        <v>3.2500000000000001E-2</v>
      </c>
      <c r="R1287">
        <v>77.5</v>
      </c>
      <c r="S1287">
        <v>170</v>
      </c>
      <c r="T1287">
        <v>50</v>
      </c>
      <c r="U1287">
        <v>1812.1301775147931</v>
      </c>
      <c r="V1287">
        <v>20</v>
      </c>
      <c r="W1287">
        <v>0.95</v>
      </c>
      <c r="X1287">
        <v>1</v>
      </c>
      <c r="Y1287">
        <v>178826.20527705181</v>
      </c>
      <c r="Z1287">
        <v>357652410.55410361</v>
      </c>
      <c r="AA1287">
        <v>894131026.38525891</v>
      </c>
      <c r="AB1287">
        <v>894131.02638525888</v>
      </c>
      <c r="AC1287">
        <v>0</v>
      </c>
      <c r="AD1287">
        <v>3706.8059963557789</v>
      </c>
      <c r="AE1287">
        <v>2224083.597813467</v>
      </c>
      <c r="AF1287">
        <v>1112041.798906734</v>
      </c>
      <c r="AG1287">
        <v>35.630998001278591</v>
      </c>
      <c r="AH1287">
        <v>367.0571967741401</v>
      </c>
      <c r="AI1287">
        <v>183.52859838706999</v>
      </c>
      <c r="AJ1287">
        <v>29059.25835752091</v>
      </c>
      <c r="AK1287">
        <v>854.70085470085473</v>
      </c>
      <c r="AL1287" t="s">
        <v>93</v>
      </c>
      <c r="AM1287">
        <v>28446.93274999586</v>
      </c>
      <c r="AN1287">
        <v>1995.6607317401199</v>
      </c>
      <c r="AO1287">
        <v>31199.861725801911</v>
      </c>
      <c r="AP1287">
        <v>60356.552693957747</v>
      </c>
      <c r="AQ1287">
        <v>29156.690968155839</v>
      </c>
      <c r="AR1287">
        <v>2.6131444327083329E-2</v>
      </c>
      <c r="AS1287">
        <v>815.56116829728273</v>
      </c>
      <c r="AT1287">
        <v>798.37597445278004</v>
      </c>
      <c r="AU1287">
        <v>56.009116883801767</v>
      </c>
      <c r="AV1287">
        <v>875.63816552885555</v>
      </c>
      <c r="AW1287">
        <v>1693.9338239078199</v>
      </c>
      <c r="AX1287">
        <v>818.29565837896484</v>
      </c>
      <c r="AY1287">
        <v>5.1508127384050333</v>
      </c>
      <c r="AZ1287" t="s">
        <v>134</v>
      </c>
      <c r="BA1287" t="str">
        <f>VLOOKUP($AZ1287,Sheet1!$A$2:$B$58,2)</f>
        <v>Isobutyrate</v>
      </c>
      <c r="BB1287" t="s">
        <v>170</v>
      </c>
      <c r="BC1287">
        <v>87.095680000000002</v>
      </c>
      <c r="BD1287">
        <v>4.75</v>
      </c>
      <c r="BE1287">
        <v>155</v>
      </c>
      <c r="BF1287" t="s">
        <v>220</v>
      </c>
      <c r="BG1287">
        <v>0</v>
      </c>
      <c r="BH1287">
        <v>0.25</v>
      </c>
      <c r="BI1287">
        <v>0.70163625501320204</v>
      </c>
      <c r="BJ1287">
        <v>80</v>
      </c>
      <c r="BK1287">
        <v>3017.8276346978878</v>
      </c>
      <c r="BL1287">
        <v>1457.834548407792</v>
      </c>
      <c r="BM1287">
        <v>9.1764299193535024</v>
      </c>
      <c r="BN1287">
        <v>1559.9930862900951</v>
      </c>
      <c r="BO1287">
        <v>1457.834548407792</v>
      </c>
    </row>
    <row r="1288" spans="1:67" x14ac:dyDescent="0.25">
      <c r="A1288" s="1">
        <v>1286</v>
      </c>
      <c r="B1288" t="s">
        <v>78</v>
      </c>
      <c r="C1288" t="s">
        <v>87</v>
      </c>
      <c r="D1288">
        <v>1</v>
      </c>
      <c r="E1288">
        <v>4</v>
      </c>
      <c r="F1288">
        <v>1</v>
      </c>
      <c r="G1288">
        <v>32.041060000000002</v>
      </c>
      <c r="H1288">
        <v>6</v>
      </c>
      <c r="I1288" t="s">
        <v>89</v>
      </c>
      <c r="J1288">
        <v>2.5</v>
      </c>
      <c r="K1288">
        <v>200</v>
      </c>
      <c r="L1288">
        <v>50</v>
      </c>
      <c r="N1288" t="s">
        <v>90</v>
      </c>
      <c r="O1288">
        <v>50</v>
      </c>
      <c r="P1288">
        <v>0.3125</v>
      </c>
      <c r="Q1288">
        <v>3.2500000000000001E-2</v>
      </c>
      <c r="R1288">
        <v>77.5</v>
      </c>
      <c r="S1288">
        <v>170</v>
      </c>
      <c r="T1288">
        <v>50</v>
      </c>
      <c r="U1288">
        <v>1812.1301775147931</v>
      </c>
      <c r="V1288">
        <v>20</v>
      </c>
      <c r="W1288">
        <v>0.95</v>
      </c>
      <c r="X1288">
        <v>1</v>
      </c>
      <c r="Y1288">
        <v>644963.00695345842</v>
      </c>
      <c r="Z1288">
        <v>1289926013.9069171</v>
      </c>
      <c r="AA1288">
        <v>3224815034.767292</v>
      </c>
      <c r="AB1288">
        <v>3224815.034767292</v>
      </c>
      <c r="AC1288">
        <v>66773.504273504266</v>
      </c>
      <c r="AD1288">
        <v>13369.14093713944</v>
      </c>
      <c r="AE1288">
        <v>8021484.5622836649</v>
      </c>
      <c r="AF1288">
        <v>4010742.281141832</v>
      </c>
      <c r="AG1288">
        <v>128.50843407460229</v>
      </c>
      <c r="AH1288">
        <v>1323.8457584478899</v>
      </c>
      <c r="AI1288">
        <v>661.92287922394507</v>
      </c>
      <c r="AJ1288">
        <v>104806.488629937</v>
      </c>
      <c r="AK1288">
        <v>2170.1388888888891</v>
      </c>
      <c r="AL1288" t="s">
        <v>95</v>
      </c>
      <c r="AM1288">
        <v>102598.0462797115</v>
      </c>
      <c r="AN1288">
        <v>7197.6439046387341</v>
      </c>
      <c r="AO1288">
        <v>112526.8894680707</v>
      </c>
      <c r="AP1288">
        <v>216772.31770317609</v>
      </c>
      <c r="AQ1288">
        <v>104245.4282351054</v>
      </c>
      <c r="AR1288">
        <v>2.6131444327083329E-2</v>
      </c>
      <c r="AS1288">
        <v>815.56116829728273</v>
      </c>
      <c r="AT1288">
        <v>798.37597445278016</v>
      </c>
      <c r="AU1288">
        <v>56.009116883801752</v>
      </c>
      <c r="AV1288">
        <v>875.63816552885555</v>
      </c>
      <c r="AW1288">
        <v>1686.833391630423</v>
      </c>
      <c r="AX1288">
        <v>811.19522610156764</v>
      </c>
      <c r="AY1288">
        <v>5.1508127384050324</v>
      </c>
      <c r="AZ1288" t="s">
        <v>135</v>
      </c>
      <c r="BA1288" t="str">
        <f>VLOOKUP($AZ1288,Sheet1!$A$2:$B$58,2)</f>
        <v>Isoprene</v>
      </c>
      <c r="BB1288" t="s">
        <v>184</v>
      </c>
      <c r="BC1288">
        <v>68.116219999999998</v>
      </c>
      <c r="BD1288">
        <v>5.6</v>
      </c>
      <c r="BE1288">
        <v>34.07</v>
      </c>
      <c r="BF1288" t="s">
        <v>220</v>
      </c>
      <c r="BG1288">
        <v>0</v>
      </c>
      <c r="BH1288">
        <v>9.0985324947589E-2</v>
      </c>
      <c r="BI1288">
        <v>0.1945397606003578</v>
      </c>
      <c r="BJ1288">
        <v>80</v>
      </c>
      <c r="BK1288">
        <v>10838.615885158801</v>
      </c>
      <c r="BL1288">
        <v>5212.2714117552714</v>
      </c>
      <c r="BM1288">
        <v>33.096143961197249</v>
      </c>
      <c r="BN1288">
        <v>5626.344473403532</v>
      </c>
      <c r="BO1288">
        <v>5212.2714117552696</v>
      </c>
    </row>
    <row r="1289" spans="1:67" x14ac:dyDescent="0.25">
      <c r="A1289" s="1">
        <v>1287</v>
      </c>
      <c r="B1289" t="s">
        <v>78</v>
      </c>
      <c r="C1289" t="s">
        <v>87</v>
      </c>
      <c r="D1289">
        <v>1</v>
      </c>
      <c r="E1289">
        <v>4</v>
      </c>
      <c r="F1289">
        <v>1</v>
      </c>
      <c r="G1289">
        <v>32.041060000000002</v>
      </c>
      <c r="H1289">
        <v>6</v>
      </c>
      <c r="I1289" t="s">
        <v>89</v>
      </c>
      <c r="J1289">
        <v>2.5</v>
      </c>
      <c r="K1289">
        <v>200</v>
      </c>
      <c r="L1289">
        <v>50</v>
      </c>
      <c r="N1289" t="s">
        <v>90</v>
      </c>
      <c r="O1289">
        <v>50</v>
      </c>
      <c r="P1289">
        <v>0.3125</v>
      </c>
      <c r="Q1289">
        <v>3.2500000000000001E-2</v>
      </c>
      <c r="R1289">
        <v>77.5</v>
      </c>
      <c r="S1289">
        <v>170</v>
      </c>
      <c r="T1289">
        <v>50</v>
      </c>
      <c r="U1289">
        <v>1812.1301775147931</v>
      </c>
      <c r="V1289">
        <v>20</v>
      </c>
      <c r="W1289">
        <v>0.95</v>
      </c>
      <c r="X1289">
        <v>1</v>
      </c>
      <c r="Y1289">
        <v>200697.2865512626</v>
      </c>
      <c r="Z1289">
        <v>401394573.10252517</v>
      </c>
      <c r="AA1289">
        <v>1003486432.756313</v>
      </c>
      <c r="AB1289">
        <v>1003486.432756313</v>
      </c>
      <c r="AC1289">
        <v>0</v>
      </c>
      <c r="AD1289">
        <v>4160.1615607062413</v>
      </c>
      <c r="AE1289">
        <v>2496096.936423745</v>
      </c>
      <c r="AF1289">
        <v>1248048.468211873</v>
      </c>
      <c r="AG1289">
        <v>39.988795852884699</v>
      </c>
      <c r="AH1289">
        <v>411.9495981450338</v>
      </c>
      <c r="AI1289">
        <v>205.9747990725169</v>
      </c>
      <c r="AJ1289">
        <v>32613.309064580179</v>
      </c>
      <c r="AK1289">
        <v>854.70085470085473</v>
      </c>
      <c r="AL1289" t="s">
        <v>93</v>
      </c>
      <c r="AM1289">
        <v>31926.093856240121</v>
      </c>
      <c r="AN1289">
        <v>2239.7371409667062</v>
      </c>
      <c r="AO1289">
        <v>35015.715842327867</v>
      </c>
      <c r="AP1289">
        <v>67633.840916487869</v>
      </c>
      <c r="AQ1289">
        <v>32618.125074159991</v>
      </c>
      <c r="AR1289">
        <v>2.6131444327083329E-2</v>
      </c>
      <c r="AS1289">
        <v>815.56116829728273</v>
      </c>
      <c r="AT1289">
        <v>798.37597445278027</v>
      </c>
      <c r="AU1289">
        <v>56.009116883801752</v>
      </c>
      <c r="AV1289">
        <v>875.63816552885578</v>
      </c>
      <c r="AW1289">
        <v>1691.3197677996329</v>
      </c>
      <c r="AX1289">
        <v>815.68160227077692</v>
      </c>
      <c r="AY1289">
        <v>5.1508127384050342</v>
      </c>
      <c r="AZ1289" t="s">
        <v>136</v>
      </c>
      <c r="BA1289" t="str">
        <f>VLOOKUP($AZ1289,Sheet1!$A$2:$B$58,2)</f>
        <v>Isopropanol</v>
      </c>
      <c r="BB1289" t="s">
        <v>156</v>
      </c>
      <c r="BC1289">
        <v>60.093820000000001</v>
      </c>
      <c r="BD1289">
        <v>6</v>
      </c>
      <c r="BE1289">
        <v>82.5</v>
      </c>
      <c r="BF1289" t="s">
        <v>220</v>
      </c>
      <c r="BG1289">
        <v>0</v>
      </c>
      <c r="BH1289">
        <v>0.33333333333333331</v>
      </c>
      <c r="BI1289">
        <v>0.62517511384870961</v>
      </c>
      <c r="BJ1289">
        <v>80</v>
      </c>
      <c r="BK1289">
        <v>3381.692045824394</v>
      </c>
      <c r="BL1289">
        <v>1630.906253707999</v>
      </c>
      <c r="BM1289">
        <v>10.29873995362585</v>
      </c>
      <c r="BN1289">
        <v>1750.7857921163941</v>
      </c>
      <c r="BO1289">
        <v>1630.9062537079999</v>
      </c>
    </row>
    <row r="1290" spans="1:67" x14ac:dyDescent="0.25">
      <c r="A1290" s="1">
        <v>1288</v>
      </c>
      <c r="B1290" t="s">
        <v>78</v>
      </c>
      <c r="C1290" t="s">
        <v>87</v>
      </c>
      <c r="D1290">
        <v>1</v>
      </c>
      <c r="E1290">
        <v>4</v>
      </c>
      <c r="F1290">
        <v>1</v>
      </c>
      <c r="G1290">
        <v>32.041060000000002</v>
      </c>
      <c r="H1290">
        <v>6</v>
      </c>
      <c r="I1290" t="s">
        <v>89</v>
      </c>
      <c r="J1290">
        <v>2.5</v>
      </c>
      <c r="K1290">
        <v>200</v>
      </c>
      <c r="L1290">
        <v>50</v>
      </c>
      <c r="N1290" t="s">
        <v>90</v>
      </c>
      <c r="O1290">
        <v>50</v>
      </c>
      <c r="P1290">
        <v>0.3125</v>
      </c>
      <c r="Q1290">
        <v>3.2500000000000001E-2</v>
      </c>
      <c r="R1290">
        <v>77.5</v>
      </c>
      <c r="S1290">
        <v>170</v>
      </c>
      <c r="T1290">
        <v>50</v>
      </c>
      <c r="U1290">
        <v>1812.1301775147931</v>
      </c>
      <c r="V1290">
        <v>20</v>
      </c>
      <c r="W1290">
        <v>0.95</v>
      </c>
      <c r="X1290">
        <v>1</v>
      </c>
      <c r="Y1290">
        <v>243450.4714688501</v>
      </c>
      <c r="Z1290">
        <v>486900942.93770021</v>
      </c>
      <c r="AA1290">
        <v>1217252357.34425</v>
      </c>
      <c r="AB1290">
        <v>1217252.35734425</v>
      </c>
      <c r="AC1290">
        <v>0</v>
      </c>
      <c r="AD1290">
        <v>5046.3726278722324</v>
      </c>
      <c r="AE1290">
        <v>3027823.57672334</v>
      </c>
      <c r="AF1290">
        <v>1513911.78836167</v>
      </c>
      <c r="AG1290">
        <v>48.507338445603573</v>
      </c>
      <c r="AH1290">
        <v>499.7044335434781</v>
      </c>
      <c r="AI1290">
        <v>249.85221677173911</v>
      </c>
      <c r="AJ1290">
        <v>39560.701613688143</v>
      </c>
      <c r="AK1290">
        <v>854.70085470085473</v>
      </c>
      <c r="AL1290" t="s">
        <v>93</v>
      </c>
      <c r="AM1290">
        <v>38727.093599619548</v>
      </c>
      <c r="AN1290">
        <v>2716.853188721941</v>
      </c>
      <c r="AO1290">
        <v>42474.876851195637</v>
      </c>
      <c r="AP1290">
        <v>81859.349256730493</v>
      </c>
      <c r="AQ1290">
        <v>39384.472405534863</v>
      </c>
      <c r="AR1290">
        <v>2.613144432708334E-2</v>
      </c>
      <c r="AS1290">
        <v>815.56116829728285</v>
      </c>
      <c r="AT1290">
        <v>798.37597445278016</v>
      </c>
      <c r="AU1290">
        <v>56.009116883801767</v>
      </c>
      <c r="AV1290">
        <v>875.63816552885567</v>
      </c>
      <c r="AW1290">
        <v>1687.5662916143731</v>
      </c>
      <c r="AX1290">
        <v>811.92812608551719</v>
      </c>
      <c r="AY1290">
        <v>5.1508127384050333</v>
      </c>
      <c r="AZ1290" t="s">
        <v>137</v>
      </c>
      <c r="BA1290" t="str">
        <f>VLOOKUP($AZ1290,Sheet1!$A$2:$B$58,2)</f>
        <v>Itaconate</v>
      </c>
      <c r="BB1290" t="s">
        <v>185</v>
      </c>
      <c r="BC1290">
        <v>128.08086</v>
      </c>
      <c r="BD1290">
        <v>3.2</v>
      </c>
      <c r="BE1290">
        <v>381</v>
      </c>
      <c r="BF1290" t="s">
        <v>220</v>
      </c>
      <c r="BG1290">
        <v>0</v>
      </c>
      <c r="BH1290">
        <v>0.1229461756373937</v>
      </c>
      <c r="BI1290">
        <v>0.51538593542985578</v>
      </c>
      <c r="BJ1290">
        <v>80</v>
      </c>
      <c r="BK1290">
        <v>4092.9674628365251</v>
      </c>
      <c r="BL1290">
        <v>1969.2236202767431</v>
      </c>
      <c r="BM1290">
        <v>12.49261083858695</v>
      </c>
      <c r="BN1290">
        <v>2123.743842559782</v>
      </c>
      <c r="BO1290">
        <v>1969.2236202767431</v>
      </c>
    </row>
    <row r="1291" spans="1:67" x14ac:dyDescent="0.25">
      <c r="A1291" s="1">
        <v>1289</v>
      </c>
      <c r="B1291" t="s">
        <v>78</v>
      </c>
      <c r="C1291" t="s">
        <v>87</v>
      </c>
      <c r="D1291">
        <v>1</v>
      </c>
      <c r="E1291">
        <v>4</v>
      </c>
      <c r="F1291">
        <v>1</v>
      </c>
      <c r="G1291">
        <v>32.041060000000002</v>
      </c>
      <c r="H1291">
        <v>6</v>
      </c>
      <c r="I1291" t="s">
        <v>89</v>
      </c>
      <c r="J1291">
        <v>2.5</v>
      </c>
      <c r="K1291">
        <v>200</v>
      </c>
      <c r="L1291">
        <v>50</v>
      </c>
      <c r="N1291" t="s">
        <v>90</v>
      </c>
      <c r="O1291">
        <v>50</v>
      </c>
      <c r="P1291">
        <v>0.3125</v>
      </c>
      <c r="Q1291">
        <v>3.2500000000000001E-2</v>
      </c>
      <c r="R1291">
        <v>77.5</v>
      </c>
      <c r="S1291">
        <v>170</v>
      </c>
      <c r="T1291">
        <v>50</v>
      </c>
      <c r="U1291">
        <v>1812.1301775147931</v>
      </c>
      <c r="V1291">
        <v>20</v>
      </c>
      <c r="W1291">
        <v>0.95</v>
      </c>
      <c r="X1291">
        <v>1</v>
      </c>
      <c r="Y1291">
        <v>226348.22881171509</v>
      </c>
      <c r="Z1291">
        <v>452696457.62343007</v>
      </c>
      <c r="AA1291">
        <v>1131741144.0585749</v>
      </c>
      <c r="AB1291">
        <v>1131741.1440585749</v>
      </c>
      <c r="AC1291">
        <v>0</v>
      </c>
      <c r="AD1291">
        <v>4691.8681214751778</v>
      </c>
      <c r="AE1291">
        <v>2815120.8728851071</v>
      </c>
      <c r="AF1291">
        <v>1407560.4364425531</v>
      </c>
      <c r="AG1291">
        <v>45.099728397682043</v>
      </c>
      <c r="AH1291">
        <v>464.60051105877591</v>
      </c>
      <c r="AI1291">
        <v>232.3002555293879</v>
      </c>
      <c r="AJ1291">
        <v>36781.587181903698</v>
      </c>
      <c r="AK1291">
        <v>854.70085470085473</v>
      </c>
      <c r="AL1291" t="s">
        <v>93</v>
      </c>
      <c r="AM1291">
        <v>36006.539607055129</v>
      </c>
      <c r="AN1291">
        <v>2525.9959592534869</v>
      </c>
      <c r="AO1291">
        <v>39491.043439995949</v>
      </c>
      <c r="AP1291">
        <v>76168.823602913166</v>
      </c>
      <c r="AQ1291">
        <v>36677.780162917217</v>
      </c>
      <c r="AR1291">
        <v>2.6131444327083329E-2</v>
      </c>
      <c r="AS1291">
        <v>815.56116829728273</v>
      </c>
      <c r="AT1291">
        <v>798.37597445278038</v>
      </c>
      <c r="AU1291">
        <v>56.009116883801767</v>
      </c>
      <c r="AV1291">
        <v>875.63816552885589</v>
      </c>
      <c r="AW1291">
        <v>1688.8976122265949</v>
      </c>
      <c r="AX1291">
        <v>813.25944669773924</v>
      </c>
      <c r="AY1291">
        <v>5.1508127384050342</v>
      </c>
      <c r="AZ1291" t="s">
        <v>141</v>
      </c>
      <c r="BA1291" t="str">
        <f>VLOOKUP($AZ1291,Sheet1!$A$2:$B$58,2)</f>
        <v>Malonate</v>
      </c>
      <c r="BB1291" t="s">
        <v>189</v>
      </c>
      <c r="BC1291">
        <v>102.04378</v>
      </c>
      <c r="BD1291">
        <v>2</v>
      </c>
      <c r="BE1291">
        <v>199</v>
      </c>
      <c r="BF1291" t="s">
        <v>220</v>
      </c>
      <c r="BG1291">
        <v>0</v>
      </c>
      <c r="BH1291">
        <v>0.1650190114068438</v>
      </c>
      <c r="BI1291">
        <v>0.55432706333736825</v>
      </c>
      <c r="BJ1291">
        <v>80</v>
      </c>
      <c r="BK1291">
        <v>3808.4411801456581</v>
      </c>
      <c r="BL1291">
        <v>1833.889008145861</v>
      </c>
      <c r="BM1291">
        <v>11.615012776469399</v>
      </c>
      <c r="BN1291">
        <v>1974.552171999798</v>
      </c>
      <c r="BO1291">
        <v>1833.889008145861</v>
      </c>
    </row>
    <row r="1292" spans="1:67" x14ac:dyDescent="0.25">
      <c r="A1292" s="1">
        <v>1290</v>
      </c>
      <c r="B1292" t="s">
        <v>78</v>
      </c>
      <c r="C1292" t="s">
        <v>87</v>
      </c>
      <c r="D1292">
        <v>1</v>
      </c>
      <c r="E1292">
        <v>4</v>
      </c>
      <c r="F1292">
        <v>1</v>
      </c>
      <c r="G1292">
        <v>32.041060000000002</v>
      </c>
      <c r="H1292">
        <v>6</v>
      </c>
      <c r="I1292" t="s">
        <v>89</v>
      </c>
      <c r="J1292">
        <v>2.5</v>
      </c>
      <c r="K1292">
        <v>200</v>
      </c>
      <c r="L1292">
        <v>50</v>
      </c>
      <c r="N1292" t="s">
        <v>90</v>
      </c>
      <c r="O1292">
        <v>50</v>
      </c>
      <c r="P1292">
        <v>0.3125</v>
      </c>
      <c r="Q1292">
        <v>3.2500000000000001E-2</v>
      </c>
      <c r="R1292">
        <v>77.5</v>
      </c>
      <c r="S1292">
        <v>170</v>
      </c>
      <c r="T1292">
        <v>50</v>
      </c>
      <c r="U1292">
        <v>1812.1301775147931</v>
      </c>
      <c r="V1292">
        <v>20</v>
      </c>
      <c r="W1292">
        <v>0.95</v>
      </c>
      <c r="X1292">
        <v>1</v>
      </c>
      <c r="Y1292">
        <v>292562.70535024529</v>
      </c>
      <c r="Z1292">
        <v>585125410.70049059</v>
      </c>
      <c r="AA1292">
        <v>1462813526.7512259</v>
      </c>
      <c r="AB1292">
        <v>1462813.526751227</v>
      </c>
      <c r="AC1292">
        <v>0</v>
      </c>
      <c r="AD1292">
        <v>6064.3974904137021</v>
      </c>
      <c r="AE1292">
        <v>3638638.4942482221</v>
      </c>
      <c r="AF1292">
        <v>1819319.247124111</v>
      </c>
      <c r="AG1292">
        <v>58.292917156258461</v>
      </c>
      <c r="AH1292">
        <v>600.51180049449079</v>
      </c>
      <c r="AI1292">
        <v>300.25590024724539</v>
      </c>
      <c r="AJ1292">
        <v>47541.439619414858</v>
      </c>
      <c r="AK1292">
        <v>854.70085470085473</v>
      </c>
      <c r="AL1292" t="s">
        <v>93</v>
      </c>
      <c r="AM1292">
        <v>46539.664538323043</v>
      </c>
      <c r="AN1292">
        <v>3264.9348105026529</v>
      </c>
      <c r="AO1292">
        <v>51043.50304203172</v>
      </c>
      <c r="AP1292">
        <v>98200.73982294141</v>
      </c>
      <c r="AQ1292">
        <v>47157.23678090969</v>
      </c>
      <c r="AR1292">
        <v>2.6131444327083329E-2</v>
      </c>
      <c r="AS1292">
        <v>815.56116829728273</v>
      </c>
      <c r="AT1292">
        <v>798.37597445278004</v>
      </c>
      <c r="AU1292">
        <v>56.009116883801752</v>
      </c>
      <c r="AV1292">
        <v>875.63816552885567</v>
      </c>
      <c r="AW1292">
        <v>1684.6084329543339</v>
      </c>
      <c r="AX1292">
        <v>808.97026742547871</v>
      </c>
      <c r="AY1292">
        <v>5.1508127384050333</v>
      </c>
      <c r="AZ1292" t="s">
        <v>142</v>
      </c>
      <c r="BA1292" t="str">
        <f>VLOOKUP($AZ1292,Sheet1!$A$2:$B$58,2)</f>
        <v>Nonane</v>
      </c>
      <c r="BB1292" t="s">
        <v>190</v>
      </c>
      <c r="BC1292">
        <v>128.25309999999999</v>
      </c>
      <c r="BD1292">
        <v>6.2222222222222223</v>
      </c>
      <c r="BE1292">
        <v>151</v>
      </c>
      <c r="BF1292" t="s">
        <v>220</v>
      </c>
      <c r="BG1292">
        <v>0.1143832000941883</v>
      </c>
      <c r="BH1292">
        <v>0.1071428571428571</v>
      </c>
      <c r="BI1292">
        <v>0.42886856962374442</v>
      </c>
      <c r="BJ1292">
        <v>80</v>
      </c>
      <c r="BK1292">
        <v>4910.0369911470698</v>
      </c>
      <c r="BL1292">
        <v>2357.861839045484</v>
      </c>
      <c r="BM1292">
        <v>14.89841181226808</v>
      </c>
      <c r="BN1292">
        <v>2532.7300080855739</v>
      </c>
      <c r="BO1292">
        <v>2377.306983061495</v>
      </c>
    </row>
    <row r="1293" spans="1:67" x14ac:dyDescent="0.25">
      <c r="A1293" s="1">
        <v>1291</v>
      </c>
      <c r="B1293" t="s">
        <v>78</v>
      </c>
      <c r="C1293" t="s">
        <v>87</v>
      </c>
      <c r="D1293">
        <v>1</v>
      </c>
      <c r="E1293">
        <v>4</v>
      </c>
      <c r="F1293">
        <v>1</v>
      </c>
      <c r="G1293">
        <v>32.041060000000002</v>
      </c>
      <c r="H1293">
        <v>6</v>
      </c>
      <c r="I1293" t="s">
        <v>89</v>
      </c>
      <c r="J1293">
        <v>2.5</v>
      </c>
      <c r="K1293">
        <v>200</v>
      </c>
      <c r="L1293">
        <v>50</v>
      </c>
      <c r="N1293" t="s">
        <v>90</v>
      </c>
      <c r="O1293">
        <v>50</v>
      </c>
      <c r="P1293">
        <v>0.3125</v>
      </c>
      <c r="Q1293">
        <v>3.2500000000000001E-2</v>
      </c>
      <c r="R1293">
        <v>77.5</v>
      </c>
      <c r="S1293">
        <v>170</v>
      </c>
      <c r="T1293">
        <v>50</v>
      </c>
      <c r="U1293">
        <v>1812.1301775147931</v>
      </c>
      <c r="V1293">
        <v>20</v>
      </c>
      <c r="W1293">
        <v>0.95</v>
      </c>
      <c r="X1293">
        <v>1</v>
      </c>
      <c r="Y1293">
        <v>293292.6000272868</v>
      </c>
      <c r="Z1293">
        <v>586585200.05457366</v>
      </c>
      <c r="AA1293">
        <v>1466463000.1364341</v>
      </c>
      <c r="AB1293">
        <v>1466463.0001364341</v>
      </c>
      <c r="AC1293">
        <v>0</v>
      </c>
      <c r="AD1293">
        <v>6079.5271407989694</v>
      </c>
      <c r="AE1293">
        <v>3647716.284479382</v>
      </c>
      <c r="AF1293">
        <v>1823858.142239691</v>
      </c>
      <c r="AG1293">
        <v>58.438348166990473</v>
      </c>
      <c r="AH1293">
        <v>602.00997629976598</v>
      </c>
      <c r="AI1293">
        <v>301.00498814988299</v>
      </c>
      <c r="AJ1293">
        <v>47660.047504434107</v>
      </c>
      <c r="AK1293">
        <v>854.70085470085473</v>
      </c>
      <c r="AL1293" t="s">
        <v>93</v>
      </c>
      <c r="AM1293">
        <v>46655.773163231861</v>
      </c>
      <c r="AN1293">
        <v>3273.0802729812722</v>
      </c>
      <c r="AO1293">
        <v>51170.847985480112</v>
      </c>
      <c r="AP1293">
        <v>98443.601795348106</v>
      </c>
      <c r="AQ1293">
        <v>47272.753809867987</v>
      </c>
      <c r="AR1293">
        <v>2.6131444327083329E-2</v>
      </c>
      <c r="AS1293">
        <v>815.56116829728262</v>
      </c>
      <c r="AT1293">
        <v>798.37597445278027</v>
      </c>
      <c r="AU1293">
        <v>56.009116883801759</v>
      </c>
      <c r="AV1293">
        <v>875.63816552885589</v>
      </c>
      <c r="AW1293">
        <v>1684.571944334235</v>
      </c>
      <c r="AX1293">
        <v>808.93377880537889</v>
      </c>
      <c r="AY1293">
        <v>5.1508127384050342</v>
      </c>
      <c r="AZ1293" t="s">
        <v>143</v>
      </c>
      <c r="BA1293" t="str">
        <f>VLOOKUP($AZ1293,Sheet1!$A$2:$B$58,2)</f>
        <v>Octane</v>
      </c>
      <c r="BB1293" t="s">
        <v>191</v>
      </c>
      <c r="BC1293">
        <v>114.22672</v>
      </c>
      <c r="BD1293">
        <v>6.25</v>
      </c>
      <c r="BE1293">
        <v>126</v>
      </c>
      <c r="BF1293" t="s">
        <v>220</v>
      </c>
      <c r="BG1293">
        <v>0.1284287949439504</v>
      </c>
      <c r="BH1293">
        <v>0.12</v>
      </c>
      <c r="BI1293">
        <v>0.42780127748582603</v>
      </c>
      <c r="BJ1293">
        <v>80</v>
      </c>
      <c r="BK1293">
        <v>4922.1800897674048</v>
      </c>
      <c r="BL1293">
        <v>2363.6376904933991</v>
      </c>
      <c r="BM1293">
        <v>14.921820612550199</v>
      </c>
      <c r="BN1293">
        <v>2536.7095041335328</v>
      </c>
      <c r="BO1293">
        <v>2385.470585633871</v>
      </c>
    </row>
    <row r="1294" spans="1:67" x14ac:dyDescent="0.25">
      <c r="A1294" s="1">
        <v>1292</v>
      </c>
      <c r="B1294" t="s">
        <v>78</v>
      </c>
      <c r="C1294" t="s">
        <v>87</v>
      </c>
      <c r="D1294">
        <v>1</v>
      </c>
      <c r="E1294">
        <v>4</v>
      </c>
      <c r="F1294">
        <v>1</v>
      </c>
      <c r="G1294">
        <v>32.041060000000002</v>
      </c>
      <c r="H1294">
        <v>6</v>
      </c>
      <c r="I1294" t="s">
        <v>89</v>
      </c>
      <c r="J1294">
        <v>2.5</v>
      </c>
      <c r="K1294">
        <v>200</v>
      </c>
      <c r="L1294">
        <v>50</v>
      </c>
      <c r="N1294" t="s">
        <v>90</v>
      </c>
      <c r="O1294">
        <v>50</v>
      </c>
      <c r="P1294">
        <v>0.3125</v>
      </c>
      <c r="Q1294">
        <v>3.2500000000000001E-2</v>
      </c>
      <c r="R1294">
        <v>77.5</v>
      </c>
      <c r="S1294">
        <v>170</v>
      </c>
      <c r="T1294">
        <v>50</v>
      </c>
      <c r="U1294">
        <v>1812.1301775147931</v>
      </c>
      <c r="V1294">
        <v>20</v>
      </c>
      <c r="W1294">
        <v>0.95</v>
      </c>
      <c r="X1294">
        <v>1</v>
      </c>
      <c r="Y1294">
        <v>297185.09046164667</v>
      </c>
      <c r="Z1294">
        <v>594370180.92329335</v>
      </c>
      <c r="AA1294">
        <v>1485925452.308233</v>
      </c>
      <c r="AB1294">
        <v>1485925.4523082329</v>
      </c>
      <c r="AC1294">
        <v>66773.504273504266</v>
      </c>
      <c r="AD1294">
        <v>6160.2127811417167</v>
      </c>
      <c r="AE1294">
        <v>3696127.6686850302</v>
      </c>
      <c r="AF1294">
        <v>1848063.8343425151</v>
      </c>
      <c r="AG1294">
        <v>59.213924199998587</v>
      </c>
      <c r="AH1294">
        <v>609.99967012060563</v>
      </c>
      <c r="AI1294">
        <v>304.99983506030281</v>
      </c>
      <c r="AJ1294">
        <v>48292.577200017593</v>
      </c>
      <c r="AK1294">
        <v>2170.1388888888891</v>
      </c>
      <c r="AL1294" t="s">
        <v>95</v>
      </c>
      <c r="AM1294">
        <v>47274.974434346943</v>
      </c>
      <c r="AN1294">
        <v>3316.519601666299</v>
      </c>
      <c r="AO1294">
        <v>51849.971960251482</v>
      </c>
      <c r="AP1294">
        <v>101054.2101249197</v>
      </c>
      <c r="AQ1294">
        <v>49204.238164668233</v>
      </c>
      <c r="AR1294">
        <v>2.6131444327083329E-2</v>
      </c>
      <c r="AS1294">
        <v>815.56116829728273</v>
      </c>
      <c r="AT1294">
        <v>798.37597445278016</v>
      </c>
      <c r="AU1294">
        <v>56.009116883801759</v>
      </c>
      <c r="AV1294">
        <v>875.63816552885578</v>
      </c>
      <c r="AW1294">
        <v>1706.595391036795</v>
      </c>
      <c r="AX1294">
        <v>830.95722550793903</v>
      </c>
      <c r="AY1294">
        <v>5.1508127384050333</v>
      </c>
      <c r="AZ1294" t="s">
        <v>144</v>
      </c>
      <c r="BA1294" t="str">
        <f>VLOOKUP($AZ1294,Sheet1!$A$2:$B$58,2)</f>
        <v>Pentane</v>
      </c>
      <c r="BB1294" t="s">
        <v>192</v>
      </c>
      <c r="BC1294">
        <v>72.147580000000005</v>
      </c>
      <c r="BD1294">
        <v>6.4</v>
      </c>
      <c r="BE1294">
        <v>36.1</v>
      </c>
      <c r="BF1294" t="s">
        <v>220</v>
      </c>
      <c r="BG1294">
        <v>0.20333322337353521</v>
      </c>
      <c r="BH1294">
        <v>0.18749999999999989</v>
      </c>
      <c r="BI1294">
        <v>0.42219799376175438</v>
      </c>
      <c r="BJ1294">
        <v>80</v>
      </c>
      <c r="BK1294">
        <v>5052.710506245985</v>
      </c>
      <c r="BL1294">
        <v>2460.211908233412</v>
      </c>
      <c r="BM1294">
        <v>15.046658529641601</v>
      </c>
      <c r="BN1294">
        <v>2557.931950039072</v>
      </c>
      <c r="BO1294">
        <v>2494.778556206913</v>
      </c>
    </row>
    <row r="1295" spans="1:67" x14ac:dyDescent="0.25">
      <c r="A1295" s="1">
        <v>1293</v>
      </c>
      <c r="B1295" t="s">
        <v>78</v>
      </c>
      <c r="C1295" t="s">
        <v>87</v>
      </c>
      <c r="D1295">
        <v>1</v>
      </c>
      <c r="E1295">
        <v>4</v>
      </c>
      <c r="F1295">
        <v>1</v>
      </c>
      <c r="G1295">
        <v>32.041060000000002</v>
      </c>
      <c r="H1295">
        <v>6</v>
      </c>
      <c r="I1295" t="s">
        <v>89</v>
      </c>
      <c r="J1295">
        <v>2.5</v>
      </c>
      <c r="K1295">
        <v>200</v>
      </c>
      <c r="L1295">
        <v>50</v>
      </c>
      <c r="N1295" t="s">
        <v>90</v>
      </c>
      <c r="O1295">
        <v>50</v>
      </c>
      <c r="P1295">
        <v>0.3125</v>
      </c>
      <c r="Q1295">
        <v>3.2500000000000001E-2</v>
      </c>
      <c r="R1295">
        <v>77.5</v>
      </c>
      <c r="S1295">
        <v>170</v>
      </c>
      <c r="T1295">
        <v>50</v>
      </c>
      <c r="U1295">
        <v>1812.1301775147931</v>
      </c>
      <c r="V1295">
        <v>20</v>
      </c>
      <c r="W1295">
        <v>0.95</v>
      </c>
      <c r="X1295">
        <v>1</v>
      </c>
      <c r="Y1295">
        <v>343639.13271829061</v>
      </c>
      <c r="Z1295">
        <v>687278265.43658125</v>
      </c>
      <c r="AA1295">
        <v>1718195663.5914531</v>
      </c>
      <c r="AB1295">
        <v>1718195.6635914531</v>
      </c>
      <c r="AC1295">
        <v>0</v>
      </c>
      <c r="AD1295">
        <v>7123.1372145328551</v>
      </c>
      <c r="AE1295">
        <v>4273882.3287197128</v>
      </c>
      <c r="AF1295">
        <v>2136941.1643598559</v>
      </c>
      <c r="AG1295">
        <v>68.469860063724028</v>
      </c>
      <c r="AH1295">
        <v>705.35085482607963</v>
      </c>
      <c r="AI1295">
        <v>352.67542741303981</v>
      </c>
      <c r="AJ1295">
        <v>55841.359066722231</v>
      </c>
      <c r="AK1295">
        <v>854.70085470085473</v>
      </c>
      <c r="AL1295" t="s">
        <v>93</v>
      </c>
      <c r="AM1295">
        <v>54664.691249021169</v>
      </c>
      <c r="AN1295">
        <v>3834.9363953266702</v>
      </c>
      <c r="AO1295">
        <v>59954.822660216771</v>
      </c>
      <c r="AP1295">
        <v>115195.6875657709</v>
      </c>
      <c r="AQ1295">
        <v>55240.864905554161</v>
      </c>
      <c r="AR1295">
        <v>2.613144432708334E-2</v>
      </c>
      <c r="AS1295">
        <v>815.56116829728285</v>
      </c>
      <c r="AT1295">
        <v>798.37597445278027</v>
      </c>
      <c r="AU1295">
        <v>56.009116883801767</v>
      </c>
      <c r="AV1295">
        <v>875.63816552885578</v>
      </c>
      <c r="AW1295">
        <v>1682.4291368283771</v>
      </c>
      <c r="AX1295">
        <v>806.79097129952083</v>
      </c>
      <c r="AY1295">
        <v>5.1508127384050333</v>
      </c>
      <c r="AZ1295" t="s">
        <v>145</v>
      </c>
      <c r="BA1295" t="str">
        <f>VLOOKUP($AZ1295,Sheet1!$A$2:$B$58,2)</f>
        <v>Pentanol (PW1)</v>
      </c>
      <c r="BB1295" t="s">
        <v>157</v>
      </c>
      <c r="BC1295">
        <v>88.14658</v>
      </c>
      <c r="BD1295">
        <v>6</v>
      </c>
      <c r="BE1295">
        <v>138</v>
      </c>
      <c r="BF1295" t="s">
        <v>220</v>
      </c>
      <c r="BG1295">
        <v>0</v>
      </c>
      <c r="BH1295">
        <v>0.13272171253822621</v>
      </c>
      <c r="BI1295">
        <v>0.36512415793946151</v>
      </c>
      <c r="BJ1295">
        <v>80</v>
      </c>
      <c r="BK1295">
        <v>5759.7843782885466</v>
      </c>
      <c r="BL1295">
        <v>2762.043245277709</v>
      </c>
      <c r="BM1295">
        <v>17.633771370651989</v>
      </c>
      <c r="BN1295">
        <v>2997.741133010838</v>
      </c>
      <c r="BO1295">
        <v>2762.04324527771</v>
      </c>
    </row>
    <row r="1296" spans="1:67" x14ac:dyDescent="0.25">
      <c r="A1296" s="1">
        <v>1294</v>
      </c>
      <c r="B1296" t="s">
        <v>78</v>
      </c>
      <c r="C1296" t="s">
        <v>87</v>
      </c>
      <c r="D1296">
        <v>1</v>
      </c>
      <c r="E1296">
        <v>4</v>
      </c>
      <c r="F1296">
        <v>1</v>
      </c>
      <c r="G1296">
        <v>32.041060000000002</v>
      </c>
      <c r="H1296">
        <v>6</v>
      </c>
      <c r="I1296" t="s">
        <v>89</v>
      </c>
      <c r="J1296">
        <v>2.5</v>
      </c>
      <c r="K1296">
        <v>200</v>
      </c>
      <c r="L1296">
        <v>50</v>
      </c>
      <c r="N1296" t="s">
        <v>90</v>
      </c>
      <c r="O1296">
        <v>50</v>
      </c>
      <c r="P1296">
        <v>0.3125</v>
      </c>
      <c r="Q1296">
        <v>3.2500000000000001E-2</v>
      </c>
      <c r="R1296">
        <v>77.5</v>
      </c>
      <c r="S1296">
        <v>170</v>
      </c>
      <c r="T1296">
        <v>50</v>
      </c>
      <c r="U1296">
        <v>1812.1301775147931</v>
      </c>
      <c r="V1296">
        <v>20</v>
      </c>
      <c r="W1296">
        <v>0.95</v>
      </c>
      <c r="X1296">
        <v>1</v>
      </c>
      <c r="Y1296">
        <v>337333.82753079903</v>
      </c>
      <c r="Z1296">
        <v>674667655.06159806</v>
      </c>
      <c r="AA1296">
        <v>1686669137.653995</v>
      </c>
      <c r="AB1296">
        <v>1686669.1376539951</v>
      </c>
      <c r="AC1296">
        <v>0</v>
      </c>
      <c r="AD1296">
        <v>6992.4374491285826</v>
      </c>
      <c r="AE1296">
        <v>4195462.4694771497</v>
      </c>
      <c r="AF1296">
        <v>2097731.2347385748</v>
      </c>
      <c r="AG1296">
        <v>67.21353235613276</v>
      </c>
      <c r="AH1296">
        <v>692.40863730633498</v>
      </c>
      <c r="AI1296">
        <v>346.20431865316749</v>
      </c>
      <c r="AJ1296">
        <v>54816.746973754838</v>
      </c>
      <c r="AK1296">
        <v>854.70085470085473</v>
      </c>
      <c r="AL1296" t="s">
        <v>93</v>
      </c>
      <c r="AM1296">
        <v>53661.669391240961</v>
      </c>
      <c r="AN1296">
        <v>3764.5705899078312</v>
      </c>
      <c r="AO1296">
        <v>58854.734171038472</v>
      </c>
      <c r="AP1296">
        <v>113097.6878096045</v>
      </c>
      <c r="AQ1296">
        <v>54242.95363856601</v>
      </c>
      <c r="AR1296">
        <v>2.6131444327083329E-2</v>
      </c>
      <c r="AS1296">
        <v>815.56116829728262</v>
      </c>
      <c r="AT1296">
        <v>798.37597445278016</v>
      </c>
      <c r="AU1296">
        <v>56.009116883801752</v>
      </c>
      <c r="AV1296">
        <v>875.63816552885555</v>
      </c>
      <c r="AW1296">
        <v>1682.6624616357501</v>
      </c>
      <c r="AX1296">
        <v>807.0242961068941</v>
      </c>
      <c r="AY1296">
        <v>5.1508127384050333</v>
      </c>
      <c r="AZ1296" t="s">
        <v>146</v>
      </c>
      <c r="BA1296" t="str">
        <f>VLOOKUP($AZ1296,Sheet1!$A$2:$B$58,2)</f>
        <v>Pentanol (PW2)</v>
      </c>
      <c r="BB1296" t="s">
        <v>157</v>
      </c>
      <c r="BC1296">
        <v>88.14658</v>
      </c>
      <c r="BD1296">
        <v>6</v>
      </c>
      <c r="BE1296">
        <v>138</v>
      </c>
      <c r="BF1296" t="s">
        <v>220</v>
      </c>
      <c r="BG1296">
        <v>0</v>
      </c>
      <c r="BH1296">
        <v>0.13520249221183789</v>
      </c>
      <c r="BI1296">
        <v>0.37194890855515239</v>
      </c>
      <c r="BJ1296">
        <v>80</v>
      </c>
      <c r="BK1296">
        <v>5654.8843904802216</v>
      </c>
      <c r="BL1296">
        <v>2712.1476819282998</v>
      </c>
      <c r="BM1296">
        <v>17.31021593265838</v>
      </c>
      <c r="BN1296">
        <v>2942.736708551924</v>
      </c>
      <c r="BO1296">
        <v>2712.147681928298</v>
      </c>
    </row>
    <row r="1297" spans="1:67" x14ac:dyDescent="0.25">
      <c r="A1297" s="1">
        <v>1295</v>
      </c>
      <c r="B1297" t="s">
        <v>78</v>
      </c>
      <c r="C1297" t="s">
        <v>87</v>
      </c>
      <c r="D1297">
        <v>1</v>
      </c>
      <c r="E1297">
        <v>4</v>
      </c>
      <c r="F1297">
        <v>1</v>
      </c>
      <c r="G1297">
        <v>32.041060000000002</v>
      </c>
      <c r="H1297">
        <v>6</v>
      </c>
      <c r="I1297" t="s">
        <v>89</v>
      </c>
      <c r="J1297">
        <v>2.5</v>
      </c>
      <c r="K1297">
        <v>200</v>
      </c>
      <c r="L1297">
        <v>50</v>
      </c>
      <c r="N1297" t="s">
        <v>90</v>
      </c>
      <c r="O1297">
        <v>50</v>
      </c>
      <c r="P1297">
        <v>0.3125</v>
      </c>
      <c r="Q1297">
        <v>3.2500000000000001E-2</v>
      </c>
      <c r="R1297">
        <v>77.5</v>
      </c>
      <c r="S1297">
        <v>170</v>
      </c>
      <c r="T1297">
        <v>50</v>
      </c>
      <c r="U1297">
        <v>1812.1301775147931</v>
      </c>
      <c r="V1297">
        <v>20</v>
      </c>
      <c r="W1297">
        <v>0.95</v>
      </c>
      <c r="X1297">
        <v>1</v>
      </c>
      <c r="Y1297">
        <v>957790.99831679149</v>
      </c>
      <c r="Z1297">
        <v>1915581996.6335831</v>
      </c>
      <c r="AA1297">
        <v>4788954991.5839577</v>
      </c>
      <c r="AB1297">
        <v>4788954.9915839573</v>
      </c>
      <c r="AC1297">
        <v>0</v>
      </c>
      <c r="AD1297">
        <v>19853.6082019735</v>
      </c>
      <c r="AE1297">
        <v>11912164.9211841</v>
      </c>
      <c r="AF1297">
        <v>5956082.4605920492</v>
      </c>
      <c r="AG1297">
        <v>190.83919548477749</v>
      </c>
      <c r="AH1297">
        <v>1965.9539181799209</v>
      </c>
      <c r="AI1297">
        <v>982.97695908996036</v>
      </c>
      <c r="AJ1297">
        <v>155641.0372264786</v>
      </c>
      <c r="AK1297">
        <v>854.70085470085473</v>
      </c>
      <c r="AL1297" t="s">
        <v>93</v>
      </c>
      <c r="AM1297">
        <v>152361.42865894391</v>
      </c>
      <c r="AN1297">
        <v>10688.734805917589</v>
      </c>
      <c r="AO1297">
        <v>167106.08304529329</v>
      </c>
      <c r="AP1297">
        <v>319545.90154604102</v>
      </c>
      <c r="AQ1297">
        <v>152439.8185007477</v>
      </c>
      <c r="AR1297">
        <v>2.6131444327083329E-2</v>
      </c>
      <c r="AS1297">
        <v>815.56116829728262</v>
      </c>
      <c r="AT1297">
        <v>798.37597445278027</v>
      </c>
      <c r="AU1297">
        <v>56.009116883801752</v>
      </c>
      <c r="AV1297">
        <v>875.63816552885578</v>
      </c>
      <c r="AW1297">
        <v>1674.4249038271071</v>
      </c>
      <c r="AX1297">
        <v>798.78673829825084</v>
      </c>
      <c r="AY1297">
        <v>5.1508127384050342</v>
      </c>
      <c r="AZ1297" t="s">
        <v>147</v>
      </c>
      <c r="BA1297" t="str">
        <f>VLOOKUP($AZ1297,Sheet1!$A$2:$B$58,2)</f>
        <v>Phenol</v>
      </c>
      <c r="BB1297" t="s">
        <v>193</v>
      </c>
      <c r="BC1297">
        <v>94.11023999999999</v>
      </c>
      <c r="BD1297">
        <v>4.666666666666667</v>
      </c>
      <c r="BE1297">
        <v>181.7</v>
      </c>
      <c r="BF1297" t="s">
        <v>220</v>
      </c>
      <c r="BG1297">
        <v>0</v>
      </c>
      <c r="BH1297">
        <v>4.4105691056910402E-2</v>
      </c>
      <c r="BI1297">
        <v>0.1310003426523256</v>
      </c>
      <c r="BJ1297">
        <v>80</v>
      </c>
      <c r="BK1297">
        <v>15977.295077302049</v>
      </c>
      <c r="BL1297">
        <v>7621.9909250373848</v>
      </c>
      <c r="BM1297">
        <v>49.148847954498017</v>
      </c>
      <c r="BN1297">
        <v>8355.3041522646636</v>
      </c>
      <c r="BO1297">
        <v>7621.9909250373821</v>
      </c>
    </row>
    <row r="1298" spans="1:67" x14ac:dyDescent="0.25">
      <c r="A1298" s="1">
        <v>1296</v>
      </c>
      <c r="B1298" t="s">
        <v>78</v>
      </c>
      <c r="C1298" t="s">
        <v>87</v>
      </c>
      <c r="D1298">
        <v>1</v>
      </c>
      <c r="E1298">
        <v>4</v>
      </c>
      <c r="F1298">
        <v>1</v>
      </c>
      <c r="G1298">
        <v>32.041060000000002</v>
      </c>
      <c r="H1298">
        <v>6</v>
      </c>
      <c r="I1298" t="s">
        <v>89</v>
      </c>
      <c r="J1298">
        <v>2.5</v>
      </c>
      <c r="K1298">
        <v>200</v>
      </c>
      <c r="L1298">
        <v>50</v>
      </c>
      <c r="N1298" t="s">
        <v>90</v>
      </c>
      <c r="O1298">
        <v>50</v>
      </c>
      <c r="P1298">
        <v>0.3125</v>
      </c>
      <c r="Q1298">
        <v>3.2500000000000001E-2</v>
      </c>
      <c r="R1298">
        <v>77.5</v>
      </c>
      <c r="S1298">
        <v>170</v>
      </c>
      <c r="T1298">
        <v>50</v>
      </c>
      <c r="U1298">
        <v>1812.1301775147931</v>
      </c>
      <c r="V1298">
        <v>20</v>
      </c>
      <c r="W1298">
        <v>0.95</v>
      </c>
      <c r="X1298">
        <v>1</v>
      </c>
      <c r="Y1298">
        <v>303907.3678167992</v>
      </c>
      <c r="Z1298">
        <v>607814735.63359845</v>
      </c>
      <c r="AA1298">
        <v>1519536839.0839961</v>
      </c>
      <c r="AB1298">
        <v>1519536.8390839959</v>
      </c>
      <c r="AC1298">
        <v>66773.504273504266</v>
      </c>
      <c r="AD1298">
        <v>6299.5557704460016</v>
      </c>
      <c r="AE1298">
        <v>3779733.4622676009</v>
      </c>
      <c r="AF1298">
        <v>1889866.7311338009</v>
      </c>
      <c r="AG1298">
        <v>60.553333324261978</v>
      </c>
      <c r="AH1298">
        <v>623.79776127898924</v>
      </c>
      <c r="AI1298">
        <v>311.89888063949462</v>
      </c>
      <c r="AJ1298">
        <v>49384.947270229874</v>
      </c>
      <c r="AK1298">
        <v>2170.1388888888891</v>
      </c>
      <c r="AL1298" t="s">
        <v>95</v>
      </c>
      <c r="AM1298">
        <v>48344.326499121657</v>
      </c>
      <c r="AN1298">
        <v>3391.538723862398</v>
      </c>
      <c r="AO1298">
        <v>53022.809708714078</v>
      </c>
      <c r="AP1298">
        <v>103290.95138210279</v>
      </c>
      <c r="AQ1298">
        <v>50268.141673388738</v>
      </c>
      <c r="AR1298">
        <v>2.6131444327083329E-2</v>
      </c>
      <c r="AS1298">
        <v>815.56116829728262</v>
      </c>
      <c r="AT1298">
        <v>798.37597445278016</v>
      </c>
      <c r="AU1298">
        <v>56.009116883801767</v>
      </c>
      <c r="AV1298">
        <v>875.63816552885567</v>
      </c>
      <c r="AW1298">
        <v>1705.7847307757891</v>
      </c>
      <c r="AX1298">
        <v>830.14656524693316</v>
      </c>
      <c r="AY1298">
        <v>5.1508127384050333</v>
      </c>
      <c r="AZ1298" t="s">
        <v>148</v>
      </c>
      <c r="BA1298" t="str">
        <f>VLOOKUP($AZ1298,Sheet1!$A$2:$B$58,2)</f>
        <v>Propane (PW1)</v>
      </c>
      <c r="BB1298" t="s">
        <v>194</v>
      </c>
      <c r="BC1298">
        <v>44.094819999999999</v>
      </c>
      <c r="BD1298">
        <v>6.666666666666667</v>
      </c>
      <c r="BE1298">
        <v>-42</v>
      </c>
      <c r="BF1298" t="s">
        <v>220</v>
      </c>
      <c r="BG1298">
        <v>0.33269213934879421</v>
      </c>
      <c r="BH1298">
        <v>0.3</v>
      </c>
      <c r="BI1298">
        <v>0.41285918755496848</v>
      </c>
      <c r="BJ1298">
        <v>80</v>
      </c>
      <c r="BK1298">
        <v>5164.5475691051406</v>
      </c>
      <c r="BL1298">
        <v>2513.4070836694368</v>
      </c>
      <c r="BM1298">
        <v>15.26225189262594</v>
      </c>
      <c r="BN1298">
        <v>2594.58282174641</v>
      </c>
      <c r="BO1298">
        <v>2569.9647473587311</v>
      </c>
    </row>
    <row r="1299" spans="1:67" x14ac:dyDescent="0.25">
      <c r="A1299" s="1">
        <v>1297</v>
      </c>
      <c r="B1299" t="s">
        <v>78</v>
      </c>
      <c r="C1299" t="s">
        <v>87</v>
      </c>
      <c r="D1299">
        <v>1</v>
      </c>
      <c r="E1299">
        <v>4</v>
      </c>
      <c r="F1299">
        <v>1</v>
      </c>
      <c r="G1299">
        <v>32.041060000000002</v>
      </c>
      <c r="H1299">
        <v>6</v>
      </c>
      <c r="I1299" t="s">
        <v>89</v>
      </c>
      <c r="J1299">
        <v>2.5</v>
      </c>
      <c r="K1299">
        <v>200</v>
      </c>
      <c r="L1299">
        <v>50</v>
      </c>
      <c r="N1299" t="s">
        <v>90</v>
      </c>
      <c r="O1299">
        <v>50</v>
      </c>
      <c r="P1299">
        <v>0.3125</v>
      </c>
      <c r="Q1299">
        <v>3.2500000000000001E-2</v>
      </c>
      <c r="R1299">
        <v>77.5</v>
      </c>
      <c r="S1299">
        <v>170</v>
      </c>
      <c r="T1299">
        <v>50</v>
      </c>
      <c r="U1299">
        <v>1812.1301775147931</v>
      </c>
      <c r="V1299">
        <v>20</v>
      </c>
      <c r="W1299">
        <v>0.95</v>
      </c>
      <c r="X1299">
        <v>1</v>
      </c>
      <c r="Y1299">
        <v>352629.99191568489</v>
      </c>
      <c r="Z1299">
        <v>705259983.83136976</v>
      </c>
      <c r="AA1299">
        <v>1763149959.578424</v>
      </c>
      <c r="AB1299">
        <v>1763149.959578424</v>
      </c>
      <c r="AC1299">
        <v>66773.504273504266</v>
      </c>
      <c r="AD1299">
        <v>7309.5045913591885</v>
      </c>
      <c r="AE1299">
        <v>4385702.7548155133</v>
      </c>
      <c r="AF1299">
        <v>2192851.3774077571</v>
      </c>
      <c r="AG1299">
        <v>70.261282554604577</v>
      </c>
      <c r="AH1299">
        <v>723.80541839786531</v>
      </c>
      <c r="AI1299">
        <v>361.90270919893271</v>
      </c>
      <c r="AJ1299">
        <v>57302.373686298793</v>
      </c>
      <c r="AK1299">
        <v>2170.1388888888891</v>
      </c>
      <c r="AL1299" t="s">
        <v>95</v>
      </c>
      <c r="AM1299">
        <v>56094.919925834562</v>
      </c>
      <c r="AN1299">
        <v>3935.2723870066702</v>
      </c>
      <c r="AO1299">
        <v>61523.460563818553</v>
      </c>
      <c r="AP1299">
        <v>119502.70488802889</v>
      </c>
      <c r="AQ1299">
        <v>57979.244324210369</v>
      </c>
      <c r="AR1299">
        <v>2.6131444327083329E-2</v>
      </c>
      <c r="AS1299">
        <v>815.56116829728273</v>
      </c>
      <c r="AT1299">
        <v>798.37597445278027</v>
      </c>
      <c r="AU1299">
        <v>56.009116883801759</v>
      </c>
      <c r="AV1299">
        <v>875.63816552885578</v>
      </c>
      <c r="AW1299">
        <v>1700.8329558339001</v>
      </c>
      <c r="AX1299">
        <v>825.19479030504385</v>
      </c>
      <c r="AY1299">
        <v>5.1508127384050342</v>
      </c>
      <c r="AZ1299" t="s">
        <v>149</v>
      </c>
      <c r="BA1299" t="str">
        <f>VLOOKUP($AZ1299,Sheet1!$A$2:$B$58,2)</f>
        <v>Propane (PW2)</v>
      </c>
      <c r="BB1299" t="s">
        <v>194</v>
      </c>
      <c r="BC1299">
        <v>44.094819999999999</v>
      </c>
      <c r="BD1299">
        <v>6.666666666666667</v>
      </c>
      <c r="BE1299">
        <v>-42</v>
      </c>
      <c r="BF1299" t="s">
        <v>220</v>
      </c>
      <c r="BG1299">
        <v>6.6005053698458396E-2</v>
      </c>
      <c r="BH1299">
        <v>0.25854922279792741</v>
      </c>
      <c r="BI1299">
        <v>0.3558147402244029</v>
      </c>
      <c r="BJ1299">
        <v>80</v>
      </c>
      <c r="BK1299">
        <v>5975.1352444014456</v>
      </c>
      <c r="BL1299">
        <v>2898.9622162105179</v>
      </c>
      <c r="BM1299">
        <v>18.029130406248171</v>
      </c>
      <c r="BN1299">
        <v>3064.95216906219</v>
      </c>
      <c r="BO1299">
        <v>2910.183075339256</v>
      </c>
    </row>
    <row r="1300" spans="1:67" x14ac:dyDescent="0.25">
      <c r="A1300" s="1">
        <v>1298</v>
      </c>
      <c r="B1300" t="s">
        <v>78</v>
      </c>
      <c r="C1300" t="s">
        <v>87</v>
      </c>
      <c r="D1300">
        <v>1</v>
      </c>
      <c r="E1300">
        <v>4</v>
      </c>
      <c r="F1300">
        <v>1</v>
      </c>
      <c r="G1300">
        <v>32.041060000000002</v>
      </c>
      <c r="H1300">
        <v>6</v>
      </c>
      <c r="I1300" t="s">
        <v>89</v>
      </c>
      <c r="J1300">
        <v>2.5</v>
      </c>
      <c r="K1300">
        <v>200</v>
      </c>
      <c r="L1300">
        <v>50</v>
      </c>
      <c r="N1300" t="s">
        <v>90</v>
      </c>
      <c r="O1300">
        <v>50</v>
      </c>
      <c r="P1300">
        <v>0.3125</v>
      </c>
      <c r="Q1300">
        <v>3.2500000000000001E-2</v>
      </c>
      <c r="R1300">
        <v>77.5</v>
      </c>
      <c r="S1300">
        <v>170</v>
      </c>
      <c r="T1300">
        <v>50</v>
      </c>
      <c r="U1300">
        <v>1812.1301775147931</v>
      </c>
      <c r="V1300">
        <v>20</v>
      </c>
      <c r="W1300">
        <v>0.95</v>
      </c>
      <c r="X1300">
        <v>1</v>
      </c>
      <c r="Y1300">
        <v>410826.09091879189</v>
      </c>
      <c r="Z1300">
        <v>821652181.83758378</v>
      </c>
      <c r="AA1300">
        <v>2054130454.5939591</v>
      </c>
      <c r="AB1300">
        <v>2054130.454593959</v>
      </c>
      <c r="AC1300">
        <v>0</v>
      </c>
      <c r="AD1300">
        <v>8515.8247076699863</v>
      </c>
      <c r="AE1300">
        <v>5109494.824601992</v>
      </c>
      <c r="AF1300">
        <v>2554747.412300996</v>
      </c>
      <c r="AG1300">
        <v>81.856815122380951</v>
      </c>
      <c r="AH1300">
        <v>843.25825211525114</v>
      </c>
      <c r="AI1300">
        <v>421.62912605762563</v>
      </c>
      <c r="AJ1300">
        <v>66759.239774303685</v>
      </c>
      <c r="AK1300">
        <v>854.70085470085473</v>
      </c>
      <c r="AL1300" t="s">
        <v>93</v>
      </c>
      <c r="AM1300">
        <v>65352.514538931973</v>
      </c>
      <c r="AN1300">
        <v>4584.7279259251873</v>
      </c>
      <c r="AO1300">
        <v>71676.951429796347</v>
      </c>
      <c r="AP1300">
        <v>137551.18309386171</v>
      </c>
      <c r="AQ1300">
        <v>65874.23166406533</v>
      </c>
      <c r="AR1300">
        <v>2.6131444327083329E-2</v>
      </c>
      <c r="AS1300">
        <v>815.56116829728273</v>
      </c>
      <c r="AT1300">
        <v>798.37597445278016</v>
      </c>
      <c r="AU1300">
        <v>56.009116883801767</v>
      </c>
      <c r="AV1300">
        <v>875.63816552885555</v>
      </c>
      <c r="AW1300">
        <v>1680.387673136491</v>
      </c>
      <c r="AX1300">
        <v>804.74950760763568</v>
      </c>
      <c r="AY1300">
        <v>5.1508127384050333</v>
      </c>
      <c r="AZ1300" t="s">
        <v>150</v>
      </c>
      <c r="BA1300" t="str">
        <f>VLOOKUP($AZ1300,Sheet1!$A$2:$B$58,2)</f>
        <v>Shikimate</v>
      </c>
      <c r="BB1300" t="s">
        <v>195</v>
      </c>
      <c r="BC1300">
        <v>173.14045999999999</v>
      </c>
      <c r="BD1300">
        <v>3.8571428571428572</v>
      </c>
      <c r="BE1300">
        <v>400.5</v>
      </c>
      <c r="BF1300" t="s">
        <v>220</v>
      </c>
      <c r="BG1300">
        <v>0</v>
      </c>
      <c r="BH1300">
        <v>5.5146124523506798E-2</v>
      </c>
      <c r="BI1300">
        <v>0.30541134495183409</v>
      </c>
      <c r="BJ1300">
        <v>80</v>
      </c>
      <c r="BK1300">
        <v>6877.5591546930837</v>
      </c>
      <c r="BL1300">
        <v>3293.7115832032669</v>
      </c>
      <c r="BM1300">
        <v>21.081456302881278</v>
      </c>
      <c r="BN1300">
        <v>3583.8475714898168</v>
      </c>
      <c r="BO1300">
        <v>3293.7115832032659</v>
      </c>
    </row>
    <row r="1301" spans="1:67" x14ac:dyDescent="0.25">
      <c r="A1301" s="1">
        <v>1299</v>
      </c>
      <c r="B1301" t="s">
        <v>78</v>
      </c>
      <c r="C1301" t="s">
        <v>87</v>
      </c>
      <c r="D1301">
        <v>1</v>
      </c>
      <c r="E1301">
        <v>4</v>
      </c>
      <c r="F1301">
        <v>1</v>
      </c>
      <c r="G1301">
        <v>32.041060000000002</v>
      </c>
      <c r="H1301">
        <v>6</v>
      </c>
      <c r="I1301" t="s">
        <v>89</v>
      </c>
      <c r="J1301">
        <v>2.5</v>
      </c>
      <c r="K1301">
        <v>200</v>
      </c>
      <c r="L1301">
        <v>50</v>
      </c>
      <c r="N1301" t="s">
        <v>90</v>
      </c>
      <c r="O1301">
        <v>50</v>
      </c>
      <c r="P1301">
        <v>0.3125</v>
      </c>
      <c r="Q1301">
        <v>3.2500000000000001E-2</v>
      </c>
      <c r="R1301">
        <v>77.5</v>
      </c>
      <c r="S1301">
        <v>170</v>
      </c>
      <c r="T1301">
        <v>50</v>
      </c>
      <c r="U1301">
        <v>1812.1301775147931</v>
      </c>
      <c r="V1301">
        <v>20</v>
      </c>
      <c r="W1301">
        <v>0.95</v>
      </c>
      <c r="X1301">
        <v>1</v>
      </c>
      <c r="Y1301">
        <v>936630.45705598849</v>
      </c>
      <c r="Z1301">
        <v>1873260914.1119771</v>
      </c>
      <c r="AA1301">
        <v>4683152285.2799435</v>
      </c>
      <c r="AB1301">
        <v>4683152.2852799427</v>
      </c>
      <c r="AC1301">
        <v>0</v>
      </c>
      <c r="AD1301">
        <v>19414.981094105518</v>
      </c>
      <c r="AE1301">
        <v>11648988.65646331</v>
      </c>
      <c r="AF1301">
        <v>5824494.3282316551</v>
      </c>
      <c r="AG1301">
        <v>186.6229722405302</v>
      </c>
      <c r="AH1301">
        <v>1922.5199653910629</v>
      </c>
      <c r="AI1301">
        <v>961.25998269553156</v>
      </c>
      <c r="AJ1301">
        <v>152202.4492715981</v>
      </c>
      <c r="AK1301">
        <v>854.70085470085473</v>
      </c>
      <c r="AL1301" t="s">
        <v>93</v>
      </c>
      <c r="AM1301">
        <v>148995.29731780739</v>
      </c>
      <c r="AN1301">
        <v>10452.587865422351</v>
      </c>
      <c r="AO1301">
        <v>163414.19705824039</v>
      </c>
      <c r="AP1301">
        <v>312505.03530952882</v>
      </c>
      <c r="AQ1301">
        <v>149090.8382512884</v>
      </c>
      <c r="AR1301">
        <v>2.6131444327083329E-2</v>
      </c>
      <c r="AS1301">
        <v>815.56116829728273</v>
      </c>
      <c r="AT1301">
        <v>798.37597445278004</v>
      </c>
      <c r="AU1301">
        <v>56.009116883801767</v>
      </c>
      <c r="AV1301">
        <v>875.63816552885544</v>
      </c>
      <c r="AW1301">
        <v>1674.5260862459891</v>
      </c>
      <c r="AX1301">
        <v>798.88792071713317</v>
      </c>
      <c r="AY1301">
        <v>5.1508127384050324</v>
      </c>
      <c r="AZ1301" t="s">
        <v>151</v>
      </c>
      <c r="BA1301" t="str">
        <f>VLOOKUP($AZ1301,Sheet1!$A$2:$B$58,2)</f>
        <v>Styrene</v>
      </c>
      <c r="BB1301" t="s">
        <v>196</v>
      </c>
      <c r="BC1301">
        <v>104.14832</v>
      </c>
      <c r="BD1301">
        <v>5</v>
      </c>
      <c r="BE1301">
        <v>145</v>
      </c>
      <c r="BF1301" t="s">
        <v>220</v>
      </c>
      <c r="BG1301">
        <v>0</v>
      </c>
      <c r="BH1301">
        <v>4.0789473684210903E-2</v>
      </c>
      <c r="BI1301">
        <v>0.13395992840462639</v>
      </c>
      <c r="BJ1301">
        <v>80</v>
      </c>
      <c r="BK1301">
        <v>15625.25176547644</v>
      </c>
      <c r="BL1301">
        <v>7454.5419125644203</v>
      </c>
      <c r="BM1301">
        <v>48.062999134776568</v>
      </c>
      <c r="BN1301">
        <v>8170.7098529120167</v>
      </c>
      <c r="BO1301">
        <v>7454.5419125644194</v>
      </c>
    </row>
    <row r="1302" spans="1:67" x14ac:dyDescent="0.25">
      <c r="A1302" s="1">
        <v>1300</v>
      </c>
      <c r="B1302" t="s">
        <v>78</v>
      </c>
      <c r="C1302" t="s">
        <v>87</v>
      </c>
      <c r="D1302">
        <v>1</v>
      </c>
      <c r="E1302">
        <v>4</v>
      </c>
      <c r="F1302">
        <v>1</v>
      </c>
      <c r="G1302">
        <v>32.041060000000002</v>
      </c>
      <c r="H1302">
        <v>6</v>
      </c>
      <c r="I1302" t="s">
        <v>89</v>
      </c>
      <c r="J1302">
        <v>2.5</v>
      </c>
      <c r="K1302">
        <v>200</v>
      </c>
      <c r="L1302">
        <v>50</v>
      </c>
      <c r="N1302" t="s">
        <v>90</v>
      </c>
      <c r="O1302">
        <v>50</v>
      </c>
      <c r="P1302">
        <v>0.3125</v>
      </c>
      <c r="Q1302">
        <v>3.2500000000000001E-2</v>
      </c>
      <c r="R1302">
        <v>77.5</v>
      </c>
      <c r="S1302">
        <v>170</v>
      </c>
      <c r="T1302">
        <v>50</v>
      </c>
      <c r="U1302">
        <v>1812.1301775147931</v>
      </c>
      <c r="V1302">
        <v>20</v>
      </c>
      <c r="W1302">
        <v>0.95</v>
      </c>
      <c r="X1302">
        <v>1</v>
      </c>
      <c r="Y1302">
        <v>631363.91880348837</v>
      </c>
      <c r="Z1302">
        <v>1262727837.606977</v>
      </c>
      <c r="AA1302">
        <v>3156819594.0174422</v>
      </c>
      <c r="AB1302">
        <v>3156819.5940174419</v>
      </c>
      <c r="AC1302">
        <v>0</v>
      </c>
      <c r="AD1302">
        <v>13087.251706077461</v>
      </c>
      <c r="AE1302">
        <v>7852351.0236464776</v>
      </c>
      <c r="AF1302">
        <v>3926175.5118232388</v>
      </c>
      <c r="AG1302">
        <v>125.79882514485909</v>
      </c>
      <c r="AH1302">
        <v>1295.932382065055</v>
      </c>
      <c r="AI1302">
        <v>647.9661910325276</v>
      </c>
      <c r="AJ1302">
        <v>102596.6368055669</v>
      </c>
      <c r="AK1302">
        <v>854.70085470085473</v>
      </c>
      <c r="AL1302" t="s">
        <v>93</v>
      </c>
      <c r="AM1302">
        <v>100434.7596100418</v>
      </c>
      <c r="AN1302">
        <v>7045.8811013833538</v>
      </c>
      <c r="AO1302">
        <v>110154.25247552971</v>
      </c>
      <c r="AP1302">
        <v>210931.97837169291</v>
      </c>
      <c r="AQ1302">
        <v>100777.7258961632</v>
      </c>
      <c r="AR1302">
        <v>2.6131444327083329E-2</v>
      </c>
      <c r="AS1302">
        <v>815.56116829728262</v>
      </c>
      <c r="AT1302">
        <v>798.37597445277993</v>
      </c>
      <c r="AU1302">
        <v>56.009116883801759</v>
      </c>
      <c r="AV1302">
        <v>875.63816552885544</v>
      </c>
      <c r="AW1302">
        <v>1676.7404475264509</v>
      </c>
      <c r="AX1302">
        <v>801.1022819975957</v>
      </c>
      <c r="AY1302">
        <v>5.1508127384050324</v>
      </c>
      <c r="AZ1302" t="s">
        <v>138</v>
      </c>
      <c r="BA1302" t="str">
        <f>VLOOKUP($AZ1302,Sheet1!$A$2:$B$58,2)</f>
        <v>Limonene</v>
      </c>
      <c r="BB1302" t="s">
        <v>186</v>
      </c>
      <c r="BC1302">
        <v>136.23244</v>
      </c>
      <c r="BD1302">
        <v>5.6</v>
      </c>
      <c r="BE1302">
        <v>176</v>
      </c>
      <c r="BF1302" t="s">
        <v>220</v>
      </c>
      <c r="BG1302">
        <v>0</v>
      </c>
      <c r="BH1302">
        <v>4.6466809421841497E-2</v>
      </c>
      <c r="BI1302">
        <v>0.198729995858166</v>
      </c>
      <c r="BJ1302">
        <v>80</v>
      </c>
      <c r="BK1302">
        <v>10546.598918584639</v>
      </c>
      <c r="BL1302">
        <v>5038.8862948081578</v>
      </c>
      <c r="BM1302">
        <v>32.398309551626383</v>
      </c>
      <c r="BN1302">
        <v>5507.7126237764851</v>
      </c>
      <c r="BO1302">
        <v>5038.886294808156</v>
      </c>
    </row>
    <row r="1303" spans="1:67" x14ac:dyDescent="0.25">
      <c r="A1303" s="1">
        <v>1301</v>
      </c>
      <c r="B1303" t="s">
        <v>78</v>
      </c>
      <c r="C1303" t="s">
        <v>87</v>
      </c>
      <c r="D1303">
        <v>1</v>
      </c>
      <c r="E1303">
        <v>4</v>
      </c>
      <c r="F1303">
        <v>1</v>
      </c>
      <c r="G1303">
        <v>32.041060000000002</v>
      </c>
      <c r="H1303">
        <v>6</v>
      </c>
      <c r="I1303" t="s">
        <v>89</v>
      </c>
      <c r="J1303">
        <v>2.5</v>
      </c>
      <c r="K1303">
        <v>200</v>
      </c>
      <c r="L1303">
        <v>50</v>
      </c>
      <c r="N1303" t="s">
        <v>90</v>
      </c>
      <c r="O1303">
        <v>50</v>
      </c>
      <c r="P1303">
        <v>0.3125</v>
      </c>
      <c r="Q1303">
        <v>3.2500000000000001E-2</v>
      </c>
      <c r="R1303">
        <v>77.5</v>
      </c>
      <c r="S1303">
        <v>170</v>
      </c>
      <c r="T1303">
        <v>50</v>
      </c>
      <c r="U1303">
        <v>1812.1301775147931</v>
      </c>
      <c r="V1303">
        <v>20</v>
      </c>
      <c r="W1303">
        <v>0.95</v>
      </c>
      <c r="X1303">
        <v>1</v>
      </c>
      <c r="Y1303">
        <v>203133.334807982</v>
      </c>
      <c r="Z1303">
        <v>406266669.615964</v>
      </c>
      <c r="AA1303">
        <v>1015666674.03991</v>
      </c>
      <c r="AB1303">
        <v>1015666.67403991</v>
      </c>
      <c r="AC1303">
        <v>0</v>
      </c>
      <c r="AD1303">
        <v>4210.6572823563738</v>
      </c>
      <c r="AE1303">
        <v>2526394.3694138238</v>
      </c>
      <c r="AF1303">
        <v>1263197.1847069119</v>
      </c>
      <c r="AG1303">
        <v>40.474176787025257</v>
      </c>
      <c r="AH1303">
        <v>416.94981074213399</v>
      </c>
      <c r="AI1303">
        <v>208.474905371067</v>
      </c>
      <c r="AJ1303">
        <v>33009.166906297083</v>
      </c>
      <c r="AK1303">
        <v>854.70085470085473</v>
      </c>
      <c r="AL1303" t="s">
        <v>93</v>
      </c>
      <c r="AM1303">
        <v>32313.610332515389</v>
      </c>
      <c r="AN1303">
        <v>2266.9228984401529</v>
      </c>
      <c r="AO1303">
        <v>35440.733913081393</v>
      </c>
      <c r="AP1303">
        <v>68444.400991953473</v>
      </c>
      <c r="AQ1303">
        <v>33003.66707887208</v>
      </c>
      <c r="AR1303">
        <v>2.6131444327083329E-2</v>
      </c>
      <c r="AS1303">
        <v>815.56116829728273</v>
      </c>
      <c r="AT1303">
        <v>798.37597445278027</v>
      </c>
      <c r="AU1303">
        <v>56.009116883801752</v>
      </c>
      <c r="AV1303">
        <v>875.63816552885578</v>
      </c>
      <c r="AW1303">
        <v>1691.063448976548</v>
      </c>
      <c r="AX1303">
        <v>815.42528344769244</v>
      </c>
      <c r="AY1303">
        <v>5.1508127384050342</v>
      </c>
      <c r="AZ1303" t="s">
        <v>140</v>
      </c>
      <c r="BA1303" t="str">
        <f>VLOOKUP($AZ1303,Sheet1!$A$2:$B$58,2)</f>
        <v>L-Malate</v>
      </c>
      <c r="BB1303" t="s">
        <v>188</v>
      </c>
      <c r="BC1303">
        <v>132.06916000000001</v>
      </c>
      <c r="BD1303">
        <v>2.5</v>
      </c>
      <c r="BF1303" t="s">
        <v>220</v>
      </c>
      <c r="BG1303">
        <v>0</v>
      </c>
      <c r="BH1303">
        <v>0.1418300653594769</v>
      </c>
      <c r="BI1303">
        <v>0.61767778827349018</v>
      </c>
      <c r="BJ1303">
        <v>80</v>
      </c>
      <c r="BK1303">
        <v>3422.220049597674</v>
      </c>
      <c r="BL1303">
        <v>1650.1833539436041</v>
      </c>
      <c r="BM1303">
        <v>10.42374526855335</v>
      </c>
      <c r="BN1303">
        <v>1772.0366956540699</v>
      </c>
      <c r="BO1303">
        <v>1650.183353943605</v>
      </c>
    </row>
    <row r="1304" spans="1:67" x14ac:dyDescent="0.25">
      <c r="A1304" s="1">
        <v>1302</v>
      </c>
      <c r="B1304" t="s">
        <v>78</v>
      </c>
      <c r="C1304" t="s">
        <v>87</v>
      </c>
      <c r="D1304">
        <v>1</v>
      </c>
      <c r="E1304">
        <v>4</v>
      </c>
      <c r="F1304">
        <v>1</v>
      </c>
      <c r="G1304">
        <v>32.041060000000002</v>
      </c>
      <c r="H1304">
        <v>6</v>
      </c>
      <c r="I1304" t="s">
        <v>89</v>
      </c>
      <c r="J1304">
        <v>2.5</v>
      </c>
      <c r="K1304">
        <v>200</v>
      </c>
      <c r="L1304">
        <v>50</v>
      </c>
      <c r="N1304" t="s">
        <v>90</v>
      </c>
      <c r="O1304">
        <v>50</v>
      </c>
      <c r="P1304">
        <v>0.3125</v>
      </c>
      <c r="Q1304">
        <v>3.2500000000000001E-2</v>
      </c>
      <c r="R1304">
        <v>77.5</v>
      </c>
      <c r="S1304">
        <v>170</v>
      </c>
      <c r="T1304">
        <v>50</v>
      </c>
      <c r="U1304">
        <v>1812.1301775147931</v>
      </c>
      <c r="V1304">
        <v>20</v>
      </c>
      <c r="W1304">
        <v>0.95</v>
      </c>
      <c r="X1304">
        <v>1</v>
      </c>
      <c r="Y1304">
        <v>201389.61132059371</v>
      </c>
      <c r="Z1304">
        <v>402779222.64118743</v>
      </c>
      <c r="AA1304">
        <v>1006948056.602968</v>
      </c>
      <c r="AB1304">
        <v>1006948.056602968</v>
      </c>
      <c r="AC1304">
        <v>0</v>
      </c>
      <c r="AD1304">
        <v>4174.5124417888328</v>
      </c>
      <c r="AE1304">
        <v>2504707.4650733001</v>
      </c>
      <c r="AF1304">
        <v>1252353.73253665</v>
      </c>
      <c r="AG1304">
        <v>40.126741085430758</v>
      </c>
      <c r="AH1304">
        <v>413.37065826703463</v>
      </c>
      <c r="AI1304">
        <v>206.68532913351731</v>
      </c>
      <c r="AJ1304">
        <v>32725.811839596481</v>
      </c>
      <c r="AK1304">
        <v>854.70085470085473</v>
      </c>
      <c r="AL1304" t="s">
        <v>93</v>
      </c>
      <c r="AM1304">
        <v>32036.226015695189</v>
      </c>
      <c r="AN1304">
        <v>2247.463331619942</v>
      </c>
      <c r="AO1304">
        <v>35136.505952697953</v>
      </c>
      <c r="AP1304">
        <v>67864.202041612472</v>
      </c>
      <c r="AQ1304">
        <v>32727.69608891453</v>
      </c>
      <c r="AR1304">
        <v>2.6131444327083329E-2</v>
      </c>
      <c r="AS1304">
        <v>815.56116829728262</v>
      </c>
      <c r="AT1304">
        <v>798.37597445278004</v>
      </c>
      <c r="AU1304">
        <v>56.009116883801752</v>
      </c>
      <c r="AV1304">
        <v>875.63816552885555</v>
      </c>
      <c r="AW1304">
        <v>1691.2462912731439</v>
      </c>
      <c r="AX1304">
        <v>815.6081257442886</v>
      </c>
      <c r="AY1304">
        <v>5.1508127384050324</v>
      </c>
      <c r="AZ1304" t="s">
        <v>152</v>
      </c>
      <c r="BA1304" t="str">
        <f>VLOOKUP($AZ1304,Sheet1!$A$2:$B$58,2)</f>
        <v>Succinate</v>
      </c>
      <c r="BB1304" t="s">
        <v>197</v>
      </c>
      <c r="BC1304">
        <v>116.07016</v>
      </c>
      <c r="BD1304">
        <v>3</v>
      </c>
      <c r="BE1304">
        <v>235</v>
      </c>
      <c r="BF1304" t="s">
        <v>220</v>
      </c>
      <c r="BG1304">
        <v>0</v>
      </c>
      <c r="BH1304">
        <v>0.16315789473684189</v>
      </c>
      <c r="BI1304">
        <v>0.62302592544892754</v>
      </c>
      <c r="BJ1304">
        <v>80</v>
      </c>
      <c r="BK1304">
        <v>3393.2101020806231</v>
      </c>
      <c r="BL1304">
        <v>1636.3848044457261</v>
      </c>
      <c r="BM1304">
        <v>10.33426645667587</v>
      </c>
      <c r="BN1304">
        <v>1756.825297634897</v>
      </c>
      <c r="BO1304">
        <v>1636.3848044457261</v>
      </c>
    </row>
    <row r="1305" spans="1:67" x14ac:dyDescent="0.25">
      <c r="A1305" s="1">
        <v>1303</v>
      </c>
      <c r="B1305" t="s">
        <v>78</v>
      </c>
      <c r="C1305" t="s">
        <v>87</v>
      </c>
      <c r="D1305">
        <v>1</v>
      </c>
      <c r="E1305">
        <v>4</v>
      </c>
      <c r="F1305">
        <v>1</v>
      </c>
      <c r="G1305">
        <v>32.041060000000002</v>
      </c>
      <c r="H1305">
        <v>6</v>
      </c>
      <c r="I1305" t="s">
        <v>89</v>
      </c>
      <c r="J1305">
        <v>2.5</v>
      </c>
      <c r="K1305">
        <v>200</v>
      </c>
      <c r="L1305">
        <v>50</v>
      </c>
      <c r="N1305" t="s">
        <v>90</v>
      </c>
      <c r="O1305">
        <v>50</v>
      </c>
      <c r="P1305">
        <v>0.3125</v>
      </c>
      <c r="Q1305">
        <v>3.2500000000000001E-2</v>
      </c>
      <c r="R1305">
        <v>77.5</v>
      </c>
      <c r="S1305">
        <v>170</v>
      </c>
      <c r="T1305">
        <v>50</v>
      </c>
      <c r="U1305">
        <v>1812.1301775147931</v>
      </c>
      <c r="V1305">
        <v>20</v>
      </c>
      <c r="W1305">
        <v>0.95</v>
      </c>
      <c r="X1305">
        <v>1</v>
      </c>
      <c r="Y1305">
        <v>449512.72397652583</v>
      </c>
      <c r="Z1305">
        <v>899025447.95305145</v>
      </c>
      <c r="AA1305">
        <v>2247563619.882628</v>
      </c>
      <c r="AB1305">
        <v>2247563.6198826279</v>
      </c>
      <c r="AC1305">
        <v>0</v>
      </c>
      <c r="AD1305">
        <v>9317.742095421132</v>
      </c>
      <c r="AE1305">
        <v>5590645.2572526792</v>
      </c>
      <c r="AF1305">
        <v>2795322.6286263401</v>
      </c>
      <c r="AG1305">
        <v>89.565100063174256</v>
      </c>
      <c r="AH1305">
        <v>922.66611664383902</v>
      </c>
      <c r="AI1305">
        <v>461.33305832191951</v>
      </c>
      <c r="AJ1305">
        <v>73045.817646185416</v>
      </c>
      <c r="AK1305">
        <v>854.70085470085473</v>
      </c>
      <c r="AL1305" t="s">
        <v>93</v>
      </c>
      <c r="AM1305">
        <v>71506.624039897521</v>
      </c>
      <c r="AN1305">
        <v>5016.4621581477286</v>
      </c>
      <c r="AO1305">
        <v>78426.619914726311</v>
      </c>
      <c r="AP1305">
        <v>150423.60469893151</v>
      </c>
      <c r="AQ1305">
        <v>71996.984784205197</v>
      </c>
      <c r="AR1305">
        <v>2.6131444327083329E-2</v>
      </c>
      <c r="AS1305">
        <v>815.56116829728251</v>
      </c>
      <c r="AT1305">
        <v>798.37597445278016</v>
      </c>
      <c r="AU1305">
        <v>56.009116883801767</v>
      </c>
      <c r="AV1305">
        <v>875.63816552885567</v>
      </c>
      <c r="AW1305">
        <v>1679.48904866774</v>
      </c>
      <c r="AX1305">
        <v>803.85088313888457</v>
      </c>
      <c r="AY1305">
        <v>5.1508127384050342</v>
      </c>
      <c r="AZ1305" t="s">
        <v>130</v>
      </c>
      <c r="BA1305" t="str">
        <f>VLOOKUP($AZ1305,Sheet1!$A$2:$B$58,2)</f>
        <v>Glycolate</v>
      </c>
      <c r="BB1305" t="s">
        <v>180</v>
      </c>
      <c r="BC1305">
        <v>75.041920000000005</v>
      </c>
      <c r="BD1305">
        <v>2.5</v>
      </c>
      <c r="BE1305">
        <v>112</v>
      </c>
      <c r="BF1305" t="s">
        <v>220</v>
      </c>
      <c r="BG1305">
        <v>0</v>
      </c>
      <c r="BH1305">
        <v>0.11243523316062171</v>
      </c>
      <c r="BI1305">
        <v>0.27912657924086931</v>
      </c>
      <c r="BJ1305">
        <v>80</v>
      </c>
      <c r="BK1305">
        <v>7521.1802349465752</v>
      </c>
      <c r="BL1305">
        <v>3599.8492392102598</v>
      </c>
      <c r="BM1305">
        <v>23.066652916095979</v>
      </c>
      <c r="BN1305">
        <v>3921.3309957363158</v>
      </c>
      <c r="BO1305">
        <v>3599.8492392102589</v>
      </c>
    </row>
    <row r="1306" spans="1:67" x14ac:dyDescent="0.25">
      <c r="A1306" s="1">
        <v>1304</v>
      </c>
      <c r="B1306" t="s">
        <v>78</v>
      </c>
      <c r="C1306" t="s">
        <v>87</v>
      </c>
      <c r="D1306">
        <v>1</v>
      </c>
      <c r="E1306">
        <v>4</v>
      </c>
      <c r="F1306">
        <v>1</v>
      </c>
      <c r="G1306">
        <v>32.041060000000002</v>
      </c>
      <c r="H1306">
        <v>6</v>
      </c>
      <c r="I1306" t="s">
        <v>89</v>
      </c>
      <c r="J1306">
        <v>2.5</v>
      </c>
      <c r="K1306">
        <v>200</v>
      </c>
      <c r="L1306">
        <v>50</v>
      </c>
      <c r="N1306" t="s">
        <v>90</v>
      </c>
      <c r="O1306">
        <v>50</v>
      </c>
      <c r="P1306">
        <v>0.3125</v>
      </c>
      <c r="Q1306">
        <v>3.2500000000000001E-2</v>
      </c>
      <c r="R1306">
        <v>77.5</v>
      </c>
      <c r="S1306">
        <v>170</v>
      </c>
      <c r="T1306">
        <v>50</v>
      </c>
      <c r="U1306">
        <v>1812.1301775147931</v>
      </c>
      <c r="V1306">
        <v>20</v>
      </c>
      <c r="W1306">
        <v>0.95</v>
      </c>
      <c r="X1306">
        <v>1</v>
      </c>
      <c r="Y1306">
        <v>211339.70715500941</v>
      </c>
      <c r="Z1306">
        <v>422679414.31001878</v>
      </c>
      <c r="AA1306">
        <v>1056698535.7750469</v>
      </c>
      <c r="AB1306">
        <v>1056698.535775047</v>
      </c>
      <c r="AC1306">
        <v>0</v>
      </c>
      <c r="AD1306">
        <v>4380.7633927956203</v>
      </c>
      <c r="AE1306">
        <v>2628458.035677372</v>
      </c>
      <c r="AF1306">
        <v>1314229.017838686</v>
      </c>
      <c r="AG1306">
        <v>42.109290814310413</v>
      </c>
      <c r="AH1306">
        <v>433.79414306310429</v>
      </c>
      <c r="AI1306">
        <v>216.8970715315522</v>
      </c>
      <c r="AJ1306">
        <v>34342.702412689032</v>
      </c>
      <c r="AK1306">
        <v>854.70085470085473</v>
      </c>
      <c r="AL1306" t="s">
        <v>93</v>
      </c>
      <c r="AM1306">
        <v>33619.046087390583</v>
      </c>
      <c r="AN1306">
        <v>2358.5041911127119</v>
      </c>
      <c r="AO1306">
        <v>36872.502160363867</v>
      </c>
      <c r="AP1306">
        <v>71174.953545893179</v>
      </c>
      <c r="AQ1306">
        <v>34302.451385529312</v>
      </c>
      <c r="AR1306">
        <v>2.6131444327083329E-2</v>
      </c>
      <c r="AS1306">
        <v>815.56116829728273</v>
      </c>
      <c r="AT1306">
        <v>798.37597445278027</v>
      </c>
      <c r="AU1306">
        <v>56.009116883801759</v>
      </c>
      <c r="AV1306">
        <v>875.63816552885578</v>
      </c>
      <c r="AW1306">
        <v>1690.243463366643</v>
      </c>
      <c r="AX1306">
        <v>814.60529783778702</v>
      </c>
      <c r="AY1306">
        <v>5.1508127384050342</v>
      </c>
      <c r="AZ1306" t="s">
        <v>123</v>
      </c>
      <c r="BA1306" t="str">
        <f>VLOOKUP($AZ1306,Sheet1!$A$2:$B$58,2)</f>
        <v>Citrate</v>
      </c>
      <c r="BB1306" t="s">
        <v>173</v>
      </c>
      <c r="BC1306">
        <v>189.09639999999999</v>
      </c>
      <c r="BD1306">
        <v>2.5</v>
      </c>
      <c r="BF1306" t="s">
        <v>220</v>
      </c>
      <c r="BG1306">
        <v>0</v>
      </c>
      <c r="BH1306">
        <v>9.5175438596491205E-2</v>
      </c>
      <c r="BI1306">
        <v>0.5936932091837559</v>
      </c>
      <c r="BJ1306">
        <v>80</v>
      </c>
      <c r="BK1306">
        <v>3558.7476772946588</v>
      </c>
      <c r="BL1306">
        <v>1715.122569276466</v>
      </c>
      <c r="BM1306">
        <v>10.844853576577609</v>
      </c>
      <c r="BN1306">
        <v>1843.625108018193</v>
      </c>
      <c r="BO1306">
        <v>1715.122569276466</v>
      </c>
    </row>
    <row r="1307" spans="1:67" x14ac:dyDescent="0.25">
      <c r="A1307" s="1">
        <v>1305</v>
      </c>
      <c r="B1307" t="s">
        <v>78</v>
      </c>
      <c r="C1307" t="s">
        <v>87</v>
      </c>
      <c r="D1307">
        <v>1</v>
      </c>
      <c r="E1307">
        <v>4</v>
      </c>
      <c r="F1307">
        <v>1</v>
      </c>
      <c r="G1307">
        <v>32.041060000000002</v>
      </c>
      <c r="H1307">
        <v>6</v>
      </c>
      <c r="I1307" t="s">
        <v>89</v>
      </c>
      <c r="J1307">
        <v>2.5</v>
      </c>
      <c r="K1307">
        <v>200</v>
      </c>
      <c r="L1307">
        <v>50</v>
      </c>
      <c r="N1307" t="s">
        <v>90</v>
      </c>
      <c r="O1307">
        <v>50</v>
      </c>
      <c r="P1307">
        <v>0.3125</v>
      </c>
      <c r="Q1307">
        <v>3.2500000000000001E-2</v>
      </c>
      <c r="R1307">
        <v>77.5</v>
      </c>
      <c r="S1307">
        <v>170</v>
      </c>
      <c r="T1307">
        <v>50</v>
      </c>
      <c r="U1307">
        <v>1812.1301775147931</v>
      </c>
      <c r="V1307">
        <v>20</v>
      </c>
      <c r="W1307">
        <v>0.95</v>
      </c>
      <c r="X1307">
        <v>1</v>
      </c>
      <c r="Y1307">
        <v>127180.0696453725</v>
      </c>
      <c r="Z1307">
        <v>254360139.2907449</v>
      </c>
      <c r="AA1307">
        <v>635900348.22686219</v>
      </c>
      <c r="AB1307">
        <v>635900.34822686214</v>
      </c>
      <c r="AC1307">
        <v>0</v>
      </c>
      <c r="AD1307">
        <v>2636.2570521922812</v>
      </c>
      <c r="AE1307">
        <v>1581754.231315369</v>
      </c>
      <c r="AF1307">
        <v>790877.11565768439</v>
      </c>
      <c r="AG1307">
        <v>25.340541115414801</v>
      </c>
      <c r="AH1307">
        <v>261.04876395071022</v>
      </c>
      <c r="AI1307">
        <v>130.52438197535511</v>
      </c>
      <c r="AJ1307">
        <v>20666.761317373021</v>
      </c>
      <c r="AK1307">
        <v>854.70085470085473</v>
      </c>
      <c r="AL1307" t="s">
        <v>93</v>
      </c>
      <c r="AM1307">
        <v>20231.279206180039</v>
      </c>
      <c r="AN1307">
        <v>1419.301329232052</v>
      </c>
      <c r="AO1307">
        <v>22189.14493581036</v>
      </c>
      <c r="AP1307">
        <v>43172.042707485969</v>
      </c>
      <c r="AQ1307">
        <v>20982.897771675609</v>
      </c>
      <c r="AR1307">
        <v>2.6131444327083329E-2</v>
      </c>
      <c r="AS1307">
        <v>815.56116829728251</v>
      </c>
      <c r="AT1307">
        <v>798.37597445278027</v>
      </c>
      <c r="AU1307">
        <v>56.009116883801767</v>
      </c>
      <c r="AV1307">
        <v>875.63816552885567</v>
      </c>
      <c r="AW1307">
        <v>1703.6748548839851</v>
      </c>
      <c r="AX1307">
        <v>828.03668935512917</v>
      </c>
      <c r="AY1307">
        <v>5.1508127384050342</v>
      </c>
      <c r="AZ1307" t="s">
        <v>128</v>
      </c>
      <c r="BA1307" t="str">
        <f>VLOOKUP($AZ1307,Sheet1!$A$2:$B$58,2)</f>
        <v>L-Glutamate</v>
      </c>
      <c r="BB1307" t="s">
        <v>178</v>
      </c>
      <c r="BC1307">
        <v>146.11892</v>
      </c>
      <c r="BD1307">
        <v>3.4</v>
      </c>
      <c r="BE1307">
        <v>333.8</v>
      </c>
      <c r="BF1307" t="s">
        <v>220</v>
      </c>
      <c r="BG1307">
        <v>0</v>
      </c>
      <c r="BH1307">
        <v>0.19999999999999901</v>
      </c>
      <c r="BI1307">
        <v>0.98656141106601503</v>
      </c>
      <c r="BJ1307">
        <v>80</v>
      </c>
      <c r="BK1307">
        <v>2158.6021353742981</v>
      </c>
      <c r="BL1307">
        <v>1049.1448885837799</v>
      </c>
      <c r="BM1307">
        <v>6.5262190987677542</v>
      </c>
      <c r="BN1307">
        <v>1109.457246790518</v>
      </c>
      <c r="BO1307">
        <v>1049.1448885837799</v>
      </c>
    </row>
    <row r="1308" spans="1:67" x14ac:dyDescent="0.25">
      <c r="A1308" s="1">
        <v>1306</v>
      </c>
      <c r="B1308" t="s">
        <v>78</v>
      </c>
      <c r="C1308" t="s">
        <v>87</v>
      </c>
      <c r="D1308">
        <v>1</v>
      </c>
      <c r="E1308">
        <v>4</v>
      </c>
      <c r="F1308">
        <v>1</v>
      </c>
      <c r="G1308">
        <v>32.041060000000002</v>
      </c>
      <c r="H1308">
        <v>6</v>
      </c>
      <c r="I1308" t="s">
        <v>89</v>
      </c>
      <c r="J1308">
        <v>2.5</v>
      </c>
      <c r="K1308">
        <v>200</v>
      </c>
      <c r="L1308">
        <v>50</v>
      </c>
      <c r="N1308" t="s">
        <v>90</v>
      </c>
      <c r="O1308">
        <v>50</v>
      </c>
      <c r="P1308">
        <v>0.3125</v>
      </c>
      <c r="Q1308">
        <v>3.2500000000000001E-2</v>
      </c>
      <c r="R1308">
        <v>77.5</v>
      </c>
      <c r="S1308">
        <v>170</v>
      </c>
      <c r="T1308">
        <v>50</v>
      </c>
      <c r="U1308">
        <v>1812.1301775147931</v>
      </c>
      <c r="V1308">
        <v>20</v>
      </c>
      <c r="W1308">
        <v>0.95</v>
      </c>
      <c r="X1308">
        <v>1</v>
      </c>
      <c r="Y1308">
        <v>261217.02310299719</v>
      </c>
      <c r="Z1308">
        <v>522434046.20599431</v>
      </c>
      <c r="AA1308">
        <v>1306085115.514986</v>
      </c>
      <c r="AB1308">
        <v>1306085.115514986</v>
      </c>
      <c r="AC1308">
        <v>0</v>
      </c>
      <c r="AD1308">
        <v>5414.6472889040979</v>
      </c>
      <c r="AE1308">
        <v>3248788.3733424591</v>
      </c>
      <c r="AF1308">
        <v>1624394.1866712291</v>
      </c>
      <c r="AG1308">
        <v>52.047311598784063</v>
      </c>
      <c r="AH1308">
        <v>536.17191116550612</v>
      </c>
      <c r="AI1308">
        <v>268.08595558275312</v>
      </c>
      <c r="AJ1308">
        <v>42447.766254237038</v>
      </c>
      <c r="AK1308">
        <v>854.70085470085473</v>
      </c>
      <c r="AL1308" t="s">
        <v>93</v>
      </c>
      <c r="AM1308">
        <v>41553.323115326733</v>
      </c>
      <c r="AN1308">
        <v>2915.1239588239482</v>
      </c>
      <c r="AO1308">
        <v>45574.612449068023</v>
      </c>
      <c r="AP1308">
        <v>87770.914183088564</v>
      </c>
      <c r="AQ1308">
        <v>42196.301734020541</v>
      </c>
      <c r="AR1308">
        <v>2.6131444327083329E-2</v>
      </c>
      <c r="AS1308">
        <v>815.56116829728273</v>
      </c>
      <c r="AT1308">
        <v>798.37597445278038</v>
      </c>
      <c r="AU1308">
        <v>56.009116883801759</v>
      </c>
      <c r="AV1308">
        <v>875.63816552885601</v>
      </c>
      <c r="AW1308">
        <v>1686.367873516431</v>
      </c>
      <c r="AX1308">
        <v>810.72970798757501</v>
      </c>
      <c r="AY1308">
        <v>5.1508127384050351</v>
      </c>
      <c r="AZ1308" t="s">
        <v>139</v>
      </c>
      <c r="BA1308" t="str">
        <f>VLOOKUP($AZ1308,Sheet1!$A$2:$B$58,2)</f>
        <v>L-Lysine</v>
      </c>
      <c r="BB1308" t="s">
        <v>187</v>
      </c>
      <c r="BC1308">
        <v>147.19319999999999</v>
      </c>
      <c r="BD1308">
        <v>4.833333333333333</v>
      </c>
      <c r="BF1308" t="s">
        <v>220</v>
      </c>
      <c r="BG1308">
        <v>0</v>
      </c>
      <c r="BH1308">
        <v>0.10187793427230001</v>
      </c>
      <c r="BI1308">
        <v>0.48033220606506899</v>
      </c>
      <c r="BJ1308">
        <v>80</v>
      </c>
      <c r="BK1308">
        <v>4388.5457091544276</v>
      </c>
      <c r="BL1308">
        <v>2109.8150867010258</v>
      </c>
      <c r="BM1308">
        <v>13.40429777913765</v>
      </c>
      <c r="BN1308">
        <v>2278.7306224534009</v>
      </c>
      <c r="BO1308">
        <v>2109.8150867010258</v>
      </c>
    </row>
    <row r="1309" spans="1:67" x14ac:dyDescent="0.25">
      <c r="A1309" s="1">
        <v>1307</v>
      </c>
      <c r="B1309" t="s">
        <v>78</v>
      </c>
      <c r="C1309" t="s">
        <v>87</v>
      </c>
      <c r="D1309">
        <v>1</v>
      </c>
      <c r="E1309">
        <v>4</v>
      </c>
      <c r="F1309">
        <v>1</v>
      </c>
      <c r="G1309">
        <v>32.041060000000002</v>
      </c>
      <c r="H1309">
        <v>6</v>
      </c>
      <c r="I1309" t="s">
        <v>89</v>
      </c>
      <c r="J1309">
        <v>2.5</v>
      </c>
      <c r="K1309">
        <v>200</v>
      </c>
      <c r="L1309">
        <v>50</v>
      </c>
      <c r="N1309" t="s">
        <v>90</v>
      </c>
      <c r="O1309">
        <v>50</v>
      </c>
      <c r="P1309">
        <v>0.3125</v>
      </c>
      <c r="Q1309">
        <v>3.2500000000000001E-2</v>
      </c>
      <c r="R1309">
        <v>77.5</v>
      </c>
      <c r="S1309">
        <v>170</v>
      </c>
      <c r="T1309">
        <v>50</v>
      </c>
      <c r="U1309">
        <v>1812.1301775147931</v>
      </c>
      <c r="V1309">
        <v>20</v>
      </c>
      <c r="W1309">
        <v>0.95</v>
      </c>
      <c r="X1309">
        <v>1</v>
      </c>
      <c r="Y1309">
        <v>259568.39688506979</v>
      </c>
      <c r="Z1309">
        <v>519136793.77013952</v>
      </c>
      <c r="AA1309">
        <v>1297841984.425349</v>
      </c>
      <c r="AB1309">
        <v>1297841.9844253489</v>
      </c>
      <c r="AC1309">
        <v>0</v>
      </c>
      <c r="AD1309">
        <v>5380.4736758092222</v>
      </c>
      <c r="AE1309">
        <v>3228284.205485533</v>
      </c>
      <c r="AF1309">
        <v>1614142.102742767</v>
      </c>
      <c r="AG1309">
        <v>51.718823962507159</v>
      </c>
      <c r="AH1309">
        <v>532.78795456281864</v>
      </c>
      <c r="AI1309">
        <v>266.39397728140932</v>
      </c>
      <c r="AJ1309">
        <v>42179.864493823843</v>
      </c>
      <c r="AK1309">
        <v>854.70085470085473</v>
      </c>
      <c r="AL1309" t="s">
        <v>93</v>
      </c>
      <c r="AM1309">
        <v>41291.066478618442</v>
      </c>
      <c r="AN1309">
        <v>2896.7256564088311</v>
      </c>
      <c r="AO1309">
        <v>45286.976137839592</v>
      </c>
      <c r="AP1309">
        <v>87222.357483551968</v>
      </c>
      <c r="AQ1309">
        <v>41935.381345712383</v>
      </c>
      <c r="AR1309">
        <v>2.6131444327083329E-2</v>
      </c>
      <c r="AS1309">
        <v>815.56116829728273</v>
      </c>
      <c r="AT1309">
        <v>798.37597445278004</v>
      </c>
      <c r="AU1309">
        <v>56.009116883801767</v>
      </c>
      <c r="AV1309">
        <v>875.63816552885555</v>
      </c>
      <c r="AW1309">
        <v>1686.4721739763961</v>
      </c>
      <c r="AX1309">
        <v>810.83400844754055</v>
      </c>
      <c r="AY1309">
        <v>5.1508127384050324</v>
      </c>
      <c r="AZ1309" t="s">
        <v>104</v>
      </c>
      <c r="BA1309" t="str">
        <f>VLOOKUP($AZ1309,Sheet1!$A$2:$B$58,2)</f>
        <v>2-Methyl-1-Butanol</v>
      </c>
      <c r="BB1309" t="s">
        <v>157</v>
      </c>
      <c r="BC1309">
        <v>88.14658</v>
      </c>
      <c r="BD1309">
        <v>6</v>
      </c>
      <c r="BE1309">
        <v>129</v>
      </c>
      <c r="BF1309" t="s">
        <v>220</v>
      </c>
      <c r="BG1309">
        <v>0</v>
      </c>
      <c r="BH1309">
        <v>0.175708502024291</v>
      </c>
      <c r="BI1309">
        <v>0.48338299451904398</v>
      </c>
      <c r="BJ1309">
        <v>80</v>
      </c>
      <c r="BK1309">
        <v>4361.1178741775984</v>
      </c>
      <c r="BL1309">
        <v>2096.7690672856188</v>
      </c>
      <c r="BM1309">
        <v>13.319698864070469</v>
      </c>
      <c r="BN1309">
        <v>2264.3488068919792</v>
      </c>
      <c r="BO1309">
        <v>2096.7690672856188</v>
      </c>
    </row>
    <row r="1310" spans="1:67" x14ac:dyDescent="0.25">
      <c r="A1310" s="1">
        <v>1308</v>
      </c>
      <c r="B1310" t="s">
        <v>78</v>
      </c>
      <c r="C1310" t="s">
        <v>87</v>
      </c>
      <c r="D1310">
        <v>1</v>
      </c>
      <c r="E1310">
        <v>4</v>
      </c>
      <c r="F1310">
        <v>1</v>
      </c>
      <c r="G1310">
        <v>32.041060000000002</v>
      </c>
      <c r="H1310">
        <v>6</v>
      </c>
      <c r="I1310" t="s">
        <v>89</v>
      </c>
      <c r="J1310">
        <v>2.5</v>
      </c>
      <c r="K1310">
        <v>200</v>
      </c>
      <c r="L1310">
        <v>50</v>
      </c>
      <c r="N1310" t="s">
        <v>90</v>
      </c>
      <c r="O1310">
        <v>50</v>
      </c>
      <c r="P1310">
        <v>0.3125</v>
      </c>
      <c r="Q1310">
        <v>3.2500000000000001E-2</v>
      </c>
      <c r="R1310">
        <v>77.5</v>
      </c>
      <c r="S1310">
        <v>170</v>
      </c>
      <c r="T1310">
        <v>50</v>
      </c>
      <c r="U1310">
        <v>1812.1301775147931</v>
      </c>
      <c r="V1310">
        <v>20</v>
      </c>
      <c r="W1310">
        <v>0.95</v>
      </c>
      <c r="X1310">
        <v>1</v>
      </c>
      <c r="Y1310">
        <v>320942.78368645348</v>
      </c>
      <c r="Z1310">
        <v>641885567.37290704</v>
      </c>
      <c r="AA1310">
        <v>1604713918.4322679</v>
      </c>
      <c r="AB1310">
        <v>1604713.9184322681</v>
      </c>
      <c r="AC1310">
        <v>0</v>
      </c>
      <c r="AD1310">
        <v>6652.6750551627838</v>
      </c>
      <c r="AE1310">
        <v>3991605.0330976699</v>
      </c>
      <c r="AF1310">
        <v>1995802.516548835</v>
      </c>
      <c r="AG1310">
        <v>63.947628180892217</v>
      </c>
      <c r="AH1310">
        <v>658.76451564985666</v>
      </c>
      <c r="AI1310">
        <v>329.38225782492827</v>
      </c>
      <c r="AJ1310">
        <v>52153.202349048697</v>
      </c>
      <c r="AK1310">
        <v>854.70085470085473</v>
      </c>
      <c r="AL1310" t="s">
        <v>93</v>
      </c>
      <c r="AM1310">
        <v>51054.249962863891</v>
      </c>
      <c r="AN1310">
        <v>3581.6501812254892</v>
      </c>
      <c r="AO1310">
        <v>55994.983830237819</v>
      </c>
      <c r="AP1310">
        <v>107643.8033478389</v>
      </c>
      <c r="AQ1310">
        <v>51648.819517601107</v>
      </c>
      <c r="AR1310">
        <v>2.613144432708334E-2</v>
      </c>
      <c r="AS1310">
        <v>815.56116829728285</v>
      </c>
      <c r="AT1310">
        <v>798.37597445278016</v>
      </c>
      <c r="AU1310">
        <v>56.009116883801781</v>
      </c>
      <c r="AV1310">
        <v>875.63816552885578</v>
      </c>
      <c r="AW1310">
        <v>1683.311897719504</v>
      </c>
      <c r="AX1310">
        <v>807.67373219064848</v>
      </c>
      <c r="AY1310">
        <v>5.1508127384050333</v>
      </c>
      <c r="AZ1310" t="s">
        <v>106</v>
      </c>
      <c r="BA1310" t="str">
        <f>VLOOKUP($AZ1310,Sheet1!$A$2:$B$58,2)</f>
        <v>3-Methyl-1-Pentanol</v>
      </c>
      <c r="BB1310" t="s">
        <v>159</v>
      </c>
      <c r="BC1310">
        <v>102.17296</v>
      </c>
      <c r="BD1310">
        <v>6</v>
      </c>
      <c r="BE1310">
        <v>153</v>
      </c>
      <c r="BF1310" t="s">
        <v>220</v>
      </c>
      <c r="BG1310">
        <v>0</v>
      </c>
      <c r="BH1310">
        <v>0.122598870056497</v>
      </c>
      <c r="BI1310">
        <v>0.39094491400495901</v>
      </c>
      <c r="BJ1310">
        <v>80</v>
      </c>
      <c r="BK1310">
        <v>5382.1901673919456</v>
      </c>
      <c r="BL1310">
        <v>2582.4409758800548</v>
      </c>
      <c r="BM1310">
        <v>16.469112891246411</v>
      </c>
      <c r="BN1310">
        <v>2799.7491915118899</v>
      </c>
      <c r="BO1310">
        <v>2582.4409758800548</v>
      </c>
    </row>
    <row r="1311" spans="1:67" x14ac:dyDescent="0.25">
      <c r="A1311" s="1">
        <v>1309</v>
      </c>
      <c r="B1311" t="s">
        <v>78</v>
      </c>
      <c r="C1311" t="s">
        <v>87</v>
      </c>
      <c r="D1311">
        <v>1</v>
      </c>
      <c r="E1311">
        <v>4</v>
      </c>
      <c r="F1311">
        <v>1</v>
      </c>
      <c r="G1311">
        <v>32.041060000000002</v>
      </c>
      <c r="H1311">
        <v>6</v>
      </c>
      <c r="I1311" t="s">
        <v>89</v>
      </c>
      <c r="J1311">
        <v>2.5</v>
      </c>
      <c r="K1311">
        <v>200</v>
      </c>
      <c r="L1311">
        <v>50</v>
      </c>
      <c r="N1311" t="s">
        <v>90</v>
      </c>
      <c r="O1311">
        <v>50</v>
      </c>
      <c r="P1311">
        <v>0.3125</v>
      </c>
      <c r="Q1311">
        <v>3.2500000000000001E-2</v>
      </c>
      <c r="R1311">
        <v>77.5</v>
      </c>
      <c r="S1311">
        <v>170</v>
      </c>
      <c r="T1311">
        <v>50</v>
      </c>
      <c r="U1311">
        <v>1812.1301775147931</v>
      </c>
      <c r="V1311">
        <v>20</v>
      </c>
      <c r="W1311">
        <v>0.95</v>
      </c>
      <c r="X1311">
        <v>1</v>
      </c>
      <c r="Y1311">
        <v>175633.3765007405</v>
      </c>
      <c r="Z1311">
        <v>351266753.00148112</v>
      </c>
      <c r="AA1311">
        <v>878166882.50370264</v>
      </c>
      <c r="AB1311">
        <v>878166.88250370265</v>
      </c>
      <c r="AC1311">
        <v>0</v>
      </c>
      <c r="AD1311">
        <v>3640.6233200806118</v>
      </c>
      <c r="AE1311">
        <v>2184373.9920483669</v>
      </c>
      <c r="AF1311">
        <v>1092186.9960241839</v>
      </c>
      <c r="AG1311">
        <v>34.994829070830633</v>
      </c>
      <c r="AH1311">
        <v>360.50362271268227</v>
      </c>
      <c r="AI1311">
        <v>180.25181135634119</v>
      </c>
      <c r="AJ1311">
        <v>28540.423681370339</v>
      </c>
      <c r="AK1311">
        <v>854.70085470085473</v>
      </c>
      <c r="AL1311" t="s">
        <v>93</v>
      </c>
      <c r="AM1311">
        <v>27939.030760232879</v>
      </c>
      <c r="AN1311">
        <v>1960.029471756817</v>
      </c>
      <c r="AO1311">
        <v>30642.807930578001</v>
      </c>
      <c r="AP1311">
        <v>59294.184768060877</v>
      </c>
      <c r="AQ1311">
        <v>28651.376837482891</v>
      </c>
      <c r="AR1311">
        <v>2.6131444327083329E-2</v>
      </c>
      <c r="AS1311">
        <v>815.56116829728251</v>
      </c>
      <c r="AT1311">
        <v>798.37597445277993</v>
      </c>
      <c r="AU1311">
        <v>56.009116883801759</v>
      </c>
      <c r="AV1311">
        <v>875.63816552885544</v>
      </c>
      <c r="AW1311">
        <v>1694.369892421752</v>
      </c>
      <c r="AX1311">
        <v>818.73172689289606</v>
      </c>
      <c r="AY1311">
        <v>5.1508127384050324</v>
      </c>
      <c r="AZ1311" t="s">
        <v>96</v>
      </c>
      <c r="BA1311" t="str">
        <f>VLOOKUP($AZ1311,Sheet1!$A$2:$B$58,2)</f>
        <v>1,3-Butanediol (PW1)</v>
      </c>
      <c r="BB1311" t="s">
        <v>153</v>
      </c>
      <c r="BC1311">
        <v>90.119200000000006</v>
      </c>
      <c r="BD1311">
        <v>5.5</v>
      </c>
      <c r="BE1311">
        <v>207</v>
      </c>
      <c r="BF1311" t="s">
        <v>221</v>
      </c>
      <c r="BG1311">
        <v>0</v>
      </c>
      <c r="BH1311">
        <v>0.25</v>
      </c>
      <c r="BI1311">
        <v>0.71439125904570688</v>
      </c>
      <c r="BJ1311">
        <v>80</v>
      </c>
      <c r="BK1311">
        <v>2964.7092384030439</v>
      </c>
      <c r="BL1311">
        <v>1432.568841874144</v>
      </c>
      <c r="BM1311">
        <v>9.0125905678170586</v>
      </c>
      <c r="BN1311">
        <v>1532.1403965289001</v>
      </c>
      <c r="BO1311">
        <v>1432.568841874144</v>
      </c>
    </row>
    <row r="1312" spans="1:67" x14ac:dyDescent="0.25">
      <c r="A1312" s="1">
        <v>1310</v>
      </c>
      <c r="B1312" t="s">
        <v>78</v>
      </c>
      <c r="C1312" t="s">
        <v>87</v>
      </c>
      <c r="D1312">
        <v>1</v>
      </c>
      <c r="E1312">
        <v>4</v>
      </c>
      <c r="F1312">
        <v>1</v>
      </c>
      <c r="G1312">
        <v>32.041060000000002</v>
      </c>
      <c r="H1312">
        <v>6</v>
      </c>
      <c r="I1312" t="s">
        <v>89</v>
      </c>
      <c r="J1312">
        <v>2.5</v>
      </c>
      <c r="K1312">
        <v>200</v>
      </c>
      <c r="L1312">
        <v>50</v>
      </c>
      <c r="N1312" t="s">
        <v>90</v>
      </c>
      <c r="O1312">
        <v>50</v>
      </c>
      <c r="P1312">
        <v>0.3125</v>
      </c>
      <c r="Q1312">
        <v>3.2500000000000001E-2</v>
      </c>
      <c r="R1312">
        <v>77.5</v>
      </c>
      <c r="S1312">
        <v>170</v>
      </c>
      <c r="T1312">
        <v>50</v>
      </c>
      <c r="U1312">
        <v>1812.1301775147931</v>
      </c>
      <c r="V1312">
        <v>20</v>
      </c>
      <c r="W1312">
        <v>0.95</v>
      </c>
      <c r="X1312">
        <v>1</v>
      </c>
      <c r="Y1312">
        <v>175633.3765007405</v>
      </c>
      <c r="Z1312">
        <v>351266753.00148112</v>
      </c>
      <c r="AA1312">
        <v>878166882.50370264</v>
      </c>
      <c r="AB1312">
        <v>878166.88250370265</v>
      </c>
      <c r="AC1312">
        <v>0</v>
      </c>
      <c r="AD1312">
        <v>3640.6233200806118</v>
      </c>
      <c r="AE1312">
        <v>2184373.9920483669</v>
      </c>
      <c r="AF1312">
        <v>1092186.9960241839</v>
      </c>
      <c r="AG1312">
        <v>34.994829070830633</v>
      </c>
      <c r="AH1312">
        <v>360.50362271268227</v>
      </c>
      <c r="AI1312">
        <v>180.25181135634119</v>
      </c>
      <c r="AJ1312">
        <v>28540.423681370339</v>
      </c>
      <c r="AK1312">
        <v>854.70085470085473</v>
      </c>
      <c r="AL1312" t="s">
        <v>93</v>
      </c>
      <c r="AM1312">
        <v>27939.030760232879</v>
      </c>
      <c r="AN1312">
        <v>1960.029471756817</v>
      </c>
      <c r="AO1312">
        <v>30642.807930578001</v>
      </c>
      <c r="AP1312">
        <v>59294.184768060877</v>
      </c>
      <c r="AQ1312">
        <v>28651.376837482891</v>
      </c>
      <c r="AR1312">
        <v>2.6131444327083329E-2</v>
      </c>
      <c r="AS1312">
        <v>815.56116829728251</v>
      </c>
      <c r="AT1312">
        <v>798.37597445277993</v>
      </c>
      <c r="AU1312">
        <v>56.009116883801759</v>
      </c>
      <c r="AV1312">
        <v>875.63816552885544</v>
      </c>
      <c r="AW1312">
        <v>1694.369892421752</v>
      </c>
      <c r="AX1312">
        <v>818.73172689289606</v>
      </c>
      <c r="AY1312">
        <v>5.1508127384050324</v>
      </c>
      <c r="AZ1312" t="s">
        <v>97</v>
      </c>
      <c r="BA1312" t="str">
        <f>VLOOKUP($AZ1312,Sheet1!$A$2:$B$58,2)</f>
        <v>1,3-Butanediol (PW2)</v>
      </c>
      <c r="BB1312" t="s">
        <v>153</v>
      </c>
      <c r="BC1312">
        <v>90.119200000000006</v>
      </c>
      <c r="BD1312">
        <v>5.5</v>
      </c>
      <c r="BE1312">
        <v>207</v>
      </c>
      <c r="BF1312" t="s">
        <v>221</v>
      </c>
      <c r="BG1312">
        <v>0</v>
      </c>
      <c r="BH1312">
        <v>0.25</v>
      </c>
      <c r="BI1312">
        <v>0.71439125904570688</v>
      </c>
      <c r="BJ1312">
        <v>80</v>
      </c>
      <c r="BK1312">
        <v>2964.7092384030439</v>
      </c>
      <c r="BL1312">
        <v>1432.568841874144</v>
      </c>
      <c r="BM1312">
        <v>9.0125905678170586</v>
      </c>
      <c r="BN1312">
        <v>1532.1403965289001</v>
      </c>
      <c r="BO1312">
        <v>1432.568841874144</v>
      </c>
    </row>
    <row r="1313" spans="1:67" x14ac:dyDescent="0.25">
      <c r="A1313" s="1">
        <v>1311</v>
      </c>
      <c r="B1313" t="s">
        <v>78</v>
      </c>
      <c r="C1313" t="s">
        <v>87</v>
      </c>
      <c r="D1313">
        <v>1</v>
      </c>
      <c r="E1313">
        <v>4</v>
      </c>
      <c r="F1313">
        <v>1</v>
      </c>
      <c r="G1313">
        <v>32.041060000000002</v>
      </c>
      <c r="H1313">
        <v>6</v>
      </c>
      <c r="I1313" t="s">
        <v>89</v>
      </c>
      <c r="J1313">
        <v>2.5</v>
      </c>
      <c r="K1313">
        <v>200</v>
      </c>
      <c r="L1313">
        <v>50</v>
      </c>
      <c r="N1313" t="s">
        <v>90</v>
      </c>
      <c r="O1313">
        <v>50</v>
      </c>
      <c r="P1313">
        <v>0.3125</v>
      </c>
      <c r="Q1313">
        <v>3.2500000000000001E-2</v>
      </c>
      <c r="R1313">
        <v>77.5</v>
      </c>
      <c r="S1313">
        <v>170</v>
      </c>
      <c r="T1313">
        <v>50</v>
      </c>
      <c r="U1313">
        <v>1812.1301775147931</v>
      </c>
      <c r="V1313">
        <v>20</v>
      </c>
      <c r="W1313">
        <v>0.95</v>
      </c>
      <c r="X1313">
        <v>1</v>
      </c>
      <c r="Y1313">
        <v>292543.7432856732</v>
      </c>
      <c r="Z1313">
        <v>585087486.5713464</v>
      </c>
      <c r="AA1313">
        <v>1462718716.4283659</v>
      </c>
      <c r="AB1313">
        <v>1462718.716428366</v>
      </c>
      <c r="AC1313">
        <v>0</v>
      </c>
      <c r="AD1313">
        <v>6064.0044345159367</v>
      </c>
      <c r="AE1313">
        <v>3638402.6607095618</v>
      </c>
      <c r="AF1313">
        <v>1819201.3303547809</v>
      </c>
      <c r="AG1313">
        <v>58.289138977977359</v>
      </c>
      <c r="AH1313">
        <v>600.47287911685441</v>
      </c>
      <c r="AI1313">
        <v>300.23643955842721</v>
      </c>
      <c r="AJ1313">
        <v>47538.358283921887</v>
      </c>
      <c r="AK1313">
        <v>854.70085470085473</v>
      </c>
      <c r="AL1313" t="s">
        <v>93</v>
      </c>
      <c r="AM1313">
        <v>46536.64813155622</v>
      </c>
      <c r="AN1313">
        <v>3264.723198073701</v>
      </c>
      <c r="AO1313">
        <v>51040.194724932633</v>
      </c>
      <c r="AP1313">
        <v>98194.430468252671</v>
      </c>
      <c r="AQ1313">
        <v>47154.235743320052</v>
      </c>
      <c r="AR1313">
        <v>2.6131444327083329E-2</v>
      </c>
      <c r="AS1313">
        <v>815.56116829728273</v>
      </c>
      <c r="AT1313">
        <v>798.37597445278038</v>
      </c>
      <c r="AU1313">
        <v>56.009116883801788</v>
      </c>
      <c r="AV1313">
        <v>875.63816552885589</v>
      </c>
      <c r="AW1313">
        <v>1684.6093833252919</v>
      </c>
      <c r="AX1313">
        <v>808.97121779643601</v>
      </c>
      <c r="AY1313">
        <v>5.1508127384050351</v>
      </c>
      <c r="AZ1313" t="s">
        <v>98</v>
      </c>
      <c r="BA1313" t="str">
        <f>VLOOKUP($AZ1313,Sheet1!$A$2:$B$58,2)</f>
        <v>1,3-Diaminopropane</v>
      </c>
      <c r="BB1313" t="s">
        <v>154</v>
      </c>
      <c r="BC1313">
        <v>76.139580000000009</v>
      </c>
      <c r="BD1313">
        <v>6</v>
      </c>
      <c r="BE1313">
        <v>139.30000000000001</v>
      </c>
      <c r="BF1313" t="s">
        <v>221</v>
      </c>
      <c r="BG1313">
        <v>0</v>
      </c>
      <c r="BH1313">
        <v>0.17846153846153859</v>
      </c>
      <c r="BI1313">
        <v>0.42889636797423669</v>
      </c>
      <c r="BJ1313">
        <v>80</v>
      </c>
      <c r="BK1313">
        <v>4909.7215234126334</v>
      </c>
      <c r="BL1313">
        <v>2357.711787166003</v>
      </c>
      <c r="BM1313">
        <v>15.011821977921359</v>
      </c>
      <c r="BN1313">
        <v>2552.0097362466308</v>
      </c>
      <c r="BO1313">
        <v>2357.7117871660021</v>
      </c>
    </row>
    <row r="1314" spans="1:67" x14ac:dyDescent="0.25">
      <c r="A1314" s="1">
        <v>1312</v>
      </c>
      <c r="B1314" t="s">
        <v>78</v>
      </c>
      <c r="C1314" t="s">
        <v>87</v>
      </c>
      <c r="D1314">
        <v>1</v>
      </c>
      <c r="E1314">
        <v>4</v>
      </c>
      <c r="F1314">
        <v>1</v>
      </c>
      <c r="G1314">
        <v>32.041060000000002</v>
      </c>
      <c r="H1314">
        <v>6</v>
      </c>
      <c r="I1314" t="s">
        <v>89</v>
      </c>
      <c r="J1314">
        <v>2.5</v>
      </c>
      <c r="K1314">
        <v>200</v>
      </c>
      <c r="L1314">
        <v>50</v>
      </c>
      <c r="N1314" t="s">
        <v>90</v>
      </c>
      <c r="O1314">
        <v>50</v>
      </c>
      <c r="P1314">
        <v>0.3125</v>
      </c>
      <c r="Q1314">
        <v>3.2500000000000001E-2</v>
      </c>
      <c r="R1314">
        <v>77.5</v>
      </c>
      <c r="S1314">
        <v>170</v>
      </c>
      <c r="T1314">
        <v>50</v>
      </c>
      <c r="U1314">
        <v>1812.1301775147931</v>
      </c>
      <c r="V1314">
        <v>20</v>
      </c>
      <c r="W1314">
        <v>0.95</v>
      </c>
      <c r="X1314">
        <v>1</v>
      </c>
      <c r="Y1314">
        <v>155175.18182896689</v>
      </c>
      <c r="Z1314">
        <v>310350363.65793389</v>
      </c>
      <c r="AA1314">
        <v>775875909.14483476</v>
      </c>
      <c r="AB1314">
        <v>775875.90914483473</v>
      </c>
      <c r="AC1314">
        <v>0</v>
      </c>
      <c r="AD1314">
        <v>3216.5548309771539</v>
      </c>
      <c r="AE1314">
        <v>1929932.8985862921</v>
      </c>
      <c r="AF1314">
        <v>964966.44929314614</v>
      </c>
      <c r="AG1314">
        <v>30.91854789978866</v>
      </c>
      <c r="AH1314">
        <v>318.51130075043523</v>
      </c>
      <c r="AI1314">
        <v>159.25565037521761</v>
      </c>
      <c r="AJ1314">
        <v>25215.96704720713</v>
      </c>
      <c r="AK1314">
        <v>854.70085470085473</v>
      </c>
      <c r="AL1314" t="s">
        <v>93</v>
      </c>
      <c r="AM1314">
        <v>24684.625808158729</v>
      </c>
      <c r="AN1314">
        <v>1731.720563196686</v>
      </c>
      <c r="AO1314">
        <v>27073.46056378699</v>
      </c>
      <c r="AP1314">
        <v>52487.014273263398</v>
      </c>
      <c r="AQ1314">
        <v>25413.553709476411</v>
      </c>
      <c r="AR1314">
        <v>2.6131444327083329E-2</v>
      </c>
      <c r="AS1314">
        <v>815.56116829728273</v>
      </c>
      <c r="AT1314">
        <v>798.37597445278016</v>
      </c>
      <c r="AU1314">
        <v>56.009116883801767</v>
      </c>
      <c r="AV1314">
        <v>875.63816552885567</v>
      </c>
      <c r="AW1314">
        <v>1697.589888224413</v>
      </c>
      <c r="AX1314">
        <v>821.95172269555781</v>
      </c>
      <c r="AY1314">
        <v>5.1508127384050324</v>
      </c>
      <c r="AZ1314" t="s">
        <v>99</v>
      </c>
      <c r="BA1314" t="str">
        <f>VLOOKUP($AZ1314,Sheet1!$A$2:$B$58,2)</f>
        <v>1,3-Propanediol</v>
      </c>
      <c r="BB1314" t="s">
        <v>155</v>
      </c>
      <c r="BC1314">
        <v>76.092820000000003</v>
      </c>
      <c r="BD1314">
        <v>5.333333333333333</v>
      </c>
      <c r="BE1314">
        <v>213</v>
      </c>
      <c r="BF1314" t="s">
        <v>221</v>
      </c>
      <c r="BG1314">
        <v>0</v>
      </c>
      <c r="BH1314">
        <v>0.33333333333333393</v>
      </c>
      <c r="BI1314">
        <v>0.80857613627355662</v>
      </c>
      <c r="BJ1314">
        <v>80</v>
      </c>
      <c r="BK1314">
        <v>2624.3507136631702</v>
      </c>
      <c r="BL1314">
        <v>1270.67768547382</v>
      </c>
      <c r="BM1314">
        <v>7.9627825187608794</v>
      </c>
      <c r="BN1314">
        <v>1353.673028189349</v>
      </c>
      <c r="BO1314">
        <v>1270.67768547382</v>
      </c>
    </row>
    <row r="1315" spans="1:67" x14ac:dyDescent="0.25">
      <c r="A1315" s="1">
        <v>1313</v>
      </c>
      <c r="B1315" t="s">
        <v>78</v>
      </c>
      <c r="C1315" t="s">
        <v>87</v>
      </c>
      <c r="D1315">
        <v>1</v>
      </c>
      <c r="E1315">
        <v>4</v>
      </c>
      <c r="F1315">
        <v>1</v>
      </c>
      <c r="G1315">
        <v>32.041060000000002</v>
      </c>
      <c r="H1315">
        <v>6</v>
      </c>
      <c r="I1315" t="s">
        <v>89</v>
      </c>
      <c r="J1315">
        <v>2.5</v>
      </c>
      <c r="K1315">
        <v>200</v>
      </c>
      <c r="L1315">
        <v>50</v>
      </c>
      <c r="N1315" t="s">
        <v>90</v>
      </c>
      <c r="O1315">
        <v>50</v>
      </c>
      <c r="P1315">
        <v>0.3125</v>
      </c>
      <c r="Q1315">
        <v>3.2500000000000001E-2</v>
      </c>
      <c r="R1315">
        <v>77.5</v>
      </c>
      <c r="S1315">
        <v>170</v>
      </c>
      <c r="T1315">
        <v>50</v>
      </c>
      <c r="U1315">
        <v>1812.1301775147931</v>
      </c>
      <c r="V1315">
        <v>20</v>
      </c>
      <c r="W1315">
        <v>0.95</v>
      </c>
      <c r="X1315">
        <v>1</v>
      </c>
      <c r="Y1315">
        <v>372148.34724075493</v>
      </c>
      <c r="Z1315">
        <v>744296694.48150969</v>
      </c>
      <c r="AA1315">
        <v>1860741736.203774</v>
      </c>
      <c r="AB1315">
        <v>1860741.7362037741</v>
      </c>
      <c r="AC1315">
        <v>0</v>
      </c>
      <c r="AD1315">
        <v>7714.0915837738667</v>
      </c>
      <c r="AE1315">
        <v>4628454.9502643198</v>
      </c>
      <c r="AF1315">
        <v>2314227.4751321599</v>
      </c>
      <c r="AG1315">
        <v>74.150301384358045</v>
      </c>
      <c r="AH1315">
        <v>763.86863385424783</v>
      </c>
      <c r="AI1315">
        <v>381.93431692712392</v>
      </c>
      <c r="AJ1315">
        <v>60474.10642662266</v>
      </c>
      <c r="AK1315">
        <v>854.70085470085473</v>
      </c>
      <c r="AL1315" t="s">
        <v>93</v>
      </c>
      <c r="AM1315">
        <v>59199.819123704197</v>
      </c>
      <c r="AN1315">
        <v>4153.0928972056381</v>
      </c>
      <c r="AO1315">
        <v>64928.833877611069</v>
      </c>
      <c r="AP1315">
        <v>124681.7193022334</v>
      </c>
      <c r="AQ1315">
        <v>59752.885424622298</v>
      </c>
      <c r="AR1315">
        <v>2.6131444327083329E-2</v>
      </c>
      <c r="AS1315">
        <v>815.56116829728273</v>
      </c>
      <c r="AT1315">
        <v>798.37597445278038</v>
      </c>
      <c r="AU1315">
        <v>56.009116883801767</v>
      </c>
      <c r="AV1315">
        <v>875.63816552885601</v>
      </c>
      <c r="AW1315">
        <v>1681.4728595093061</v>
      </c>
      <c r="AX1315">
        <v>805.83469398044986</v>
      </c>
      <c r="AY1315">
        <v>5.1508127384050351</v>
      </c>
      <c r="AZ1315" t="s">
        <v>100</v>
      </c>
      <c r="BA1315" t="str">
        <f>VLOOKUP($AZ1315,Sheet1!$A$2:$B$58,2)</f>
        <v>1,4-Butanediol</v>
      </c>
      <c r="BB1315" t="s">
        <v>153</v>
      </c>
      <c r="BC1315">
        <v>90.119200000000006</v>
      </c>
      <c r="BD1315">
        <v>5.5</v>
      </c>
      <c r="BE1315">
        <v>230</v>
      </c>
      <c r="BF1315" t="s">
        <v>221</v>
      </c>
      <c r="BG1315">
        <v>0</v>
      </c>
      <c r="BH1315">
        <v>0.118974358974359</v>
      </c>
      <c r="BI1315">
        <v>0.3371530463566495</v>
      </c>
      <c r="BJ1315">
        <v>80</v>
      </c>
      <c r="BK1315">
        <v>6234.085965111668</v>
      </c>
      <c r="BL1315">
        <v>2987.644271231115</v>
      </c>
      <c r="BM1315">
        <v>19.096715846356201</v>
      </c>
      <c r="BN1315">
        <v>3246.441693880553</v>
      </c>
      <c r="BO1315">
        <v>2987.644271231115</v>
      </c>
    </row>
    <row r="1316" spans="1:67" x14ac:dyDescent="0.25">
      <c r="A1316" s="1">
        <v>1314</v>
      </c>
      <c r="B1316" t="s">
        <v>78</v>
      </c>
      <c r="C1316" t="s">
        <v>87</v>
      </c>
      <c r="D1316">
        <v>1</v>
      </c>
      <c r="E1316">
        <v>4</v>
      </c>
      <c r="F1316">
        <v>1</v>
      </c>
      <c r="G1316">
        <v>32.041060000000002</v>
      </c>
      <c r="H1316">
        <v>6</v>
      </c>
      <c r="I1316" t="s">
        <v>89</v>
      </c>
      <c r="J1316">
        <v>2.5</v>
      </c>
      <c r="K1316">
        <v>200</v>
      </c>
      <c r="L1316">
        <v>50</v>
      </c>
      <c r="N1316" t="s">
        <v>90</v>
      </c>
      <c r="O1316">
        <v>50</v>
      </c>
      <c r="P1316">
        <v>0.3125</v>
      </c>
      <c r="Q1316">
        <v>3.2500000000000001E-2</v>
      </c>
      <c r="R1316">
        <v>77.5</v>
      </c>
      <c r="S1316">
        <v>170</v>
      </c>
      <c r="T1316">
        <v>50</v>
      </c>
      <c r="U1316">
        <v>1812.1301775147931</v>
      </c>
      <c r="V1316">
        <v>20</v>
      </c>
      <c r="W1316">
        <v>0.95</v>
      </c>
      <c r="X1316">
        <v>1</v>
      </c>
      <c r="Y1316">
        <v>360447.71291534352</v>
      </c>
      <c r="Z1316">
        <v>720895425.83068705</v>
      </c>
      <c r="AA1316">
        <v>1802238564.5767181</v>
      </c>
      <c r="AB1316">
        <v>1802238.564576718</v>
      </c>
      <c r="AC1316">
        <v>0</v>
      </c>
      <c r="AD1316">
        <v>7471.5545271304873</v>
      </c>
      <c r="AE1316">
        <v>4482932.7162782922</v>
      </c>
      <c r="AF1316">
        <v>2241466.3581391461</v>
      </c>
      <c r="AG1316">
        <v>71.818958069117869</v>
      </c>
      <c r="AH1316">
        <v>739.85200816277847</v>
      </c>
      <c r="AI1316">
        <v>369.92600408138918</v>
      </c>
      <c r="AJ1316">
        <v>58572.753348743317</v>
      </c>
      <c r="AK1316">
        <v>854.70085470085473</v>
      </c>
      <c r="AL1316" t="s">
        <v>93</v>
      </c>
      <c r="AM1316">
        <v>57338.53063261533</v>
      </c>
      <c r="AN1316">
        <v>4022.5164169660802</v>
      </c>
      <c r="AO1316">
        <v>62887.420693836168</v>
      </c>
      <c r="AP1316">
        <v>120788.50125302561</v>
      </c>
      <c r="AQ1316">
        <v>57901.080559189439</v>
      </c>
      <c r="AR1316">
        <v>2.6131444327083329E-2</v>
      </c>
      <c r="AS1316">
        <v>815.56116829728273</v>
      </c>
      <c r="AT1316">
        <v>798.37597445278004</v>
      </c>
      <c r="AU1316">
        <v>56.009116883801752</v>
      </c>
      <c r="AV1316">
        <v>875.63816552885544</v>
      </c>
      <c r="AW1316">
        <v>1681.8470289805639</v>
      </c>
      <c r="AX1316">
        <v>806.20886345170868</v>
      </c>
      <c r="AY1316">
        <v>5.1508127384050324</v>
      </c>
      <c r="AZ1316" t="s">
        <v>101</v>
      </c>
      <c r="BA1316" t="str">
        <f>VLOOKUP($AZ1316,Sheet1!$A$2:$B$58,2)</f>
        <v>1-Propanol (PW1)</v>
      </c>
      <c r="BB1316" t="s">
        <v>156</v>
      </c>
      <c r="BC1316">
        <v>60.093820000000001</v>
      </c>
      <c r="BD1316">
        <v>6</v>
      </c>
      <c r="BE1316">
        <v>97</v>
      </c>
      <c r="BF1316" t="s">
        <v>221</v>
      </c>
      <c r="BG1316">
        <v>0</v>
      </c>
      <c r="BH1316">
        <v>0.1855999999999994</v>
      </c>
      <c r="BI1316">
        <v>0.34809750339096041</v>
      </c>
      <c r="BJ1316">
        <v>80</v>
      </c>
      <c r="BK1316">
        <v>6039.4250626512803</v>
      </c>
      <c r="BL1316">
        <v>2895.054027959472</v>
      </c>
      <c r="BM1316">
        <v>18.49630020406946</v>
      </c>
      <c r="BN1316">
        <v>3144.3710346918092</v>
      </c>
      <c r="BO1316">
        <v>2895.054027959472</v>
      </c>
    </row>
    <row r="1317" spans="1:67" x14ac:dyDescent="0.25">
      <c r="A1317" s="1">
        <v>1315</v>
      </c>
      <c r="B1317" t="s">
        <v>78</v>
      </c>
      <c r="C1317" t="s">
        <v>87</v>
      </c>
      <c r="D1317">
        <v>1</v>
      </c>
      <c r="E1317">
        <v>4</v>
      </c>
      <c r="F1317">
        <v>1</v>
      </c>
      <c r="G1317">
        <v>32.041060000000002</v>
      </c>
      <c r="H1317">
        <v>6</v>
      </c>
      <c r="I1317" t="s">
        <v>89</v>
      </c>
      <c r="J1317">
        <v>2.5</v>
      </c>
      <c r="K1317">
        <v>200</v>
      </c>
      <c r="L1317">
        <v>50</v>
      </c>
      <c r="N1317" t="s">
        <v>90</v>
      </c>
      <c r="O1317">
        <v>50</v>
      </c>
      <c r="P1317">
        <v>0.3125</v>
      </c>
      <c r="Q1317">
        <v>3.2500000000000001E-2</v>
      </c>
      <c r="R1317">
        <v>77.5</v>
      </c>
      <c r="S1317">
        <v>170</v>
      </c>
      <c r="T1317">
        <v>50</v>
      </c>
      <c r="U1317">
        <v>1812.1301775147931</v>
      </c>
      <c r="V1317">
        <v>20</v>
      </c>
      <c r="W1317">
        <v>0.95</v>
      </c>
      <c r="X1317">
        <v>1</v>
      </c>
      <c r="Y1317">
        <v>216268.62774920609</v>
      </c>
      <c r="Z1317">
        <v>432537255.49841231</v>
      </c>
      <c r="AA1317">
        <v>1081343138.746031</v>
      </c>
      <c r="AB1317">
        <v>1081343.1387460311</v>
      </c>
      <c r="AC1317">
        <v>0</v>
      </c>
      <c r="AD1317">
        <v>4482.9327162782929</v>
      </c>
      <c r="AE1317">
        <v>2689759.629766976</v>
      </c>
      <c r="AF1317">
        <v>1344879.814883488</v>
      </c>
      <c r="AG1317">
        <v>43.091374841470731</v>
      </c>
      <c r="AH1317">
        <v>443.91120489766718</v>
      </c>
      <c r="AI1317">
        <v>221.95560244883359</v>
      </c>
      <c r="AJ1317">
        <v>35143.652009246012</v>
      </c>
      <c r="AK1317">
        <v>854.70085470085473</v>
      </c>
      <c r="AL1317" t="s">
        <v>93</v>
      </c>
      <c r="AM1317">
        <v>34403.118379569212</v>
      </c>
      <c r="AN1317">
        <v>2413.5098501796492</v>
      </c>
      <c r="AO1317">
        <v>37732.452416301712</v>
      </c>
      <c r="AP1317">
        <v>72814.981093695722</v>
      </c>
      <c r="AQ1317">
        <v>35082.52867739401</v>
      </c>
      <c r="AR1317">
        <v>2.6131444327083329E-2</v>
      </c>
      <c r="AS1317">
        <v>815.56116829728273</v>
      </c>
      <c r="AT1317">
        <v>798.37597445278016</v>
      </c>
      <c r="AU1317">
        <v>56.009116883801767</v>
      </c>
      <c r="AV1317">
        <v>875.63816552885555</v>
      </c>
      <c r="AW1317">
        <v>1689.7808752116971</v>
      </c>
      <c r="AX1317">
        <v>814.14270968284154</v>
      </c>
      <c r="AY1317">
        <v>5.1508127384050333</v>
      </c>
      <c r="AZ1317" t="s">
        <v>102</v>
      </c>
      <c r="BA1317" t="str">
        <f>VLOOKUP($AZ1317,Sheet1!$A$2:$B$58,2)</f>
        <v>1-Propanol (PW2)</v>
      </c>
      <c r="BB1317" t="s">
        <v>156</v>
      </c>
      <c r="BC1317">
        <v>60.093820000000001</v>
      </c>
      <c r="BD1317">
        <v>6</v>
      </c>
      <c r="BE1317">
        <v>97</v>
      </c>
      <c r="BF1317" t="s">
        <v>221</v>
      </c>
      <c r="BG1317">
        <v>0</v>
      </c>
      <c r="BH1317">
        <v>0.30933333333333229</v>
      </c>
      <c r="BI1317">
        <v>0.58016250565160055</v>
      </c>
      <c r="BJ1317">
        <v>80</v>
      </c>
      <c r="BK1317">
        <v>3640.7490546847848</v>
      </c>
      <c r="BL1317">
        <v>1754.1264338696999</v>
      </c>
      <c r="BM1317">
        <v>11.09778012244168</v>
      </c>
      <c r="BN1317">
        <v>1886.6226208150861</v>
      </c>
      <c r="BO1317">
        <v>1754.1264338696999</v>
      </c>
    </row>
    <row r="1318" spans="1:67" x14ac:dyDescent="0.25">
      <c r="A1318" s="1">
        <v>1316</v>
      </c>
      <c r="B1318" t="s">
        <v>78</v>
      </c>
      <c r="C1318" t="s">
        <v>87</v>
      </c>
      <c r="D1318">
        <v>1</v>
      </c>
      <c r="E1318">
        <v>4</v>
      </c>
      <c r="F1318">
        <v>1</v>
      </c>
      <c r="G1318">
        <v>32.041060000000002</v>
      </c>
      <c r="H1318">
        <v>6</v>
      </c>
      <c r="I1318" t="s">
        <v>89</v>
      </c>
      <c r="J1318">
        <v>2.5</v>
      </c>
      <c r="K1318">
        <v>200</v>
      </c>
      <c r="L1318">
        <v>50</v>
      </c>
      <c r="N1318" t="s">
        <v>90</v>
      </c>
      <c r="O1318">
        <v>50</v>
      </c>
      <c r="P1318">
        <v>0.3125</v>
      </c>
      <c r="Q1318">
        <v>3.2500000000000001E-2</v>
      </c>
      <c r="R1318">
        <v>77.5</v>
      </c>
      <c r="S1318">
        <v>170</v>
      </c>
      <c r="T1318">
        <v>50</v>
      </c>
      <c r="U1318">
        <v>1812.1301775147931</v>
      </c>
      <c r="V1318">
        <v>20</v>
      </c>
      <c r="W1318">
        <v>0.95</v>
      </c>
      <c r="X1318">
        <v>1</v>
      </c>
      <c r="Y1318">
        <v>175633.3765007405</v>
      </c>
      <c r="Z1318">
        <v>351266753.00148112</v>
      </c>
      <c r="AA1318">
        <v>878166882.50370264</v>
      </c>
      <c r="AB1318">
        <v>878166.88250370265</v>
      </c>
      <c r="AC1318">
        <v>0</v>
      </c>
      <c r="AD1318">
        <v>3640.6233200806118</v>
      </c>
      <c r="AE1318">
        <v>2184373.9920483669</v>
      </c>
      <c r="AF1318">
        <v>1092186.9960241839</v>
      </c>
      <c r="AG1318">
        <v>34.994829070830633</v>
      </c>
      <c r="AH1318">
        <v>360.50362271268227</v>
      </c>
      <c r="AI1318">
        <v>180.25181135634119</v>
      </c>
      <c r="AJ1318">
        <v>28540.423681370339</v>
      </c>
      <c r="AK1318">
        <v>854.70085470085473</v>
      </c>
      <c r="AL1318" t="s">
        <v>93</v>
      </c>
      <c r="AM1318">
        <v>27939.030760232879</v>
      </c>
      <c r="AN1318">
        <v>1960.029471756817</v>
      </c>
      <c r="AO1318">
        <v>30642.807930578001</v>
      </c>
      <c r="AP1318">
        <v>59294.184768060877</v>
      </c>
      <c r="AQ1318">
        <v>28651.376837482891</v>
      </c>
      <c r="AR1318">
        <v>2.6131444327083329E-2</v>
      </c>
      <c r="AS1318">
        <v>815.56116829728251</v>
      </c>
      <c r="AT1318">
        <v>798.37597445277993</v>
      </c>
      <c r="AU1318">
        <v>56.009116883801759</v>
      </c>
      <c r="AV1318">
        <v>875.63816552885544</v>
      </c>
      <c r="AW1318">
        <v>1694.369892421752</v>
      </c>
      <c r="AX1318">
        <v>818.73172689289606</v>
      </c>
      <c r="AY1318">
        <v>5.1508127384050324</v>
      </c>
      <c r="AZ1318" t="s">
        <v>103</v>
      </c>
      <c r="BA1318" t="str">
        <f>VLOOKUP($AZ1318,Sheet1!$A$2:$B$58,2)</f>
        <v>2,3-Butanediol</v>
      </c>
      <c r="BB1318" t="s">
        <v>153</v>
      </c>
      <c r="BC1318">
        <v>90.119200000000006</v>
      </c>
      <c r="BD1318">
        <v>5.5</v>
      </c>
      <c r="BE1318">
        <v>177</v>
      </c>
      <c r="BF1318" t="s">
        <v>221</v>
      </c>
      <c r="BG1318">
        <v>0</v>
      </c>
      <c r="BH1318">
        <v>0.25</v>
      </c>
      <c r="BI1318">
        <v>0.71439125904570688</v>
      </c>
      <c r="BJ1318">
        <v>80</v>
      </c>
      <c r="BK1318">
        <v>2964.7092384030439</v>
      </c>
      <c r="BL1318">
        <v>1432.568841874144</v>
      </c>
      <c r="BM1318">
        <v>9.0125905678170586</v>
      </c>
      <c r="BN1318">
        <v>1532.1403965289001</v>
      </c>
      <c r="BO1318">
        <v>1432.568841874144</v>
      </c>
    </row>
    <row r="1319" spans="1:67" x14ac:dyDescent="0.25">
      <c r="A1319" s="1">
        <v>1317</v>
      </c>
      <c r="B1319" t="s">
        <v>78</v>
      </c>
      <c r="C1319" t="s">
        <v>87</v>
      </c>
      <c r="D1319">
        <v>1</v>
      </c>
      <c r="E1319">
        <v>4</v>
      </c>
      <c r="F1319">
        <v>1</v>
      </c>
      <c r="G1319">
        <v>32.041060000000002</v>
      </c>
      <c r="H1319">
        <v>6</v>
      </c>
      <c r="I1319" t="s">
        <v>89</v>
      </c>
      <c r="J1319">
        <v>2.5</v>
      </c>
      <c r="K1319">
        <v>200</v>
      </c>
      <c r="L1319">
        <v>50</v>
      </c>
      <c r="N1319" t="s">
        <v>90</v>
      </c>
      <c r="O1319">
        <v>50</v>
      </c>
      <c r="P1319">
        <v>0.3125</v>
      </c>
      <c r="Q1319">
        <v>3.2500000000000001E-2</v>
      </c>
      <c r="R1319">
        <v>77.5</v>
      </c>
      <c r="S1319">
        <v>170</v>
      </c>
      <c r="T1319">
        <v>50</v>
      </c>
      <c r="U1319">
        <v>1812.1301775147931</v>
      </c>
      <c r="V1319">
        <v>20</v>
      </c>
      <c r="W1319">
        <v>0.95</v>
      </c>
      <c r="X1319">
        <v>1</v>
      </c>
      <c r="Y1319">
        <v>775513.07465155772</v>
      </c>
      <c r="Z1319">
        <v>1551026149.3031161</v>
      </c>
      <c r="AA1319">
        <v>3877565373.2577891</v>
      </c>
      <c r="AB1319">
        <v>3877565.3732577888</v>
      </c>
      <c r="AC1319">
        <v>0</v>
      </c>
      <c r="AD1319">
        <v>16075.253125888479</v>
      </c>
      <c r="AE1319">
        <v>9645151.875533089</v>
      </c>
      <c r="AF1319">
        <v>4822575.9377665455</v>
      </c>
      <c r="AG1319">
        <v>154.52044497653409</v>
      </c>
      <c r="AH1319">
        <v>1591.8117526582921</v>
      </c>
      <c r="AI1319">
        <v>795.90587632914605</v>
      </c>
      <c r="AJ1319">
        <v>126020.8746308782</v>
      </c>
      <c r="AK1319">
        <v>854.70085470085473</v>
      </c>
      <c r="AL1319" t="s">
        <v>93</v>
      </c>
      <c r="AM1319">
        <v>123365.41083101759</v>
      </c>
      <c r="AN1319">
        <v>8654.5536636277593</v>
      </c>
      <c r="AO1319">
        <v>135303.9989759548</v>
      </c>
      <c r="AP1319">
        <v>258895.53998022439</v>
      </c>
      <c r="AQ1319">
        <v>123591.5410042696</v>
      </c>
      <c r="AR1319">
        <v>2.6131444327083329E-2</v>
      </c>
      <c r="AS1319">
        <v>815.56116829728273</v>
      </c>
      <c r="AT1319">
        <v>798.37597445278016</v>
      </c>
      <c r="AU1319">
        <v>56.009116883801759</v>
      </c>
      <c r="AV1319">
        <v>875.63816552885567</v>
      </c>
      <c r="AW1319">
        <v>1675.477572042593</v>
      </c>
      <c r="AX1319">
        <v>799.83940651373689</v>
      </c>
      <c r="AY1319">
        <v>5.1508127384050333</v>
      </c>
      <c r="AZ1319" t="s">
        <v>107</v>
      </c>
      <c r="BA1319" t="str">
        <f>VLOOKUP($AZ1319,Sheet1!$A$2:$B$58,2)</f>
        <v>4-Hydroxystyrene</v>
      </c>
      <c r="BB1319" t="s">
        <v>160</v>
      </c>
      <c r="BC1319">
        <v>120.14731999999999</v>
      </c>
      <c r="BD1319">
        <v>4.75</v>
      </c>
      <c r="BE1319">
        <v>229</v>
      </c>
      <c r="BF1319" t="s">
        <v>221</v>
      </c>
      <c r="BG1319">
        <v>0</v>
      </c>
      <c r="BH1319">
        <v>4.2568807339449302E-2</v>
      </c>
      <c r="BI1319">
        <v>0.16179088795529009</v>
      </c>
      <c r="BJ1319">
        <v>80</v>
      </c>
      <c r="BK1319">
        <v>12944.776999011219</v>
      </c>
      <c r="BL1319">
        <v>6179.5770502134792</v>
      </c>
      <c r="BM1319">
        <v>39.795293816457303</v>
      </c>
      <c r="BN1319">
        <v>6765.1999487977419</v>
      </c>
      <c r="BO1319">
        <v>6179.5770502134792</v>
      </c>
    </row>
    <row r="1320" spans="1:67" x14ac:dyDescent="0.25">
      <c r="A1320" s="1">
        <v>1318</v>
      </c>
      <c r="B1320" t="s">
        <v>78</v>
      </c>
      <c r="C1320" t="s">
        <v>87</v>
      </c>
      <c r="D1320">
        <v>1</v>
      </c>
      <c r="E1320">
        <v>4</v>
      </c>
      <c r="F1320">
        <v>1</v>
      </c>
      <c r="G1320">
        <v>32.041060000000002</v>
      </c>
      <c r="H1320">
        <v>6</v>
      </c>
      <c r="I1320" t="s">
        <v>89</v>
      </c>
      <c r="J1320">
        <v>2.5</v>
      </c>
      <c r="K1320">
        <v>200</v>
      </c>
      <c r="L1320">
        <v>50</v>
      </c>
      <c r="N1320" t="s">
        <v>90</v>
      </c>
      <c r="O1320">
        <v>50</v>
      </c>
      <c r="P1320">
        <v>0.3125</v>
      </c>
      <c r="Q1320">
        <v>3.2500000000000001E-2</v>
      </c>
      <c r="R1320">
        <v>77.5</v>
      </c>
      <c r="S1320">
        <v>170</v>
      </c>
      <c r="T1320">
        <v>50</v>
      </c>
      <c r="U1320">
        <v>1812.1301775147931</v>
      </c>
      <c r="V1320">
        <v>20</v>
      </c>
      <c r="W1320">
        <v>0.95</v>
      </c>
      <c r="X1320">
        <v>1</v>
      </c>
      <c r="Y1320" t="s">
        <v>92</v>
      </c>
      <c r="Z1320" t="s">
        <v>92</v>
      </c>
      <c r="AA1320" t="s">
        <v>92</v>
      </c>
      <c r="AB1320" t="s">
        <v>92</v>
      </c>
      <c r="AC1320">
        <v>0</v>
      </c>
      <c r="AD1320" t="s">
        <v>92</v>
      </c>
      <c r="AE1320" t="s">
        <v>92</v>
      </c>
      <c r="AF1320" t="s">
        <v>92</v>
      </c>
      <c r="AG1320" t="s">
        <v>92</v>
      </c>
      <c r="AH1320" t="s">
        <v>92</v>
      </c>
      <c r="AI1320" t="s">
        <v>92</v>
      </c>
      <c r="AJ1320" t="s">
        <v>92</v>
      </c>
      <c r="AK1320">
        <v>854.70085470085473</v>
      </c>
      <c r="AL1320" t="s">
        <v>93</v>
      </c>
      <c r="AM1320" t="s">
        <v>92</v>
      </c>
      <c r="AN1320" t="s">
        <v>92</v>
      </c>
      <c r="AO1320" t="s">
        <v>92</v>
      </c>
      <c r="AP1320" t="s">
        <v>92</v>
      </c>
      <c r="AZ1320" t="s">
        <v>108</v>
      </c>
      <c r="BA1320" t="str">
        <f>VLOOKUP($AZ1320,Sheet1!$A$2:$B$58,2)</f>
        <v>5-Aminopentanoate</v>
      </c>
      <c r="BB1320" t="s">
        <v>161</v>
      </c>
      <c r="BC1320">
        <v>117.14444</v>
      </c>
      <c r="BD1320">
        <v>4.8</v>
      </c>
      <c r="BE1320">
        <v>247.5</v>
      </c>
      <c r="BF1320" t="s">
        <v>221</v>
      </c>
      <c r="BH1320">
        <v>0</v>
      </c>
      <c r="BI1320">
        <v>0</v>
      </c>
      <c r="BJ1320">
        <v>80</v>
      </c>
    </row>
    <row r="1321" spans="1:67" x14ac:dyDescent="0.25">
      <c r="A1321" s="1">
        <v>1319</v>
      </c>
      <c r="B1321" t="s">
        <v>78</v>
      </c>
      <c r="C1321" t="s">
        <v>87</v>
      </c>
      <c r="D1321">
        <v>1</v>
      </c>
      <c r="E1321">
        <v>4</v>
      </c>
      <c r="F1321">
        <v>1</v>
      </c>
      <c r="G1321">
        <v>32.041060000000002</v>
      </c>
      <c r="H1321">
        <v>6</v>
      </c>
      <c r="I1321" t="s">
        <v>89</v>
      </c>
      <c r="J1321">
        <v>2.5</v>
      </c>
      <c r="K1321">
        <v>200</v>
      </c>
      <c r="L1321">
        <v>50</v>
      </c>
      <c r="N1321" t="s">
        <v>90</v>
      </c>
      <c r="O1321">
        <v>50</v>
      </c>
      <c r="P1321">
        <v>0.3125</v>
      </c>
      <c r="Q1321">
        <v>3.2500000000000001E-2</v>
      </c>
      <c r="R1321">
        <v>77.5</v>
      </c>
      <c r="S1321">
        <v>170</v>
      </c>
      <c r="T1321">
        <v>50</v>
      </c>
      <c r="U1321">
        <v>1812.1301775147931</v>
      </c>
      <c r="V1321">
        <v>20</v>
      </c>
      <c r="W1321">
        <v>0.95</v>
      </c>
      <c r="X1321">
        <v>1</v>
      </c>
      <c r="Y1321">
        <v>203307.4265012425</v>
      </c>
      <c r="Z1321">
        <v>406614853.0024851</v>
      </c>
      <c r="AA1321">
        <v>1016537132.5062129</v>
      </c>
      <c r="AB1321">
        <v>1016537.132506213</v>
      </c>
      <c r="AC1321">
        <v>0</v>
      </c>
      <c r="AD1321">
        <v>4214.26594883506</v>
      </c>
      <c r="AE1321">
        <v>2528559.5693010362</v>
      </c>
      <c r="AF1321">
        <v>1264279.7846505181</v>
      </c>
      <c r="AG1321">
        <v>40.508864436774331</v>
      </c>
      <c r="AH1321">
        <v>417.30714991851971</v>
      </c>
      <c r="AI1321">
        <v>208.65357495925991</v>
      </c>
      <c r="AJ1321">
        <v>33037.456806451912</v>
      </c>
      <c r="AK1321">
        <v>854.70085470085473</v>
      </c>
      <c r="AL1321" t="s">
        <v>93</v>
      </c>
      <c r="AM1321">
        <v>32341.304118685279</v>
      </c>
      <c r="AN1321">
        <v>2268.865723069373</v>
      </c>
      <c r="AO1321">
        <v>35471.107743074179</v>
      </c>
      <c r="AP1321">
        <v>68502.327502907428</v>
      </c>
      <c r="AQ1321">
        <v>33031.21975983325</v>
      </c>
      <c r="AR1321">
        <v>2.6131444327083329E-2</v>
      </c>
      <c r="AS1321">
        <v>815.56116829728251</v>
      </c>
      <c r="AT1321">
        <v>798.37597445278016</v>
      </c>
      <c r="AU1321">
        <v>56.009116883801752</v>
      </c>
      <c r="AV1321">
        <v>875.63816552885567</v>
      </c>
      <c r="AW1321">
        <v>1691.045366374683</v>
      </c>
      <c r="AX1321">
        <v>815.40720084582779</v>
      </c>
      <c r="AY1321">
        <v>5.1508127384050333</v>
      </c>
      <c r="AZ1321" t="s">
        <v>109</v>
      </c>
      <c r="BA1321" t="str">
        <f>VLOOKUP($AZ1321,Sheet1!$A$2:$B$58,2)</f>
        <v>Acetone</v>
      </c>
      <c r="BB1321" t="s">
        <v>162</v>
      </c>
      <c r="BC1321">
        <v>58.078139999999998</v>
      </c>
      <c r="BD1321">
        <v>5.333333333333333</v>
      </c>
      <c r="BE1321">
        <v>56</v>
      </c>
      <c r="BF1321" t="s">
        <v>221</v>
      </c>
      <c r="BG1321">
        <v>0</v>
      </c>
      <c r="BH1321">
        <v>0.33333333333333331</v>
      </c>
      <c r="BI1321">
        <v>0.61714887216894598</v>
      </c>
      <c r="BJ1321">
        <v>80</v>
      </c>
      <c r="BK1321">
        <v>3425.116375145371</v>
      </c>
      <c r="BL1321">
        <v>1651.5609879916631</v>
      </c>
      <c r="BM1321">
        <v>10.43267874796299</v>
      </c>
      <c r="BN1321">
        <v>1773.5553871537079</v>
      </c>
      <c r="BO1321">
        <v>1651.5609879916631</v>
      </c>
    </row>
    <row r="1322" spans="1:67" x14ac:dyDescent="0.25">
      <c r="A1322" s="1">
        <v>1320</v>
      </c>
      <c r="B1322" t="s">
        <v>78</v>
      </c>
      <c r="C1322" t="s">
        <v>87</v>
      </c>
      <c r="D1322">
        <v>1</v>
      </c>
      <c r="E1322">
        <v>4</v>
      </c>
      <c r="F1322">
        <v>1</v>
      </c>
      <c r="G1322">
        <v>32.041060000000002</v>
      </c>
      <c r="H1322">
        <v>6</v>
      </c>
      <c r="I1322" t="s">
        <v>89</v>
      </c>
      <c r="J1322">
        <v>2.5</v>
      </c>
      <c r="K1322">
        <v>200</v>
      </c>
      <c r="L1322">
        <v>50</v>
      </c>
      <c r="N1322" t="s">
        <v>90</v>
      </c>
      <c r="O1322">
        <v>50</v>
      </c>
      <c r="P1322">
        <v>0.3125</v>
      </c>
      <c r="Q1322">
        <v>3.2500000000000001E-2</v>
      </c>
      <c r="R1322">
        <v>77.5</v>
      </c>
      <c r="S1322">
        <v>170</v>
      </c>
      <c r="T1322">
        <v>50</v>
      </c>
      <c r="U1322">
        <v>1812.1301775147931</v>
      </c>
      <c r="V1322">
        <v>20</v>
      </c>
      <c r="W1322">
        <v>0.95</v>
      </c>
      <c r="X1322">
        <v>1</v>
      </c>
      <c r="Y1322">
        <v>550243.64504770166</v>
      </c>
      <c r="Z1322">
        <v>1100487290.095403</v>
      </c>
      <c r="AA1322">
        <v>2751218225.2385082</v>
      </c>
      <c r="AB1322">
        <v>2751218.2252385081</v>
      </c>
      <c r="AC1322">
        <v>0</v>
      </c>
      <c r="AD1322">
        <v>11405.746936023719</v>
      </c>
      <c r="AE1322">
        <v>6843448.161614229</v>
      </c>
      <c r="AF1322">
        <v>3421724.080807114</v>
      </c>
      <c r="AG1322">
        <v>109.63566657658561</v>
      </c>
      <c r="AH1322">
        <v>1129.425575972409</v>
      </c>
      <c r="AI1322">
        <v>564.71278798620426</v>
      </c>
      <c r="AJ1322">
        <v>89414.592320251511</v>
      </c>
      <c r="AK1322">
        <v>854.70085470085473</v>
      </c>
      <c r="AL1322" t="s">
        <v>93</v>
      </c>
      <c r="AM1322">
        <v>87530.482137861662</v>
      </c>
      <c r="AN1322">
        <v>6140.5968639215034</v>
      </c>
      <c r="AO1322">
        <v>96001.173957654726</v>
      </c>
      <c r="AP1322">
        <v>183940.37217673549</v>
      </c>
      <c r="AQ1322">
        <v>87939.19821908079</v>
      </c>
      <c r="AR1322">
        <v>2.613144432708334E-2</v>
      </c>
      <c r="AS1322">
        <v>815.56116829728285</v>
      </c>
      <c r="AT1322">
        <v>798.37597445278038</v>
      </c>
      <c r="AU1322">
        <v>56.009116883801767</v>
      </c>
      <c r="AV1322">
        <v>875.63816552885589</v>
      </c>
      <c r="AW1322">
        <v>1677.742088139215</v>
      </c>
      <c r="AX1322">
        <v>802.10392261035952</v>
      </c>
      <c r="AY1322">
        <v>5.1508127384050351</v>
      </c>
      <c r="AZ1322" t="s">
        <v>110</v>
      </c>
      <c r="BA1322" t="str">
        <f>VLOOKUP($AZ1322,Sheet1!$A$2:$B$58,2)</f>
        <v>Acrylate (PW1)</v>
      </c>
      <c r="BB1322" t="s">
        <v>163</v>
      </c>
      <c r="BC1322">
        <v>71.053619999999995</v>
      </c>
      <c r="BD1322">
        <v>3.666666666666667</v>
      </c>
      <c r="BE1322">
        <v>80</v>
      </c>
      <c r="BF1322" t="s">
        <v>221</v>
      </c>
      <c r="BG1322">
        <v>0</v>
      </c>
      <c r="BH1322">
        <v>0.10086956521738991</v>
      </c>
      <c r="BI1322">
        <v>0.2280279837815036</v>
      </c>
      <c r="BJ1322">
        <v>80</v>
      </c>
      <c r="BK1322">
        <v>9197.0186088367755</v>
      </c>
      <c r="BL1322">
        <v>4396.9599109540404</v>
      </c>
      <c r="BM1322">
        <v>28.235639399310219</v>
      </c>
      <c r="BN1322">
        <v>4800.0586978827369</v>
      </c>
      <c r="BO1322">
        <v>4396.9599109540386</v>
      </c>
    </row>
    <row r="1323" spans="1:67" x14ac:dyDescent="0.25">
      <c r="A1323" s="1">
        <v>1321</v>
      </c>
      <c r="B1323" t="s">
        <v>78</v>
      </c>
      <c r="C1323" t="s">
        <v>87</v>
      </c>
      <c r="D1323">
        <v>1</v>
      </c>
      <c r="E1323">
        <v>4</v>
      </c>
      <c r="F1323">
        <v>1</v>
      </c>
      <c r="G1323">
        <v>32.041060000000002</v>
      </c>
      <c r="H1323">
        <v>6</v>
      </c>
      <c r="I1323" t="s">
        <v>89</v>
      </c>
      <c r="J1323">
        <v>2.5</v>
      </c>
      <c r="K1323">
        <v>200</v>
      </c>
      <c r="L1323">
        <v>50</v>
      </c>
      <c r="N1323" t="s">
        <v>90</v>
      </c>
      <c r="O1323">
        <v>50</v>
      </c>
      <c r="P1323">
        <v>0.3125</v>
      </c>
      <c r="Q1323">
        <v>3.2500000000000001E-2</v>
      </c>
      <c r="R1323">
        <v>77.5</v>
      </c>
      <c r="S1323">
        <v>170</v>
      </c>
      <c r="T1323">
        <v>50</v>
      </c>
      <c r="U1323">
        <v>1812.1301775147931</v>
      </c>
      <c r="V1323">
        <v>20</v>
      </c>
      <c r="W1323">
        <v>0.95</v>
      </c>
      <c r="X1323">
        <v>1</v>
      </c>
      <c r="Y1323">
        <v>233199.88037363309</v>
      </c>
      <c r="Z1323">
        <v>466399760.74726611</v>
      </c>
      <c r="AA1323">
        <v>1165999401.868165</v>
      </c>
      <c r="AB1323">
        <v>1165999.401868165</v>
      </c>
      <c r="AC1323">
        <v>0</v>
      </c>
      <c r="AD1323">
        <v>4833.8928490888393</v>
      </c>
      <c r="AE1323">
        <v>2900335.7094533029</v>
      </c>
      <c r="AF1323">
        <v>1450167.8547266519</v>
      </c>
      <c r="AG1323">
        <v>46.464915243367933</v>
      </c>
      <c r="AH1323">
        <v>478.66415464889963</v>
      </c>
      <c r="AI1323">
        <v>239.33207732444981</v>
      </c>
      <c r="AJ1323">
        <v>37894.980560715368</v>
      </c>
      <c r="AK1323">
        <v>854.70085470085473</v>
      </c>
      <c r="AL1323" t="s">
        <v>93</v>
      </c>
      <c r="AM1323">
        <v>37096.471985289718</v>
      </c>
      <c r="AN1323">
        <v>2602.4588688617368</v>
      </c>
      <c r="AO1323">
        <v>40686.453145156462</v>
      </c>
      <c r="AP1323">
        <v>78448.612269567675</v>
      </c>
      <c r="AQ1323">
        <v>37762.159124411213</v>
      </c>
      <c r="AR1323">
        <v>2.6131444327083329E-2</v>
      </c>
      <c r="AS1323">
        <v>815.56116829728273</v>
      </c>
      <c r="AT1323">
        <v>798.37597445278027</v>
      </c>
      <c r="AU1323">
        <v>56.009116883801759</v>
      </c>
      <c r="AV1323">
        <v>875.63816552885567</v>
      </c>
      <c r="AW1323">
        <v>1688.340802058492</v>
      </c>
      <c r="AX1323">
        <v>812.70263652963638</v>
      </c>
      <c r="AY1323">
        <v>5.1508127384050342</v>
      </c>
      <c r="AZ1323" t="s">
        <v>111</v>
      </c>
      <c r="BA1323" t="str">
        <f>VLOOKUP($AZ1323,Sheet1!$A$2:$B$58,2)</f>
        <v>Acrylate (PW2)</v>
      </c>
      <c r="BB1323" t="s">
        <v>163</v>
      </c>
      <c r="BC1323">
        <v>71.053619999999995</v>
      </c>
      <c r="BD1323">
        <v>3.666666666666667</v>
      </c>
      <c r="BE1323">
        <v>80</v>
      </c>
      <c r="BF1323" t="s">
        <v>221</v>
      </c>
      <c r="BG1323">
        <v>0</v>
      </c>
      <c r="BH1323">
        <v>0.23200000000000071</v>
      </c>
      <c r="BI1323">
        <v>0.53804036592035576</v>
      </c>
      <c r="BJ1323">
        <v>80</v>
      </c>
      <c r="BK1323">
        <v>3922.4306134783828</v>
      </c>
      <c r="BL1323">
        <v>1888.10795622056</v>
      </c>
      <c r="BM1323">
        <v>11.96660386622249</v>
      </c>
      <c r="BN1323">
        <v>2034.322657257823</v>
      </c>
      <c r="BO1323">
        <v>1888.10795622056</v>
      </c>
    </row>
    <row r="1324" spans="1:67" x14ac:dyDescent="0.25">
      <c r="A1324" s="1">
        <v>1322</v>
      </c>
      <c r="B1324" t="s">
        <v>78</v>
      </c>
      <c r="C1324" t="s">
        <v>87</v>
      </c>
      <c r="D1324">
        <v>1</v>
      </c>
      <c r="E1324">
        <v>4</v>
      </c>
      <c r="F1324">
        <v>1</v>
      </c>
      <c r="G1324">
        <v>32.041060000000002</v>
      </c>
      <c r="H1324">
        <v>6</v>
      </c>
      <c r="I1324" t="s">
        <v>89</v>
      </c>
      <c r="J1324">
        <v>2.5</v>
      </c>
      <c r="K1324">
        <v>200</v>
      </c>
      <c r="L1324">
        <v>50</v>
      </c>
      <c r="N1324" t="s">
        <v>90</v>
      </c>
      <c r="O1324">
        <v>50</v>
      </c>
      <c r="P1324">
        <v>0.3125</v>
      </c>
      <c r="Q1324">
        <v>3.2500000000000001E-2</v>
      </c>
      <c r="R1324">
        <v>77.5</v>
      </c>
      <c r="S1324">
        <v>170</v>
      </c>
      <c r="T1324">
        <v>50</v>
      </c>
      <c r="U1324">
        <v>1812.1301775147931</v>
      </c>
      <c r="V1324">
        <v>20</v>
      </c>
      <c r="W1324">
        <v>0.95</v>
      </c>
      <c r="X1324">
        <v>1</v>
      </c>
      <c r="Y1324" t="s">
        <v>92</v>
      </c>
      <c r="Z1324" t="s">
        <v>92</v>
      </c>
      <c r="AA1324" t="s">
        <v>92</v>
      </c>
      <c r="AB1324" t="s">
        <v>92</v>
      </c>
      <c r="AC1324">
        <v>0</v>
      </c>
      <c r="AD1324" t="s">
        <v>92</v>
      </c>
      <c r="AE1324" t="s">
        <v>92</v>
      </c>
      <c r="AF1324" t="s">
        <v>92</v>
      </c>
      <c r="AG1324" t="s">
        <v>92</v>
      </c>
      <c r="AH1324" t="s">
        <v>92</v>
      </c>
      <c r="AI1324" t="s">
        <v>92</v>
      </c>
      <c r="AJ1324" t="s">
        <v>92</v>
      </c>
      <c r="AK1324">
        <v>854.70085470085473</v>
      </c>
      <c r="AL1324" t="s">
        <v>93</v>
      </c>
      <c r="AM1324" t="s">
        <v>92</v>
      </c>
      <c r="AN1324" t="s">
        <v>92</v>
      </c>
      <c r="AO1324" t="s">
        <v>92</v>
      </c>
      <c r="AP1324" t="s">
        <v>92</v>
      </c>
      <c r="AZ1324" t="s">
        <v>112</v>
      </c>
      <c r="BA1324" t="str">
        <f>VLOOKUP($AZ1324,Sheet1!$A$2:$B$58,2)</f>
        <v>Adipate</v>
      </c>
      <c r="BB1324" t="s">
        <v>164</v>
      </c>
      <c r="BC1324">
        <v>144.12291999999999</v>
      </c>
      <c r="BD1324">
        <v>4</v>
      </c>
      <c r="BE1324">
        <v>337.5</v>
      </c>
      <c r="BF1324" t="s">
        <v>221</v>
      </c>
      <c r="BH1324">
        <v>0</v>
      </c>
      <c r="BI1324">
        <v>0</v>
      </c>
      <c r="BJ1324">
        <v>80</v>
      </c>
    </row>
    <row r="1325" spans="1:67" x14ac:dyDescent="0.25">
      <c r="A1325" s="1">
        <v>1323</v>
      </c>
      <c r="B1325" t="s">
        <v>78</v>
      </c>
      <c r="C1325" t="s">
        <v>87</v>
      </c>
      <c r="D1325">
        <v>1</v>
      </c>
      <c r="E1325">
        <v>4</v>
      </c>
      <c r="F1325">
        <v>1</v>
      </c>
      <c r="G1325">
        <v>32.041060000000002</v>
      </c>
      <c r="H1325">
        <v>6</v>
      </c>
      <c r="I1325" t="s">
        <v>89</v>
      </c>
      <c r="J1325">
        <v>2.5</v>
      </c>
      <c r="K1325">
        <v>200</v>
      </c>
      <c r="L1325">
        <v>50</v>
      </c>
      <c r="N1325" t="s">
        <v>90</v>
      </c>
      <c r="O1325">
        <v>50</v>
      </c>
      <c r="P1325">
        <v>0.3125</v>
      </c>
      <c r="Q1325">
        <v>3.2500000000000001E-2</v>
      </c>
      <c r="R1325">
        <v>77.5</v>
      </c>
      <c r="S1325">
        <v>170</v>
      </c>
      <c r="T1325">
        <v>50</v>
      </c>
      <c r="U1325">
        <v>1812.1301775147931</v>
      </c>
      <c r="V1325">
        <v>20</v>
      </c>
      <c r="W1325">
        <v>0.95</v>
      </c>
      <c r="X1325">
        <v>1</v>
      </c>
      <c r="Y1325">
        <v>795862.48531664792</v>
      </c>
      <c r="Z1325">
        <v>1591724970.633296</v>
      </c>
      <c r="AA1325">
        <v>3979312426.58324</v>
      </c>
      <c r="AB1325">
        <v>3979312.4265832389</v>
      </c>
      <c r="AC1325">
        <v>0</v>
      </c>
      <c r="AD1325">
        <v>16497.066681450979</v>
      </c>
      <c r="AE1325">
        <v>9898240.0088705868</v>
      </c>
      <c r="AF1325">
        <v>4949120.0044352934</v>
      </c>
      <c r="AG1325">
        <v>158.57505100931149</v>
      </c>
      <c r="AH1325">
        <v>1633.58078546398</v>
      </c>
      <c r="AI1325">
        <v>816.79039273198975</v>
      </c>
      <c r="AJ1325">
        <v>129327.6538639553</v>
      </c>
      <c r="AK1325">
        <v>854.70085470085473</v>
      </c>
      <c r="AL1325" t="s">
        <v>93</v>
      </c>
      <c r="AM1325">
        <v>126602.51087345841</v>
      </c>
      <c r="AN1325">
        <v>8881.6485668353562</v>
      </c>
      <c r="AO1325">
        <v>138854.36676443831</v>
      </c>
      <c r="AP1325">
        <v>265666.51415895001</v>
      </c>
      <c r="AQ1325">
        <v>126812.1473945117</v>
      </c>
      <c r="AR1325">
        <v>2.6131444327083329E-2</v>
      </c>
      <c r="AS1325">
        <v>815.56116829728273</v>
      </c>
      <c r="AT1325">
        <v>798.37597445278027</v>
      </c>
      <c r="AU1325">
        <v>56.009116883801767</v>
      </c>
      <c r="AV1325">
        <v>875.63816552885567</v>
      </c>
      <c r="AW1325">
        <v>1675.336141896307</v>
      </c>
      <c r="AX1325">
        <v>799.69797636745113</v>
      </c>
      <c r="AY1325">
        <v>5.1508127384050342</v>
      </c>
      <c r="AZ1325" t="s">
        <v>113</v>
      </c>
      <c r="BA1325" t="str">
        <f>VLOOKUP($AZ1325,Sheet1!$A$2:$B$58,2)</f>
        <v>Benzoate (PW1)</v>
      </c>
      <c r="BB1325" t="s">
        <v>165</v>
      </c>
      <c r="BC1325">
        <v>121.1121</v>
      </c>
      <c r="BD1325">
        <v>4.1428571428571432</v>
      </c>
      <c r="BE1325">
        <v>249.2</v>
      </c>
      <c r="BF1325" t="s">
        <v>221</v>
      </c>
      <c r="BG1325">
        <v>0</v>
      </c>
      <c r="BH1325">
        <v>4.10619469026548E-2</v>
      </c>
      <c r="BI1325">
        <v>0.15765405617641581</v>
      </c>
      <c r="BJ1325">
        <v>80</v>
      </c>
      <c r="BK1325">
        <v>13283.325707947501</v>
      </c>
      <c r="BL1325">
        <v>6340.607369725587</v>
      </c>
      <c r="BM1325">
        <v>40.839519636599491</v>
      </c>
      <c r="BN1325">
        <v>6942.7183382219137</v>
      </c>
      <c r="BO1325">
        <v>6340.6073697255852</v>
      </c>
    </row>
    <row r="1326" spans="1:67" x14ac:dyDescent="0.25">
      <c r="A1326" s="1">
        <v>1324</v>
      </c>
      <c r="B1326" t="s">
        <v>78</v>
      </c>
      <c r="C1326" t="s">
        <v>87</v>
      </c>
      <c r="D1326">
        <v>1</v>
      </c>
      <c r="E1326">
        <v>4</v>
      </c>
      <c r="F1326">
        <v>1</v>
      </c>
      <c r="G1326">
        <v>32.041060000000002</v>
      </c>
      <c r="H1326">
        <v>6</v>
      </c>
      <c r="I1326" t="s">
        <v>89</v>
      </c>
      <c r="J1326">
        <v>2.5</v>
      </c>
      <c r="K1326">
        <v>200</v>
      </c>
      <c r="L1326">
        <v>50</v>
      </c>
      <c r="N1326" t="s">
        <v>90</v>
      </c>
      <c r="O1326">
        <v>50</v>
      </c>
      <c r="P1326">
        <v>0.3125</v>
      </c>
      <c r="Q1326">
        <v>3.2500000000000001E-2</v>
      </c>
      <c r="R1326">
        <v>77.5</v>
      </c>
      <c r="S1326">
        <v>170</v>
      </c>
      <c r="T1326">
        <v>50</v>
      </c>
      <c r="U1326">
        <v>1812.1301775147931</v>
      </c>
      <c r="V1326">
        <v>20</v>
      </c>
      <c r="W1326">
        <v>0.95</v>
      </c>
      <c r="X1326">
        <v>1</v>
      </c>
      <c r="Y1326">
        <v>853093.90640001395</v>
      </c>
      <c r="Z1326">
        <v>1706187812.8000281</v>
      </c>
      <c r="AA1326">
        <v>4265469532.0000701</v>
      </c>
      <c r="AB1326">
        <v>4265469.5320000704</v>
      </c>
      <c r="AC1326">
        <v>0</v>
      </c>
      <c r="AD1326">
        <v>17683.390433739471</v>
      </c>
      <c r="AE1326">
        <v>10610034.26024368</v>
      </c>
      <c r="AF1326">
        <v>5305017.1301218402</v>
      </c>
      <c r="AG1326">
        <v>169.97837216726171</v>
      </c>
      <c r="AH1326">
        <v>1751.053529224966</v>
      </c>
      <c r="AI1326">
        <v>875.52676461248325</v>
      </c>
      <c r="AJ1326">
        <v>138627.75979000231</v>
      </c>
      <c r="AK1326">
        <v>854.70085470085473</v>
      </c>
      <c r="AL1326" t="s">
        <v>93</v>
      </c>
      <c r="AM1326">
        <v>135706.6485149349</v>
      </c>
      <c r="AN1326">
        <v>9520.3385144345175</v>
      </c>
      <c r="AO1326">
        <v>148839.54998412219</v>
      </c>
      <c r="AP1326">
        <v>284709.44767407258</v>
      </c>
      <c r="AQ1326">
        <v>135869.89768995039</v>
      </c>
      <c r="AR1326">
        <v>2.6131444327083329E-2</v>
      </c>
      <c r="AS1326">
        <v>815.56116829728262</v>
      </c>
      <c r="AT1326">
        <v>798.37597445278027</v>
      </c>
      <c r="AU1326">
        <v>56.009116883801767</v>
      </c>
      <c r="AV1326">
        <v>875.63816552885589</v>
      </c>
      <c r="AW1326">
        <v>1674.9745514324229</v>
      </c>
      <c r="AX1326">
        <v>799.33638590356702</v>
      </c>
      <c r="AY1326">
        <v>5.1508127384050342</v>
      </c>
      <c r="AZ1326" t="s">
        <v>114</v>
      </c>
      <c r="BA1326" t="str">
        <f>VLOOKUP($AZ1326,Sheet1!$A$2:$B$58,2)</f>
        <v>Benzoate (PW2)</v>
      </c>
      <c r="BB1326" t="s">
        <v>165</v>
      </c>
      <c r="BC1326">
        <v>121.1121</v>
      </c>
      <c r="BD1326">
        <v>4.1428571428571432</v>
      </c>
      <c r="BE1326">
        <v>249.2</v>
      </c>
      <c r="BF1326" t="s">
        <v>221</v>
      </c>
      <c r="BG1326">
        <v>0</v>
      </c>
      <c r="BH1326">
        <v>3.8347107438016503E-2</v>
      </c>
      <c r="BI1326">
        <v>0.1470775351078169</v>
      </c>
      <c r="BJ1326">
        <v>80</v>
      </c>
      <c r="BK1326">
        <v>14235.472383703631</v>
      </c>
      <c r="BL1326">
        <v>6793.4948844975206</v>
      </c>
      <c r="BM1326">
        <v>43.776338230624162</v>
      </c>
      <c r="BN1326">
        <v>7441.9774992061066</v>
      </c>
      <c r="BO1326">
        <v>6793.4948844975224</v>
      </c>
    </row>
    <row r="1327" spans="1:67" x14ac:dyDescent="0.25">
      <c r="A1327" s="1">
        <v>1325</v>
      </c>
      <c r="B1327" t="s">
        <v>78</v>
      </c>
      <c r="C1327" t="s">
        <v>87</v>
      </c>
      <c r="D1327">
        <v>1</v>
      </c>
      <c r="E1327">
        <v>4</v>
      </c>
      <c r="F1327">
        <v>1</v>
      </c>
      <c r="G1327">
        <v>32.041060000000002</v>
      </c>
      <c r="H1327">
        <v>6</v>
      </c>
      <c r="I1327" t="s">
        <v>89</v>
      </c>
      <c r="J1327">
        <v>2.5</v>
      </c>
      <c r="K1327">
        <v>200</v>
      </c>
      <c r="L1327">
        <v>50</v>
      </c>
      <c r="N1327" t="s">
        <v>90</v>
      </c>
      <c r="O1327">
        <v>50</v>
      </c>
      <c r="P1327">
        <v>0.3125</v>
      </c>
      <c r="Q1327">
        <v>3.2500000000000001E-2</v>
      </c>
      <c r="R1327">
        <v>77.5</v>
      </c>
      <c r="S1327">
        <v>170</v>
      </c>
      <c r="T1327">
        <v>50</v>
      </c>
      <c r="U1327">
        <v>1812.1301775147931</v>
      </c>
      <c r="V1327">
        <v>20</v>
      </c>
      <c r="W1327">
        <v>0.95</v>
      </c>
      <c r="X1327">
        <v>1</v>
      </c>
      <c r="Y1327" t="s">
        <v>92</v>
      </c>
      <c r="Z1327" t="s">
        <v>92</v>
      </c>
      <c r="AA1327" t="s">
        <v>92</v>
      </c>
      <c r="AB1327" t="s">
        <v>92</v>
      </c>
      <c r="AC1327">
        <v>0</v>
      </c>
      <c r="AD1327" t="s">
        <v>92</v>
      </c>
      <c r="AE1327" t="s">
        <v>92</v>
      </c>
      <c r="AF1327" t="s">
        <v>92</v>
      </c>
      <c r="AG1327" t="s">
        <v>92</v>
      </c>
      <c r="AH1327" t="s">
        <v>92</v>
      </c>
      <c r="AI1327" t="s">
        <v>92</v>
      </c>
      <c r="AJ1327" t="s">
        <v>92</v>
      </c>
      <c r="AK1327">
        <v>854.70085470085473</v>
      </c>
      <c r="AL1327" t="s">
        <v>93</v>
      </c>
      <c r="AM1327" t="s">
        <v>92</v>
      </c>
      <c r="AN1327" t="s">
        <v>92</v>
      </c>
      <c r="AO1327" t="s">
        <v>92</v>
      </c>
      <c r="AP1327" t="s">
        <v>92</v>
      </c>
      <c r="AZ1327" t="s">
        <v>115</v>
      </c>
      <c r="BA1327" t="str">
        <f>VLOOKUP($AZ1327,Sheet1!$A$2:$B$58,2)</f>
        <v>Benzyl Alcohol</v>
      </c>
      <c r="BB1327" t="s">
        <v>166</v>
      </c>
      <c r="BC1327">
        <v>108.13661999999999</v>
      </c>
      <c r="BD1327">
        <v>4.8571428571428568</v>
      </c>
      <c r="BE1327">
        <v>205</v>
      </c>
      <c r="BF1327" t="s">
        <v>221</v>
      </c>
      <c r="BH1327">
        <v>0</v>
      </c>
      <c r="BI1327">
        <v>0</v>
      </c>
      <c r="BJ1327">
        <v>80</v>
      </c>
    </row>
    <row r="1328" spans="1:67" x14ac:dyDescent="0.25">
      <c r="A1328" s="1">
        <v>1326</v>
      </c>
      <c r="B1328" t="s">
        <v>78</v>
      </c>
      <c r="C1328" t="s">
        <v>87</v>
      </c>
      <c r="D1328">
        <v>1</v>
      </c>
      <c r="E1328">
        <v>4</v>
      </c>
      <c r="F1328">
        <v>1</v>
      </c>
      <c r="G1328">
        <v>32.041060000000002</v>
      </c>
      <c r="H1328">
        <v>6</v>
      </c>
      <c r="I1328" t="s">
        <v>89</v>
      </c>
      <c r="J1328">
        <v>2.5</v>
      </c>
      <c r="K1328">
        <v>200</v>
      </c>
      <c r="L1328">
        <v>50</v>
      </c>
      <c r="N1328" t="s">
        <v>90</v>
      </c>
      <c r="O1328">
        <v>50</v>
      </c>
      <c r="P1328">
        <v>0.3125</v>
      </c>
      <c r="Q1328">
        <v>3.2500000000000001E-2</v>
      </c>
      <c r="R1328">
        <v>77.5</v>
      </c>
      <c r="S1328">
        <v>170</v>
      </c>
      <c r="T1328">
        <v>50</v>
      </c>
      <c r="U1328">
        <v>1812.1301775147931</v>
      </c>
      <c r="V1328">
        <v>20</v>
      </c>
      <c r="W1328">
        <v>0.95</v>
      </c>
      <c r="X1328">
        <v>1</v>
      </c>
      <c r="Y1328" t="s">
        <v>92</v>
      </c>
      <c r="Z1328" t="s">
        <v>92</v>
      </c>
      <c r="AA1328" t="s">
        <v>92</v>
      </c>
      <c r="AB1328" t="s">
        <v>92</v>
      </c>
      <c r="AC1328">
        <v>0</v>
      </c>
      <c r="AD1328" t="s">
        <v>92</v>
      </c>
      <c r="AE1328" t="s">
        <v>92</v>
      </c>
      <c r="AF1328" t="s">
        <v>92</v>
      </c>
      <c r="AG1328" t="s">
        <v>92</v>
      </c>
      <c r="AH1328" t="s">
        <v>92</v>
      </c>
      <c r="AI1328" t="s">
        <v>92</v>
      </c>
      <c r="AJ1328" t="s">
        <v>92</v>
      </c>
      <c r="AK1328">
        <v>854.70085470085473</v>
      </c>
      <c r="AL1328" t="s">
        <v>93</v>
      </c>
      <c r="AM1328" t="s">
        <v>92</v>
      </c>
      <c r="AN1328" t="s">
        <v>92</v>
      </c>
      <c r="AO1328" t="s">
        <v>92</v>
      </c>
      <c r="AP1328" t="s">
        <v>92</v>
      </c>
      <c r="AZ1328" t="s">
        <v>116</v>
      </c>
      <c r="BA1328" t="str">
        <f>VLOOKUP($AZ1328,Sheet1!$A$2:$B$58,2)</f>
        <v>Beta Carotene</v>
      </c>
      <c r="BB1328" t="s">
        <v>167</v>
      </c>
      <c r="BC1328">
        <v>536.86703999999997</v>
      </c>
      <c r="BD1328">
        <v>5.4</v>
      </c>
      <c r="BE1328">
        <v>633</v>
      </c>
      <c r="BF1328" t="s">
        <v>221</v>
      </c>
      <c r="BH1328">
        <v>0</v>
      </c>
      <c r="BI1328">
        <v>0</v>
      </c>
      <c r="BJ1328">
        <v>80</v>
      </c>
    </row>
    <row r="1329" spans="1:67" x14ac:dyDescent="0.25">
      <c r="A1329" s="1">
        <v>1327</v>
      </c>
      <c r="B1329" t="s">
        <v>78</v>
      </c>
      <c r="C1329" t="s">
        <v>87</v>
      </c>
      <c r="D1329">
        <v>1</v>
      </c>
      <c r="E1329">
        <v>4</v>
      </c>
      <c r="F1329">
        <v>1</v>
      </c>
      <c r="G1329">
        <v>32.041060000000002</v>
      </c>
      <c r="H1329">
        <v>6</v>
      </c>
      <c r="I1329" t="s">
        <v>89</v>
      </c>
      <c r="J1329">
        <v>2.5</v>
      </c>
      <c r="K1329">
        <v>200</v>
      </c>
      <c r="L1329">
        <v>50</v>
      </c>
      <c r="N1329" t="s">
        <v>90</v>
      </c>
      <c r="O1329">
        <v>50</v>
      </c>
      <c r="P1329">
        <v>0.3125</v>
      </c>
      <c r="Q1329">
        <v>3.2500000000000001E-2</v>
      </c>
      <c r="R1329">
        <v>77.5</v>
      </c>
      <c r="S1329">
        <v>170</v>
      </c>
      <c r="T1329">
        <v>50</v>
      </c>
      <c r="U1329">
        <v>1812.1301775147931</v>
      </c>
      <c r="V1329">
        <v>20</v>
      </c>
      <c r="W1329">
        <v>0.95</v>
      </c>
      <c r="X1329">
        <v>1</v>
      </c>
      <c r="Y1329">
        <v>506846.4651781267</v>
      </c>
      <c r="Z1329">
        <v>1013692930.356254</v>
      </c>
      <c r="AA1329">
        <v>2534232325.8906341</v>
      </c>
      <c r="AB1329">
        <v>2534232.3258906342</v>
      </c>
      <c r="AC1329">
        <v>66773.504273504266</v>
      </c>
      <c r="AD1329">
        <v>10506.186794285841</v>
      </c>
      <c r="AE1329">
        <v>6303712.0765715074</v>
      </c>
      <c r="AF1329">
        <v>3151856.0382857542</v>
      </c>
      <c r="AG1329">
        <v>100.98880843407611</v>
      </c>
      <c r="AH1329">
        <v>1040.34888183717</v>
      </c>
      <c r="AI1329">
        <v>520.17444091858499</v>
      </c>
      <c r="AJ1329">
        <v>82362.550591445601</v>
      </c>
      <c r="AK1329">
        <v>2170.1388888888891</v>
      </c>
      <c r="AL1329" t="s">
        <v>95</v>
      </c>
      <c r="AM1329">
        <v>80627.038342380678</v>
      </c>
      <c r="AN1329">
        <v>5656.2939755400357</v>
      </c>
      <c r="AO1329">
        <v>88429.654956159444</v>
      </c>
      <c r="AP1329">
        <v>170816.02179825521</v>
      </c>
      <c r="AQ1329">
        <v>82386.36684209574</v>
      </c>
      <c r="AR1329">
        <v>2.6131444327083329E-2</v>
      </c>
      <c r="AS1329">
        <v>815.56116829728273</v>
      </c>
      <c r="AT1329">
        <v>798.37597445278016</v>
      </c>
      <c r="AU1329">
        <v>56.009116883801759</v>
      </c>
      <c r="AV1329">
        <v>875.63816552885555</v>
      </c>
      <c r="AW1329">
        <v>1691.4351644198391</v>
      </c>
      <c r="AX1329">
        <v>815.79699889098356</v>
      </c>
      <c r="AY1329">
        <v>5.1508127384050333</v>
      </c>
      <c r="AZ1329" t="s">
        <v>117</v>
      </c>
      <c r="BA1329" t="str">
        <f>VLOOKUP($AZ1329,Sheet1!$A$2:$B$58,2)</f>
        <v>Butane</v>
      </c>
      <c r="BB1329" t="s">
        <v>168</v>
      </c>
      <c r="BC1329">
        <v>58.121200000000002</v>
      </c>
      <c r="BD1329">
        <v>6.5</v>
      </c>
      <c r="BE1329">
        <v>-1</v>
      </c>
      <c r="BF1329" t="s">
        <v>221</v>
      </c>
      <c r="BG1329">
        <v>0</v>
      </c>
      <c r="BH1329">
        <v>0.13647058823529401</v>
      </c>
      <c r="BI1329">
        <v>0.2475521831344272</v>
      </c>
      <c r="BJ1329">
        <v>80</v>
      </c>
      <c r="BK1329">
        <v>8540.8010899127603</v>
      </c>
      <c r="BL1329">
        <v>4119.318342104787</v>
      </c>
      <c r="BM1329">
        <v>26.00872204592925</v>
      </c>
      <c r="BN1329">
        <v>4421.4827478079724</v>
      </c>
      <c r="BO1329">
        <v>4119.3183421047879</v>
      </c>
    </row>
    <row r="1330" spans="1:67" x14ac:dyDescent="0.25">
      <c r="A1330" s="1">
        <v>1328</v>
      </c>
      <c r="B1330" t="s">
        <v>78</v>
      </c>
      <c r="C1330" t="s">
        <v>87</v>
      </c>
      <c r="D1330">
        <v>1</v>
      </c>
      <c r="E1330">
        <v>4</v>
      </c>
      <c r="F1330">
        <v>1</v>
      </c>
      <c r="G1330">
        <v>32.041060000000002</v>
      </c>
      <c r="H1330">
        <v>6</v>
      </c>
      <c r="I1330" t="s">
        <v>89</v>
      </c>
      <c r="J1330">
        <v>2.5</v>
      </c>
      <c r="K1330">
        <v>200</v>
      </c>
      <c r="L1330">
        <v>50</v>
      </c>
      <c r="N1330" t="s">
        <v>90</v>
      </c>
      <c r="O1330">
        <v>50</v>
      </c>
      <c r="P1330">
        <v>0.3125</v>
      </c>
      <c r="Q1330">
        <v>3.2500000000000001E-2</v>
      </c>
      <c r="R1330">
        <v>77.5</v>
      </c>
      <c r="S1330">
        <v>170</v>
      </c>
      <c r="T1330">
        <v>50</v>
      </c>
      <c r="U1330">
        <v>1812.1301775147931</v>
      </c>
      <c r="V1330">
        <v>20</v>
      </c>
      <c r="W1330">
        <v>0.95</v>
      </c>
      <c r="X1330">
        <v>1</v>
      </c>
      <c r="Y1330">
        <v>216956.89996339279</v>
      </c>
      <c r="Z1330">
        <v>433913799.92678559</v>
      </c>
      <c r="AA1330">
        <v>1084784499.8169639</v>
      </c>
      <c r="AB1330">
        <v>1084784.4998169639</v>
      </c>
      <c r="AC1330">
        <v>0</v>
      </c>
      <c r="AD1330">
        <v>4497.199593812933</v>
      </c>
      <c r="AE1330">
        <v>2698319.7562877601</v>
      </c>
      <c r="AF1330">
        <v>1349159.8781438801</v>
      </c>
      <c r="AG1330">
        <v>43.228512605200748</v>
      </c>
      <c r="AH1330">
        <v>445.32394677834122</v>
      </c>
      <c r="AI1330">
        <v>222.66197338917061</v>
      </c>
      <c r="AJ1330">
        <v>35255.496244051334</v>
      </c>
      <c r="AK1330">
        <v>854.70085470085473</v>
      </c>
      <c r="AL1330" t="s">
        <v>93</v>
      </c>
      <c r="AM1330">
        <v>34512.605875321438</v>
      </c>
      <c r="AN1330">
        <v>2421.1908152175861</v>
      </c>
      <c r="AO1330">
        <v>37852.535476158999</v>
      </c>
      <c r="AP1330">
        <v>73043.993789291213</v>
      </c>
      <c r="AQ1330">
        <v>35191.458313132207</v>
      </c>
      <c r="AR1330">
        <v>2.6131444327083329E-2</v>
      </c>
      <c r="AS1330">
        <v>815.56116829728262</v>
      </c>
      <c r="AT1330">
        <v>798.37597445278027</v>
      </c>
      <c r="AU1330">
        <v>56.009116883801752</v>
      </c>
      <c r="AV1330">
        <v>875.63816552885578</v>
      </c>
      <c r="AW1330">
        <v>1689.7179520468489</v>
      </c>
      <c r="AX1330">
        <v>814.07978651799363</v>
      </c>
      <c r="AY1330">
        <v>5.1508127384050333</v>
      </c>
      <c r="AZ1330" t="s">
        <v>118</v>
      </c>
      <c r="BA1330" t="str">
        <f>VLOOKUP($AZ1330,Sheet1!$A$2:$B$58,2)</f>
        <v>Butanol (PW1)</v>
      </c>
      <c r="BB1330" t="s">
        <v>169</v>
      </c>
      <c r="BC1330">
        <v>74.120199999999997</v>
      </c>
      <c r="BD1330">
        <v>6</v>
      </c>
      <c r="BE1330">
        <v>117.7</v>
      </c>
      <c r="BF1330" t="s">
        <v>221</v>
      </c>
      <c r="BG1330">
        <v>0</v>
      </c>
      <c r="BH1330">
        <v>0.25</v>
      </c>
      <c r="BI1330">
        <v>0.5783220030797982</v>
      </c>
      <c r="BJ1330">
        <v>80</v>
      </c>
      <c r="BK1330">
        <v>3652.1996894645608</v>
      </c>
      <c r="BL1330">
        <v>1759.572915656611</v>
      </c>
      <c r="BM1330">
        <v>11.13309866945853</v>
      </c>
      <c r="BN1330">
        <v>1892.62677380795</v>
      </c>
      <c r="BO1330">
        <v>1759.572915656611</v>
      </c>
    </row>
    <row r="1331" spans="1:67" x14ac:dyDescent="0.25">
      <c r="A1331" s="1">
        <v>1329</v>
      </c>
      <c r="B1331" t="s">
        <v>78</v>
      </c>
      <c r="C1331" t="s">
        <v>87</v>
      </c>
      <c r="D1331">
        <v>1</v>
      </c>
      <c r="E1331">
        <v>4</v>
      </c>
      <c r="F1331">
        <v>1</v>
      </c>
      <c r="G1331">
        <v>32.041060000000002</v>
      </c>
      <c r="H1331">
        <v>6</v>
      </c>
      <c r="I1331" t="s">
        <v>89</v>
      </c>
      <c r="J1331">
        <v>2.5</v>
      </c>
      <c r="K1331">
        <v>200</v>
      </c>
      <c r="L1331">
        <v>50</v>
      </c>
      <c r="N1331" t="s">
        <v>90</v>
      </c>
      <c r="O1331">
        <v>50</v>
      </c>
      <c r="P1331">
        <v>0.3125</v>
      </c>
      <c r="Q1331">
        <v>3.2500000000000001E-2</v>
      </c>
      <c r="R1331">
        <v>77.5</v>
      </c>
      <c r="S1331">
        <v>170</v>
      </c>
      <c r="T1331">
        <v>50</v>
      </c>
      <c r="U1331">
        <v>1812.1301775147931</v>
      </c>
      <c r="V1331">
        <v>20</v>
      </c>
      <c r="W1331">
        <v>0.95</v>
      </c>
      <c r="X1331">
        <v>1</v>
      </c>
      <c r="Y1331">
        <v>216956.89996339279</v>
      </c>
      <c r="Z1331">
        <v>433913799.92678559</v>
      </c>
      <c r="AA1331">
        <v>1084784499.8169639</v>
      </c>
      <c r="AB1331">
        <v>1084784.4998169639</v>
      </c>
      <c r="AC1331">
        <v>0</v>
      </c>
      <c r="AD1331">
        <v>4497.199593812933</v>
      </c>
      <c r="AE1331">
        <v>2698319.7562877601</v>
      </c>
      <c r="AF1331">
        <v>1349159.8781438801</v>
      </c>
      <c r="AG1331">
        <v>43.228512605200748</v>
      </c>
      <c r="AH1331">
        <v>445.32394677834122</v>
      </c>
      <c r="AI1331">
        <v>222.66197338917061</v>
      </c>
      <c r="AJ1331">
        <v>35255.496244051334</v>
      </c>
      <c r="AK1331">
        <v>854.70085470085473</v>
      </c>
      <c r="AL1331" t="s">
        <v>93</v>
      </c>
      <c r="AM1331">
        <v>34512.605875321438</v>
      </c>
      <c r="AN1331">
        <v>2421.1908152175861</v>
      </c>
      <c r="AO1331">
        <v>37852.535476158999</v>
      </c>
      <c r="AP1331">
        <v>73043.993789291213</v>
      </c>
      <c r="AQ1331">
        <v>35191.458313132207</v>
      </c>
      <c r="AR1331">
        <v>2.6131444327083329E-2</v>
      </c>
      <c r="AS1331">
        <v>815.56116829728262</v>
      </c>
      <c r="AT1331">
        <v>798.37597445278027</v>
      </c>
      <c r="AU1331">
        <v>56.009116883801752</v>
      </c>
      <c r="AV1331">
        <v>875.63816552885578</v>
      </c>
      <c r="AW1331">
        <v>1689.7179520468489</v>
      </c>
      <c r="AX1331">
        <v>814.07978651799363</v>
      </c>
      <c r="AY1331">
        <v>5.1508127384050333</v>
      </c>
      <c r="AZ1331" t="s">
        <v>119</v>
      </c>
      <c r="BA1331" t="str">
        <f>VLOOKUP($AZ1331,Sheet1!$A$2:$B$58,2)</f>
        <v>Butanol (PW2)</v>
      </c>
      <c r="BB1331" t="s">
        <v>169</v>
      </c>
      <c r="BC1331">
        <v>74.120199999999997</v>
      </c>
      <c r="BD1331">
        <v>6</v>
      </c>
      <c r="BE1331">
        <v>117.7</v>
      </c>
      <c r="BF1331" t="s">
        <v>221</v>
      </c>
      <c r="BG1331">
        <v>0</v>
      </c>
      <c r="BH1331">
        <v>0.25</v>
      </c>
      <c r="BI1331">
        <v>0.5783220030797982</v>
      </c>
      <c r="BJ1331">
        <v>80</v>
      </c>
      <c r="BK1331">
        <v>3652.1996894645608</v>
      </c>
      <c r="BL1331">
        <v>1759.572915656611</v>
      </c>
      <c r="BM1331">
        <v>11.13309866945853</v>
      </c>
      <c r="BN1331">
        <v>1892.62677380795</v>
      </c>
      <c r="BO1331">
        <v>1759.572915656611</v>
      </c>
    </row>
    <row r="1332" spans="1:67" x14ac:dyDescent="0.25">
      <c r="A1332" s="1">
        <v>1330</v>
      </c>
      <c r="B1332" t="s">
        <v>78</v>
      </c>
      <c r="C1332" t="s">
        <v>87</v>
      </c>
      <c r="D1332">
        <v>1</v>
      </c>
      <c r="E1332">
        <v>4</v>
      </c>
      <c r="F1332">
        <v>1</v>
      </c>
      <c r="G1332">
        <v>32.041060000000002</v>
      </c>
      <c r="H1332">
        <v>6</v>
      </c>
      <c r="I1332" t="s">
        <v>89</v>
      </c>
      <c r="J1332">
        <v>2.5</v>
      </c>
      <c r="K1332">
        <v>200</v>
      </c>
      <c r="L1332">
        <v>50</v>
      </c>
      <c r="N1332" t="s">
        <v>90</v>
      </c>
      <c r="O1332">
        <v>50</v>
      </c>
      <c r="P1332">
        <v>0.3125</v>
      </c>
      <c r="Q1332">
        <v>3.2500000000000001E-2</v>
      </c>
      <c r="R1332">
        <v>77.5</v>
      </c>
      <c r="S1332">
        <v>170</v>
      </c>
      <c r="T1332">
        <v>50</v>
      </c>
      <c r="U1332">
        <v>1812.1301775147931</v>
      </c>
      <c r="V1332">
        <v>20</v>
      </c>
      <c r="W1332">
        <v>0.95</v>
      </c>
      <c r="X1332">
        <v>1</v>
      </c>
      <c r="Y1332">
        <v>178826.20527705181</v>
      </c>
      <c r="Z1332">
        <v>357652410.55410361</v>
      </c>
      <c r="AA1332">
        <v>894131026.38525891</v>
      </c>
      <c r="AB1332">
        <v>894131.02638525888</v>
      </c>
      <c r="AC1332">
        <v>0</v>
      </c>
      <c r="AD1332">
        <v>3706.8059963557789</v>
      </c>
      <c r="AE1332">
        <v>2224083.597813467</v>
      </c>
      <c r="AF1332">
        <v>1112041.798906734</v>
      </c>
      <c r="AG1332">
        <v>35.630998001278591</v>
      </c>
      <c r="AH1332">
        <v>367.0571967741401</v>
      </c>
      <c r="AI1332">
        <v>183.52859838706999</v>
      </c>
      <c r="AJ1332">
        <v>29059.25835752091</v>
      </c>
      <c r="AK1332">
        <v>854.70085470085473</v>
      </c>
      <c r="AL1332" t="s">
        <v>93</v>
      </c>
      <c r="AM1332">
        <v>28446.93274999586</v>
      </c>
      <c r="AN1332">
        <v>1995.6607317401199</v>
      </c>
      <c r="AO1332">
        <v>31199.861725801911</v>
      </c>
      <c r="AP1332">
        <v>60356.552693957747</v>
      </c>
      <c r="AQ1332">
        <v>29156.690968155839</v>
      </c>
      <c r="AR1332">
        <v>2.6131444327083329E-2</v>
      </c>
      <c r="AS1332">
        <v>815.56116829728273</v>
      </c>
      <c r="AT1332">
        <v>798.37597445278004</v>
      </c>
      <c r="AU1332">
        <v>56.009116883801767</v>
      </c>
      <c r="AV1332">
        <v>875.63816552885555</v>
      </c>
      <c r="AW1332">
        <v>1693.9338239078199</v>
      </c>
      <c r="AX1332">
        <v>818.29565837896484</v>
      </c>
      <c r="AY1332">
        <v>5.1508127384050333</v>
      </c>
      <c r="AZ1332" t="s">
        <v>120</v>
      </c>
      <c r="BA1332" t="str">
        <f>VLOOKUP($AZ1332,Sheet1!$A$2:$B$58,2)</f>
        <v>Butyrate</v>
      </c>
      <c r="BB1332" t="s">
        <v>170</v>
      </c>
      <c r="BC1332">
        <v>87.095680000000002</v>
      </c>
      <c r="BD1332">
        <v>4.75</v>
      </c>
      <c r="BE1332">
        <v>163.5</v>
      </c>
      <c r="BF1332" t="s">
        <v>221</v>
      </c>
      <c r="BG1332">
        <v>0</v>
      </c>
      <c r="BH1332">
        <v>0.25</v>
      </c>
      <c r="BI1332">
        <v>0.70163625501320204</v>
      </c>
      <c r="BJ1332">
        <v>80</v>
      </c>
      <c r="BK1332">
        <v>3017.8276346978878</v>
      </c>
      <c r="BL1332">
        <v>1457.834548407792</v>
      </c>
      <c r="BM1332">
        <v>9.1764299193535024</v>
      </c>
      <c r="BN1332">
        <v>1559.9930862900951</v>
      </c>
      <c r="BO1332">
        <v>1457.834548407792</v>
      </c>
    </row>
    <row r="1333" spans="1:67" x14ac:dyDescent="0.25">
      <c r="A1333" s="1">
        <v>1331</v>
      </c>
      <c r="B1333" t="s">
        <v>78</v>
      </c>
      <c r="C1333" t="s">
        <v>87</v>
      </c>
      <c r="D1333">
        <v>1</v>
      </c>
      <c r="E1333">
        <v>4</v>
      </c>
      <c r="F1333">
        <v>1</v>
      </c>
      <c r="G1333">
        <v>32.041060000000002</v>
      </c>
      <c r="H1333">
        <v>6</v>
      </c>
      <c r="I1333" t="s">
        <v>89</v>
      </c>
      <c r="J1333">
        <v>2.5</v>
      </c>
      <c r="K1333">
        <v>200</v>
      </c>
      <c r="L1333">
        <v>50</v>
      </c>
      <c r="N1333" t="s">
        <v>90</v>
      </c>
      <c r="O1333">
        <v>50</v>
      </c>
      <c r="P1333">
        <v>0.3125</v>
      </c>
      <c r="Q1333">
        <v>3.2500000000000001E-2</v>
      </c>
      <c r="R1333">
        <v>77.5</v>
      </c>
      <c r="S1333">
        <v>170</v>
      </c>
      <c r="T1333">
        <v>50</v>
      </c>
      <c r="U1333">
        <v>1812.1301775147931</v>
      </c>
      <c r="V1333">
        <v>20</v>
      </c>
      <c r="W1333">
        <v>0.95</v>
      </c>
      <c r="X1333">
        <v>1</v>
      </c>
      <c r="Y1333">
        <v>562935.84783697978</v>
      </c>
      <c r="Z1333">
        <v>1125871695.673959</v>
      </c>
      <c r="AA1333">
        <v>2814679239.1848989</v>
      </c>
      <c r="AB1333">
        <v>2814679.2391848988</v>
      </c>
      <c r="AC1333">
        <v>0</v>
      </c>
      <c r="AD1333">
        <v>11668.837758385969</v>
      </c>
      <c r="AE1333">
        <v>7001302.6550315795</v>
      </c>
      <c r="AF1333">
        <v>3500651.3275157898</v>
      </c>
      <c r="AG1333">
        <v>112.1645792240131</v>
      </c>
      <c r="AH1333">
        <v>1155.4774869297739</v>
      </c>
      <c r="AI1333">
        <v>577.73874346488719</v>
      </c>
      <c r="AJ1333">
        <v>91477.07527350921</v>
      </c>
      <c r="AK1333">
        <v>854.70085470085473</v>
      </c>
      <c r="AL1333" t="s">
        <v>93</v>
      </c>
      <c r="AM1333">
        <v>89549.505237057514</v>
      </c>
      <c r="AN1333">
        <v>6282.2390279801921</v>
      </c>
      <c r="AO1333">
        <v>98215.586389030825</v>
      </c>
      <c r="AP1333">
        <v>188163.52039324769</v>
      </c>
      <c r="AQ1333">
        <v>89947.934004216921</v>
      </c>
      <c r="AR1333">
        <v>2.6131444327083329E-2</v>
      </c>
      <c r="AS1333">
        <v>815.56116829728262</v>
      </c>
      <c r="AT1333">
        <v>798.37597445278027</v>
      </c>
      <c r="AU1333">
        <v>56.009116883801767</v>
      </c>
      <c r="AV1333">
        <v>875.63816552885578</v>
      </c>
      <c r="AW1333">
        <v>1677.566319911484</v>
      </c>
      <c r="AX1333">
        <v>801.92815438262869</v>
      </c>
      <c r="AY1333">
        <v>5.1508127384050342</v>
      </c>
      <c r="AZ1333" t="s">
        <v>121</v>
      </c>
      <c r="BA1333" t="str">
        <f>VLOOKUP($AZ1333,Sheet1!$A$2:$B$58,2)</f>
        <v>Catechol</v>
      </c>
      <c r="BB1333" t="s">
        <v>171</v>
      </c>
      <c r="BC1333">
        <v>110.10924</v>
      </c>
      <c r="BD1333">
        <v>4.333333333333333</v>
      </c>
      <c r="BE1333">
        <v>245</v>
      </c>
      <c r="BF1333" t="s">
        <v>221</v>
      </c>
      <c r="BG1333">
        <v>0</v>
      </c>
      <c r="BH1333">
        <v>6.3561643835616397E-2</v>
      </c>
      <c r="BI1333">
        <v>0.22288676312038269</v>
      </c>
      <c r="BJ1333">
        <v>80</v>
      </c>
      <c r="BK1333">
        <v>9408.1760196623873</v>
      </c>
      <c r="BL1333">
        <v>4497.3967002108466</v>
      </c>
      <c r="BM1333">
        <v>28.886937173244359</v>
      </c>
      <c r="BN1333">
        <v>4910.7793194515407</v>
      </c>
      <c r="BO1333">
        <v>4497.3967002108466</v>
      </c>
    </row>
    <row r="1334" spans="1:67" x14ac:dyDescent="0.25">
      <c r="A1334" s="1">
        <v>1332</v>
      </c>
      <c r="B1334" t="s">
        <v>78</v>
      </c>
      <c r="C1334" t="s">
        <v>87</v>
      </c>
      <c r="D1334">
        <v>1</v>
      </c>
      <c r="E1334">
        <v>4</v>
      </c>
      <c r="F1334">
        <v>1</v>
      </c>
      <c r="G1334">
        <v>32.041060000000002</v>
      </c>
      <c r="H1334">
        <v>6</v>
      </c>
      <c r="I1334" t="s">
        <v>89</v>
      </c>
      <c r="J1334">
        <v>2.5</v>
      </c>
      <c r="K1334">
        <v>200</v>
      </c>
      <c r="L1334">
        <v>50</v>
      </c>
      <c r="N1334" t="s">
        <v>90</v>
      </c>
      <c r="O1334">
        <v>50</v>
      </c>
      <c r="P1334">
        <v>0.3125</v>
      </c>
      <c r="Q1334">
        <v>3.2500000000000001E-2</v>
      </c>
      <c r="R1334">
        <v>77.5</v>
      </c>
      <c r="S1334">
        <v>170</v>
      </c>
      <c r="T1334">
        <v>50</v>
      </c>
      <c r="U1334">
        <v>1812.1301775147931</v>
      </c>
      <c r="V1334">
        <v>20</v>
      </c>
      <c r="W1334">
        <v>0.95</v>
      </c>
      <c r="X1334">
        <v>1</v>
      </c>
      <c r="Y1334" t="s">
        <v>92</v>
      </c>
      <c r="Z1334" t="s">
        <v>92</v>
      </c>
      <c r="AA1334" t="s">
        <v>92</v>
      </c>
      <c r="AB1334" t="s">
        <v>92</v>
      </c>
      <c r="AC1334">
        <v>0</v>
      </c>
      <c r="AD1334" t="s">
        <v>92</v>
      </c>
      <c r="AE1334" t="s">
        <v>92</v>
      </c>
      <c r="AF1334" t="s">
        <v>92</v>
      </c>
      <c r="AG1334" t="s">
        <v>92</v>
      </c>
      <c r="AH1334" t="s">
        <v>92</v>
      </c>
      <c r="AI1334" t="s">
        <v>92</v>
      </c>
      <c r="AJ1334" t="s">
        <v>92</v>
      </c>
      <c r="AK1334">
        <v>854.70085470085473</v>
      </c>
      <c r="AL1334" t="s">
        <v>93</v>
      </c>
      <c r="AM1334" t="s">
        <v>92</v>
      </c>
      <c r="AN1334" t="s">
        <v>92</v>
      </c>
      <c r="AO1334" t="s">
        <v>92</v>
      </c>
      <c r="AP1334" t="s">
        <v>92</v>
      </c>
      <c r="AZ1334" t="s">
        <v>122</v>
      </c>
      <c r="BA1334" t="str">
        <f>VLOOKUP($AZ1334,Sheet1!$A$2:$B$58,2)</f>
        <v>cis,cis-Muconate</v>
      </c>
      <c r="BB1334" t="s">
        <v>172</v>
      </c>
      <c r="BC1334">
        <v>140.09155999999999</v>
      </c>
      <c r="BD1334">
        <v>3.333333333333333</v>
      </c>
      <c r="BE1334">
        <v>345.4</v>
      </c>
      <c r="BF1334" t="s">
        <v>221</v>
      </c>
      <c r="BH1334">
        <v>0</v>
      </c>
      <c r="BI1334">
        <v>0</v>
      </c>
      <c r="BJ1334">
        <v>80</v>
      </c>
    </row>
    <row r="1335" spans="1:67" x14ac:dyDescent="0.25">
      <c r="A1335" s="1">
        <v>1333</v>
      </c>
      <c r="B1335" t="s">
        <v>78</v>
      </c>
      <c r="C1335" t="s">
        <v>87</v>
      </c>
      <c r="D1335">
        <v>1</v>
      </c>
      <c r="E1335">
        <v>4</v>
      </c>
      <c r="F1335">
        <v>1</v>
      </c>
      <c r="G1335">
        <v>32.041060000000002</v>
      </c>
      <c r="H1335">
        <v>6</v>
      </c>
      <c r="I1335" t="s">
        <v>89</v>
      </c>
      <c r="J1335">
        <v>2.5</v>
      </c>
      <c r="K1335">
        <v>200</v>
      </c>
      <c r="L1335">
        <v>50</v>
      </c>
      <c r="N1335" t="s">
        <v>90</v>
      </c>
      <c r="O1335">
        <v>50</v>
      </c>
      <c r="P1335">
        <v>0.3125</v>
      </c>
      <c r="Q1335">
        <v>3.2500000000000001E-2</v>
      </c>
      <c r="R1335">
        <v>77.5</v>
      </c>
      <c r="S1335">
        <v>170</v>
      </c>
      <c r="T1335">
        <v>50</v>
      </c>
      <c r="U1335">
        <v>1812.1301775147931</v>
      </c>
      <c r="V1335">
        <v>20</v>
      </c>
      <c r="W1335">
        <v>0.95</v>
      </c>
      <c r="X1335">
        <v>1</v>
      </c>
      <c r="Y1335">
        <v>598324.37260424835</v>
      </c>
      <c r="Z1335">
        <v>1196648745.208497</v>
      </c>
      <c r="AA1335">
        <v>2991621863.0212412</v>
      </c>
      <c r="AB1335">
        <v>2991621.863021241</v>
      </c>
      <c r="AC1335">
        <v>0</v>
      </c>
      <c r="AD1335">
        <v>12402.39017933156</v>
      </c>
      <c r="AE1335">
        <v>7441434.107598938</v>
      </c>
      <c r="AF1335">
        <v>3720717.053799469</v>
      </c>
      <c r="AG1335">
        <v>119.215718363812</v>
      </c>
      <c r="AH1335">
        <v>1228.11568153286</v>
      </c>
      <c r="AI1335">
        <v>614.05784076642999</v>
      </c>
      <c r="AJ1335">
        <v>97227.710548190342</v>
      </c>
      <c r="AK1335">
        <v>854.70085470085473</v>
      </c>
      <c r="AL1335" t="s">
        <v>93</v>
      </c>
      <c r="AM1335">
        <v>95178.965318796647</v>
      </c>
      <c r="AN1335">
        <v>6677.167104225141</v>
      </c>
      <c r="AO1335">
        <v>104389.83293029309</v>
      </c>
      <c r="AP1335">
        <v>199938.54382591299</v>
      </c>
      <c r="AQ1335">
        <v>95548.710895619864</v>
      </c>
      <c r="AR1335">
        <v>2.6131444327083329E-2</v>
      </c>
      <c r="AS1335">
        <v>815.56116829728273</v>
      </c>
      <c r="AT1335">
        <v>798.37597445278038</v>
      </c>
      <c r="AU1335">
        <v>56.009116883801767</v>
      </c>
      <c r="AV1335">
        <v>875.63816552885589</v>
      </c>
      <c r="AW1335">
        <v>1677.1156234260829</v>
      </c>
      <c r="AX1335">
        <v>801.47745789722751</v>
      </c>
      <c r="AY1335">
        <v>5.1508127384050351</v>
      </c>
      <c r="AZ1335" t="s">
        <v>124</v>
      </c>
      <c r="BA1335" t="str">
        <f>VLOOKUP($AZ1335,Sheet1!$A$2:$B$58,2)</f>
        <v>Coumaric Acid</v>
      </c>
      <c r="BB1335" t="s">
        <v>174</v>
      </c>
      <c r="BC1335">
        <v>163.14818</v>
      </c>
      <c r="BD1335">
        <v>4.1111111111111107</v>
      </c>
      <c r="BE1335">
        <v>346</v>
      </c>
      <c r="BF1335" t="s">
        <v>221</v>
      </c>
      <c r="BG1335">
        <v>0</v>
      </c>
      <c r="BH1335">
        <v>4.0347826086956001E-2</v>
      </c>
      <c r="BI1335">
        <v>0.20970389092239669</v>
      </c>
      <c r="BJ1335">
        <v>80</v>
      </c>
      <c r="BK1335">
        <v>9996.9271912956483</v>
      </c>
      <c r="BL1335">
        <v>4777.435544780994</v>
      </c>
      <c r="BM1335">
        <v>30.702892038321501</v>
      </c>
      <c r="BN1335">
        <v>5219.4916465146562</v>
      </c>
      <c r="BO1335">
        <v>4777.4355447809921</v>
      </c>
    </row>
    <row r="1336" spans="1:67" x14ac:dyDescent="0.25">
      <c r="A1336" s="1">
        <v>1334</v>
      </c>
      <c r="B1336" t="s">
        <v>78</v>
      </c>
      <c r="C1336" t="s">
        <v>87</v>
      </c>
      <c r="D1336">
        <v>1</v>
      </c>
      <c r="E1336">
        <v>4</v>
      </c>
      <c r="F1336">
        <v>1</v>
      </c>
      <c r="G1336">
        <v>32.041060000000002</v>
      </c>
      <c r="H1336">
        <v>6</v>
      </c>
      <c r="I1336" t="s">
        <v>89</v>
      </c>
      <c r="J1336">
        <v>2.5</v>
      </c>
      <c r="K1336">
        <v>200</v>
      </c>
      <c r="L1336">
        <v>50</v>
      </c>
      <c r="N1336" t="s">
        <v>90</v>
      </c>
      <c r="O1336">
        <v>50</v>
      </c>
      <c r="P1336">
        <v>0.3125</v>
      </c>
      <c r="Q1336">
        <v>3.2500000000000001E-2</v>
      </c>
      <c r="R1336">
        <v>77.5</v>
      </c>
      <c r="S1336">
        <v>170</v>
      </c>
      <c r="T1336">
        <v>50</v>
      </c>
      <c r="U1336">
        <v>1812.1301775147931</v>
      </c>
      <c r="V1336">
        <v>20</v>
      </c>
      <c r="W1336">
        <v>0.95</v>
      </c>
      <c r="X1336">
        <v>1</v>
      </c>
      <c r="Y1336">
        <v>176780.56393688259</v>
      </c>
      <c r="Z1336">
        <v>353561127.87376517</v>
      </c>
      <c r="AA1336">
        <v>883902819.68441308</v>
      </c>
      <c r="AB1336">
        <v>883902.81968441303</v>
      </c>
      <c r="AC1336">
        <v>0</v>
      </c>
      <c r="AD1336">
        <v>3664.402839758096</v>
      </c>
      <c r="AE1336">
        <v>2198641.703854857</v>
      </c>
      <c r="AF1336">
        <v>1099320.851927429</v>
      </c>
      <c r="AG1336">
        <v>35.223405375857858</v>
      </c>
      <c r="AH1336">
        <v>362.85833019994612</v>
      </c>
      <c r="AI1336">
        <v>181.42916509997309</v>
      </c>
      <c r="AJ1336">
        <v>28726.841639743419</v>
      </c>
      <c r="AK1336">
        <v>854.70085470085473</v>
      </c>
      <c r="AL1336" t="s">
        <v>93</v>
      </c>
      <c r="AM1336">
        <v>28121.52059049582</v>
      </c>
      <c r="AN1336">
        <v>1972.831828741955</v>
      </c>
      <c r="AO1336">
        <v>30842.958066995419</v>
      </c>
      <c r="AP1336">
        <v>59675.894913682052</v>
      </c>
      <c r="AQ1336">
        <v>28832.936846686629</v>
      </c>
      <c r="AR1336">
        <v>2.6131444327083329E-2</v>
      </c>
      <c r="AS1336">
        <v>815.56116829728273</v>
      </c>
      <c r="AT1336">
        <v>798.37597445278038</v>
      </c>
      <c r="AU1336">
        <v>56.009116883801767</v>
      </c>
      <c r="AV1336">
        <v>875.63816552885589</v>
      </c>
      <c r="AW1336">
        <v>1694.211399406144</v>
      </c>
      <c r="AX1336">
        <v>818.57323387728832</v>
      </c>
      <c r="AY1336">
        <v>5.1508127384050351</v>
      </c>
      <c r="AZ1336" t="s">
        <v>125</v>
      </c>
      <c r="BA1336" t="str">
        <f>VLOOKUP($AZ1336,Sheet1!$A$2:$B$58,2)</f>
        <v>Ethyl Acetate</v>
      </c>
      <c r="BB1336" t="s">
        <v>175</v>
      </c>
      <c r="BC1336">
        <v>88.103520000000003</v>
      </c>
      <c r="BD1336">
        <v>5</v>
      </c>
      <c r="BE1336">
        <v>77.099999999999994</v>
      </c>
      <c r="BF1336" t="s">
        <v>221</v>
      </c>
      <c r="BG1336">
        <v>0</v>
      </c>
      <c r="BH1336">
        <v>0.25</v>
      </c>
      <c r="BI1336">
        <v>0.70975533833917759</v>
      </c>
      <c r="BJ1336">
        <v>80</v>
      </c>
      <c r="BK1336">
        <v>2983.7947456841021</v>
      </c>
      <c r="BL1336">
        <v>1441.646842334331</v>
      </c>
      <c r="BM1336">
        <v>9.0714582549986513</v>
      </c>
      <c r="BN1336">
        <v>1542.147903349771</v>
      </c>
      <c r="BO1336">
        <v>1441.646842334331</v>
      </c>
    </row>
    <row r="1337" spans="1:67" x14ac:dyDescent="0.25">
      <c r="A1337" s="1">
        <v>1335</v>
      </c>
      <c r="B1337" t="s">
        <v>78</v>
      </c>
      <c r="C1337" t="s">
        <v>87</v>
      </c>
      <c r="D1337">
        <v>1</v>
      </c>
      <c r="E1337">
        <v>4</v>
      </c>
      <c r="F1337">
        <v>1</v>
      </c>
      <c r="G1337">
        <v>32.041060000000002</v>
      </c>
      <c r="H1337">
        <v>6</v>
      </c>
      <c r="I1337" t="s">
        <v>89</v>
      </c>
      <c r="J1337">
        <v>2.5</v>
      </c>
      <c r="K1337">
        <v>200</v>
      </c>
      <c r="L1337">
        <v>50</v>
      </c>
      <c r="N1337" t="s">
        <v>90</v>
      </c>
      <c r="O1337">
        <v>50</v>
      </c>
      <c r="P1337">
        <v>0.3125</v>
      </c>
      <c r="Q1337">
        <v>3.2500000000000001E-2</v>
      </c>
      <c r="R1337">
        <v>77.5</v>
      </c>
      <c r="S1337">
        <v>170</v>
      </c>
      <c r="T1337">
        <v>50</v>
      </c>
      <c r="U1337">
        <v>1812.1301775147931</v>
      </c>
      <c r="V1337">
        <v>20</v>
      </c>
      <c r="W1337">
        <v>0.95</v>
      </c>
      <c r="X1337">
        <v>1</v>
      </c>
      <c r="Y1337">
        <v>598358.77555215417</v>
      </c>
      <c r="Z1337">
        <v>1196717551.1043079</v>
      </c>
      <c r="AA1337">
        <v>2991793877.7607708</v>
      </c>
      <c r="AB1337">
        <v>2991793.8777607712</v>
      </c>
      <c r="AC1337">
        <v>0</v>
      </c>
      <c r="AD1337">
        <v>12403.103302183959</v>
      </c>
      <c r="AE1337">
        <v>7441861.981310375</v>
      </c>
      <c r="AF1337">
        <v>3720930.990655188</v>
      </c>
      <c r="AG1337">
        <v>119.2225731274423</v>
      </c>
      <c r="AH1337">
        <v>1228.1862967405109</v>
      </c>
      <c r="AI1337">
        <v>614.09314837025545</v>
      </c>
      <c r="AJ1337">
        <v>97233.301027225054</v>
      </c>
      <c r="AK1337">
        <v>1835.336538461539</v>
      </c>
      <c r="AL1337" t="s">
        <v>94</v>
      </c>
      <c r="AM1337">
        <v>95184.437997389599</v>
      </c>
      <c r="AN1337">
        <v>6677.5510334825194</v>
      </c>
      <c r="AO1337">
        <v>104395.83522294339</v>
      </c>
      <c r="AP1337">
        <v>200930.62659655869</v>
      </c>
      <c r="AQ1337">
        <v>96534.79137361527</v>
      </c>
      <c r="AR1337">
        <v>2.6131444327083329E-2</v>
      </c>
      <c r="AS1337">
        <v>815.56116829728262</v>
      </c>
      <c r="AT1337">
        <v>798.37597445278016</v>
      </c>
      <c r="AU1337">
        <v>56.009116883801759</v>
      </c>
      <c r="AV1337">
        <v>875.63816552885567</v>
      </c>
      <c r="AW1337">
        <v>1685.340463015968</v>
      </c>
      <c r="AX1337">
        <v>809.70229748711188</v>
      </c>
      <c r="AY1337">
        <v>5.1508127384050333</v>
      </c>
      <c r="AZ1337" t="s">
        <v>126</v>
      </c>
      <c r="BA1337" t="str">
        <f>VLOOKUP($AZ1337,Sheet1!$A$2:$B$58,2)</f>
        <v>Farnesene</v>
      </c>
      <c r="BB1337" t="s">
        <v>176</v>
      </c>
      <c r="BC1337">
        <v>204.34866</v>
      </c>
      <c r="BD1337">
        <v>5.6</v>
      </c>
      <c r="BE1337" t="s">
        <v>198</v>
      </c>
      <c r="BF1337" t="s">
        <v>221</v>
      </c>
      <c r="BG1337">
        <v>0</v>
      </c>
      <c r="BH1337">
        <v>3.2676056338028101E-2</v>
      </c>
      <c r="BI1337">
        <v>0.2096918338885069</v>
      </c>
      <c r="BJ1337">
        <v>80</v>
      </c>
      <c r="BK1337">
        <v>10046.531329827931</v>
      </c>
      <c r="BL1337">
        <v>4826.7395686807622</v>
      </c>
      <c r="BM1337">
        <v>30.70465741851277</v>
      </c>
      <c r="BN1337">
        <v>5219.7917611471712</v>
      </c>
      <c r="BO1337">
        <v>4826.7395686807631</v>
      </c>
    </row>
    <row r="1338" spans="1:67" x14ac:dyDescent="0.25">
      <c r="A1338" s="1">
        <v>1336</v>
      </c>
      <c r="B1338" t="s">
        <v>78</v>
      </c>
      <c r="C1338" t="s">
        <v>87</v>
      </c>
      <c r="D1338">
        <v>1</v>
      </c>
      <c r="E1338">
        <v>4</v>
      </c>
      <c r="F1338">
        <v>1</v>
      </c>
      <c r="G1338">
        <v>32.041060000000002</v>
      </c>
      <c r="H1338">
        <v>6</v>
      </c>
      <c r="I1338" t="s">
        <v>89</v>
      </c>
      <c r="J1338">
        <v>2.5</v>
      </c>
      <c r="K1338">
        <v>200</v>
      </c>
      <c r="L1338">
        <v>50</v>
      </c>
      <c r="N1338" t="s">
        <v>90</v>
      </c>
      <c r="O1338">
        <v>50</v>
      </c>
      <c r="P1338">
        <v>0.3125</v>
      </c>
      <c r="Q1338">
        <v>3.2500000000000001E-2</v>
      </c>
      <c r="R1338">
        <v>77.5</v>
      </c>
      <c r="S1338">
        <v>170</v>
      </c>
      <c r="T1338">
        <v>50</v>
      </c>
      <c r="U1338">
        <v>1812.1301775147931</v>
      </c>
      <c r="V1338">
        <v>20</v>
      </c>
      <c r="W1338">
        <v>0.95</v>
      </c>
      <c r="X1338">
        <v>1</v>
      </c>
      <c r="Y1338">
        <v>444085.66486811673</v>
      </c>
      <c r="Z1338">
        <v>888171329.73623323</v>
      </c>
      <c r="AA1338">
        <v>2220428324.3405828</v>
      </c>
      <c r="AB1338">
        <v>2220428.3243405828</v>
      </c>
      <c r="AC1338">
        <v>0</v>
      </c>
      <c r="AD1338">
        <v>9205.2470882466459</v>
      </c>
      <c r="AE1338">
        <v>5523148.2529479871</v>
      </c>
      <c r="AF1338">
        <v>2761574.126473994</v>
      </c>
      <c r="AG1338">
        <v>88.483762280800818</v>
      </c>
      <c r="AH1338">
        <v>911.52657979590333</v>
      </c>
      <c r="AI1338">
        <v>455.76328989795172</v>
      </c>
      <c r="AJ1338">
        <v>72163.920541068946</v>
      </c>
      <c r="AK1338">
        <v>1835.336538461539</v>
      </c>
      <c r="AL1338" t="s">
        <v>94</v>
      </c>
      <c r="AM1338">
        <v>70643.309934182515</v>
      </c>
      <c r="AN1338">
        <v>4955.8973839039036</v>
      </c>
      <c r="AO1338">
        <v>77479.759282651779</v>
      </c>
      <c r="AP1338">
        <v>149598.46439761689</v>
      </c>
      <c r="AQ1338">
        <v>72118.705114965109</v>
      </c>
      <c r="AR1338">
        <v>2.6131444327083329E-2</v>
      </c>
      <c r="AS1338">
        <v>815.56116829728273</v>
      </c>
      <c r="AT1338">
        <v>798.37597445278027</v>
      </c>
      <c r="AU1338">
        <v>56.009116883801767</v>
      </c>
      <c r="AV1338">
        <v>875.63816552885555</v>
      </c>
      <c r="AW1338">
        <v>1690.6883312993659</v>
      </c>
      <c r="AX1338">
        <v>815.05016577051015</v>
      </c>
      <c r="AY1338">
        <v>5.1508127384050333</v>
      </c>
      <c r="AZ1338" t="s">
        <v>127</v>
      </c>
      <c r="BA1338" t="str">
        <f>VLOOKUP($AZ1338,Sheet1!$A$2:$B$58,2)</f>
        <v>Gamma Butyrolactone</v>
      </c>
      <c r="BB1338" t="s">
        <v>177</v>
      </c>
      <c r="BC1338">
        <v>86.08784</v>
      </c>
      <c r="BD1338">
        <v>4.5</v>
      </c>
      <c r="BE1338">
        <v>204</v>
      </c>
      <c r="BF1338" t="s">
        <v>221</v>
      </c>
      <c r="BG1338">
        <v>0</v>
      </c>
      <c r="BH1338">
        <v>0.1031111111111107</v>
      </c>
      <c r="BI1338">
        <v>0.28253771489353241</v>
      </c>
      <c r="BJ1338">
        <v>80</v>
      </c>
      <c r="BK1338">
        <v>7479.923219880845</v>
      </c>
      <c r="BL1338">
        <v>3605.9352557482562</v>
      </c>
      <c r="BM1338">
        <v>22.788164494897579</v>
      </c>
      <c r="BN1338">
        <v>3873.9879641325888</v>
      </c>
      <c r="BO1338">
        <v>3605.9352557482562</v>
      </c>
    </row>
    <row r="1339" spans="1:67" x14ac:dyDescent="0.25">
      <c r="A1339" s="1">
        <v>1337</v>
      </c>
      <c r="B1339" t="s">
        <v>78</v>
      </c>
      <c r="C1339" t="s">
        <v>87</v>
      </c>
      <c r="D1339">
        <v>1</v>
      </c>
      <c r="E1339">
        <v>4</v>
      </c>
      <c r="F1339">
        <v>1</v>
      </c>
      <c r="G1339">
        <v>32.041060000000002</v>
      </c>
      <c r="H1339">
        <v>6</v>
      </c>
      <c r="I1339" t="s">
        <v>89</v>
      </c>
      <c r="J1339">
        <v>2.5</v>
      </c>
      <c r="K1339">
        <v>200</v>
      </c>
      <c r="L1339">
        <v>50</v>
      </c>
      <c r="N1339" t="s">
        <v>90</v>
      </c>
      <c r="O1339">
        <v>50</v>
      </c>
      <c r="P1339">
        <v>0.3125</v>
      </c>
      <c r="Q1339">
        <v>3.2500000000000001E-2</v>
      </c>
      <c r="R1339">
        <v>77.5</v>
      </c>
      <c r="S1339">
        <v>170</v>
      </c>
      <c r="T1339">
        <v>50</v>
      </c>
      <c r="U1339">
        <v>1812.1301775147931</v>
      </c>
      <c r="V1339">
        <v>20</v>
      </c>
      <c r="W1339">
        <v>0.95</v>
      </c>
      <c r="X1339">
        <v>1</v>
      </c>
      <c r="Y1339" t="s">
        <v>92</v>
      </c>
      <c r="Z1339" t="s">
        <v>92</v>
      </c>
      <c r="AA1339" t="s">
        <v>92</v>
      </c>
      <c r="AB1339" t="s">
        <v>92</v>
      </c>
      <c r="AC1339">
        <v>0</v>
      </c>
      <c r="AD1339" t="s">
        <v>92</v>
      </c>
      <c r="AE1339" t="s">
        <v>92</v>
      </c>
      <c r="AF1339" t="s">
        <v>92</v>
      </c>
      <c r="AG1339" t="s">
        <v>92</v>
      </c>
      <c r="AH1339" t="s">
        <v>92</v>
      </c>
      <c r="AI1339" t="s">
        <v>92</v>
      </c>
      <c r="AJ1339" t="s">
        <v>92</v>
      </c>
      <c r="AK1339">
        <v>854.70085470085473</v>
      </c>
      <c r="AL1339" t="s">
        <v>93</v>
      </c>
      <c r="AM1339" t="s">
        <v>92</v>
      </c>
      <c r="AN1339" t="s">
        <v>92</v>
      </c>
      <c r="AO1339" t="s">
        <v>92</v>
      </c>
      <c r="AP1339" t="s">
        <v>92</v>
      </c>
      <c r="AZ1339" t="s">
        <v>129</v>
      </c>
      <c r="BA1339" t="str">
        <f>VLOOKUP($AZ1339,Sheet1!$A$2:$B$58,2)</f>
        <v>Glutarate</v>
      </c>
      <c r="BB1339" t="s">
        <v>179</v>
      </c>
      <c r="BC1339">
        <v>130.09654</v>
      </c>
      <c r="BD1339">
        <v>3.6</v>
      </c>
      <c r="BE1339">
        <v>200</v>
      </c>
      <c r="BF1339" t="s">
        <v>221</v>
      </c>
      <c r="BH1339">
        <v>0</v>
      </c>
      <c r="BI1339">
        <v>0</v>
      </c>
      <c r="BJ1339">
        <v>80</v>
      </c>
    </row>
    <row r="1340" spans="1:67" x14ac:dyDescent="0.25">
      <c r="A1340" s="1">
        <v>1338</v>
      </c>
      <c r="B1340" t="s">
        <v>78</v>
      </c>
      <c r="C1340" t="s">
        <v>87</v>
      </c>
      <c r="D1340">
        <v>1</v>
      </c>
      <c r="E1340">
        <v>4</v>
      </c>
      <c r="F1340">
        <v>1</v>
      </c>
      <c r="G1340">
        <v>32.041060000000002</v>
      </c>
      <c r="H1340">
        <v>6</v>
      </c>
      <c r="I1340" t="s">
        <v>89</v>
      </c>
      <c r="J1340">
        <v>2.5</v>
      </c>
      <c r="K1340">
        <v>200</v>
      </c>
      <c r="L1340">
        <v>50</v>
      </c>
      <c r="N1340" t="s">
        <v>90</v>
      </c>
      <c r="O1340">
        <v>50</v>
      </c>
      <c r="P1340">
        <v>0.3125</v>
      </c>
      <c r="Q1340">
        <v>3.2500000000000001E-2</v>
      </c>
      <c r="R1340">
        <v>77.5</v>
      </c>
      <c r="S1340">
        <v>170</v>
      </c>
      <c r="T1340">
        <v>50</v>
      </c>
      <c r="U1340">
        <v>1812.1301775147931</v>
      </c>
      <c r="V1340">
        <v>20</v>
      </c>
      <c r="W1340">
        <v>0.95</v>
      </c>
      <c r="X1340">
        <v>1</v>
      </c>
      <c r="Y1340">
        <v>294226.84091912501</v>
      </c>
      <c r="Z1340">
        <v>588453681.83824992</v>
      </c>
      <c r="AA1340">
        <v>1471134204.5956249</v>
      </c>
      <c r="AB1340">
        <v>1471134.2045956249</v>
      </c>
      <c r="AC1340">
        <v>0</v>
      </c>
      <c r="AD1340">
        <v>6098.8925896969149</v>
      </c>
      <c r="AE1340">
        <v>3659335.553818149</v>
      </c>
      <c r="AF1340">
        <v>1829667.776909074</v>
      </c>
      <c r="AG1340">
        <v>58.624495020010272</v>
      </c>
      <c r="AH1340">
        <v>603.92759146326273</v>
      </c>
      <c r="AI1340">
        <v>301.96379573163142</v>
      </c>
      <c r="AJ1340">
        <v>47811.861649357823</v>
      </c>
      <c r="AK1340">
        <v>854.70085470085473</v>
      </c>
      <c r="AL1340" t="s">
        <v>93</v>
      </c>
      <c r="AM1340">
        <v>46804.38833840286</v>
      </c>
      <c r="AN1340">
        <v>3283.5061938296099</v>
      </c>
      <c r="AO1340">
        <v>51333.84527437733</v>
      </c>
      <c r="AP1340">
        <v>98754.457036291147</v>
      </c>
      <c r="AQ1340">
        <v>47420.611761913817</v>
      </c>
      <c r="AR1340">
        <v>2.613144432708334E-2</v>
      </c>
      <c r="AS1340">
        <v>815.56116829728296</v>
      </c>
      <c r="AT1340">
        <v>798.37597445278027</v>
      </c>
      <c r="AU1340">
        <v>56.009116883801767</v>
      </c>
      <c r="AV1340">
        <v>875.63816552885578</v>
      </c>
      <c r="AW1340">
        <v>1684.5255042722899</v>
      </c>
      <c r="AX1340">
        <v>808.88733874343416</v>
      </c>
      <c r="AY1340">
        <v>5.1508127384050333</v>
      </c>
      <c r="AZ1340" t="s">
        <v>131</v>
      </c>
      <c r="BA1340" t="str">
        <f>VLOOKUP($AZ1340,Sheet1!$A$2:$B$58,2)</f>
        <v>Heptane</v>
      </c>
      <c r="BB1340" t="s">
        <v>181</v>
      </c>
      <c r="BC1340">
        <v>100.20034</v>
      </c>
      <c r="BD1340">
        <v>6.2857142857142856</v>
      </c>
      <c r="BE1340">
        <v>98</v>
      </c>
      <c r="BF1340" t="s">
        <v>221</v>
      </c>
      <c r="BG1340">
        <v>0.14640668883957841</v>
      </c>
      <c r="BH1340">
        <v>0.1363636363636363</v>
      </c>
      <c r="BI1340">
        <v>0.42644290567392967</v>
      </c>
      <c r="BJ1340">
        <v>80</v>
      </c>
      <c r="BK1340">
        <v>4937.7228518145585</v>
      </c>
      <c r="BL1340">
        <v>2371.0305880956912</v>
      </c>
      <c r="BM1340">
        <v>14.951783097741989</v>
      </c>
      <c r="BN1340">
        <v>2541.8031266161379</v>
      </c>
      <c r="BO1340">
        <v>2395.9197251984192</v>
      </c>
    </row>
    <row r="1341" spans="1:67" x14ac:dyDescent="0.25">
      <c r="A1341" s="1">
        <v>1339</v>
      </c>
      <c r="B1341" t="s">
        <v>78</v>
      </c>
      <c r="C1341" t="s">
        <v>87</v>
      </c>
      <c r="D1341">
        <v>1</v>
      </c>
      <c r="E1341">
        <v>4</v>
      </c>
      <c r="F1341">
        <v>1</v>
      </c>
      <c r="G1341">
        <v>32.041060000000002</v>
      </c>
      <c r="H1341">
        <v>6</v>
      </c>
      <c r="I1341" t="s">
        <v>89</v>
      </c>
      <c r="J1341">
        <v>2.5</v>
      </c>
      <c r="K1341">
        <v>200</v>
      </c>
      <c r="L1341">
        <v>50</v>
      </c>
      <c r="N1341" t="s">
        <v>90</v>
      </c>
      <c r="O1341">
        <v>50</v>
      </c>
      <c r="P1341">
        <v>0.3125</v>
      </c>
      <c r="Q1341">
        <v>3.2500000000000001E-2</v>
      </c>
      <c r="R1341">
        <v>77.5</v>
      </c>
      <c r="S1341">
        <v>170</v>
      </c>
      <c r="T1341">
        <v>50</v>
      </c>
      <c r="U1341">
        <v>1812.1301775147931</v>
      </c>
      <c r="V1341">
        <v>20</v>
      </c>
      <c r="W1341">
        <v>0.95</v>
      </c>
      <c r="X1341">
        <v>1</v>
      </c>
      <c r="Y1341">
        <v>295465.21121990401</v>
      </c>
      <c r="Z1341">
        <v>590930422.43980813</v>
      </c>
      <c r="AA1341">
        <v>1477326056.09952</v>
      </c>
      <c r="AB1341">
        <v>1477326.0560995201</v>
      </c>
      <c r="AC1341">
        <v>0</v>
      </c>
      <c r="AD1341">
        <v>6124.5621969534413</v>
      </c>
      <c r="AE1341">
        <v>3674737.3181720651</v>
      </c>
      <c r="AF1341">
        <v>1837368.6590860321</v>
      </c>
      <c r="AG1341">
        <v>58.871239447895107</v>
      </c>
      <c r="AH1341">
        <v>606.46946014782213</v>
      </c>
      <c r="AI1341">
        <v>303.23473007391112</v>
      </c>
      <c r="AJ1341">
        <v>48013.096823234409</v>
      </c>
      <c r="AK1341">
        <v>854.70085470085473</v>
      </c>
      <c r="AL1341" t="s">
        <v>93</v>
      </c>
      <c r="AM1341">
        <v>47001.383161456222</v>
      </c>
      <c r="AN1341">
        <v>3297.3261313314379</v>
      </c>
      <c r="AO1341">
        <v>51549.90411256488</v>
      </c>
      <c r="AP1341">
        <v>99166.506970722927</v>
      </c>
      <c r="AQ1341">
        <v>47616.602858158047</v>
      </c>
      <c r="AR1341">
        <v>2.6131444327083329E-2</v>
      </c>
      <c r="AS1341">
        <v>815.56116829728273</v>
      </c>
      <c r="AT1341">
        <v>798.37597445278027</v>
      </c>
      <c r="AU1341">
        <v>56.009116883801759</v>
      </c>
      <c r="AV1341">
        <v>875.63816552885578</v>
      </c>
      <c r="AW1341">
        <v>1684.4643989276251</v>
      </c>
      <c r="AX1341">
        <v>808.82623339876932</v>
      </c>
      <c r="AY1341">
        <v>5.1508127384050342</v>
      </c>
      <c r="AZ1341" t="s">
        <v>132</v>
      </c>
      <c r="BA1341" t="str">
        <f>VLOOKUP($AZ1341,Sheet1!$A$2:$B$58,2)</f>
        <v>Hexane</v>
      </c>
      <c r="BB1341" t="s">
        <v>182</v>
      </c>
      <c r="BC1341">
        <v>86.173959999999994</v>
      </c>
      <c r="BD1341">
        <v>6.333333333333333</v>
      </c>
      <c r="BE1341">
        <v>69</v>
      </c>
      <c r="BF1341" t="s">
        <v>221</v>
      </c>
      <c r="BG1341">
        <v>0.1702370414450029</v>
      </c>
      <c r="BH1341">
        <v>0.1578947368421052</v>
      </c>
      <c r="BI1341">
        <v>0.42465557434248741</v>
      </c>
      <c r="BJ1341">
        <v>80</v>
      </c>
      <c r="BK1341">
        <v>4958.3253485361474</v>
      </c>
      <c r="BL1341">
        <v>2380.830142907902</v>
      </c>
      <c r="BM1341">
        <v>14.99149946225055</v>
      </c>
      <c r="BN1341">
        <v>2548.5549085825942</v>
      </c>
      <c r="BO1341">
        <v>2409.7704399535528</v>
      </c>
    </row>
    <row r="1342" spans="1:67" x14ac:dyDescent="0.25">
      <c r="A1342" s="1">
        <v>1340</v>
      </c>
      <c r="B1342" t="s">
        <v>78</v>
      </c>
      <c r="C1342" t="s">
        <v>87</v>
      </c>
      <c r="D1342">
        <v>1</v>
      </c>
      <c r="E1342">
        <v>4</v>
      </c>
      <c r="F1342">
        <v>1</v>
      </c>
      <c r="G1342">
        <v>32.041060000000002</v>
      </c>
      <c r="H1342">
        <v>6</v>
      </c>
      <c r="I1342" t="s">
        <v>89</v>
      </c>
      <c r="J1342">
        <v>2.5</v>
      </c>
      <c r="K1342">
        <v>200</v>
      </c>
      <c r="L1342">
        <v>50</v>
      </c>
      <c r="N1342" t="s">
        <v>90</v>
      </c>
      <c r="O1342">
        <v>50</v>
      </c>
      <c r="P1342">
        <v>0.3125</v>
      </c>
      <c r="Q1342">
        <v>3.2500000000000001E-2</v>
      </c>
      <c r="R1342">
        <v>77.5</v>
      </c>
      <c r="S1342">
        <v>170</v>
      </c>
      <c r="T1342">
        <v>50</v>
      </c>
      <c r="U1342">
        <v>1812.1301775147931</v>
      </c>
      <c r="V1342">
        <v>20</v>
      </c>
      <c r="W1342">
        <v>0.95</v>
      </c>
      <c r="X1342">
        <v>1</v>
      </c>
      <c r="Y1342">
        <v>186702.90008192961</v>
      </c>
      <c r="Z1342">
        <v>373405800.16385913</v>
      </c>
      <c r="AA1342">
        <v>933514500.40964782</v>
      </c>
      <c r="AB1342">
        <v>933514.50040964782</v>
      </c>
      <c r="AC1342">
        <v>0</v>
      </c>
      <c r="AD1342">
        <v>3870.0783729571308</v>
      </c>
      <c r="AE1342">
        <v>2322047.0237742788</v>
      </c>
      <c r="AF1342">
        <v>1161023.5118871389</v>
      </c>
      <c r="AG1342">
        <v>37.200424005786537</v>
      </c>
      <c r="AH1342">
        <v>383.22483568614751</v>
      </c>
      <c r="AI1342">
        <v>191.61241784307381</v>
      </c>
      <c r="AJ1342">
        <v>30339.22126331356</v>
      </c>
      <c r="AK1342">
        <v>854.70085470085473</v>
      </c>
      <c r="AL1342" t="s">
        <v>93</v>
      </c>
      <c r="AM1342">
        <v>29699.924765676431</v>
      </c>
      <c r="AN1342">
        <v>2083.5628962670839</v>
      </c>
      <c r="AO1342">
        <v>32574.111033322541</v>
      </c>
      <c r="AP1342">
        <v>62977.409779957918</v>
      </c>
      <c r="AQ1342">
        <v>30403.298746635381</v>
      </c>
      <c r="AR1342">
        <v>2.6131444327083329E-2</v>
      </c>
      <c r="AS1342">
        <v>815.56116829728273</v>
      </c>
      <c r="AT1342">
        <v>798.37597445278016</v>
      </c>
      <c r="AU1342">
        <v>56.009116883801767</v>
      </c>
      <c r="AV1342">
        <v>875.63816552885567</v>
      </c>
      <c r="AW1342">
        <v>1692.9218271856721</v>
      </c>
      <c r="AX1342">
        <v>817.28366165681666</v>
      </c>
      <c r="AY1342">
        <v>5.1508127384050342</v>
      </c>
      <c r="AZ1342" t="s">
        <v>133</v>
      </c>
      <c r="BA1342" t="str">
        <f>VLOOKUP($AZ1342,Sheet1!$A$2:$B$58,2)</f>
        <v>Isobutanol</v>
      </c>
      <c r="BB1342" t="s">
        <v>183</v>
      </c>
      <c r="BC1342">
        <v>86.130899999999997</v>
      </c>
      <c r="BD1342">
        <v>5.6</v>
      </c>
      <c r="BE1342">
        <v>108</v>
      </c>
      <c r="BF1342" t="s">
        <v>221</v>
      </c>
      <c r="BG1342">
        <v>0</v>
      </c>
      <c r="BH1342">
        <v>0.25</v>
      </c>
      <c r="BI1342">
        <v>0.67203535089038868</v>
      </c>
      <c r="BJ1342">
        <v>80</v>
      </c>
      <c r="BK1342">
        <v>3148.8704889978949</v>
      </c>
      <c r="BL1342">
        <v>1520.1649373317689</v>
      </c>
      <c r="BM1342">
        <v>9.5806208921536893</v>
      </c>
      <c r="BN1342">
        <v>1628.7055516661269</v>
      </c>
      <c r="BO1342">
        <v>1520.164937331768</v>
      </c>
    </row>
    <row r="1343" spans="1:67" x14ac:dyDescent="0.25">
      <c r="A1343" s="1">
        <v>1341</v>
      </c>
      <c r="B1343" t="s">
        <v>78</v>
      </c>
      <c r="C1343" t="s">
        <v>87</v>
      </c>
      <c r="D1343">
        <v>1</v>
      </c>
      <c r="E1343">
        <v>4</v>
      </c>
      <c r="F1343">
        <v>1</v>
      </c>
      <c r="G1343">
        <v>32.041060000000002</v>
      </c>
      <c r="H1343">
        <v>6</v>
      </c>
      <c r="I1343" t="s">
        <v>89</v>
      </c>
      <c r="J1343">
        <v>2.5</v>
      </c>
      <c r="K1343">
        <v>200</v>
      </c>
      <c r="L1343">
        <v>50</v>
      </c>
      <c r="N1343" t="s">
        <v>90</v>
      </c>
      <c r="O1343">
        <v>50</v>
      </c>
      <c r="P1343">
        <v>0.3125</v>
      </c>
      <c r="Q1343">
        <v>3.2500000000000001E-2</v>
      </c>
      <c r="R1343">
        <v>77.5</v>
      </c>
      <c r="S1343">
        <v>170</v>
      </c>
      <c r="T1343">
        <v>50</v>
      </c>
      <c r="U1343">
        <v>1812.1301775147931</v>
      </c>
      <c r="V1343">
        <v>20</v>
      </c>
      <c r="W1343">
        <v>0.95</v>
      </c>
      <c r="X1343">
        <v>1</v>
      </c>
      <c r="Y1343">
        <v>178826.20527705181</v>
      </c>
      <c r="Z1343">
        <v>357652410.55410361</v>
      </c>
      <c r="AA1343">
        <v>894131026.38525891</v>
      </c>
      <c r="AB1343">
        <v>894131.02638525888</v>
      </c>
      <c r="AC1343">
        <v>0</v>
      </c>
      <c r="AD1343">
        <v>3706.8059963557789</v>
      </c>
      <c r="AE1343">
        <v>2224083.597813467</v>
      </c>
      <c r="AF1343">
        <v>1112041.798906734</v>
      </c>
      <c r="AG1343">
        <v>35.630998001278591</v>
      </c>
      <c r="AH1343">
        <v>367.0571967741401</v>
      </c>
      <c r="AI1343">
        <v>183.52859838706999</v>
      </c>
      <c r="AJ1343">
        <v>29059.25835752091</v>
      </c>
      <c r="AK1343">
        <v>854.70085470085473</v>
      </c>
      <c r="AL1343" t="s">
        <v>93</v>
      </c>
      <c r="AM1343">
        <v>28446.93274999586</v>
      </c>
      <c r="AN1343">
        <v>1995.6607317401199</v>
      </c>
      <c r="AO1343">
        <v>31199.861725801911</v>
      </c>
      <c r="AP1343">
        <v>60356.552693957747</v>
      </c>
      <c r="AQ1343">
        <v>29156.690968155839</v>
      </c>
      <c r="AR1343">
        <v>2.6131444327083329E-2</v>
      </c>
      <c r="AS1343">
        <v>815.56116829728273</v>
      </c>
      <c r="AT1343">
        <v>798.37597445278004</v>
      </c>
      <c r="AU1343">
        <v>56.009116883801767</v>
      </c>
      <c r="AV1343">
        <v>875.63816552885555</v>
      </c>
      <c r="AW1343">
        <v>1693.9338239078199</v>
      </c>
      <c r="AX1343">
        <v>818.29565837896484</v>
      </c>
      <c r="AY1343">
        <v>5.1508127384050333</v>
      </c>
      <c r="AZ1343" t="s">
        <v>134</v>
      </c>
      <c r="BA1343" t="str">
        <f>VLOOKUP($AZ1343,Sheet1!$A$2:$B$58,2)</f>
        <v>Isobutyrate</v>
      </c>
      <c r="BB1343" t="s">
        <v>170</v>
      </c>
      <c r="BC1343">
        <v>87.095680000000002</v>
      </c>
      <c r="BD1343">
        <v>4.75</v>
      </c>
      <c r="BE1343">
        <v>155</v>
      </c>
      <c r="BF1343" t="s">
        <v>221</v>
      </c>
      <c r="BG1343">
        <v>0</v>
      </c>
      <c r="BH1343">
        <v>0.25</v>
      </c>
      <c r="BI1343">
        <v>0.70163625501320204</v>
      </c>
      <c r="BJ1343">
        <v>80</v>
      </c>
      <c r="BK1343">
        <v>3017.8276346978878</v>
      </c>
      <c r="BL1343">
        <v>1457.834548407792</v>
      </c>
      <c r="BM1343">
        <v>9.1764299193535024</v>
      </c>
      <c r="BN1343">
        <v>1559.9930862900951</v>
      </c>
      <c r="BO1343">
        <v>1457.834548407792</v>
      </c>
    </row>
    <row r="1344" spans="1:67" x14ac:dyDescent="0.25">
      <c r="A1344" s="1">
        <v>1342</v>
      </c>
      <c r="B1344" t="s">
        <v>78</v>
      </c>
      <c r="C1344" t="s">
        <v>87</v>
      </c>
      <c r="D1344">
        <v>1</v>
      </c>
      <c r="E1344">
        <v>4</v>
      </c>
      <c r="F1344">
        <v>1</v>
      </c>
      <c r="G1344">
        <v>32.041060000000002</v>
      </c>
      <c r="H1344">
        <v>6</v>
      </c>
      <c r="I1344" t="s">
        <v>89</v>
      </c>
      <c r="J1344">
        <v>2.5</v>
      </c>
      <c r="K1344">
        <v>200</v>
      </c>
      <c r="L1344">
        <v>50</v>
      </c>
      <c r="N1344" t="s">
        <v>90</v>
      </c>
      <c r="O1344">
        <v>50</v>
      </c>
      <c r="P1344">
        <v>0.3125</v>
      </c>
      <c r="Q1344">
        <v>3.2500000000000001E-2</v>
      </c>
      <c r="R1344">
        <v>77.5</v>
      </c>
      <c r="S1344">
        <v>170</v>
      </c>
      <c r="T1344">
        <v>50</v>
      </c>
      <c r="U1344">
        <v>1812.1301775147931</v>
      </c>
      <c r="V1344">
        <v>20</v>
      </c>
      <c r="W1344">
        <v>0.95</v>
      </c>
      <c r="X1344">
        <v>1</v>
      </c>
      <c r="Y1344">
        <v>606838.66672612913</v>
      </c>
      <c r="Z1344">
        <v>1213677333.4522581</v>
      </c>
      <c r="AA1344">
        <v>3034193333.6306462</v>
      </c>
      <c r="AB1344">
        <v>3034193.3336306461</v>
      </c>
      <c r="AC1344">
        <v>66773.504273504266</v>
      </c>
      <c r="AD1344">
        <v>12578.87905833466</v>
      </c>
      <c r="AE1344">
        <v>7547327.4350007968</v>
      </c>
      <c r="AF1344">
        <v>3773663.7175003979</v>
      </c>
      <c r="AG1344">
        <v>120.91218559225329</v>
      </c>
      <c r="AH1344">
        <v>1245.592051553944</v>
      </c>
      <c r="AI1344">
        <v>622.7960257769721</v>
      </c>
      <c r="AJ1344">
        <v>98611.283342995986</v>
      </c>
      <c r="AK1344">
        <v>2170.1388888888891</v>
      </c>
      <c r="AL1344" t="s">
        <v>95</v>
      </c>
      <c r="AM1344">
        <v>96533.383995430675</v>
      </c>
      <c r="AN1344">
        <v>6772.1847355124482</v>
      </c>
      <c r="AO1344">
        <v>105875.32438208529</v>
      </c>
      <c r="AP1344">
        <v>204086.99096282799</v>
      </c>
      <c r="AQ1344">
        <v>98211.666580742734</v>
      </c>
      <c r="AR1344">
        <v>2.6131444327083329E-2</v>
      </c>
      <c r="AS1344">
        <v>815.56116829728273</v>
      </c>
      <c r="AT1344">
        <v>798.37597445278038</v>
      </c>
      <c r="AU1344">
        <v>56.009116883801767</v>
      </c>
      <c r="AV1344">
        <v>875.63816552885578</v>
      </c>
      <c r="AW1344">
        <v>1687.894317377252</v>
      </c>
      <c r="AX1344">
        <v>812.25615184839603</v>
      </c>
      <c r="AY1344">
        <v>5.1508127384050342</v>
      </c>
      <c r="AZ1344" t="s">
        <v>135</v>
      </c>
      <c r="BA1344" t="str">
        <f>VLOOKUP($AZ1344,Sheet1!$A$2:$B$58,2)</f>
        <v>Isoprene</v>
      </c>
      <c r="BB1344" t="s">
        <v>184</v>
      </c>
      <c r="BC1344">
        <v>68.116219999999998</v>
      </c>
      <c r="BD1344">
        <v>5.6</v>
      </c>
      <c r="BE1344">
        <v>34.07</v>
      </c>
      <c r="BF1344" t="s">
        <v>221</v>
      </c>
      <c r="BG1344">
        <v>0</v>
      </c>
      <c r="BH1344">
        <v>9.6666666666666595E-2</v>
      </c>
      <c r="BI1344">
        <v>0.2067616252038183</v>
      </c>
      <c r="BJ1344">
        <v>80</v>
      </c>
      <c r="BK1344">
        <v>10204.349548141399</v>
      </c>
      <c r="BL1344">
        <v>4910.5833290371374</v>
      </c>
      <c r="BM1344">
        <v>31.139801288848599</v>
      </c>
      <c r="BN1344">
        <v>5293.7662191042627</v>
      </c>
      <c r="BO1344">
        <v>4910.5833290371374</v>
      </c>
    </row>
    <row r="1345" spans="1:67" x14ac:dyDescent="0.25">
      <c r="A1345" s="1">
        <v>1343</v>
      </c>
      <c r="B1345" t="s">
        <v>78</v>
      </c>
      <c r="C1345" t="s">
        <v>87</v>
      </c>
      <c r="D1345">
        <v>1</v>
      </c>
      <c r="E1345">
        <v>4</v>
      </c>
      <c r="F1345">
        <v>1</v>
      </c>
      <c r="G1345">
        <v>32.041060000000002</v>
      </c>
      <c r="H1345">
        <v>6</v>
      </c>
      <c r="I1345" t="s">
        <v>89</v>
      </c>
      <c r="J1345">
        <v>2.5</v>
      </c>
      <c r="K1345">
        <v>200</v>
      </c>
      <c r="L1345">
        <v>50</v>
      </c>
      <c r="N1345" t="s">
        <v>90</v>
      </c>
      <c r="O1345">
        <v>50</v>
      </c>
      <c r="P1345">
        <v>0.3125</v>
      </c>
      <c r="Q1345">
        <v>3.2500000000000001E-2</v>
      </c>
      <c r="R1345">
        <v>77.5</v>
      </c>
      <c r="S1345">
        <v>170</v>
      </c>
      <c r="T1345">
        <v>50</v>
      </c>
      <c r="U1345">
        <v>1812.1301775147931</v>
      </c>
      <c r="V1345">
        <v>20</v>
      </c>
      <c r="W1345">
        <v>0.95</v>
      </c>
      <c r="X1345">
        <v>1</v>
      </c>
      <c r="Y1345">
        <v>200697.2865512626</v>
      </c>
      <c r="Z1345">
        <v>401394573.10252517</v>
      </c>
      <c r="AA1345">
        <v>1003486432.756313</v>
      </c>
      <c r="AB1345">
        <v>1003486.432756313</v>
      </c>
      <c r="AC1345">
        <v>0</v>
      </c>
      <c r="AD1345">
        <v>4160.1615607062413</v>
      </c>
      <c r="AE1345">
        <v>2496096.936423745</v>
      </c>
      <c r="AF1345">
        <v>1248048.468211873</v>
      </c>
      <c r="AG1345">
        <v>39.988795852884699</v>
      </c>
      <c r="AH1345">
        <v>411.9495981450338</v>
      </c>
      <c r="AI1345">
        <v>205.9747990725169</v>
      </c>
      <c r="AJ1345">
        <v>32613.309064580179</v>
      </c>
      <c r="AK1345">
        <v>854.70085470085473</v>
      </c>
      <c r="AL1345" t="s">
        <v>93</v>
      </c>
      <c r="AM1345">
        <v>31926.093856240121</v>
      </c>
      <c r="AN1345">
        <v>2239.7371409667062</v>
      </c>
      <c r="AO1345">
        <v>35015.715842327867</v>
      </c>
      <c r="AP1345">
        <v>67633.840916487869</v>
      </c>
      <c r="AQ1345">
        <v>32618.125074159991</v>
      </c>
      <c r="AR1345">
        <v>2.6131444327083329E-2</v>
      </c>
      <c r="AS1345">
        <v>815.56116829728273</v>
      </c>
      <c r="AT1345">
        <v>798.37597445278027</v>
      </c>
      <c r="AU1345">
        <v>56.009116883801752</v>
      </c>
      <c r="AV1345">
        <v>875.63816552885578</v>
      </c>
      <c r="AW1345">
        <v>1691.3197677996329</v>
      </c>
      <c r="AX1345">
        <v>815.68160227077692</v>
      </c>
      <c r="AY1345">
        <v>5.1508127384050342</v>
      </c>
      <c r="AZ1345" t="s">
        <v>136</v>
      </c>
      <c r="BA1345" t="str">
        <f>VLOOKUP($AZ1345,Sheet1!$A$2:$B$58,2)</f>
        <v>Isopropanol</v>
      </c>
      <c r="BB1345" t="s">
        <v>156</v>
      </c>
      <c r="BC1345">
        <v>60.093820000000001</v>
      </c>
      <c r="BD1345">
        <v>6</v>
      </c>
      <c r="BE1345">
        <v>82.5</v>
      </c>
      <c r="BF1345" t="s">
        <v>221</v>
      </c>
      <c r="BG1345">
        <v>0</v>
      </c>
      <c r="BH1345">
        <v>0.33333333333333331</v>
      </c>
      <c r="BI1345">
        <v>0.62517511384870961</v>
      </c>
      <c r="BJ1345">
        <v>80</v>
      </c>
      <c r="BK1345">
        <v>3381.692045824394</v>
      </c>
      <c r="BL1345">
        <v>1630.906253707999</v>
      </c>
      <c r="BM1345">
        <v>10.29873995362585</v>
      </c>
      <c r="BN1345">
        <v>1750.7857921163941</v>
      </c>
      <c r="BO1345">
        <v>1630.9062537079999</v>
      </c>
    </row>
    <row r="1346" spans="1:67" x14ac:dyDescent="0.25">
      <c r="A1346" s="1">
        <v>1344</v>
      </c>
      <c r="B1346" t="s">
        <v>78</v>
      </c>
      <c r="C1346" t="s">
        <v>87</v>
      </c>
      <c r="D1346">
        <v>1</v>
      </c>
      <c r="E1346">
        <v>4</v>
      </c>
      <c r="F1346">
        <v>1</v>
      </c>
      <c r="G1346">
        <v>32.041060000000002</v>
      </c>
      <c r="H1346">
        <v>6</v>
      </c>
      <c r="I1346" t="s">
        <v>89</v>
      </c>
      <c r="J1346">
        <v>2.5</v>
      </c>
      <c r="K1346">
        <v>200</v>
      </c>
      <c r="L1346">
        <v>50</v>
      </c>
      <c r="N1346" t="s">
        <v>90</v>
      </c>
      <c r="O1346">
        <v>50</v>
      </c>
      <c r="P1346">
        <v>0.3125</v>
      </c>
      <c r="Q1346">
        <v>3.2500000000000001E-2</v>
      </c>
      <c r="R1346">
        <v>77.5</v>
      </c>
      <c r="S1346">
        <v>170</v>
      </c>
      <c r="T1346">
        <v>50</v>
      </c>
      <c r="U1346">
        <v>1812.1301775147931</v>
      </c>
      <c r="V1346">
        <v>20</v>
      </c>
      <c r="W1346">
        <v>0.95</v>
      </c>
      <c r="X1346">
        <v>1</v>
      </c>
      <c r="Y1346">
        <v>224914.59982668739</v>
      </c>
      <c r="Z1346">
        <v>449829199.65337491</v>
      </c>
      <c r="AA1346">
        <v>1124572999.1334369</v>
      </c>
      <c r="AB1346">
        <v>1124572.9991334369</v>
      </c>
      <c r="AC1346">
        <v>0</v>
      </c>
      <c r="AD1346">
        <v>4662.1510869386757</v>
      </c>
      <c r="AE1346">
        <v>2797290.6521632061</v>
      </c>
      <c r="AF1346">
        <v>1398645.3260816031</v>
      </c>
      <c r="AG1346">
        <v>44.814078811700213</v>
      </c>
      <c r="AH1346">
        <v>461.65785600638492</v>
      </c>
      <c r="AI1346">
        <v>230.82892800319249</v>
      </c>
      <c r="AJ1346">
        <v>36548.622471836708</v>
      </c>
      <c r="AK1346">
        <v>854.70085470085473</v>
      </c>
      <c r="AL1346" t="s">
        <v>93</v>
      </c>
      <c r="AM1346">
        <v>35778.483840494831</v>
      </c>
      <c r="AN1346">
        <v>2509.99697820442</v>
      </c>
      <c r="AO1346">
        <v>39240.917760542718</v>
      </c>
      <c r="AP1346">
        <v>75691.80414523682</v>
      </c>
      <c r="AQ1346">
        <v>36450.886384694102</v>
      </c>
      <c r="AR1346">
        <v>2.6131444327083329E-2</v>
      </c>
      <c r="AS1346">
        <v>815.56116829728251</v>
      </c>
      <c r="AT1346">
        <v>798.37597445278004</v>
      </c>
      <c r="AU1346">
        <v>56.009116883801752</v>
      </c>
      <c r="AV1346">
        <v>875.63816552885544</v>
      </c>
      <c r="AW1346">
        <v>1689.0184101134521</v>
      </c>
      <c r="AX1346">
        <v>813.38024458459665</v>
      </c>
      <c r="AY1346">
        <v>5.1508127384050324</v>
      </c>
      <c r="AZ1346" t="s">
        <v>137</v>
      </c>
      <c r="BA1346" t="str">
        <f>VLOOKUP($AZ1346,Sheet1!$A$2:$B$58,2)</f>
        <v>Itaconate</v>
      </c>
      <c r="BB1346" t="s">
        <v>185</v>
      </c>
      <c r="BC1346">
        <v>128.08086</v>
      </c>
      <c r="BD1346">
        <v>3.2</v>
      </c>
      <c r="BE1346">
        <v>381</v>
      </c>
      <c r="BF1346" t="s">
        <v>221</v>
      </c>
      <c r="BG1346">
        <v>0</v>
      </c>
      <c r="BH1346">
        <v>0.13257142857142859</v>
      </c>
      <c r="BI1346">
        <v>0.55786040152794392</v>
      </c>
      <c r="BJ1346">
        <v>80</v>
      </c>
      <c r="BK1346">
        <v>3784.590207261841</v>
      </c>
      <c r="BL1346">
        <v>1822.544319234705</v>
      </c>
      <c r="BM1346">
        <v>11.54144640015962</v>
      </c>
      <c r="BN1346">
        <v>1962.045888027136</v>
      </c>
      <c r="BO1346">
        <v>1822.544319234705</v>
      </c>
    </row>
    <row r="1347" spans="1:67" x14ac:dyDescent="0.25">
      <c r="A1347" s="1">
        <v>1345</v>
      </c>
      <c r="B1347" t="s">
        <v>78</v>
      </c>
      <c r="C1347" t="s">
        <v>87</v>
      </c>
      <c r="D1347">
        <v>1</v>
      </c>
      <c r="E1347">
        <v>4</v>
      </c>
      <c r="F1347">
        <v>1</v>
      </c>
      <c r="G1347">
        <v>32.041060000000002</v>
      </c>
      <c r="H1347">
        <v>6</v>
      </c>
      <c r="I1347" t="s">
        <v>89</v>
      </c>
      <c r="J1347">
        <v>2.5</v>
      </c>
      <c r="K1347">
        <v>200</v>
      </c>
      <c r="L1347">
        <v>50</v>
      </c>
      <c r="N1347" t="s">
        <v>90</v>
      </c>
      <c r="O1347">
        <v>50</v>
      </c>
      <c r="P1347">
        <v>0.3125</v>
      </c>
      <c r="Q1347">
        <v>3.2500000000000001E-2</v>
      </c>
      <c r="R1347">
        <v>77.5</v>
      </c>
      <c r="S1347">
        <v>170</v>
      </c>
      <c r="T1347">
        <v>50</v>
      </c>
      <c r="U1347">
        <v>1812.1301775147931</v>
      </c>
      <c r="V1347">
        <v>20</v>
      </c>
      <c r="W1347">
        <v>0.95</v>
      </c>
      <c r="X1347">
        <v>1</v>
      </c>
      <c r="Y1347">
        <v>208365.07637128391</v>
      </c>
      <c r="Z1347">
        <v>416730152.7425679</v>
      </c>
      <c r="AA1347">
        <v>1041825381.85642</v>
      </c>
      <c r="AB1347">
        <v>1041825.38185642</v>
      </c>
      <c r="AC1347">
        <v>0</v>
      </c>
      <c r="AD1347">
        <v>4319.1036421512717</v>
      </c>
      <c r="AE1347">
        <v>2591462.1852907632</v>
      </c>
      <c r="AF1347">
        <v>1295731.092645382</v>
      </c>
      <c r="AG1347">
        <v>41.516597683316228</v>
      </c>
      <c r="AH1347">
        <v>427.68844040492422</v>
      </c>
      <c r="AI1347">
        <v>213.84422020246211</v>
      </c>
      <c r="AJ1347">
        <v>33859.324910333649</v>
      </c>
      <c r="AK1347">
        <v>854.70085470085473</v>
      </c>
      <c r="AL1347" t="s">
        <v>93</v>
      </c>
      <c r="AM1347">
        <v>33145.854131381617</v>
      </c>
      <c r="AN1347">
        <v>2325.307972262633</v>
      </c>
      <c r="AO1347">
        <v>36353.517434418558</v>
      </c>
      <c r="AP1347">
        <v>70185.187868678768</v>
      </c>
      <c r="AQ1347">
        <v>33831.67043426021</v>
      </c>
      <c r="AR1347">
        <v>2.613144432708334E-2</v>
      </c>
      <c r="AS1347">
        <v>815.56116829728285</v>
      </c>
      <c r="AT1347">
        <v>798.37597445277993</v>
      </c>
      <c r="AU1347">
        <v>56.009116883801767</v>
      </c>
      <c r="AV1347">
        <v>875.63816552885544</v>
      </c>
      <c r="AW1347">
        <v>1690.533227314126</v>
      </c>
      <c r="AX1347">
        <v>814.89506178527074</v>
      </c>
      <c r="AY1347">
        <v>5.1508127384050333</v>
      </c>
      <c r="AZ1347" t="s">
        <v>141</v>
      </c>
      <c r="BA1347" t="str">
        <f>VLOOKUP($AZ1347,Sheet1!$A$2:$B$58,2)</f>
        <v>Malonate</v>
      </c>
      <c r="BB1347" t="s">
        <v>189</v>
      </c>
      <c r="BC1347">
        <v>102.04378</v>
      </c>
      <c r="BD1347">
        <v>2</v>
      </c>
      <c r="BE1347">
        <v>199</v>
      </c>
      <c r="BF1347" t="s">
        <v>221</v>
      </c>
      <c r="BG1347">
        <v>0</v>
      </c>
      <c r="BH1347">
        <v>0.1784615384615382</v>
      </c>
      <c r="BI1347">
        <v>0.60216880464765166</v>
      </c>
      <c r="BJ1347">
        <v>80</v>
      </c>
      <c r="BK1347">
        <v>3509.2593934339379</v>
      </c>
      <c r="BL1347">
        <v>1691.58352171301</v>
      </c>
      <c r="BM1347">
        <v>10.69221101012311</v>
      </c>
      <c r="BN1347">
        <v>1817.6758717209279</v>
      </c>
      <c r="BO1347">
        <v>1691.58352171301</v>
      </c>
    </row>
    <row r="1348" spans="1:67" x14ac:dyDescent="0.25">
      <c r="A1348" s="1">
        <v>1346</v>
      </c>
      <c r="B1348" t="s">
        <v>78</v>
      </c>
      <c r="C1348" t="s">
        <v>87</v>
      </c>
      <c r="D1348">
        <v>1</v>
      </c>
      <c r="E1348">
        <v>4</v>
      </c>
      <c r="F1348">
        <v>1</v>
      </c>
      <c r="G1348">
        <v>32.041060000000002</v>
      </c>
      <c r="H1348">
        <v>6</v>
      </c>
      <c r="I1348" t="s">
        <v>89</v>
      </c>
      <c r="J1348">
        <v>2.5</v>
      </c>
      <c r="K1348">
        <v>200</v>
      </c>
      <c r="L1348">
        <v>50</v>
      </c>
      <c r="N1348" t="s">
        <v>90</v>
      </c>
      <c r="O1348">
        <v>50</v>
      </c>
      <c r="P1348">
        <v>0.3125</v>
      </c>
      <c r="Q1348">
        <v>3.2500000000000001E-2</v>
      </c>
      <c r="R1348">
        <v>77.5</v>
      </c>
      <c r="S1348">
        <v>170</v>
      </c>
      <c r="T1348">
        <v>50</v>
      </c>
      <c r="U1348">
        <v>1812.1301775147931</v>
      </c>
      <c r="V1348">
        <v>20</v>
      </c>
      <c r="W1348">
        <v>0.95</v>
      </c>
      <c r="X1348">
        <v>1</v>
      </c>
      <c r="Y1348">
        <v>292562.70535024529</v>
      </c>
      <c r="Z1348">
        <v>585125410.70049071</v>
      </c>
      <c r="AA1348">
        <v>1462813526.7512269</v>
      </c>
      <c r="AB1348">
        <v>1462813.526751227</v>
      </c>
      <c r="AC1348">
        <v>0</v>
      </c>
      <c r="AD1348">
        <v>6064.397490413704</v>
      </c>
      <c r="AE1348">
        <v>3638638.494248223</v>
      </c>
      <c r="AF1348">
        <v>1819319.247124111</v>
      </c>
      <c r="AG1348">
        <v>58.292917156258483</v>
      </c>
      <c r="AH1348">
        <v>600.5118004944909</v>
      </c>
      <c r="AI1348">
        <v>300.25590024724539</v>
      </c>
      <c r="AJ1348">
        <v>47541.439619414879</v>
      </c>
      <c r="AK1348">
        <v>854.70085470085473</v>
      </c>
      <c r="AL1348" t="s">
        <v>93</v>
      </c>
      <c r="AM1348">
        <v>46539.664538323043</v>
      </c>
      <c r="AN1348">
        <v>3264.9348105026538</v>
      </c>
      <c r="AO1348">
        <v>51043.503042031727</v>
      </c>
      <c r="AP1348">
        <v>98200.739822941439</v>
      </c>
      <c r="AQ1348">
        <v>47157.236780909712</v>
      </c>
      <c r="AR1348">
        <v>2.6131444327083329E-2</v>
      </c>
      <c r="AS1348">
        <v>815.56116829728273</v>
      </c>
      <c r="AT1348">
        <v>798.37597445278004</v>
      </c>
      <c r="AU1348">
        <v>56.009116883801752</v>
      </c>
      <c r="AV1348">
        <v>875.63816552885555</v>
      </c>
      <c r="AW1348">
        <v>1684.6084329543339</v>
      </c>
      <c r="AX1348">
        <v>808.97026742547882</v>
      </c>
      <c r="AY1348">
        <v>5.1508127384050333</v>
      </c>
      <c r="AZ1348" t="s">
        <v>142</v>
      </c>
      <c r="BA1348" t="str">
        <f>VLOOKUP($AZ1348,Sheet1!$A$2:$B$58,2)</f>
        <v>Nonane</v>
      </c>
      <c r="BB1348" t="s">
        <v>190</v>
      </c>
      <c r="BC1348">
        <v>128.25309999999999</v>
      </c>
      <c r="BD1348">
        <v>6.2222222222222223</v>
      </c>
      <c r="BE1348">
        <v>151</v>
      </c>
      <c r="BF1348" t="s">
        <v>221</v>
      </c>
      <c r="BG1348">
        <v>0.1143832000941883</v>
      </c>
      <c r="BH1348">
        <v>0.1071428571428571</v>
      </c>
      <c r="BI1348">
        <v>0.42886856962374431</v>
      </c>
      <c r="BJ1348">
        <v>80</v>
      </c>
      <c r="BK1348">
        <v>4910.0369911470716</v>
      </c>
      <c r="BL1348">
        <v>2357.8618390454849</v>
      </c>
      <c r="BM1348">
        <v>14.89841181226809</v>
      </c>
      <c r="BN1348">
        <v>2532.7300080855748</v>
      </c>
      <c r="BO1348">
        <v>2377.3069830614968</v>
      </c>
    </row>
    <row r="1349" spans="1:67" x14ac:dyDescent="0.25">
      <c r="A1349" s="1">
        <v>1347</v>
      </c>
      <c r="B1349" t="s">
        <v>78</v>
      </c>
      <c r="C1349" t="s">
        <v>87</v>
      </c>
      <c r="D1349">
        <v>1</v>
      </c>
      <c r="E1349">
        <v>4</v>
      </c>
      <c r="F1349">
        <v>1</v>
      </c>
      <c r="G1349">
        <v>32.041060000000002</v>
      </c>
      <c r="H1349">
        <v>6</v>
      </c>
      <c r="I1349" t="s">
        <v>89</v>
      </c>
      <c r="J1349">
        <v>2.5</v>
      </c>
      <c r="K1349">
        <v>200</v>
      </c>
      <c r="L1349">
        <v>50</v>
      </c>
      <c r="N1349" t="s">
        <v>90</v>
      </c>
      <c r="O1349">
        <v>50</v>
      </c>
      <c r="P1349">
        <v>0.3125</v>
      </c>
      <c r="Q1349">
        <v>3.2500000000000001E-2</v>
      </c>
      <c r="R1349">
        <v>77.5</v>
      </c>
      <c r="S1349">
        <v>170</v>
      </c>
      <c r="T1349">
        <v>50</v>
      </c>
      <c r="U1349">
        <v>1812.1301775147931</v>
      </c>
      <c r="V1349">
        <v>20</v>
      </c>
      <c r="W1349">
        <v>0.95</v>
      </c>
      <c r="X1349">
        <v>1</v>
      </c>
      <c r="Y1349">
        <v>293292.60002728691</v>
      </c>
      <c r="Z1349">
        <v>586585200.05457377</v>
      </c>
      <c r="AA1349">
        <v>1466463000.136435</v>
      </c>
      <c r="AB1349">
        <v>1466463.000136435</v>
      </c>
      <c r="AC1349">
        <v>0</v>
      </c>
      <c r="AD1349">
        <v>6079.5271407989703</v>
      </c>
      <c r="AE1349">
        <v>3647716.284479382</v>
      </c>
      <c r="AF1349">
        <v>1823858.142239691</v>
      </c>
      <c r="AG1349">
        <v>58.43834816699048</v>
      </c>
      <c r="AH1349">
        <v>602.00997629976598</v>
      </c>
      <c r="AI1349">
        <v>301.00498814988299</v>
      </c>
      <c r="AJ1349">
        <v>47660.047504434122</v>
      </c>
      <c r="AK1349">
        <v>854.70085470085473</v>
      </c>
      <c r="AL1349" t="s">
        <v>93</v>
      </c>
      <c r="AM1349">
        <v>46655.773163231861</v>
      </c>
      <c r="AN1349">
        <v>3273.0802729812722</v>
      </c>
      <c r="AO1349">
        <v>51170.847985480112</v>
      </c>
      <c r="AP1349">
        <v>98443.601795348106</v>
      </c>
      <c r="AQ1349">
        <v>47272.753809867987</v>
      </c>
      <c r="AR1349">
        <v>2.6131444327083329E-2</v>
      </c>
      <c r="AS1349">
        <v>815.56116829728262</v>
      </c>
      <c r="AT1349">
        <v>798.37597445278004</v>
      </c>
      <c r="AU1349">
        <v>56.009116883801752</v>
      </c>
      <c r="AV1349">
        <v>875.63816552885567</v>
      </c>
      <c r="AW1349">
        <v>1684.571944334235</v>
      </c>
      <c r="AX1349">
        <v>808.93377880537889</v>
      </c>
      <c r="AY1349">
        <v>5.1508127384050333</v>
      </c>
      <c r="AZ1349" t="s">
        <v>143</v>
      </c>
      <c r="BA1349" t="str">
        <f>VLOOKUP($AZ1349,Sheet1!$A$2:$B$58,2)</f>
        <v>Octane</v>
      </c>
      <c r="BB1349" t="s">
        <v>191</v>
      </c>
      <c r="BC1349">
        <v>114.22672</v>
      </c>
      <c r="BD1349">
        <v>6.25</v>
      </c>
      <c r="BE1349">
        <v>126</v>
      </c>
      <c r="BF1349" t="s">
        <v>221</v>
      </c>
      <c r="BG1349">
        <v>0.12842879494394929</v>
      </c>
      <c r="BH1349">
        <v>0.12</v>
      </c>
      <c r="BI1349">
        <v>0.42780127748582591</v>
      </c>
      <c r="BJ1349">
        <v>80</v>
      </c>
      <c r="BK1349">
        <v>4922.1800897674048</v>
      </c>
      <c r="BL1349">
        <v>2363.6376904934</v>
      </c>
      <c r="BM1349">
        <v>14.921820612550199</v>
      </c>
      <c r="BN1349">
        <v>2536.7095041335351</v>
      </c>
      <c r="BO1349">
        <v>2385.4705856338701</v>
      </c>
    </row>
    <row r="1350" spans="1:67" x14ac:dyDescent="0.25">
      <c r="A1350" s="1">
        <v>1348</v>
      </c>
      <c r="B1350" t="s">
        <v>78</v>
      </c>
      <c r="C1350" t="s">
        <v>87</v>
      </c>
      <c r="D1350">
        <v>1</v>
      </c>
      <c r="E1350">
        <v>4</v>
      </c>
      <c r="F1350">
        <v>1</v>
      </c>
      <c r="G1350">
        <v>32.041060000000002</v>
      </c>
      <c r="H1350">
        <v>6</v>
      </c>
      <c r="I1350" t="s">
        <v>89</v>
      </c>
      <c r="J1350">
        <v>2.5</v>
      </c>
      <c r="K1350">
        <v>200</v>
      </c>
      <c r="L1350">
        <v>50</v>
      </c>
      <c r="N1350" t="s">
        <v>90</v>
      </c>
      <c r="O1350">
        <v>50</v>
      </c>
      <c r="P1350">
        <v>0.3125</v>
      </c>
      <c r="Q1350">
        <v>3.2500000000000001E-2</v>
      </c>
      <c r="R1350">
        <v>77.5</v>
      </c>
      <c r="S1350">
        <v>170</v>
      </c>
      <c r="T1350">
        <v>50</v>
      </c>
      <c r="U1350">
        <v>1812.1301775147931</v>
      </c>
      <c r="V1350">
        <v>20</v>
      </c>
      <c r="W1350">
        <v>0.95</v>
      </c>
      <c r="X1350">
        <v>1</v>
      </c>
      <c r="Y1350">
        <v>297185.09046164667</v>
      </c>
      <c r="Z1350">
        <v>594370180.92329335</v>
      </c>
      <c r="AA1350">
        <v>1485925452.308233</v>
      </c>
      <c r="AB1350">
        <v>1485925.4523082329</v>
      </c>
      <c r="AC1350">
        <v>66773.504273504266</v>
      </c>
      <c r="AD1350">
        <v>6160.2127811417167</v>
      </c>
      <c r="AE1350">
        <v>3696127.6686850302</v>
      </c>
      <c r="AF1350">
        <v>1848063.8343425151</v>
      </c>
      <c r="AG1350">
        <v>59.213924199998587</v>
      </c>
      <c r="AH1350">
        <v>609.99967012060563</v>
      </c>
      <c r="AI1350">
        <v>304.99983506030281</v>
      </c>
      <c r="AJ1350">
        <v>48292.577200017593</v>
      </c>
      <c r="AK1350">
        <v>2170.1388888888891</v>
      </c>
      <c r="AL1350" t="s">
        <v>95</v>
      </c>
      <c r="AM1350">
        <v>47274.974434346943</v>
      </c>
      <c r="AN1350">
        <v>3316.519601666299</v>
      </c>
      <c r="AO1350">
        <v>51849.971960251482</v>
      </c>
      <c r="AP1350">
        <v>101054.2101249197</v>
      </c>
      <c r="AQ1350">
        <v>49204.238164668233</v>
      </c>
      <c r="AR1350">
        <v>2.6131444327083329E-2</v>
      </c>
      <c r="AS1350">
        <v>815.56116829728273</v>
      </c>
      <c r="AT1350">
        <v>798.37597445278016</v>
      </c>
      <c r="AU1350">
        <v>56.009116883801759</v>
      </c>
      <c r="AV1350">
        <v>875.63816552885578</v>
      </c>
      <c r="AW1350">
        <v>1706.595391036795</v>
      </c>
      <c r="AX1350">
        <v>830.95722550793903</v>
      </c>
      <c r="AY1350">
        <v>5.1508127384050333</v>
      </c>
      <c r="AZ1350" t="s">
        <v>144</v>
      </c>
      <c r="BA1350" t="str">
        <f>VLOOKUP($AZ1350,Sheet1!$A$2:$B$58,2)</f>
        <v>Pentane</v>
      </c>
      <c r="BB1350" t="s">
        <v>192</v>
      </c>
      <c r="BC1350">
        <v>72.147580000000005</v>
      </c>
      <c r="BD1350">
        <v>6.4</v>
      </c>
      <c r="BE1350">
        <v>36.1</v>
      </c>
      <c r="BF1350" t="s">
        <v>221</v>
      </c>
      <c r="BG1350">
        <v>0.20333322337353521</v>
      </c>
      <c r="BH1350">
        <v>0.18749999999999989</v>
      </c>
      <c r="BI1350">
        <v>0.42219799376175438</v>
      </c>
      <c r="BJ1350">
        <v>80</v>
      </c>
      <c r="BK1350">
        <v>5052.710506245985</v>
      </c>
      <c r="BL1350">
        <v>2460.211908233412</v>
      </c>
      <c r="BM1350">
        <v>15.046658529641601</v>
      </c>
      <c r="BN1350">
        <v>2557.931950039072</v>
      </c>
      <c r="BO1350">
        <v>2494.778556206913</v>
      </c>
    </row>
    <row r="1351" spans="1:67" x14ac:dyDescent="0.25">
      <c r="A1351" s="1">
        <v>1349</v>
      </c>
      <c r="B1351" t="s">
        <v>78</v>
      </c>
      <c r="C1351" t="s">
        <v>87</v>
      </c>
      <c r="D1351">
        <v>1</v>
      </c>
      <c r="E1351">
        <v>4</v>
      </c>
      <c r="F1351">
        <v>1</v>
      </c>
      <c r="G1351">
        <v>32.041060000000002</v>
      </c>
      <c r="H1351">
        <v>6</v>
      </c>
      <c r="I1351" t="s">
        <v>89</v>
      </c>
      <c r="J1351">
        <v>2.5</v>
      </c>
      <c r="K1351">
        <v>200</v>
      </c>
      <c r="L1351">
        <v>50</v>
      </c>
      <c r="N1351" t="s">
        <v>90</v>
      </c>
      <c r="O1351">
        <v>50</v>
      </c>
      <c r="P1351">
        <v>0.3125</v>
      </c>
      <c r="Q1351">
        <v>3.2500000000000001E-2</v>
      </c>
      <c r="R1351">
        <v>77.5</v>
      </c>
      <c r="S1351">
        <v>170</v>
      </c>
      <c r="T1351">
        <v>50</v>
      </c>
      <c r="U1351">
        <v>1812.1301775147931</v>
      </c>
      <c r="V1351">
        <v>20</v>
      </c>
      <c r="W1351">
        <v>0.95</v>
      </c>
      <c r="X1351">
        <v>1</v>
      </c>
      <c r="Y1351">
        <v>324369.90264099953</v>
      </c>
      <c r="Z1351">
        <v>648739805.28199911</v>
      </c>
      <c r="AA1351">
        <v>1621849513.204998</v>
      </c>
      <c r="AB1351">
        <v>1621849.5132049981</v>
      </c>
      <c r="AC1351">
        <v>0</v>
      </c>
      <c r="AD1351">
        <v>6723.7142245689374</v>
      </c>
      <c r="AE1351">
        <v>4034228.5347413621</v>
      </c>
      <c r="AF1351">
        <v>2017114.267370681</v>
      </c>
      <c r="AG1351">
        <v>64.63047926768003</v>
      </c>
      <c r="AH1351">
        <v>665.79899180237749</v>
      </c>
      <c r="AI1351">
        <v>332.89949590118869</v>
      </c>
      <c r="AJ1351">
        <v>52710.109179162428</v>
      </c>
      <c r="AK1351">
        <v>854.70085470085473</v>
      </c>
      <c r="AL1351" t="s">
        <v>93</v>
      </c>
      <c r="AM1351">
        <v>51599.421864684256</v>
      </c>
      <c r="AN1351">
        <v>3619.8960675596172</v>
      </c>
      <c r="AO1351">
        <v>56592.914303202087</v>
      </c>
      <c r="AP1351">
        <v>108784.1279661072</v>
      </c>
      <c r="AQ1351">
        <v>52191.213662905073</v>
      </c>
      <c r="AR1351">
        <v>2.613144432708334E-2</v>
      </c>
      <c r="AS1351">
        <v>815.56116829728285</v>
      </c>
      <c r="AT1351">
        <v>798.37597445278027</v>
      </c>
      <c r="AU1351">
        <v>56.009116883801759</v>
      </c>
      <c r="AV1351">
        <v>875.63816552885578</v>
      </c>
      <c r="AW1351">
        <v>1683.170683533941</v>
      </c>
      <c r="AX1351">
        <v>807.53251800508474</v>
      </c>
      <c r="AY1351">
        <v>5.1508127384050342</v>
      </c>
      <c r="AZ1351" t="s">
        <v>145</v>
      </c>
      <c r="BA1351" t="str">
        <f>VLOOKUP($AZ1351,Sheet1!$A$2:$B$58,2)</f>
        <v>Pentanol (PW1)</v>
      </c>
      <c r="BB1351" t="s">
        <v>157</v>
      </c>
      <c r="BC1351">
        <v>88.14658</v>
      </c>
      <c r="BD1351">
        <v>6</v>
      </c>
      <c r="BE1351">
        <v>138</v>
      </c>
      <c r="BF1351" t="s">
        <v>221</v>
      </c>
      <c r="BG1351">
        <v>0</v>
      </c>
      <c r="BH1351">
        <v>0.1406060606060606</v>
      </c>
      <c r="BI1351">
        <v>0.38681439907721421</v>
      </c>
      <c r="BJ1351">
        <v>80</v>
      </c>
      <c r="BK1351">
        <v>5439.2063983053577</v>
      </c>
      <c r="BL1351">
        <v>2609.5606831452542</v>
      </c>
      <c r="BM1351">
        <v>16.64497479505944</v>
      </c>
      <c r="BN1351">
        <v>2829.6457151601048</v>
      </c>
      <c r="BO1351">
        <v>2609.5606831452528</v>
      </c>
    </row>
    <row r="1352" spans="1:67" x14ac:dyDescent="0.25">
      <c r="A1352" s="1">
        <v>1350</v>
      </c>
      <c r="B1352" t="s">
        <v>78</v>
      </c>
      <c r="C1352" t="s">
        <v>87</v>
      </c>
      <c r="D1352">
        <v>1</v>
      </c>
      <c r="E1352">
        <v>4</v>
      </c>
      <c r="F1352">
        <v>1</v>
      </c>
      <c r="G1352">
        <v>32.041060000000002</v>
      </c>
      <c r="H1352">
        <v>6</v>
      </c>
      <c r="I1352" t="s">
        <v>89</v>
      </c>
      <c r="J1352">
        <v>2.5</v>
      </c>
      <c r="K1352">
        <v>200</v>
      </c>
      <c r="L1352">
        <v>50</v>
      </c>
      <c r="N1352" t="s">
        <v>90</v>
      </c>
      <c r="O1352">
        <v>50</v>
      </c>
      <c r="P1352">
        <v>0.3125</v>
      </c>
      <c r="Q1352">
        <v>3.2500000000000001E-2</v>
      </c>
      <c r="R1352">
        <v>77.5</v>
      </c>
      <c r="S1352">
        <v>170</v>
      </c>
      <c r="T1352">
        <v>50</v>
      </c>
      <c r="U1352">
        <v>1812.1301775147931</v>
      </c>
      <c r="V1352">
        <v>20</v>
      </c>
      <c r="W1352">
        <v>0.95</v>
      </c>
      <c r="X1352">
        <v>1</v>
      </c>
      <c r="Y1352">
        <v>324369.90264099941</v>
      </c>
      <c r="Z1352">
        <v>648739805.28199875</v>
      </c>
      <c r="AA1352">
        <v>1621849513.2049971</v>
      </c>
      <c r="AB1352">
        <v>1621849.5132049969</v>
      </c>
      <c r="AC1352">
        <v>0</v>
      </c>
      <c r="AD1352">
        <v>6723.714224568932</v>
      </c>
      <c r="AE1352">
        <v>4034228.5347413602</v>
      </c>
      <c r="AF1352">
        <v>2017114.2673706801</v>
      </c>
      <c r="AG1352">
        <v>64.630479267680002</v>
      </c>
      <c r="AH1352">
        <v>665.79899180237703</v>
      </c>
      <c r="AI1352">
        <v>332.89949590118852</v>
      </c>
      <c r="AJ1352">
        <v>52710.109179162413</v>
      </c>
      <c r="AK1352">
        <v>854.70085470085473</v>
      </c>
      <c r="AL1352" t="s">
        <v>93</v>
      </c>
      <c r="AM1352">
        <v>51599.42186468422</v>
      </c>
      <c r="AN1352">
        <v>3619.8960675596149</v>
      </c>
      <c r="AO1352">
        <v>56592.914303202051</v>
      </c>
      <c r="AP1352">
        <v>108784.1279661071</v>
      </c>
      <c r="AQ1352">
        <v>52191.213662905051</v>
      </c>
      <c r="AR1352">
        <v>2.6131444327083329E-2</v>
      </c>
      <c r="AS1352">
        <v>815.56116829728273</v>
      </c>
      <c r="AT1352">
        <v>798.37597445278004</v>
      </c>
      <c r="AU1352">
        <v>56.009116883801752</v>
      </c>
      <c r="AV1352">
        <v>875.63816552885555</v>
      </c>
      <c r="AW1352">
        <v>1683.1706835339401</v>
      </c>
      <c r="AX1352">
        <v>807.53251800508474</v>
      </c>
      <c r="AY1352">
        <v>5.1508127384050324</v>
      </c>
      <c r="AZ1352" t="s">
        <v>146</v>
      </c>
      <c r="BA1352" t="str">
        <f>VLOOKUP($AZ1352,Sheet1!$A$2:$B$58,2)</f>
        <v>Pentanol (PW2)</v>
      </c>
      <c r="BB1352" t="s">
        <v>157</v>
      </c>
      <c r="BC1352">
        <v>88.14658</v>
      </c>
      <c r="BD1352">
        <v>6</v>
      </c>
      <c r="BE1352">
        <v>138</v>
      </c>
      <c r="BF1352" t="s">
        <v>221</v>
      </c>
      <c r="BG1352">
        <v>0</v>
      </c>
      <c r="BH1352">
        <v>0.1406060606060606</v>
      </c>
      <c r="BI1352">
        <v>0.38681439907721438</v>
      </c>
      <c r="BJ1352">
        <v>80</v>
      </c>
      <c r="BK1352">
        <v>5439.2063983053549</v>
      </c>
      <c r="BL1352">
        <v>2609.5606831452528</v>
      </c>
      <c r="BM1352">
        <v>16.644974795059419</v>
      </c>
      <c r="BN1352">
        <v>2829.6457151601021</v>
      </c>
      <c r="BO1352">
        <v>2609.5606831452528</v>
      </c>
    </row>
    <row r="1353" spans="1:67" x14ac:dyDescent="0.25">
      <c r="A1353" s="1">
        <v>1351</v>
      </c>
      <c r="B1353" t="s">
        <v>78</v>
      </c>
      <c r="C1353" t="s">
        <v>87</v>
      </c>
      <c r="D1353">
        <v>1</v>
      </c>
      <c r="E1353">
        <v>4</v>
      </c>
      <c r="F1353">
        <v>1</v>
      </c>
      <c r="G1353">
        <v>32.041060000000002</v>
      </c>
      <c r="H1353">
        <v>6</v>
      </c>
      <c r="I1353" t="s">
        <v>89</v>
      </c>
      <c r="J1353">
        <v>2.5</v>
      </c>
      <c r="K1353">
        <v>200</v>
      </c>
      <c r="L1353">
        <v>50</v>
      </c>
      <c r="N1353" t="s">
        <v>90</v>
      </c>
      <c r="O1353">
        <v>50</v>
      </c>
      <c r="P1353">
        <v>0.3125</v>
      </c>
      <c r="Q1353">
        <v>3.2500000000000001E-2</v>
      </c>
      <c r="R1353">
        <v>77.5</v>
      </c>
      <c r="S1353">
        <v>170</v>
      </c>
      <c r="T1353">
        <v>50</v>
      </c>
      <c r="U1353">
        <v>1812.1301775147931</v>
      </c>
      <c r="V1353">
        <v>20</v>
      </c>
      <c r="W1353">
        <v>0.95</v>
      </c>
      <c r="X1353">
        <v>1</v>
      </c>
      <c r="Y1353">
        <v>891487.13026927668</v>
      </c>
      <c r="Z1353">
        <v>1782974260.538553</v>
      </c>
      <c r="AA1353">
        <v>4457435651.3463821</v>
      </c>
      <c r="AB1353">
        <v>4457435.6513463818</v>
      </c>
      <c r="AC1353">
        <v>0</v>
      </c>
      <c r="AD1353">
        <v>18479.225877641689</v>
      </c>
      <c r="AE1353">
        <v>11087535.526585011</v>
      </c>
      <c r="AF1353">
        <v>5543767.7632925063</v>
      </c>
      <c r="AG1353">
        <v>177.62819552972101</v>
      </c>
      <c r="AH1353">
        <v>1829.859144468774</v>
      </c>
      <c r="AI1353">
        <v>914.92957223438714</v>
      </c>
      <c r="AJ1353">
        <v>144866.65866875739</v>
      </c>
      <c r="AK1353">
        <v>854.70085470085473</v>
      </c>
      <c r="AL1353" t="s">
        <v>93</v>
      </c>
      <c r="AM1353">
        <v>141814.08369633</v>
      </c>
      <c r="AN1353">
        <v>9948.7983652829425</v>
      </c>
      <c r="AO1353">
        <v>155538.02727984579</v>
      </c>
      <c r="AP1353">
        <v>297484.2415850712</v>
      </c>
      <c r="AQ1353">
        <v>141946.21430522541</v>
      </c>
      <c r="AR1353">
        <v>2.6131444327083329E-2</v>
      </c>
      <c r="AS1353">
        <v>815.56116829728273</v>
      </c>
      <c r="AT1353">
        <v>798.37597445278027</v>
      </c>
      <c r="AU1353">
        <v>56.009116883801788</v>
      </c>
      <c r="AV1353">
        <v>875.63816552885589</v>
      </c>
      <c r="AW1353">
        <v>1674.7580005410559</v>
      </c>
      <c r="AX1353">
        <v>799.11983501219981</v>
      </c>
      <c r="AY1353">
        <v>5.1508127384050351</v>
      </c>
      <c r="AZ1353" t="s">
        <v>147</v>
      </c>
      <c r="BA1353" t="str">
        <f>VLOOKUP($AZ1353,Sheet1!$A$2:$B$58,2)</f>
        <v>Phenol</v>
      </c>
      <c r="BB1353" t="s">
        <v>193</v>
      </c>
      <c r="BC1353">
        <v>94.11023999999999</v>
      </c>
      <c r="BD1353">
        <v>4.666666666666667</v>
      </c>
      <c r="BE1353">
        <v>181.7</v>
      </c>
      <c r="BF1353" t="s">
        <v>221</v>
      </c>
      <c r="BG1353">
        <v>0</v>
      </c>
      <c r="BH1353">
        <v>4.7346938775510203E-2</v>
      </c>
      <c r="BI1353">
        <v>0.14074342153533259</v>
      </c>
      <c r="BJ1353">
        <v>80</v>
      </c>
      <c r="BK1353">
        <v>14874.212079253561</v>
      </c>
      <c r="BL1353">
        <v>7097.3107152612702</v>
      </c>
      <c r="BM1353">
        <v>45.746478611719347</v>
      </c>
      <c r="BN1353">
        <v>7776.9013639922896</v>
      </c>
      <c r="BO1353">
        <v>7097.3107152612683</v>
      </c>
    </row>
    <row r="1354" spans="1:67" x14ac:dyDescent="0.25">
      <c r="A1354" s="1">
        <v>1352</v>
      </c>
      <c r="B1354" t="s">
        <v>78</v>
      </c>
      <c r="C1354" t="s">
        <v>87</v>
      </c>
      <c r="D1354">
        <v>1</v>
      </c>
      <c r="E1354">
        <v>4</v>
      </c>
      <c r="F1354">
        <v>1</v>
      </c>
      <c r="G1354">
        <v>32.041060000000002</v>
      </c>
      <c r="H1354">
        <v>6</v>
      </c>
      <c r="I1354" t="s">
        <v>89</v>
      </c>
      <c r="J1354">
        <v>2.5</v>
      </c>
      <c r="K1354">
        <v>200</v>
      </c>
      <c r="L1354">
        <v>50</v>
      </c>
      <c r="N1354" t="s">
        <v>90</v>
      </c>
      <c r="O1354">
        <v>50</v>
      </c>
      <c r="P1354">
        <v>0.3125</v>
      </c>
      <c r="Q1354">
        <v>3.2500000000000001E-2</v>
      </c>
      <c r="R1354">
        <v>77.5</v>
      </c>
      <c r="S1354">
        <v>170</v>
      </c>
      <c r="T1354">
        <v>50</v>
      </c>
      <c r="U1354">
        <v>1812.1301775147931</v>
      </c>
      <c r="V1354">
        <v>20</v>
      </c>
      <c r="W1354">
        <v>0.95</v>
      </c>
      <c r="X1354">
        <v>1</v>
      </c>
      <c r="Y1354">
        <v>303907.3678167992</v>
      </c>
      <c r="Z1354">
        <v>607814735.63359845</v>
      </c>
      <c r="AA1354">
        <v>1519536839.0839961</v>
      </c>
      <c r="AB1354">
        <v>1519536.8390839959</v>
      </c>
      <c r="AC1354">
        <v>66773.504273504266</v>
      </c>
      <c r="AD1354">
        <v>6299.5557704460016</v>
      </c>
      <c r="AE1354">
        <v>3779733.4622676009</v>
      </c>
      <c r="AF1354">
        <v>1889866.7311338009</v>
      </c>
      <c r="AG1354">
        <v>60.553333324261978</v>
      </c>
      <c r="AH1354">
        <v>623.79776127898924</v>
      </c>
      <c r="AI1354">
        <v>311.89888063949462</v>
      </c>
      <c r="AJ1354">
        <v>49384.947270229874</v>
      </c>
      <c r="AK1354">
        <v>2170.1388888888891</v>
      </c>
      <c r="AL1354" t="s">
        <v>95</v>
      </c>
      <c r="AM1354">
        <v>48344.326499121657</v>
      </c>
      <c r="AN1354">
        <v>3391.538723862398</v>
      </c>
      <c r="AO1354">
        <v>53022.809708714078</v>
      </c>
      <c r="AP1354">
        <v>103290.95138210279</v>
      </c>
      <c r="AQ1354">
        <v>50268.141673388738</v>
      </c>
      <c r="AR1354">
        <v>2.6131444327083329E-2</v>
      </c>
      <c r="AS1354">
        <v>815.56116829728262</v>
      </c>
      <c r="AT1354">
        <v>798.37597445278016</v>
      </c>
      <c r="AU1354">
        <v>56.009116883801767</v>
      </c>
      <c r="AV1354">
        <v>875.63816552885567</v>
      </c>
      <c r="AW1354">
        <v>1705.7847307757891</v>
      </c>
      <c r="AX1354">
        <v>830.14656524693316</v>
      </c>
      <c r="AY1354">
        <v>5.1508127384050333</v>
      </c>
      <c r="AZ1354" t="s">
        <v>148</v>
      </c>
      <c r="BA1354" t="str">
        <f>VLOOKUP($AZ1354,Sheet1!$A$2:$B$58,2)</f>
        <v>Propane (PW1)</v>
      </c>
      <c r="BB1354" t="s">
        <v>194</v>
      </c>
      <c r="BC1354">
        <v>44.094819999999999</v>
      </c>
      <c r="BD1354">
        <v>6.666666666666667</v>
      </c>
      <c r="BE1354">
        <v>-42</v>
      </c>
      <c r="BF1354" t="s">
        <v>221</v>
      </c>
      <c r="BG1354">
        <v>0.33269213934879421</v>
      </c>
      <c r="BH1354">
        <v>0.3</v>
      </c>
      <c r="BI1354">
        <v>0.41285918755496848</v>
      </c>
      <c r="BJ1354">
        <v>80</v>
      </c>
      <c r="BK1354">
        <v>5164.5475691051406</v>
      </c>
      <c r="BL1354">
        <v>2513.4070836694368</v>
      </c>
      <c r="BM1354">
        <v>15.26225189262594</v>
      </c>
      <c r="BN1354">
        <v>2594.58282174641</v>
      </c>
      <c r="BO1354">
        <v>2569.9647473587311</v>
      </c>
    </row>
    <row r="1355" spans="1:67" x14ac:dyDescent="0.25">
      <c r="A1355" s="1">
        <v>1353</v>
      </c>
      <c r="B1355" t="s">
        <v>78</v>
      </c>
      <c r="C1355" t="s">
        <v>87</v>
      </c>
      <c r="D1355">
        <v>1</v>
      </c>
      <c r="E1355">
        <v>4</v>
      </c>
      <c r="F1355">
        <v>1</v>
      </c>
      <c r="G1355">
        <v>32.041060000000002</v>
      </c>
      <c r="H1355">
        <v>6</v>
      </c>
      <c r="I1355" t="s">
        <v>89</v>
      </c>
      <c r="J1355">
        <v>2.5</v>
      </c>
      <c r="K1355">
        <v>200</v>
      </c>
      <c r="L1355">
        <v>50</v>
      </c>
      <c r="N1355" t="s">
        <v>90</v>
      </c>
      <c r="O1355">
        <v>50</v>
      </c>
      <c r="P1355">
        <v>0.3125</v>
      </c>
      <c r="Q1355">
        <v>3.2500000000000001E-2</v>
      </c>
      <c r="R1355">
        <v>77.5</v>
      </c>
      <c r="S1355">
        <v>170</v>
      </c>
      <c r="T1355">
        <v>50</v>
      </c>
      <c r="U1355">
        <v>1812.1301775147931</v>
      </c>
      <c r="V1355">
        <v>20</v>
      </c>
      <c r="W1355">
        <v>0.95</v>
      </c>
      <c r="X1355">
        <v>1</v>
      </c>
      <c r="Y1355">
        <v>337017.89816259849</v>
      </c>
      <c r="Z1355">
        <v>674035796.3251971</v>
      </c>
      <c r="AA1355">
        <v>1685089490.812993</v>
      </c>
      <c r="AB1355">
        <v>1685089.4908129929</v>
      </c>
      <c r="AC1355">
        <v>66773.504273504266</v>
      </c>
      <c r="AD1355">
        <v>6985.8886948525742</v>
      </c>
      <c r="AE1355">
        <v>4191533.2169115441</v>
      </c>
      <c r="AF1355">
        <v>2095766.608455772</v>
      </c>
      <c r="AG1355">
        <v>67.15058364752791</v>
      </c>
      <c r="AH1355">
        <v>691.76016328603896</v>
      </c>
      <c r="AI1355">
        <v>345.88008164301948</v>
      </c>
      <c r="AJ1355">
        <v>54765.40845142227</v>
      </c>
      <c r="AK1355">
        <v>2170.1388888888891</v>
      </c>
      <c r="AL1355" t="s">
        <v>95</v>
      </c>
      <c r="AM1355">
        <v>53611.41265466802</v>
      </c>
      <c r="AN1355">
        <v>3761.0448883298968</v>
      </c>
      <c r="AO1355">
        <v>58799.613879313307</v>
      </c>
      <c r="AP1355">
        <v>114308.0048833091</v>
      </c>
      <c r="AQ1355">
        <v>55508.39100399577</v>
      </c>
      <c r="AR1355">
        <v>2.613144432708334E-2</v>
      </c>
      <c r="AS1355">
        <v>815.56116829728285</v>
      </c>
      <c r="AT1355">
        <v>798.37597445278027</v>
      </c>
      <c r="AU1355">
        <v>56.009116883801752</v>
      </c>
      <c r="AV1355">
        <v>875.63816552885578</v>
      </c>
      <c r="AW1355">
        <v>1702.263758172372</v>
      </c>
      <c r="AX1355">
        <v>826.62559264351648</v>
      </c>
      <c r="AY1355">
        <v>5.1508127384050333</v>
      </c>
      <c r="AZ1355" t="s">
        <v>149</v>
      </c>
      <c r="BA1355" t="str">
        <f>VLOOKUP($AZ1355,Sheet1!$A$2:$B$58,2)</f>
        <v>Propane (PW2)</v>
      </c>
      <c r="BB1355" t="s">
        <v>194</v>
      </c>
      <c r="BC1355">
        <v>44.094819999999999</v>
      </c>
      <c r="BD1355">
        <v>6.666666666666667</v>
      </c>
      <c r="BE1355">
        <v>-42</v>
      </c>
      <c r="BF1355" t="s">
        <v>221</v>
      </c>
      <c r="BG1355">
        <v>0.1514590673299952</v>
      </c>
      <c r="BH1355">
        <v>0.27052631578947361</v>
      </c>
      <c r="BI1355">
        <v>0.37229758316360301</v>
      </c>
      <c r="BJ1355">
        <v>80</v>
      </c>
      <c r="BK1355">
        <v>5715.4002441654548</v>
      </c>
      <c r="BL1355">
        <v>2775.4195501997888</v>
      </c>
      <c r="BM1355">
        <v>17.142545014820978</v>
      </c>
      <c r="BN1355">
        <v>2914.2326525195658</v>
      </c>
      <c r="BO1355">
        <v>2801.167591645888</v>
      </c>
    </row>
    <row r="1356" spans="1:67" x14ac:dyDescent="0.25">
      <c r="A1356" s="1">
        <v>1354</v>
      </c>
      <c r="B1356" t="s">
        <v>78</v>
      </c>
      <c r="C1356" t="s">
        <v>87</v>
      </c>
      <c r="D1356">
        <v>1</v>
      </c>
      <c r="E1356">
        <v>4</v>
      </c>
      <c r="F1356">
        <v>1</v>
      </c>
      <c r="G1356">
        <v>32.041060000000002</v>
      </c>
      <c r="H1356">
        <v>6</v>
      </c>
      <c r="I1356" t="s">
        <v>89</v>
      </c>
      <c r="J1356">
        <v>2.5</v>
      </c>
      <c r="K1356">
        <v>200</v>
      </c>
      <c r="L1356">
        <v>50</v>
      </c>
      <c r="N1356" t="s">
        <v>90</v>
      </c>
      <c r="O1356">
        <v>50</v>
      </c>
      <c r="P1356">
        <v>0.3125</v>
      </c>
      <c r="Q1356">
        <v>3.2500000000000001E-2</v>
      </c>
      <c r="R1356">
        <v>77.5</v>
      </c>
      <c r="S1356">
        <v>170</v>
      </c>
      <c r="T1356">
        <v>50</v>
      </c>
      <c r="U1356">
        <v>1812.1301775147931</v>
      </c>
      <c r="V1356">
        <v>20</v>
      </c>
      <c r="W1356">
        <v>0.95</v>
      </c>
      <c r="X1356">
        <v>1</v>
      </c>
      <c r="Y1356">
        <v>380099.9229395166</v>
      </c>
      <c r="Z1356">
        <v>760199845.87903321</v>
      </c>
      <c r="AA1356">
        <v>1900499614.697583</v>
      </c>
      <c r="AB1356">
        <v>1900499.614697583</v>
      </c>
      <c r="AC1356">
        <v>0</v>
      </c>
      <c r="AD1356">
        <v>7878.9161319153536</v>
      </c>
      <c r="AE1356">
        <v>4727349.6791492123</v>
      </c>
      <c r="AF1356">
        <v>2363674.8395746062</v>
      </c>
      <c r="AG1356">
        <v>75.734647355300339</v>
      </c>
      <c r="AH1356">
        <v>780.18997267258806</v>
      </c>
      <c r="AI1356">
        <v>390.09498633629403</v>
      </c>
      <c r="AJ1356">
        <v>61766.23747767145</v>
      </c>
      <c r="AK1356">
        <v>854.70085470085473</v>
      </c>
      <c r="AL1356" t="s">
        <v>93</v>
      </c>
      <c r="AM1356">
        <v>60464.722882125578</v>
      </c>
      <c r="AN1356">
        <v>4241.8307158765247</v>
      </c>
      <c r="AO1356">
        <v>66316.147677169982</v>
      </c>
      <c r="AP1356">
        <v>127327.4919303744</v>
      </c>
      <c r="AQ1356">
        <v>61011.344253204428</v>
      </c>
      <c r="AR1356">
        <v>2.6131444327083329E-2</v>
      </c>
      <c r="AS1356">
        <v>815.56116829728273</v>
      </c>
      <c r="AT1356">
        <v>798.37597445278016</v>
      </c>
      <c r="AU1356">
        <v>56.009116883801759</v>
      </c>
      <c r="AV1356">
        <v>875.63816552885555</v>
      </c>
      <c r="AW1356">
        <v>1681.231726517881</v>
      </c>
      <c r="AX1356">
        <v>805.59356098902504</v>
      </c>
      <c r="AY1356">
        <v>5.1508127384050333</v>
      </c>
      <c r="AZ1356" t="s">
        <v>150</v>
      </c>
      <c r="BA1356" t="str">
        <f>VLOOKUP($AZ1356,Sheet1!$A$2:$B$58,2)</f>
        <v>Shikimate</v>
      </c>
      <c r="BB1356" t="s">
        <v>195</v>
      </c>
      <c r="BC1356">
        <v>173.14045999999999</v>
      </c>
      <c r="BD1356">
        <v>3.8571428571428572</v>
      </c>
      <c r="BE1356">
        <v>400.5</v>
      </c>
      <c r="BF1356" t="s">
        <v>221</v>
      </c>
      <c r="BG1356">
        <v>0</v>
      </c>
      <c r="BH1356">
        <v>5.9487179487179402E-2</v>
      </c>
      <c r="BI1356">
        <v>0.33009990635746139</v>
      </c>
      <c r="BJ1356">
        <v>80</v>
      </c>
      <c r="BK1356">
        <v>6366.37459651872</v>
      </c>
      <c r="BL1356">
        <v>3050.5672126602221</v>
      </c>
      <c r="BM1356">
        <v>19.504749316814699</v>
      </c>
      <c r="BN1356">
        <v>3315.8073838584992</v>
      </c>
      <c r="BO1356">
        <v>3050.5672126602208</v>
      </c>
    </row>
    <row r="1357" spans="1:67" x14ac:dyDescent="0.25">
      <c r="A1357" s="1">
        <v>1355</v>
      </c>
      <c r="B1357" t="s">
        <v>78</v>
      </c>
      <c r="C1357" t="s">
        <v>87</v>
      </c>
      <c r="D1357">
        <v>1</v>
      </c>
      <c r="E1357">
        <v>4</v>
      </c>
      <c r="F1357">
        <v>1</v>
      </c>
      <c r="G1357">
        <v>32.041060000000002</v>
      </c>
      <c r="H1357">
        <v>6</v>
      </c>
      <c r="I1357" t="s">
        <v>89</v>
      </c>
      <c r="J1357">
        <v>2.5</v>
      </c>
      <c r="K1357">
        <v>200</v>
      </c>
      <c r="L1357">
        <v>50</v>
      </c>
      <c r="N1357" t="s">
        <v>90</v>
      </c>
      <c r="O1357">
        <v>50</v>
      </c>
      <c r="P1357">
        <v>0.3125</v>
      </c>
      <c r="Q1357">
        <v>3.2500000000000001E-2</v>
      </c>
      <c r="R1357">
        <v>77.5</v>
      </c>
      <c r="S1357">
        <v>170</v>
      </c>
      <c r="T1357">
        <v>50</v>
      </c>
      <c r="U1357">
        <v>1812.1301775147931</v>
      </c>
      <c r="V1357">
        <v>20</v>
      </c>
      <c r="W1357">
        <v>0.95</v>
      </c>
      <c r="X1357">
        <v>1</v>
      </c>
      <c r="Y1357">
        <v>872116.66381122835</v>
      </c>
      <c r="Z1357">
        <v>1744233327.622457</v>
      </c>
      <c r="AA1357">
        <v>4360583319.0561428</v>
      </c>
      <c r="AB1357">
        <v>4360583.3190561431</v>
      </c>
      <c r="AC1357">
        <v>0</v>
      </c>
      <c r="AD1357">
        <v>18077.704405396289</v>
      </c>
      <c r="AE1357">
        <v>10846622.64323777</v>
      </c>
      <c r="AF1357">
        <v>5423311.3216188857</v>
      </c>
      <c r="AG1357">
        <v>173.76864345467001</v>
      </c>
      <c r="AH1357">
        <v>1790.099484483354</v>
      </c>
      <c r="AI1357">
        <v>895.04974224167677</v>
      </c>
      <c r="AJ1357">
        <v>141718.95786932469</v>
      </c>
      <c r="AK1357">
        <v>854.70085470085473</v>
      </c>
      <c r="AL1357" t="s">
        <v>93</v>
      </c>
      <c r="AM1357">
        <v>138732.7100474599</v>
      </c>
      <c r="AN1357">
        <v>9732.6282619922858</v>
      </c>
      <c r="AO1357">
        <v>152158.45618108509</v>
      </c>
      <c r="AP1357">
        <v>291038.9970334777</v>
      </c>
      <c r="AQ1357">
        <v>138880.54085239259</v>
      </c>
      <c r="AR1357">
        <v>2.613144432708334E-2</v>
      </c>
      <c r="AS1357">
        <v>815.56116829728285</v>
      </c>
      <c r="AT1357">
        <v>798.37597445278016</v>
      </c>
      <c r="AU1357">
        <v>56.009116883801752</v>
      </c>
      <c r="AV1357">
        <v>875.63816552885567</v>
      </c>
      <c r="AW1357">
        <v>1674.864873474133</v>
      </c>
      <c r="AX1357">
        <v>799.22670794527778</v>
      </c>
      <c r="AY1357">
        <v>5.1508127384050333</v>
      </c>
      <c r="AZ1357" t="s">
        <v>151</v>
      </c>
      <c r="BA1357" t="str">
        <f>VLOOKUP($AZ1357,Sheet1!$A$2:$B$58,2)</f>
        <v>Styrene</v>
      </c>
      <c r="BB1357" t="s">
        <v>196</v>
      </c>
      <c r="BC1357">
        <v>104.14832</v>
      </c>
      <c r="BD1357">
        <v>5</v>
      </c>
      <c r="BE1357">
        <v>145</v>
      </c>
      <c r="BF1357" t="s">
        <v>221</v>
      </c>
      <c r="BG1357">
        <v>0</v>
      </c>
      <c r="BH1357">
        <v>4.37735849056601E-2</v>
      </c>
      <c r="BI1357">
        <v>0.14386945482785909</v>
      </c>
      <c r="BJ1357">
        <v>80</v>
      </c>
      <c r="BK1357">
        <v>14551.94985167388</v>
      </c>
      <c r="BL1357">
        <v>6944.027042619633</v>
      </c>
      <c r="BM1357">
        <v>44.752487112083841</v>
      </c>
      <c r="BN1357">
        <v>7607.9228090542529</v>
      </c>
      <c r="BO1357">
        <v>6944.0270426196312</v>
      </c>
    </row>
    <row r="1358" spans="1:67" x14ac:dyDescent="0.25">
      <c r="A1358" s="1">
        <v>1356</v>
      </c>
      <c r="B1358" t="s">
        <v>78</v>
      </c>
      <c r="C1358" t="s">
        <v>87</v>
      </c>
      <c r="D1358">
        <v>1</v>
      </c>
      <c r="E1358">
        <v>4</v>
      </c>
      <c r="F1358">
        <v>1</v>
      </c>
      <c r="G1358">
        <v>32.041060000000002</v>
      </c>
      <c r="H1358">
        <v>6</v>
      </c>
      <c r="I1358" t="s">
        <v>89</v>
      </c>
      <c r="J1358">
        <v>2.5</v>
      </c>
      <c r="K1358">
        <v>200</v>
      </c>
      <c r="L1358">
        <v>50</v>
      </c>
      <c r="N1358" t="s">
        <v>90</v>
      </c>
      <c r="O1358">
        <v>50</v>
      </c>
      <c r="P1358">
        <v>0.3125</v>
      </c>
      <c r="Q1358">
        <v>3.2500000000000001E-2</v>
      </c>
      <c r="R1358">
        <v>77.5</v>
      </c>
      <c r="S1358">
        <v>170</v>
      </c>
      <c r="T1358">
        <v>50</v>
      </c>
      <c r="U1358">
        <v>1812.1301775147931</v>
      </c>
      <c r="V1358">
        <v>20</v>
      </c>
      <c r="W1358">
        <v>0.95</v>
      </c>
      <c r="X1358">
        <v>1</v>
      </c>
      <c r="Y1358">
        <v>594118.82996516605</v>
      </c>
      <c r="Z1358">
        <v>1188237659.9303319</v>
      </c>
      <c r="AA1358">
        <v>2970594149.82583</v>
      </c>
      <c r="AB1358">
        <v>2970594.14982583</v>
      </c>
      <c r="AC1358">
        <v>0</v>
      </c>
      <c r="AD1358">
        <v>12315.21542410859</v>
      </c>
      <c r="AE1358">
        <v>7389129.2544651562</v>
      </c>
      <c r="AF1358">
        <v>3694564.6272325781</v>
      </c>
      <c r="AG1358">
        <v>118.3777668950367</v>
      </c>
      <c r="AH1358">
        <v>1219.4834193337931</v>
      </c>
      <c r="AI1358">
        <v>609.74170966689644</v>
      </c>
      <c r="AJ1358">
        <v>96544.3098693395</v>
      </c>
      <c r="AK1358">
        <v>854.70085470085473</v>
      </c>
      <c r="AL1358" t="s">
        <v>93</v>
      </c>
      <c r="AM1358">
        <v>94509.964998368945</v>
      </c>
      <c r="AN1358">
        <v>6630.2341824675477</v>
      </c>
      <c r="AO1358">
        <v>103656.0906433724</v>
      </c>
      <c r="AP1358">
        <v>198539.2099048768</v>
      </c>
      <c r="AQ1358">
        <v>94883.119261504427</v>
      </c>
      <c r="AR1358">
        <v>2.6131444327083329E-2</v>
      </c>
      <c r="AS1358">
        <v>815.56116829728273</v>
      </c>
      <c r="AT1358">
        <v>798.37597445277993</v>
      </c>
      <c r="AU1358">
        <v>56.009116883801759</v>
      </c>
      <c r="AV1358">
        <v>875.63816552885555</v>
      </c>
      <c r="AW1358">
        <v>1677.1663726425741</v>
      </c>
      <c r="AX1358">
        <v>801.52820711371851</v>
      </c>
      <c r="AY1358">
        <v>5.1508127384050324</v>
      </c>
      <c r="AZ1358" t="s">
        <v>138</v>
      </c>
      <c r="BA1358" t="str">
        <f>VLOOKUP($AZ1358,Sheet1!$A$2:$B$58,2)</f>
        <v>Limonene</v>
      </c>
      <c r="BB1358" t="s">
        <v>186</v>
      </c>
      <c r="BC1358">
        <v>136.23244</v>
      </c>
      <c r="BD1358">
        <v>5.6</v>
      </c>
      <c r="BE1358">
        <v>176</v>
      </c>
      <c r="BF1358" t="s">
        <v>221</v>
      </c>
      <c r="BG1358">
        <v>0</v>
      </c>
      <c r="BH1358">
        <v>4.9361702127659501E-2</v>
      </c>
      <c r="BI1358">
        <v>0.2111883055047577</v>
      </c>
      <c r="BJ1358">
        <v>80</v>
      </c>
      <c r="BK1358">
        <v>9926.9604952438422</v>
      </c>
      <c r="BL1358">
        <v>4744.1559630752226</v>
      </c>
      <c r="BM1358">
        <v>30.487085483344821</v>
      </c>
      <c r="BN1358">
        <v>5182.8045321686204</v>
      </c>
      <c r="BO1358">
        <v>4744.1559630752217</v>
      </c>
    </row>
    <row r="1359" spans="1:67" x14ac:dyDescent="0.25">
      <c r="A1359" s="1">
        <v>1357</v>
      </c>
      <c r="B1359" t="s">
        <v>78</v>
      </c>
      <c r="C1359" t="s">
        <v>87</v>
      </c>
      <c r="D1359">
        <v>1</v>
      </c>
      <c r="E1359">
        <v>4</v>
      </c>
      <c r="F1359">
        <v>1</v>
      </c>
      <c r="G1359">
        <v>32.041060000000002</v>
      </c>
      <c r="H1359">
        <v>6</v>
      </c>
      <c r="I1359" t="s">
        <v>89</v>
      </c>
      <c r="J1359">
        <v>2.5</v>
      </c>
      <c r="K1359">
        <v>200</v>
      </c>
      <c r="L1359">
        <v>50</v>
      </c>
      <c r="N1359" t="s">
        <v>90</v>
      </c>
      <c r="O1359">
        <v>50</v>
      </c>
      <c r="P1359">
        <v>0.3125</v>
      </c>
      <c r="Q1359">
        <v>3.2500000000000001E-2</v>
      </c>
      <c r="R1359">
        <v>77.5</v>
      </c>
      <c r="S1359">
        <v>170</v>
      </c>
      <c r="T1359">
        <v>50</v>
      </c>
      <c r="U1359">
        <v>1812.1301775147931</v>
      </c>
      <c r="V1359">
        <v>20</v>
      </c>
      <c r="W1359">
        <v>0.95</v>
      </c>
      <c r="X1359">
        <v>1</v>
      </c>
      <c r="Y1359">
        <v>185320.47433700101</v>
      </c>
      <c r="Z1359">
        <v>370640948.67400187</v>
      </c>
      <c r="AA1359">
        <v>926602371.68500471</v>
      </c>
      <c r="AB1359">
        <v>926602.37168500468</v>
      </c>
      <c r="AC1359">
        <v>0</v>
      </c>
      <c r="AD1359">
        <v>3841.4227067874049</v>
      </c>
      <c r="AE1359">
        <v>2304853.6240724432</v>
      </c>
      <c r="AF1359">
        <v>1152426.8120362221</v>
      </c>
      <c r="AG1359">
        <v>36.924976630061302</v>
      </c>
      <c r="AH1359">
        <v>380.38727998285577</v>
      </c>
      <c r="AI1359">
        <v>190.19363999142789</v>
      </c>
      <c r="AJ1359">
        <v>30114.57707976265</v>
      </c>
      <c r="AK1359">
        <v>854.70085470085473</v>
      </c>
      <c r="AL1359" t="s">
        <v>93</v>
      </c>
      <c r="AM1359">
        <v>29480.014198671321</v>
      </c>
      <c r="AN1359">
        <v>2068.1353320047519</v>
      </c>
      <c r="AO1359">
        <v>32332.918798542742</v>
      </c>
      <c r="AP1359">
        <v>62517.427465139583</v>
      </c>
      <c r="AQ1359">
        <v>30184.50866659683</v>
      </c>
      <c r="AR1359">
        <v>2.6131444327083329E-2</v>
      </c>
      <c r="AS1359">
        <v>815.56116829728273</v>
      </c>
      <c r="AT1359">
        <v>798.37597445278004</v>
      </c>
      <c r="AU1359">
        <v>56.009116883801767</v>
      </c>
      <c r="AV1359">
        <v>875.63816552885555</v>
      </c>
      <c r="AW1359">
        <v>1693.0932168618619</v>
      </c>
      <c r="AX1359">
        <v>817.45505133300685</v>
      </c>
      <c r="AY1359">
        <v>5.1508127384050324</v>
      </c>
      <c r="AZ1359" t="s">
        <v>140</v>
      </c>
      <c r="BA1359" t="str">
        <f>VLOOKUP($AZ1359,Sheet1!$A$2:$B$58,2)</f>
        <v>L-Malate</v>
      </c>
      <c r="BB1359" t="s">
        <v>188</v>
      </c>
      <c r="BC1359">
        <v>132.06916000000001</v>
      </c>
      <c r="BD1359">
        <v>2.5</v>
      </c>
      <c r="BF1359" t="s">
        <v>221</v>
      </c>
      <c r="BG1359">
        <v>0</v>
      </c>
      <c r="BH1359">
        <v>0.15466666666666351</v>
      </c>
      <c r="BI1359">
        <v>0.67704849891894159</v>
      </c>
      <c r="BJ1359">
        <v>80</v>
      </c>
      <c r="BK1359">
        <v>3125.871373256979</v>
      </c>
      <c r="BL1359">
        <v>1509.225433329842</v>
      </c>
      <c r="BM1359">
        <v>9.5096819995713915</v>
      </c>
      <c r="BN1359">
        <v>1616.6459399271371</v>
      </c>
      <c r="BO1359">
        <v>1509.225433329842</v>
      </c>
    </row>
    <row r="1360" spans="1:67" x14ac:dyDescent="0.25">
      <c r="A1360" s="1">
        <v>1358</v>
      </c>
      <c r="B1360" t="s">
        <v>78</v>
      </c>
      <c r="C1360" t="s">
        <v>87</v>
      </c>
      <c r="D1360">
        <v>1</v>
      </c>
      <c r="E1360">
        <v>4</v>
      </c>
      <c r="F1360">
        <v>1</v>
      </c>
      <c r="G1360">
        <v>32.041060000000002</v>
      </c>
      <c r="H1360">
        <v>6</v>
      </c>
      <c r="I1360" t="s">
        <v>89</v>
      </c>
      <c r="J1360">
        <v>2.5</v>
      </c>
      <c r="K1360">
        <v>200</v>
      </c>
      <c r="L1360">
        <v>50</v>
      </c>
      <c r="N1360" t="s">
        <v>90</v>
      </c>
      <c r="O1360">
        <v>50</v>
      </c>
      <c r="P1360">
        <v>0.3125</v>
      </c>
      <c r="Q1360">
        <v>3.2500000000000001E-2</v>
      </c>
      <c r="R1360">
        <v>77.5</v>
      </c>
      <c r="S1360">
        <v>170</v>
      </c>
      <c r="T1360">
        <v>50</v>
      </c>
      <c r="U1360">
        <v>1812.1301775147931</v>
      </c>
      <c r="V1360">
        <v>20</v>
      </c>
      <c r="W1360">
        <v>0.95</v>
      </c>
      <c r="X1360">
        <v>1</v>
      </c>
      <c r="Y1360">
        <v>183185.41141766749</v>
      </c>
      <c r="Z1360">
        <v>366370822.8353349</v>
      </c>
      <c r="AA1360">
        <v>915927057.08833718</v>
      </c>
      <c r="AB1360">
        <v>915927.05708833714</v>
      </c>
      <c r="AC1360">
        <v>0</v>
      </c>
      <c r="AD1360">
        <v>3797.1659714855468</v>
      </c>
      <c r="AE1360">
        <v>2278299.5828913278</v>
      </c>
      <c r="AF1360">
        <v>1139149.7914456639</v>
      </c>
      <c r="AG1360">
        <v>36.499566816698007</v>
      </c>
      <c r="AH1360">
        <v>376.00486741142748</v>
      </c>
      <c r="AI1360">
        <v>188.0024337057138</v>
      </c>
      <c r="AJ1360">
        <v>29767.629355370958</v>
      </c>
      <c r="AK1360">
        <v>854.70085470085473</v>
      </c>
      <c r="AL1360" t="s">
        <v>93</v>
      </c>
      <c r="AM1360">
        <v>29140.377224385629</v>
      </c>
      <c r="AN1360">
        <v>2044.3085040445719</v>
      </c>
      <c r="AO1360">
        <v>31960.41372997134</v>
      </c>
      <c r="AP1360">
        <v>61807.015938502023</v>
      </c>
      <c r="AQ1360">
        <v>29846.602208530679</v>
      </c>
      <c r="AR1360">
        <v>2.6131444327083329E-2</v>
      </c>
      <c r="AS1360">
        <v>815.56116829728262</v>
      </c>
      <c r="AT1360">
        <v>798.37597445278004</v>
      </c>
      <c r="AU1360">
        <v>56.009116883801781</v>
      </c>
      <c r="AV1360">
        <v>875.63816552885555</v>
      </c>
      <c r="AW1360">
        <v>1693.362999317193</v>
      </c>
      <c r="AX1360">
        <v>817.72483378833704</v>
      </c>
      <c r="AY1360">
        <v>5.1508127384050333</v>
      </c>
      <c r="AZ1360" t="s">
        <v>152</v>
      </c>
      <c r="BA1360" t="str">
        <f>VLOOKUP($AZ1360,Sheet1!$A$2:$B$58,2)</f>
        <v>Succinate</v>
      </c>
      <c r="BB1360" t="s">
        <v>197</v>
      </c>
      <c r="BC1360">
        <v>116.07016</v>
      </c>
      <c r="BD1360">
        <v>3</v>
      </c>
      <c r="BE1360">
        <v>235</v>
      </c>
      <c r="BF1360" t="s">
        <v>221</v>
      </c>
      <c r="BG1360">
        <v>0</v>
      </c>
      <c r="BH1360">
        <v>0.17846153846153839</v>
      </c>
      <c r="BI1360">
        <v>0.6849396357373444</v>
      </c>
      <c r="BJ1360">
        <v>80</v>
      </c>
      <c r="BK1360">
        <v>3090.3507969251009</v>
      </c>
      <c r="BL1360">
        <v>1492.330110426534</v>
      </c>
      <c r="BM1360">
        <v>9.4001216852856881</v>
      </c>
      <c r="BN1360">
        <v>1598.0206864985671</v>
      </c>
      <c r="BO1360">
        <v>1492.330110426534</v>
      </c>
    </row>
    <row r="1361" spans="1:67" x14ac:dyDescent="0.25">
      <c r="A1361" s="1">
        <v>1359</v>
      </c>
      <c r="B1361" t="s">
        <v>78</v>
      </c>
      <c r="C1361" t="s">
        <v>87</v>
      </c>
      <c r="D1361">
        <v>1</v>
      </c>
      <c r="E1361">
        <v>4</v>
      </c>
      <c r="F1361">
        <v>1</v>
      </c>
      <c r="G1361">
        <v>32.041060000000002</v>
      </c>
      <c r="H1361">
        <v>6</v>
      </c>
      <c r="I1361" t="s">
        <v>89</v>
      </c>
      <c r="J1361">
        <v>2.5</v>
      </c>
      <c r="K1361">
        <v>200</v>
      </c>
      <c r="L1361">
        <v>50</v>
      </c>
      <c r="N1361" t="s">
        <v>90</v>
      </c>
      <c r="O1361">
        <v>50</v>
      </c>
      <c r="P1361">
        <v>0.3125</v>
      </c>
      <c r="Q1361">
        <v>3.2500000000000001E-2</v>
      </c>
      <c r="R1361">
        <v>77.5</v>
      </c>
      <c r="S1361">
        <v>170</v>
      </c>
      <c r="T1361">
        <v>50</v>
      </c>
      <c r="U1361">
        <v>1812.1301775147931</v>
      </c>
      <c r="V1361">
        <v>20</v>
      </c>
      <c r="W1361">
        <v>0.95</v>
      </c>
      <c r="X1361">
        <v>1</v>
      </c>
      <c r="Y1361">
        <v>411778.35140195373</v>
      </c>
      <c r="Z1361">
        <v>823556702.80390739</v>
      </c>
      <c r="AA1361">
        <v>2058891757.009768</v>
      </c>
      <c r="AB1361">
        <v>2058891.7570097679</v>
      </c>
      <c r="AC1361">
        <v>0</v>
      </c>
      <c r="AD1361">
        <v>8535.563676372074</v>
      </c>
      <c r="AE1361">
        <v>5121338.2058232455</v>
      </c>
      <c r="AF1361">
        <v>2560669.1029116218</v>
      </c>
      <c r="AG1361">
        <v>82.046552366537469</v>
      </c>
      <c r="AH1361">
        <v>845.2128541435535</v>
      </c>
      <c r="AI1361">
        <v>422.60642707177669</v>
      </c>
      <c r="AJ1361">
        <v>66913.982102817477</v>
      </c>
      <c r="AK1361">
        <v>854.70085470085473</v>
      </c>
      <c r="AL1361" t="s">
        <v>93</v>
      </c>
      <c r="AM1361">
        <v>65503.996196125387</v>
      </c>
      <c r="AN1361">
        <v>4595.35494141036</v>
      </c>
      <c r="AO1361">
        <v>71843.092602202043</v>
      </c>
      <c r="AP1361">
        <v>137868.03409505411</v>
      </c>
      <c r="AQ1361">
        <v>66024.941492852042</v>
      </c>
      <c r="AR1361">
        <v>2.6131444327083329E-2</v>
      </c>
      <c r="AS1361">
        <v>815.56116829728273</v>
      </c>
      <c r="AT1361">
        <v>798.37597445278004</v>
      </c>
      <c r="AU1361">
        <v>56.009116883801767</v>
      </c>
      <c r="AV1361">
        <v>875.63816552885544</v>
      </c>
      <c r="AW1361">
        <v>1680.3635267834029</v>
      </c>
      <c r="AX1361">
        <v>804.72536125454792</v>
      </c>
      <c r="AY1361">
        <v>5.1508127384050324</v>
      </c>
      <c r="AZ1361" t="s">
        <v>130</v>
      </c>
      <c r="BA1361" t="str">
        <f>VLOOKUP($AZ1361,Sheet1!$A$2:$B$58,2)</f>
        <v>Glycolate</v>
      </c>
      <c r="BB1361" t="s">
        <v>180</v>
      </c>
      <c r="BC1361">
        <v>75.041920000000005</v>
      </c>
      <c r="BD1361">
        <v>2.5</v>
      </c>
      <c r="BE1361">
        <v>112</v>
      </c>
      <c r="BF1361" t="s">
        <v>221</v>
      </c>
      <c r="BG1361">
        <v>0</v>
      </c>
      <c r="BH1361">
        <v>0.1221052631578947</v>
      </c>
      <c r="BI1361">
        <v>0.3047050641240131</v>
      </c>
      <c r="BJ1361">
        <v>80</v>
      </c>
      <c r="BK1361">
        <v>6893.401704752705</v>
      </c>
      <c r="BL1361">
        <v>3301.247074642602</v>
      </c>
      <c r="BM1361">
        <v>21.13032135358884</v>
      </c>
      <c r="BN1361">
        <v>3592.154630110103</v>
      </c>
      <c r="BO1361">
        <v>3301.247074642602</v>
      </c>
    </row>
    <row r="1362" spans="1:67" x14ac:dyDescent="0.25">
      <c r="A1362" s="1">
        <v>1360</v>
      </c>
      <c r="B1362" t="s">
        <v>78</v>
      </c>
      <c r="C1362" t="s">
        <v>87</v>
      </c>
      <c r="D1362">
        <v>1</v>
      </c>
      <c r="E1362">
        <v>4</v>
      </c>
      <c r="F1362">
        <v>1</v>
      </c>
      <c r="G1362">
        <v>32.041060000000002</v>
      </c>
      <c r="H1362">
        <v>6</v>
      </c>
      <c r="I1362" t="s">
        <v>89</v>
      </c>
      <c r="J1362">
        <v>2.5</v>
      </c>
      <c r="K1362">
        <v>200</v>
      </c>
      <c r="L1362">
        <v>50</v>
      </c>
      <c r="N1362" t="s">
        <v>90</v>
      </c>
      <c r="O1362">
        <v>50</v>
      </c>
      <c r="P1362">
        <v>0.3125</v>
      </c>
      <c r="Q1362">
        <v>3.2500000000000001E-2</v>
      </c>
      <c r="R1362">
        <v>77.5</v>
      </c>
      <c r="S1362">
        <v>170</v>
      </c>
      <c r="T1362">
        <v>50</v>
      </c>
      <c r="U1362">
        <v>1812.1301775147931</v>
      </c>
      <c r="V1362">
        <v>20</v>
      </c>
      <c r="W1362">
        <v>0.95</v>
      </c>
      <c r="X1362">
        <v>1</v>
      </c>
      <c r="Y1362">
        <v>194147.9534498447</v>
      </c>
      <c r="Z1362">
        <v>388295906.89968932</v>
      </c>
      <c r="AA1362">
        <v>970739767.24922323</v>
      </c>
      <c r="AB1362">
        <v>970739.76724922319</v>
      </c>
      <c r="AC1362">
        <v>0</v>
      </c>
      <c r="AD1362">
        <v>4024.403453135511</v>
      </c>
      <c r="AE1362">
        <v>2414642.0718813068</v>
      </c>
      <c r="AF1362">
        <v>1207321.0359406529</v>
      </c>
      <c r="AG1362">
        <v>38.683845751836643</v>
      </c>
      <c r="AH1362">
        <v>398.50649093811109</v>
      </c>
      <c r="AI1362">
        <v>199.2532454690556</v>
      </c>
      <c r="AJ1362">
        <v>31549.04243559976</v>
      </c>
      <c r="AK1362">
        <v>854.70085470085473</v>
      </c>
      <c r="AL1362" t="s">
        <v>93</v>
      </c>
      <c r="AM1362">
        <v>30884.253047703609</v>
      </c>
      <c r="AN1362">
        <v>2166.6480382295772</v>
      </c>
      <c r="AO1362">
        <v>33873.051729739447</v>
      </c>
      <c r="AP1362">
        <v>65454.644376233802</v>
      </c>
      <c r="AQ1362">
        <v>31581.592646494351</v>
      </c>
      <c r="AR1362">
        <v>2.6131444327083329E-2</v>
      </c>
      <c r="AS1362">
        <v>815.56116829728262</v>
      </c>
      <c r="AT1362">
        <v>798.37597445278016</v>
      </c>
      <c r="AU1362">
        <v>56.009116883801767</v>
      </c>
      <c r="AV1362">
        <v>875.63816552885567</v>
      </c>
      <c r="AW1362">
        <v>1692.0407757836781</v>
      </c>
      <c r="AX1362">
        <v>816.40261025482243</v>
      </c>
      <c r="AY1362">
        <v>5.1508127384050333</v>
      </c>
      <c r="AZ1362" t="s">
        <v>123</v>
      </c>
      <c r="BA1362" t="str">
        <f>VLOOKUP($AZ1362,Sheet1!$A$2:$B$58,2)</f>
        <v>Citrate</v>
      </c>
      <c r="BB1362" t="s">
        <v>173</v>
      </c>
      <c r="BC1362">
        <v>189.09639999999999</v>
      </c>
      <c r="BD1362">
        <v>2.5</v>
      </c>
      <c r="BF1362" t="s">
        <v>221</v>
      </c>
      <c r="BG1362">
        <v>0</v>
      </c>
      <c r="BH1362">
        <v>0.10311111111111081</v>
      </c>
      <c r="BI1362">
        <v>0.64626459738204922</v>
      </c>
      <c r="BJ1362">
        <v>80</v>
      </c>
      <c r="BK1362">
        <v>3272.73221881169</v>
      </c>
      <c r="BL1362">
        <v>1579.079632324718</v>
      </c>
      <c r="BM1362">
        <v>9.9626622734527785</v>
      </c>
      <c r="BN1362">
        <v>1693.652586486972</v>
      </c>
      <c r="BO1362">
        <v>1579.079632324718</v>
      </c>
    </row>
    <row r="1363" spans="1:67" x14ac:dyDescent="0.25">
      <c r="A1363" s="1">
        <v>1361</v>
      </c>
      <c r="B1363" t="s">
        <v>78</v>
      </c>
      <c r="C1363" t="s">
        <v>87</v>
      </c>
      <c r="D1363">
        <v>1</v>
      </c>
      <c r="E1363">
        <v>4</v>
      </c>
      <c r="F1363">
        <v>1</v>
      </c>
      <c r="G1363">
        <v>32.041060000000002</v>
      </c>
      <c r="H1363">
        <v>6</v>
      </c>
      <c r="I1363" t="s">
        <v>89</v>
      </c>
      <c r="J1363">
        <v>2.5</v>
      </c>
      <c r="K1363">
        <v>200</v>
      </c>
      <c r="L1363">
        <v>50</v>
      </c>
      <c r="N1363" t="s">
        <v>90</v>
      </c>
      <c r="O1363">
        <v>50</v>
      </c>
      <c r="P1363">
        <v>0.3125</v>
      </c>
      <c r="Q1363">
        <v>3.2500000000000001E-2</v>
      </c>
      <c r="R1363">
        <v>77.5</v>
      </c>
      <c r="S1363">
        <v>170</v>
      </c>
      <c r="T1363">
        <v>50</v>
      </c>
      <c r="U1363">
        <v>1812.1301775147931</v>
      </c>
      <c r="V1363">
        <v>20</v>
      </c>
      <c r="W1363">
        <v>0.95</v>
      </c>
      <c r="X1363">
        <v>1</v>
      </c>
      <c r="Y1363">
        <v>127180.06964537231</v>
      </c>
      <c r="Z1363">
        <v>254360139.29074469</v>
      </c>
      <c r="AA1363">
        <v>635900348.22686172</v>
      </c>
      <c r="AB1363">
        <v>635900.34822686168</v>
      </c>
      <c r="AC1363">
        <v>0</v>
      </c>
      <c r="AD1363">
        <v>2636.2570521922789</v>
      </c>
      <c r="AE1363">
        <v>1581754.2313153669</v>
      </c>
      <c r="AF1363">
        <v>790877.11565768358</v>
      </c>
      <c r="AG1363">
        <v>25.34054111541478</v>
      </c>
      <c r="AH1363">
        <v>261.04876395070988</v>
      </c>
      <c r="AI1363">
        <v>130.524381975355</v>
      </c>
      <c r="AJ1363">
        <v>20666.76131737301</v>
      </c>
      <c r="AK1363">
        <v>854.70085470085473</v>
      </c>
      <c r="AL1363" t="s">
        <v>93</v>
      </c>
      <c r="AM1363">
        <v>20231.279206180021</v>
      </c>
      <c r="AN1363">
        <v>1419.3013292320511</v>
      </c>
      <c r="AO1363">
        <v>22189.144935810349</v>
      </c>
      <c r="AP1363">
        <v>43172.042707485933</v>
      </c>
      <c r="AQ1363">
        <v>20982.897771675591</v>
      </c>
      <c r="AR1363">
        <v>2.613144432708334E-2</v>
      </c>
      <c r="AS1363">
        <v>815.56116829728285</v>
      </c>
      <c r="AT1363">
        <v>798.37597445278038</v>
      </c>
      <c r="AU1363">
        <v>56.009116883801767</v>
      </c>
      <c r="AV1363">
        <v>875.63816552885589</v>
      </c>
      <c r="AW1363">
        <v>1703.6748548839851</v>
      </c>
      <c r="AX1363">
        <v>828.03668935512917</v>
      </c>
      <c r="AY1363">
        <v>5.1508127384050342</v>
      </c>
      <c r="AZ1363" t="s">
        <v>128</v>
      </c>
      <c r="BA1363" t="str">
        <f>VLOOKUP($AZ1363,Sheet1!$A$2:$B$58,2)</f>
        <v>L-Glutamate</v>
      </c>
      <c r="BB1363" t="s">
        <v>178</v>
      </c>
      <c r="BC1363">
        <v>146.11892</v>
      </c>
      <c r="BD1363">
        <v>3.4</v>
      </c>
      <c r="BE1363">
        <v>333.8</v>
      </c>
      <c r="BF1363" t="s">
        <v>221</v>
      </c>
      <c r="BG1363">
        <v>0</v>
      </c>
      <c r="BH1363">
        <v>0.19999999999999901</v>
      </c>
      <c r="BI1363">
        <v>0.98656141106601603</v>
      </c>
      <c r="BJ1363">
        <v>80</v>
      </c>
      <c r="BK1363">
        <v>2158.6021353742958</v>
      </c>
      <c r="BL1363">
        <v>1049.144888583779</v>
      </c>
      <c r="BM1363">
        <v>6.526219098767748</v>
      </c>
      <c r="BN1363">
        <v>1109.457246790517</v>
      </c>
      <c r="BO1363">
        <v>1049.144888583779</v>
      </c>
    </row>
    <row r="1364" spans="1:67" x14ac:dyDescent="0.25">
      <c r="A1364" s="1">
        <v>1362</v>
      </c>
      <c r="B1364" t="s">
        <v>78</v>
      </c>
      <c r="C1364" t="s">
        <v>87</v>
      </c>
      <c r="D1364">
        <v>1</v>
      </c>
      <c r="E1364">
        <v>4</v>
      </c>
      <c r="F1364">
        <v>1</v>
      </c>
      <c r="G1364">
        <v>32.041060000000002</v>
      </c>
      <c r="H1364">
        <v>6</v>
      </c>
      <c r="I1364" t="s">
        <v>89</v>
      </c>
      <c r="J1364">
        <v>2.5</v>
      </c>
      <c r="K1364">
        <v>200</v>
      </c>
      <c r="L1364">
        <v>50</v>
      </c>
      <c r="N1364" t="s">
        <v>90</v>
      </c>
      <c r="O1364">
        <v>50</v>
      </c>
      <c r="P1364">
        <v>0.3125</v>
      </c>
      <c r="Q1364">
        <v>3.2500000000000001E-2</v>
      </c>
      <c r="R1364">
        <v>77.5</v>
      </c>
      <c r="S1364">
        <v>170</v>
      </c>
      <c r="T1364">
        <v>50</v>
      </c>
      <c r="U1364">
        <v>1812.1301775147931</v>
      </c>
      <c r="V1364">
        <v>20</v>
      </c>
      <c r="W1364">
        <v>0.95</v>
      </c>
      <c r="X1364">
        <v>1</v>
      </c>
      <c r="Y1364">
        <v>240351.75967923299</v>
      </c>
      <c r="Z1364">
        <v>480703519.35846609</v>
      </c>
      <c r="AA1364">
        <v>1201758798.3961649</v>
      </c>
      <c r="AB1364">
        <v>1201758.798396165</v>
      </c>
      <c r="AC1364">
        <v>0</v>
      </c>
      <c r="AD1364">
        <v>4982.1408592400276</v>
      </c>
      <c r="AE1364">
        <v>2989284.5155440159</v>
      </c>
      <c r="AF1364">
        <v>1494642.257772008</v>
      </c>
      <c r="AG1364">
        <v>47.889922259808387</v>
      </c>
      <c r="AH1364">
        <v>493.34404323409558</v>
      </c>
      <c r="AI1364">
        <v>246.67202161704779</v>
      </c>
      <c r="AJ1364">
        <v>39057.160947875367</v>
      </c>
      <c r="AK1364">
        <v>854.70085470085473</v>
      </c>
      <c r="AL1364" t="s">
        <v>93</v>
      </c>
      <c r="AM1364">
        <v>38234.163350642411</v>
      </c>
      <c r="AN1364">
        <v>2682.272253405788</v>
      </c>
      <c r="AO1364">
        <v>41934.243674898127</v>
      </c>
      <c r="AP1364">
        <v>80828.297406624421</v>
      </c>
      <c r="AQ1364">
        <v>38894.053731726293</v>
      </c>
      <c r="AR1364">
        <v>2.6131444327083329E-2</v>
      </c>
      <c r="AS1364">
        <v>815.56116829728273</v>
      </c>
      <c r="AT1364">
        <v>798.37597445278027</v>
      </c>
      <c r="AU1364">
        <v>56.009116883801767</v>
      </c>
      <c r="AV1364">
        <v>875.63816552885578</v>
      </c>
      <c r="AW1364">
        <v>1687.793456170622</v>
      </c>
      <c r="AX1364">
        <v>812.15529064176667</v>
      </c>
      <c r="AY1364">
        <v>5.1508127384050342</v>
      </c>
      <c r="AZ1364" t="s">
        <v>139</v>
      </c>
      <c r="BA1364" t="str">
        <f>VLOOKUP($AZ1364,Sheet1!$A$2:$B$58,2)</f>
        <v>L-Lysine</v>
      </c>
      <c r="BB1364" t="s">
        <v>187</v>
      </c>
      <c r="BC1364">
        <v>147.19319999999999</v>
      </c>
      <c r="BD1364">
        <v>4.833333333333333</v>
      </c>
      <c r="BF1364" t="s">
        <v>221</v>
      </c>
      <c r="BG1364">
        <v>0</v>
      </c>
      <c r="BH1364">
        <v>0.11047619047619001</v>
      </c>
      <c r="BI1364">
        <v>0.52203049870016704</v>
      </c>
      <c r="BJ1364">
        <v>80</v>
      </c>
      <c r="BK1364">
        <v>4041.4148703312212</v>
      </c>
      <c r="BL1364">
        <v>1944.702686586314</v>
      </c>
      <c r="BM1364">
        <v>12.333601080852389</v>
      </c>
      <c r="BN1364">
        <v>2096.7121837449072</v>
      </c>
      <c r="BO1364">
        <v>1944.702686586314</v>
      </c>
    </row>
    <row r="1365" spans="1:67" x14ac:dyDescent="0.25">
      <c r="A1365" s="1">
        <v>1363</v>
      </c>
      <c r="B1365" t="s">
        <v>78</v>
      </c>
      <c r="C1365" t="s">
        <v>87</v>
      </c>
      <c r="D1365">
        <v>1</v>
      </c>
      <c r="E1365">
        <v>4</v>
      </c>
      <c r="F1365">
        <v>1</v>
      </c>
      <c r="G1365">
        <v>32.041060000000002</v>
      </c>
      <c r="H1365">
        <v>6</v>
      </c>
      <c r="I1365" t="s">
        <v>89</v>
      </c>
      <c r="J1365">
        <v>2.5</v>
      </c>
      <c r="K1365">
        <v>200</v>
      </c>
      <c r="L1365">
        <v>50</v>
      </c>
      <c r="N1365" t="s">
        <v>90</v>
      </c>
      <c r="O1365">
        <v>50</v>
      </c>
      <c r="P1365">
        <v>0.3125</v>
      </c>
      <c r="Q1365">
        <v>3.2500000000000001E-2</v>
      </c>
      <c r="R1365">
        <v>77.5</v>
      </c>
      <c r="S1365">
        <v>170</v>
      </c>
      <c r="T1365">
        <v>50</v>
      </c>
      <c r="U1365">
        <v>1812.1301775147931</v>
      </c>
      <c r="V1365">
        <v>20</v>
      </c>
      <c r="W1365">
        <v>0.95</v>
      </c>
      <c r="X1365">
        <v>1</v>
      </c>
      <c r="Y1365">
        <v>245734.77472803029</v>
      </c>
      <c r="Z1365">
        <v>491469549.45606059</v>
      </c>
      <c r="AA1365">
        <v>1228673873.640152</v>
      </c>
      <c r="AB1365">
        <v>1228673.873640151</v>
      </c>
      <c r="AC1365">
        <v>0</v>
      </c>
      <c r="AD1365">
        <v>5093.7228974007166</v>
      </c>
      <c r="AE1365">
        <v>3056233.7384404298</v>
      </c>
      <c r="AF1365">
        <v>1528116.8692202149</v>
      </c>
      <c r="AG1365">
        <v>48.962484293697059</v>
      </c>
      <c r="AH1365">
        <v>504.39317560786242</v>
      </c>
      <c r="AI1365">
        <v>252.19658780393121</v>
      </c>
      <c r="AJ1365">
        <v>39931.900893304934</v>
      </c>
      <c r="AK1365">
        <v>854.70085470085473</v>
      </c>
      <c r="AL1365" t="s">
        <v>93</v>
      </c>
      <c r="AM1365">
        <v>39090.471109609338</v>
      </c>
      <c r="AN1365">
        <v>2742.3455057269871</v>
      </c>
      <c r="AO1365">
        <v>42873.419926668314</v>
      </c>
      <c r="AP1365">
        <v>82619.418363342105</v>
      </c>
      <c r="AQ1365">
        <v>39745.998436673799</v>
      </c>
      <c r="AR1365">
        <v>2.6131444327083329E-2</v>
      </c>
      <c r="AS1365">
        <v>815.56116829728273</v>
      </c>
      <c r="AT1365">
        <v>798.37597445278027</v>
      </c>
      <c r="AU1365">
        <v>56.009116883801759</v>
      </c>
      <c r="AV1365">
        <v>875.63816552885578</v>
      </c>
      <c r="AW1365">
        <v>1687.402499181964</v>
      </c>
      <c r="AX1365">
        <v>811.76433365310868</v>
      </c>
      <c r="AY1365">
        <v>5.1508127384050342</v>
      </c>
      <c r="AZ1365" t="s">
        <v>104</v>
      </c>
      <c r="BA1365" t="str">
        <f>VLOOKUP($AZ1365,Sheet1!$A$2:$B$58,2)</f>
        <v>2-Methyl-1-Butanol</v>
      </c>
      <c r="BB1365" t="s">
        <v>157</v>
      </c>
      <c r="BC1365">
        <v>88.14658</v>
      </c>
      <c r="BD1365">
        <v>6</v>
      </c>
      <c r="BE1365">
        <v>129</v>
      </c>
      <c r="BF1365" t="s">
        <v>221</v>
      </c>
      <c r="BG1365">
        <v>0</v>
      </c>
      <c r="BH1365">
        <v>0.18559999999999999</v>
      </c>
      <c r="BI1365">
        <v>0.51059500678192205</v>
      </c>
      <c r="BJ1365">
        <v>80</v>
      </c>
      <c r="BK1365">
        <v>4130.9709181671042</v>
      </c>
      <c r="BL1365">
        <v>1987.299921833689</v>
      </c>
      <c r="BM1365">
        <v>12.609829390196561</v>
      </c>
      <c r="BN1365">
        <v>2143.6709963334151</v>
      </c>
      <c r="BO1365">
        <v>1987.299921833689</v>
      </c>
    </row>
    <row r="1366" spans="1:67" x14ac:dyDescent="0.25">
      <c r="A1366" s="1">
        <v>1364</v>
      </c>
      <c r="B1366" t="s">
        <v>78</v>
      </c>
      <c r="C1366" t="s">
        <v>87</v>
      </c>
      <c r="D1366">
        <v>1</v>
      </c>
      <c r="E1366">
        <v>4</v>
      </c>
      <c r="F1366">
        <v>1</v>
      </c>
      <c r="G1366">
        <v>32.041060000000002</v>
      </c>
      <c r="H1366">
        <v>6</v>
      </c>
      <c r="I1366" t="s">
        <v>89</v>
      </c>
      <c r="J1366">
        <v>2.5</v>
      </c>
      <c r="K1366">
        <v>200</v>
      </c>
      <c r="L1366">
        <v>50</v>
      </c>
      <c r="N1366" t="s">
        <v>90</v>
      </c>
      <c r="O1366">
        <v>50</v>
      </c>
      <c r="P1366">
        <v>0.3125</v>
      </c>
      <c r="Q1366">
        <v>3.2500000000000001E-2</v>
      </c>
      <c r="R1366">
        <v>77.5</v>
      </c>
      <c r="S1366">
        <v>170</v>
      </c>
      <c r="T1366">
        <v>50</v>
      </c>
      <c r="U1366">
        <v>1812.1301775147931</v>
      </c>
      <c r="V1366">
        <v>20</v>
      </c>
      <c r="W1366">
        <v>0.95</v>
      </c>
      <c r="X1366">
        <v>1</v>
      </c>
      <c r="Y1366">
        <v>305280.17559889291</v>
      </c>
      <c r="Z1366">
        <v>610560351.19778585</v>
      </c>
      <c r="AA1366">
        <v>1526400877.9944651</v>
      </c>
      <c r="AB1366">
        <v>1526400.8779944649</v>
      </c>
      <c r="AC1366">
        <v>0</v>
      </c>
      <c r="AD1366">
        <v>6328.0120702966024</v>
      </c>
      <c r="AE1366">
        <v>3796807.2421779609</v>
      </c>
      <c r="AF1366">
        <v>1898403.6210889809</v>
      </c>
      <c r="AG1366">
        <v>60.826864327529293</v>
      </c>
      <c r="AH1366">
        <v>626.61557523094518</v>
      </c>
      <c r="AI1366">
        <v>313.30778761547259</v>
      </c>
      <c r="AJ1366">
        <v>49608.028534820107</v>
      </c>
      <c r="AK1366">
        <v>854.70085470085473</v>
      </c>
      <c r="AL1366" t="s">
        <v>93</v>
      </c>
      <c r="AM1366">
        <v>48562.70708039825</v>
      </c>
      <c r="AN1366">
        <v>3406.85895379574</v>
      </c>
      <c r="AO1366">
        <v>53262.323894630339</v>
      </c>
      <c r="AP1366">
        <v>102432.295423715</v>
      </c>
      <c r="AQ1366">
        <v>49169.971529084607</v>
      </c>
      <c r="AR1366">
        <v>2.613144432708334E-2</v>
      </c>
      <c r="AS1366">
        <v>815.56116829728285</v>
      </c>
      <c r="AT1366">
        <v>798.37597445278004</v>
      </c>
      <c r="AU1366">
        <v>56.009116883801759</v>
      </c>
      <c r="AV1366">
        <v>875.63816552885555</v>
      </c>
      <c r="AW1366">
        <v>1683.997630917753</v>
      </c>
      <c r="AX1366">
        <v>808.35946538889789</v>
      </c>
      <c r="AY1366">
        <v>5.1508127384050333</v>
      </c>
      <c r="AZ1366" t="s">
        <v>106</v>
      </c>
      <c r="BA1366" t="str">
        <f>VLOOKUP($AZ1366,Sheet1!$A$2:$B$58,2)</f>
        <v>3-Methyl-1-Pentanol</v>
      </c>
      <c r="BB1366" t="s">
        <v>159</v>
      </c>
      <c r="BC1366">
        <v>102.17296</v>
      </c>
      <c r="BD1366">
        <v>6</v>
      </c>
      <c r="BE1366">
        <v>153</v>
      </c>
      <c r="BF1366" t="s">
        <v>221</v>
      </c>
      <c r="BG1366">
        <v>0</v>
      </c>
      <c r="BH1366">
        <v>0.128888888888888</v>
      </c>
      <c r="BI1366">
        <v>0.41100261005375199</v>
      </c>
      <c r="BJ1366">
        <v>80</v>
      </c>
      <c r="BK1366">
        <v>5121.6147711857466</v>
      </c>
      <c r="BL1366">
        <v>2458.4985764542298</v>
      </c>
      <c r="BM1366">
        <v>15.665389380773631</v>
      </c>
      <c r="BN1366">
        <v>2663.1161947315172</v>
      </c>
      <c r="BO1366">
        <v>2458.4985764542289</v>
      </c>
    </row>
    <row r="1367" spans="1:67" x14ac:dyDescent="0.25">
      <c r="A1367" s="1">
        <v>1365</v>
      </c>
      <c r="B1367" t="s">
        <v>79</v>
      </c>
      <c r="C1367" t="s">
        <v>88</v>
      </c>
      <c r="D1367">
        <v>1</v>
      </c>
      <c r="E1367">
        <v>0</v>
      </c>
      <c r="F1367">
        <v>2</v>
      </c>
      <c r="G1367">
        <v>44.008699999999997</v>
      </c>
      <c r="H1367">
        <v>2</v>
      </c>
      <c r="I1367" t="s">
        <v>89</v>
      </c>
      <c r="J1367">
        <v>3</v>
      </c>
      <c r="K1367">
        <v>300</v>
      </c>
      <c r="L1367">
        <v>100</v>
      </c>
      <c r="Q1367">
        <v>3.2500000000000001E-2</v>
      </c>
      <c r="R1367">
        <v>77.5</v>
      </c>
      <c r="S1367">
        <v>170</v>
      </c>
      <c r="U1367">
        <v>1812.1301775147931</v>
      </c>
      <c r="V1367">
        <v>20</v>
      </c>
      <c r="W1367">
        <v>0.95</v>
      </c>
      <c r="X1367">
        <v>1</v>
      </c>
      <c r="Y1367">
        <v>22324.944538388329</v>
      </c>
      <c r="Z1367">
        <v>66974833.615164988</v>
      </c>
      <c r="AA1367">
        <v>200924500.84549499</v>
      </c>
      <c r="AB1367">
        <v>200924.50084549491</v>
      </c>
      <c r="AC1367">
        <v>0</v>
      </c>
      <c r="AD1367">
        <v>694.14523018311513</v>
      </c>
      <c r="AE1367">
        <v>1249461.414329607</v>
      </c>
      <c r="AF1367">
        <v>1249461.414329607</v>
      </c>
      <c r="AG1367">
        <v>54.9871725448074</v>
      </c>
      <c r="AJ1367">
        <v>6530.0462774785856</v>
      </c>
      <c r="AK1367">
        <v>854.70085470085473</v>
      </c>
      <c r="AL1367" t="s">
        <v>93</v>
      </c>
      <c r="AN1367">
        <v>249.14142244707691</v>
      </c>
      <c r="AR1367">
        <v>5.2262888654166654E-3</v>
      </c>
      <c r="AS1367">
        <v>118.7558111331774</v>
      </c>
      <c r="AU1367">
        <v>4.53090077043076</v>
      </c>
      <c r="AZ1367" t="s">
        <v>96</v>
      </c>
      <c r="BA1367" t="str">
        <f>VLOOKUP($AZ1367,Sheet1!$A$2:$B$58,2)</f>
        <v>1,3-Butanediol (PW1)</v>
      </c>
      <c r="BB1367" t="s">
        <v>153</v>
      </c>
      <c r="BC1367">
        <v>90.119200000000006</v>
      </c>
      <c r="BD1367">
        <v>5.5</v>
      </c>
      <c r="BE1367">
        <v>207</v>
      </c>
      <c r="BF1367" t="s">
        <v>222</v>
      </c>
      <c r="BG1367">
        <v>-1.9534128132517901</v>
      </c>
      <c r="BH1367">
        <v>0.25</v>
      </c>
      <c r="BI1367">
        <v>0.454651491302417</v>
      </c>
      <c r="BJ1367">
        <v>80</v>
      </c>
      <c r="BO1367">
        <v>1219.69195915158</v>
      </c>
    </row>
    <row r="1368" spans="1:67" x14ac:dyDescent="0.25">
      <c r="A1368" s="1">
        <v>1366</v>
      </c>
      <c r="B1368" t="s">
        <v>79</v>
      </c>
      <c r="C1368" t="s">
        <v>88</v>
      </c>
      <c r="D1368">
        <v>1</v>
      </c>
      <c r="E1368">
        <v>0</v>
      </c>
      <c r="F1368">
        <v>2</v>
      </c>
      <c r="G1368">
        <v>44.008699999999997</v>
      </c>
      <c r="H1368">
        <v>2</v>
      </c>
      <c r="I1368" t="s">
        <v>89</v>
      </c>
      <c r="J1368">
        <v>3</v>
      </c>
      <c r="K1368">
        <v>300</v>
      </c>
      <c r="L1368">
        <v>100</v>
      </c>
      <c r="Q1368">
        <v>3.2500000000000001E-2</v>
      </c>
      <c r="R1368">
        <v>77.5</v>
      </c>
      <c r="S1368">
        <v>170</v>
      </c>
      <c r="U1368">
        <v>1812.1301775147931</v>
      </c>
      <c r="V1368">
        <v>20</v>
      </c>
      <c r="W1368">
        <v>0.95</v>
      </c>
      <c r="X1368">
        <v>1</v>
      </c>
      <c r="Y1368">
        <v>22324.944538388329</v>
      </c>
      <c r="Z1368">
        <v>66974833.615164988</v>
      </c>
      <c r="AA1368">
        <v>200924500.84549499</v>
      </c>
      <c r="AB1368">
        <v>200924.50084549491</v>
      </c>
      <c r="AC1368">
        <v>0</v>
      </c>
      <c r="AD1368">
        <v>694.14523018311513</v>
      </c>
      <c r="AE1368">
        <v>1249461.414329607</v>
      </c>
      <c r="AF1368">
        <v>1249461.414329607</v>
      </c>
      <c r="AG1368">
        <v>54.9871725448074</v>
      </c>
      <c r="AJ1368">
        <v>6530.0462774785856</v>
      </c>
      <c r="AK1368">
        <v>854.70085470085473</v>
      </c>
      <c r="AL1368" t="s">
        <v>93</v>
      </c>
      <c r="AN1368">
        <v>249.14142244707691</v>
      </c>
      <c r="AR1368">
        <v>5.2262888654166654E-3</v>
      </c>
      <c r="AS1368">
        <v>118.7558111331774</v>
      </c>
      <c r="AU1368">
        <v>4.53090077043076</v>
      </c>
      <c r="AZ1368" t="s">
        <v>97</v>
      </c>
      <c r="BA1368" t="str">
        <f>VLOOKUP($AZ1368,Sheet1!$A$2:$B$58,2)</f>
        <v>1,3-Butanediol (PW2)</v>
      </c>
      <c r="BB1368" t="s">
        <v>153</v>
      </c>
      <c r="BC1368">
        <v>90.119200000000006</v>
      </c>
      <c r="BD1368">
        <v>5.5</v>
      </c>
      <c r="BE1368">
        <v>207</v>
      </c>
      <c r="BF1368" t="s">
        <v>222</v>
      </c>
      <c r="BG1368">
        <v>-1.9534128132517901</v>
      </c>
      <c r="BH1368">
        <v>0.25</v>
      </c>
      <c r="BI1368">
        <v>0.454651491302417</v>
      </c>
      <c r="BJ1368">
        <v>80</v>
      </c>
      <c r="BO1368">
        <v>1219.69195915158</v>
      </c>
    </row>
    <row r="1369" spans="1:67" x14ac:dyDescent="0.25">
      <c r="A1369" s="1">
        <v>1367</v>
      </c>
      <c r="B1369" t="s">
        <v>79</v>
      </c>
      <c r="C1369" t="s">
        <v>88</v>
      </c>
      <c r="D1369">
        <v>1</v>
      </c>
      <c r="E1369">
        <v>0</v>
      </c>
      <c r="F1369">
        <v>2</v>
      </c>
      <c r="G1369">
        <v>44.008699999999997</v>
      </c>
      <c r="H1369">
        <v>2</v>
      </c>
      <c r="I1369" t="s">
        <v>89</v>
      </c>
      <c r="J1369">
        <v>3</v>
      </c>
      <c r="K1369">
        <v>300</v>
      </c>
      <c r="L1369">
        <v>100</v>
      </c>
      <c r="Q1369">
        <v>3.2500000000000001E-2</v>
      </c>
      <c r="R1369">
        <v>77.5</v>
      </c>
      <c r="S1369">
        <v>170</v>
      </c>
      <c r="U1369">
        <v>1812.1301775147931</v>
      </c>
      <c r="V1369">
        <v>20</v>
      </c>
      <c r="W1369">
        <v>0.95</v>
      </c>
      <c r="X1369">
        <v>1</v>
      </c>
      <c r="Y1369">
        <v>57206.888689144143</v>
      </c>
      <c r="Z1369">
        <v>171620666.0674324</v>
      </c>
      <c r="AA1369">
        <v>514861998.20229727</v>
      </c>
      <c r="AB1369">
        <v>514861.99820229731</v>
      </c>
      <c r="AC1369">
        <v>0</v>
      </c>
      <c r="AD1369">
        <v>1778.7228473917869</v>
      </c>
      <c r="AE1369">
        <v>3201701.1253052158</v>
      </c>
      <c r="AF1369">
        <v>3201701.1253052158</v>
      </c>
      <c r="AG1369">
        <v>140.90270431321969</v>
      </c>
      <c r="AJ1369">
        <v>16733.01494157466</v>
      </c>
      <c r="AK1369">
        <v>854.70085470085473</v>
      </c>
      <c r="AL1369" t="s">
        <v>93</v>
      </c>
      <c r="AN1369">
        <v>638.4161715285444</v>
      </c>
      <c r="AR1369">
        <v>5.2262888654166662E-3</v>
      </c>
      <c r="AS1369">
        <v>118.7558111331774</v>
      </c>
      <c r="AU1369">
        <v>4.5309007704307582</v>
      </c>
      <c r="AZ1369" t="s">
        <v>98</v>
      </c>
      <c r="BA1369" t="str">
        <f>VLOOKUP($AZ1369,Sheet1!$A$2:$B$58,2)</f>
        <v>1,3-Diaminopropane</v>
      </c>
      <c r="BB1369" t="s">
        <v>154</v>
      </c>
      <c r="BC1369">
        <v>76.139580000000009</v>
      </c>
      <c r="BD1369">
        <v>6</v>
      </c>
      <c r="BE1369">
        <v>139.30000000000001</v>
      </c>
      <c r="BF1369" t="s">
        <v>222</v>
      </c>
      <c r="BG1369">
        <v>-5.1145779656496657</v>
      </c>
      <c r="BH1369">
        <v>0.11301369863013699</v>
      </c>
      <c r="BI1369">
        <v>0.177427396598622</v>
      </c>
      <c r="BJ1369">
        <v>80</v>
      </c>
      <c r="BO1369">
        <v>2493.32839113824</v>
      </c>
    </row>
    <row r="1370" spans="1:67" x14ac:dyDescent="0.25">
      <c r="A1370" s="1">
        <v>1368</v>
      </c>
      <c r="B1370" t="s">
        <v>79</v>
      </c>
      <c r="C1370" t="s">
        <v>88</v>
      </c>
      <c r="D1370">
        <v>1</v>
      </c>
      <c r="E1370">
        <v>0</v>
      </c>
      <c r="F1370">
        <v>2</v>
      </c>
      <c r="G1370">
        <v>44.008699999999997</v>
      </c>
      <c r="H1370">
        <v>2</v>
      </c>
      <c r="I1370" t="s">
        <v>89</v>
      </c>
      <c r="J1370">
        <v>3</v>
      </c>
      <c r="K1370">
        <v>300</v>
      </c>
      <c r="L1370">
        <v>100</v>
      </c>
      <c r="Q1370">
        <v>3.2500000000000001E-2</v>
      </c>
      <c r="R1370">
        <v>77.5</v>
      </c>
      <c r="S1370">
        <v>170</v>
      </c>
      <c r="U1370">
        <v>1812.1301775147931</v>
      </c>
      <c r="V1370">
        <v>20</v>
      </c>
      <c r="W1370">
        <v>0.95</v>
      </c>
      <c r="X1370">
        <v>1</v>
      </c>
      <c r="Y1370">
        <v>19762.889211384489</v>
      </c>
      <c r="Z1370">
        <v>59288667.634153478</v>
      </c>
      <c r="AA1370">
        <v>177866002.9024604</v>
      </c>
      <c r="AB1370">
        <v>177866.0029024604</v>
      </c>
      <c r="AC1370">
        <v>0</v>
      </c>
      <c r="AD1370">
        <v>614.48373397438399</v>
      </c>
      <c r="AE1370">
        <v>1106070.7211538909</v>
      </c>
      <c r="AF1370">
        <v>1106070.7211538909</v>
      </c>
      <c r="AG1370">
        <v>48.67673454604526</v>
      </c>
      <c r="AJ1370">
        <v>5780.6450943299642</v>
      </c>
      <c r="AK1370">
        <v>854.70085470085473</v>
      </c>
      <c r="AL1370" t="s">
        <v>93</v>
      </c>
      <c r="AN1370">
        <v>220.54945405673001</v>
      </c>
      <c r="AR1370">
        <v>5.2262888654166662E-3</v>
      </c>
      <c r="AS1370">
        <v>118.7558111331774</v>
      </c>
      <c r="AU1370">
        <v>4.5309007704307591</v>
      </c>
      <c r="AZ1370" t="s">
        <v>99</v>
      </c>
      <c r="BA1370" t="str">
        <f>VLOOKUP($AZ1370,Sheet1!$A$2:$B$58,2)</f>
        <v>1,3-Propanediol</v>
      </c>
      <c r="BB1370" t="s">
        <v>155</v>
      </c>
      <c r="BC1370">
        <v>76.092820000000003</v>
      </c>
      <c r="BD1370">
        <v>5.333333333333333</v>
      </c>
      <c r="BE1370">
        <v>213</v>
      </c>
      <c r="BF1370" t="s">
        <v>222</v>
      </c>
      <c r="BG1370">
        <v>-1.735117715442797</v>
      </c>
      <c r="BH1370">
        <v>0.33333333333333298</v>
      </c>
      <c r="BI1370">
        <v>0.51359238110665595</v>
      </c>
      <c r="BJ1370">
        <v>80</v>
      </c>
      <c r="BO1370">
        <v>1054.12048671755</v>
      </c>
    </row>
    <row r="1371" spans="1:67" x14ac:dyDescent="0.25">
      <c r="A1371" s="1">
        <v>1369</v>
      </c>
      <c r="B1371" t="s">
        <v>79</v>
      </c>
      <c r="C1371" t="s">
        <v>88</v>
      </c>
      <c r="D1371">
        <v>1</v>
      </c>
      <c r="E1371">
        <v>0</v>
      </c>
      <c r="F1371">
        <v>2</v>
      </c>
      <c r="G1371">
        <v>44.008699999999997</v>
      </c>
      <c r="H1371">
        <v>2</v>
      </c>
      <c r="I1371" t="s">
        <v>89</v>
      </c>
      <c r="J1371">
        <v>3</v>
      </c>
      <c r="K1371">
        <v>300</v>
      </c>
      <c r="L1371">
        <v>100</v>
      </c>
      <c r="Q1371">
        <v>3.2500000000000001E-2</v>
      </c>
      <c r="R1371">
        <v>77.5</v>
      </c>
      <c r="S1371">
        <v>170</v>
      </c>
      <c r="U1371">
        <v>1812.1301775147931</v>
      </c>
      <c r="V1371">
        <v>20</v>
      </c>
      <c r="W1371">
        <v>0.95</v>
      </c>
      <c r="X1371">
        <v>1</v>
      </c>
      <c r="Y1371">
        <v>73523.919581608847</v>
      </c>
      <c r="Z1371">
        <v>220571758.74482661</v>
      </c>
      <c r="AA1371">
        <v>661715276.23447967</v>
      </c>
      <c r="AB1371">
        <v>661715.27623447962</v>
      </c>
      <c r="AC1371">
        <v>0</v>
      </c>
      <c r="AD1371">
        <v>2286.0651677849642</v>
      </c>
      <c r="AE1371">
        <v>4114917.3020129348</v>
      </c>
      <c r="AF1371">
        <v>4114917.3020129348</v>
      </c>
      <c r="AG1371">
        <v>181.09216106909659</v>
      </c>
      <c r="AJ1371">
        <v>21505.746477620589</v>
      </c>
      <c r="AK1371">
        <v>854.70085470085473</v>
      </c>
      <c r="AL1371" t="s">
        <v>93</v>
      </c>
      <c r="AN1371">
        <v>820.51061210694104</v>
      </c>
      <c r="AR1371">
        <v>5.2262888654166662E-3</v>
      </c>
      <c r="AS1371">
        <v>118.7558111331774</v>
      </c>
      <c r="AU1371">
        <v>4.5309007704307582</v>
      </c>
      <c r="AZ1371" t="s">
        <v>100</v>
      </c>
      <c r="BA1371" t="str">
        <f>VLOOKUP($AZ1371,Sheet1!$A$2:$B$58,2)</f>
        <v>1,4-Butanediol</v>
      </c>
      <c r="BB1371" t="s">
        <v>153</v>
      </c>
      <c r="BC1371">
        <v>90.119200000000006</v>
      </c>
      <c r="BD1371">
        <v>5.5</v>
      </c>
      <c r="BE1371">
        <v>230</v>
      </c>
      <c r="BF1371" t="s">
        <v>222</v>
      </c>
      <c r="BG1371">
        <v>-6.574270017326528</v>
      </c>
      <c r="BH1371">
        <v>7.4282498593134696E-2</v>
      </c>
      <c r="BI1371">
        <v>0.13805125441327701</v>
      </c>
      <c r="BJ1371">
        <v>80</v>
      </c>
      <c r="BO1371">
        <v>3187.8012579338601</v>
      </c>
    </row>
    <row r="1372" spans="1:67" x14ac:dyDescent="0.25">
      <c r="A1372" s="1">
        <v>1370</v>
      </c>
      <c r="B1372" t="s">
        <v>79</v>
      </c>
      <c r="C1372" t="s">
        <v>88</v>
      </c>
      <c r="D1372">
        <v>1</v>
      </c>
      <c r="E1372">
        <v>0</v>
      </c>
      <c r="F1372">
        <v>2</v>
      </c>
      <c r="G1372">
        <v>44.008699999999997</v>
      </c>
      <c r="H1372">
        <v>2</v>
      </c>
      <c r="I1372" t="s">
        <v>89</v>
      </c>
      <c r="J1372">
        <v>3</v>
      </c>
      <c r="K1372">
        <v>300</v>
      </c>
      <c r="L1372">
        <v>100</v>
      </c>
      <c r="Q1372">
        <v>3.2500000000000001E-2</v>
      </c>
      <c r="R1372">
        <v>77.5</v>
      </c>
      <c r="S1372">
        <v>170</v>
      </c>
      <c r="U1372">
        <v>1812.1301775147931</v>
      </c>
      <c r="V1372">
        <v>20</v>
      </c>
      <c r="W1372">
        <v>0.95</v>
      </c>
      <c r="X1372">
        <v>1</v>
      </c>
      <c r="Y1372">
        <v>70301.909565002992</v>
      </c>
      <c r="Z1372">
        <v>210905728.69500899</v>
      </c>
      <c r="AA1372">
        <v>632717186.08502698</v>
      </c>
      <c r="AB1372">
        <v>632717.18608502694</v>
      </c>
      <c r="AC1372">
        <v>0</v>
      </c>
      <c r="AD1372">
        <v>2185.8838266495632</v>
      </c>
      <c r="AE1372">
        <v>3934590.887969214</v>
      </c>
      <c r="AF1372">
        <v>3934590.887969214</v>
      </c>
      <c r="AG1372">
        <v>173.15623001137081</v>
      </c>
      <c r="AJ1372">
        <v>20563.308547763379</v>
      </c>
      <c r="AK1372">
        <v>854.70085470085473</v>
      </c>
      <c r="AL1372" t="s">
        <v>93</v>
      </c>
      <c r="AN1372">
        <v>784.5536959634054</v>
      </c>
      <c r="AR1372">
        <v>5.2262888654166662E-3</v>
      </c>
      <c r="AS1372">
        <v>118.7558111331774</v>
      </c>
      <c r="AU1372">
        <v>4.5309007704307591</v>
      </c>
      <c r="AZ1372" t="s">
        <v>101</v>
      </c>
      <c r="BA1372" t="str">
        <f>VLOOKUP($AZ1372,Sheet1!$A$2:$B$58,2)</f>
        <v>1-Propanol (PW1)</v>
      </c>
      <c r="BB1372" t="s">
        <v>156</v>
      </c>
      <c r="BC1372">
        <v>60.093820000000001</v>
      </c>
      <c r="BD1372">
        <v>6</v>
      </c>
      <c r="BE1372">
        <v>97</v>
      </c>
      <c r="BF1372" t="s">
        <v>222</v>
      </c>
      <c r="BG1372">
        <v>-6.2527568634270283</v>
      </c>
      <c r="BH1372">
        <v>0.11712511091392901</v>
      </c>
      <c r="BI1372">
        <v>0.14437828773679301</v>
      </c>
      <c r="BJ1372">
        <v>80</v>
      </c>
      <c r="BO1372">
        <v>3223.22019264964</v>
      </c>
    </row>
    <row r="1373" spans="1:67" x14ac:dyDescent="0.25">
      <c r="A1373" s="1">
        <v>1371</v>
      </c>
      <c r="B1373" t="s">
        <v>79</v>
      </c>
      <c r="C1373" t="s">
        <v>88</v>
      </c>
      <c r="D1373">
        <v>1</v>
      </c>
      <c r="E1373">
        <v>0</v>
      </c>
      <c r="F1373">
        <v>2</v>
      </c>
      <c r="G1373">
        <v>44.008699999999997</v>
      </c>
      <c r="H1373">
        <v>2</v>
      </c>
      <c r="I1373" t="s">
        <v>89</v>
      </c>
      <c r="J1373">
        <v>3</v>
      </c>
      <c r="K1373">
        <v>300</v>
      </c>
      <c r="L1373">
        <v>100</v>
      </c>
      <c r="Q1373">
        <v>3.2500000000000001E-2</v>
      </c>
      <c r="R1373">
        <v>77.5</v>
      </c>
      <c r="S1373">
        <v>170</v>
      </c>
      <c r="U1373">
        <v>1812.1301775147931</v>
      </c>
      <c r="V1373">
        <v>20</v>
      </c>
      <c r="W1373">
        <v>0.95</v>
      </c>
      <c r="X1373">
        <v>1</v>
      </c>
      <c r="Y1373">
        <v>39565.27251591158</v>
      </c>
      <c r="Z1373">
        <v>118695817.54773469</v>
      </c>
      <c r="AA1373">
        <v>356087452.64320421</v>
      </c>
      <c r="AB1373">
        <v>356087.45264320419</v>
      </c>
      <c r="AC1373">
        <v>0</v>
      </c>
      <c r="AD1373">
        <v>1230.1954502323611</v>
      </c>
      <c r="AE1373">
        <v>2214351.81041825</v>
      </c>
      <c r="AF1373">
        <v>2214351.81041825</v>
      </c>
      <c r="AG1373">
        <v>97.450744519153659</v>
      </c>
      <c r="AJ1373">
        <v>11572.84221090414</v>
      </c>
      <c r="AK1373">
        <v>854.70085470085473</v>
      </c>
      <c r="AL1373" t="s">
        <v>93</v>
      </c>
      <c r="AN1373">
        <v>441.53965342088429</v>
      </c>
      <c r="AR1373">
        <v>5.2262888654166662E-3</v>
      </c>
      <c r="AS1373">
        <v>118.7558111331774</v>
      </c>
      <c r="AU1373">
        <v>4.53090077043076</v>
      </c>
      <c r="AZ1373" t="s">
        <v>102</v>
      </c>
      <c r="BA1373" t="str">
        <f>VLOOKUP($AZ1373,Sheet1!$A$2:$B$58,2)</f>
        <v>1-Propanol (PW2)</v>
      </c>
      <c r="BB1373" t="s">
        <v>156</v>
      </c>
      <c r="BC1373">
        <v>60.093820000000001</v>
      </c>
      <c r="BD1373">
        <v>6</v>
      </c>
      <c r="BE1373">
        <v>97</v>
      </c>
      <c r="BF1373" t="s">
        <v>222</v>
      </c>
      <c r="BG1373">
        <v>-3.4786854954469479</v>
      </c>
      <c r="BH1373">
        <v>0.21052631578947301</v>
      </c>
      <c r="BI1373">
        <v>0.25653985634852</v>
      </c>
      <c r="BJ1373">
        <v>80</v>
      </c>
      <c r="BO1373">
        <v>2041.69143863559</v>
      </c>
    </row>
    <row r="1374" spans="1:67" x14ac:dyDescent="0.25">
      <c r="A1374" s="1">
        <v>1372</v>
      </c>
      <c r="B1374" t="s">
        <v>79</v>
      </c>
      <c r="C1374" t="s">
        <v>88</v>
      </c>
      <c r="D1374">
        <v>1</v>
      </c>
      <c r="E1374">
        <v>0</v>
      </c>
      <c r="F1374">
        <v>2</v>
      </c>
      <c r="G1374">
        <v>44.008699999999997</v>
      </c>
      <c r="H1374">
        <v>2</v>
      </c>
      <c r="I1374" t="s">
        <v>89</v>
      </c>
      <c r="J1374">
        <v>3</v>
      </c>
      <c r="K1374">
        <v>300</v>
      </c>
      <c r="L1374">
        <v>100</v>
      </c>
      <c r="Q1374">
        <v>3.2500000000000001E-2</v>
      </c>
      <c r="R1374">
        <v>77.5</v>
      </c>
      <c r="S1374">
        <v>170</v>
      </c>
      <c r="U1374">
        <v>1812.1301775147931</v>
      </c>
      <c r="V1374">
        <v>20</v>
      </c>
      <c r="W1374">
        <v>0.95</v>
      </c>
      <c r="X1374">
        <v>1</v>
      </c>
      <c r="Y1374">
        <v>22324.944538388329</v>
      </c>
      <c r="Z1374">
        <v>66974833.615164988</v>
      </c>
      <c r="AA1374">
        <v>200924500.84549499</v>
      </c>
      <c r="AB1374">
        <v>200924.50084549491</v>
      </c>
      <c r="AC1374">
        <v>0</v>
      </c>
      <c r="AD1374">
        <v>694.14523018311513</v>
      </c>
      <c r="AE1374">
        <v>1249461.414329607</v>
      </c>
      <c r="AF1374">
        <v>1249461.414329607</v>
      </c>
      <c r="AG1374">
        <v>54.9871725448074</v>
      </c>
      <c r="AJ1374">
        <v>6530.0462774785856</v>
      </c>
      <c r="AK1374">
        <v>854.70085470085473</v>
      </c>
      <c r="AL1374" t="s">
        <v>93</v>
      </c>
      <c r="AN1374">
        <v>249.14142244707691</v>
      </c>
      <c r="AR1374">
        <v>5.2262888654166654E-3</v>
      </c>
      <c r="AS1374">
        <v>118.7558111331774</v>
      </c>
      <c r="AU1374">
        <v>4.53090077043076</v>
      </c>
      <c r="AZ1374" t="s">
        <v>103</v>
      </c>
      <c r="BA1374" t="str">
        <f>VLOOKUP($AZ1374,Sheet1!$A$2:$B$58,2)</f>
        <v>2,3-Butanediol</v>
      </c>
      <c r="BB1374" t="s">
        <v>153</v>
      </c>
      <c r="BC1374">
        <v>90.119200000000006</v>
      </c>
      <c r="BD1374">
        <v>5.5</v>
      </c>
      <c r="BE1374">
        <v>177</v>
      </c>
      <c r="BF1374" t="s">
        <v>222</v>
      </c>
      <c r="BG1374">
        <v>-1.9534128132517901</v>
      </c>
      <c r="BH1374">
        <v>0.25</v>
      </c>
      <c r="BI1374">
        <v>0.454651491302417</v>
      </c>
      <c r="BJ1374">
        <v>80</v>
      </c>
      <c r="BO1374">
        <v>1219.69195915158</v>
      </c>
    </row>
    <row r="1375" spans="1:67" x14ac:dyDescent="0.25">
      <c r="A1375" s="1">
        <v>1373</v>
      </c>
      <c r="B1375" t="s">
        <v>79</v>
      </c>
      <c r="C1375" t="s">
        <v>88</v>
      </c>
      <c r="D1375">
        <v>1</v>
      </c>
      <c r="E1375">
        <v>0</v>
      </c>
      <c r="F1375">
        <v>2</v>
      </c>
      <c r="G1375">
        <v>44.008699999999997</v>
      </c>
      <c r="H1375">
        <v>2</v>
      </c>
      <c r="I1375" t="s">
        <v>89</v>
      </c>
      <c r="J1375">
        <v>3</v>
      </c>
      <c r="K1375">
        <v>300</v>
      </c>
      <c r="L1375">
        <v>100</v>
      </c>
      <c r="Q1375">
        <v>3.2500000000000001E-2</v>
      </c>
      <c r="R1375">
        <v>77.5</v>
      </c>
      <c r="S1375">
        <v>170</v>
      </c>
      <c r="U1375">
        <v>1812.1301775147931</v>
      </c>
      <c r="V1375">
        <v>20</v>
      </c>
      <c r="W1375">
        <v>0.95</v>
      </c>
      <c r="X1375">
        <v>1</v>
      </c>
      <c r="Y1375">
        <v>44955.957921115427</v>
      </c>
      <c r="Z1375">
        <v>134867873.76334631</v>
      </c>
      <c r="AA1375">
        <v>404603621.29003882</v>
      </c>
      <c r="AB1375">
        <v>404603.62129003881</v>
      </c>
      <c r="AC1375">
        <v>0</v>
      </c>
      <c r="AD1375">
        <v>1397.807000397946</v>
      </c>
      <c r="AE1375">
        <v>2516052.600716304</v>
      </c>
      <c r="AF1375">
        <v>2516052.600716304</v>
      </c>
      <c r="AG1375">
        <v>110.7282040891436</v>
      </c>
      <c r="AJ1375">
        <v>13149.61769192626</v>
      </c>
      <c r="AK1375">
        <v>854.70085470085473</v>
      </c>
      <c r="AL1375" t="s">
        <v>93</v>
      </c>
      <c r="AN1375">
        <v>501.69850521591502</v>
      </c>
      <c r="AR1375">
        <v>5.2262888654166662E-3</v>
      </c>
      <c r="AS1375">
        <v>118.7558111331774</v>
      </c>
      <c r="AU1375">
        <v>4.5309007704307591</v>
      </c>
      <c r="AZ1375" t="s">
        <v>104</v>
      </c>
      <c r="BA1375" t="str">
        <f>VLOOKUP($AZ1375,Sheet1!$A$2:$B$58,2)</f>
        <v>2-Methyl-1-Butanol</v>
      </c>
      <c r="BB1375" t="s">
        <v>157</v>
      </c>
      <c r="BC1375">
        <v>88.14658</v>
      </c>
      <c r="BD1375">
        <v>6</v>
      </c>
      <c r="BE1375">
        <v>129</v>
      </c>
      <c r="BF1375" t="s">
        <v>222</v>
      </c>
      <c r="BG1375">
        <v>-3.952649098807925</v>
      </c>
      <c r="BH1375">
        <v>0.12631578947368399</v>
      </c>
      <c r="BI1375">
        <v>0.225778068069029</v>
      </c>
      <c r="BJ1375">
        <v>80</v>
      </c>
      <c r="BO1375">
        <v>2314.0450554263398</v>
      </c>
    </row>
    <row r="1376" spans="1:67" x14ac:dyDescent="0.25">
      <c r="A1376" s="1">
        <v>1374</v>
      </c>
      <c r="B1376" t="s">
        <v>79</v>
      </c>
      <c r="C1376" t="s">
        <v>88</v>
      </c>
      <c r="D1376">
        <v>1</v>
      </c>
      <c r="E1376">
        <v>0</v>
      </c>
      <c r="F1376">
        <v>2</v>
      </c>
      <c r="G1376">
        <v>44.008699999999997</v>
      </c>
      <c r="H1376">
        <v>2</v>
      </c>
      <c r="I1376" t="s">
        <v>89</v>
      </c>
      <c r="J1376">
        <v>3</v>
      </c>
      <c r="K1376">
        <v>300</v>
      </c>
      <c r="L1376">
        <v>100</v>
      </c>
      <c r="Q1376">
        <v>3.2500000000000001E-2</v>
      </c>
      <c r="R1376">
        <v>77.5</v>
      </c>
      <c r="S1376">
        <v>170</v>
      </c>
      <c r="U1376">
        <v>1812.1301775147931</v>
      </c>
      <c r="V1376">
        <v>20</v>
      </c>
      <c r="W1376">
        <v>0.95</v>
      </c>
      <c r="X1376">
        <v>1</v>
      </c>
      <c r="Y1376">
        <v>57388.039753221688</v>
      </c>
      <c r="Z1376">
        <v>172164119.25966501</v>
      </c>
      <c r="AA1376">
        <v>516492357.77899522</v>
      </c>
      <c r="AB1376">
        <v>516492.35777899518</v>
      </c>
      <c r="AC1376">
        <v>0</v>
      </c>
      <c r="AD1376">
        <v>1784.3553427763011</v>
      </c>
      <c r="AE1376">
        <v>3211839.616997343</v>
      </c>
      <c r="AF1376">
        <v>3211839.616997343</v>
      </c>
      <c r="AG1376">
        <v>141.34888615255099</v>
      </c>
      <c r="AJ1376">
        <v>16786.001627817339</v>
      </c>
      <c r="AK1376">
        <v>854.70085470085473</v>
      </c>
      <c r="AL1376" t="s">
        <v>93</v>
      </c>
      <c r="AN1376">
        <v>640.43777716812303</v>
      </c>
      <c r="AR1376">
        <v>5.2262888654166662E-3</v>
      </c>
      <c r="AS1376">
        <v>118.7558111331774</v>
      </c>
      <c r="AU1376">
        <v>4.53090077043076</v>
      </c>
      <c r="AZ1376" t="s">
        <v>106</v>
      </c>
      <c r="BA1376" t="str">
        <f>VLOOKUP($AZ1376,Sheet1!$A$2:$B$58,2)</f>
        <v>3-Methyl-1-Pentanol</v>
      </c>
      <c r="BB1376" t="s">
        <v>159</v>
      </c>
      <c r="BC1376">
        <v>102.17296</v>
      </c>
      <c r="BD1376">
        <v>6</v>
      </c>
      <c r="BE1376">
        <v>153</v>
      </c>
      <c r="BF1376" t="s">
        <v>222</v>
      </c>
      <c r="BG1376">
        <v>-5.0709867588521274</v>
      </c>
      <c r="BH1376">
        <v>8.49420849420848E-2</v>
      </c>
      <c r="BI1376">
        <v>0.176867329347178</v>
      </c>
      <c r="BJ1376">
        <v>80</v>
      </c>
      <c r="BO1376">
        <v>2811.0936911222402</v>
      </c>
    </row>
    <row r="1377" spans="1:67" x14ac:dyDescent="0.25">
      <c r="A1377" s="1">
        <v>1375</v>
      </c>
      <c r="B1377" t="s">
        <v>79</v>
      </c>
      <c r="C1377" t="s">
        <v>88</v>
      </c>
      <c r="D1377">
        <v>1</v>
      </c>
      <c r="E1377">
        <v>0</v>
      </c>
      <c r="F1377">
        <v>2</v>
      </c>
      <c r="G1377">
        <v>44.008699999999997</v>
      </c>
      <c r="H1377">
        <v>2</v>
      </c>
      <c r="I1377" t="s">
        <v>89</v>
      </c>
      <c r="J1377">
        <v>3</v>
      </c>
      <c r="K1377">
        <v>300</v>
      </c>
      <c r="L1377">
        <v>100</v>
      </c>
      <c r="Q1377">
        <v>3.2500000000000001E-2</v>
      </c>
      <c r="R1377">
        <v>77.5</v>
      </c>
      <c r="S1377">
        <v>170</v>
      </c>
      <c r="U1377">
        <v>1812.1301775147931</v>
      </c>
      <c r="V1377">
        <v>20</v>
      </c>
      <c r="W1377">
        <v>0.95</v>
      </c>
      <c r="X1377">
        <v>1</v>
      </c>
      <c r="Y1377">
        <v>156613.21101044439</v>
      </c>
      <c r="Z1377">
        <v>469839633.03133333</v>
      </c>
      <c r="AA1377">
        <v>1409518899.0940001</v>
      </c>
      <c r="AB1377">
        <v>1409518.899094</v>
      </c>
      <c r="AC1377">
        <v>0</v>
      </c>
      <c r="AD1377">
        <v>4869.5446127370242</v>
      </c>
      <c r="AE1377">
        <v>8765180.3029266428</v>
      </c>
      <c r="AF1377">
        <v>8765180.3029266428</v>
      </c>
      <c r="AG1377">
        <v>385.74419039740769</v>
      </c>
      <c r="AJ1377">
        <v>45809.364220554991</v>
      </c>
      <c r="AK1377">
        <v>854.70085470085473</v>
      </c>
      <c r="AL1377" t="s">
        <v>93</v>
      </c>
      <c r="AN1377">
        <v>1747.768649460804</v>
      </c>
      <c r="AR1377">
        <v>5.2262888654166662E-3</v>
      </c>
      <c r="AS1377">
        <v>118.7558111331774</v>
      </c>
      <c r="AU1377">
        <v>4.5309007704307591</v>
      </c>
      <c r="AZ1377" t="s">
        <v>107</v>
      </c>
      <c r="BA1377" t="str">
        <f>VLOOKUP($AZ1377,Sheet1!$A$2:$B$58,2)</f>
        <v>4-Hydroxystyrene</v>
      </c>
      <c r="BB1377" t="s">
        <v>160</v>
      </c>
      <c r="BC1377">
        <v>120.14731999999999</v>
      </c>
      <c r="BD1377">
        <v>4.75</v>
      </c>
      <c r="BE1377">
        <v>229</v>
      </c>
      <c r="BF1377" t="s">
        <v>222</v>
      </c>
      <c r="BG1377">
        <v>-14.08868674345343</v>
      </c>
      <c r="BH1377">
        <v>2.5999606066574699E-2</v>
      </c>
      <c r="BI1377">
        <v>6.4809790069019796E-2</v>
      </c>
      <c r="BJ1377">
        <v>80</v>
      </c>
      <c r="BO1377">
        <v>6302.1160645766704</v>
      </c>
    </row>
    <row r="1378" spans="1:67" x14ac:dyDescent="0.25">
      <c r="A1378" s="1">
        <v>1376</v>
      </c>
      <c r="B1378" t="s">
        <v>79</v>
      </c>
      <c r="C1378" t="s">
        <v>88</v>
      </c>
      <c r="D1378">
        <v>1</v>
      </c>
      <c r="E1378">
        <v>0</v>
      </c>
      <c r="F1378">
        <v>2</v>
      </c>
      <c r="G1378">
        <v>44.008699999999997</v>
      </c>
      <c r="H1378">
        <v>2</v>
      </c>
      <c r="I1378" t="s">
        <v>89</v>
      </c>
      <c r="J1378">
        <v>3</v>
      </c>
      <c r="K1378">
        <v>300</v>
      </c>
      <c r="L1378">
        <v>100</v>
      </c>
      <c r="Q1378">
        <v>3.2500000000000001E-2</v>
      </c>
      <c r="R1378">
        <v>77.5</v>
      </c>
      <c r="S1378">
        <v>170</v>
      </c>
      <c r="U1378">
        <v>1812.1301775147931</v>
      </c>
      <c r="V1378">
        <v>20</v>
      </c>
      <c r="W1378">
        <v>0.95</v>
      </c>
      <c r="X1378">
        <v>1</v>
      </c>
      <c r="Y1378" t="s">
        <v>92</v>
      </c>
      <c r="Z1378" t="s">
        <v>92</v>
      </c>
      <c r="AA1378" t="s">
        <v>92</v>
      </c>
      <c r="AB1378" t="s">
        <v>92</v>
      </c>
      <c r="AC1378">
        <v>0</v>
      </c>
      <c r="AD1378" t="s">
        <v>92</v>
      </c>
      <c r="AE1378" t="s">
        <v>92</v>
      </c>
      <c r="AF1378" t="s">
        <v>92</v>
      </c>
      <c r="AG1378" t="s">
        <v>92</v>
      </c>
      <c r="AJ1378" t="s">
        <v>92</v>
      </c>
      <c r="AK1378">
        <v>854.70085470085473</v>
      </c>
      <c r="AL1378" t="s">
        <v>93</v>
      </c>
      <c r="AN1378" t="s">
        <v>92</v>
      </c>
      <c r="AZ1378" t="s">
        <v>108</v>
      </c>
      <c r="BA1378" t="str">
        <f>VLOOKUP($AZ1378,Sheet1!$A$2:$B$58,2)</f>
        <v>5-Aminopentanoate</v>
      </c>
      <c r="BB1378" t="s">
        <v>161</v>
      </c>
      <c r="BC1378">
        <v>117.14444</v>
      </c>
      <c r="BD1378">
        <v>4.8</v>
      </c>
      <c r="BE1378">
        <v>247.5</v>
      </c>
      <c r="BF1378" t="s">
        <v>222</v>
      </c>
      <c r="BG1378" t="s">
        <v>223</v>
      </c>
      <c r="BH1378">
        <v>0</v>
      </c>
      <c r="BI1378">
        <v>0</v>
      </c>
      <c r="BJ1378">
        <v>80</v>
      </c>
    </row>
    <row r="1379" spans="1:67" x14ac:dyDescent="0.25">
      <c r="A1379" s="1">
        <v>1377</v>
      </c>
      <c r="B1379" t="s">
        <v>79</v>
      </c>
      <c r="C1379" t="s">
        <v>88</v>
      </c>
      <c r="D1379">
        <v>1</v>
      </c>
      <c r="E1379">
        <v>0</v>
      </c>
      <c r="F1379">
        <v>2</v>
      </c>
      <c r="G1379">
        <v>44.008699999999997</v>
      </c>
      <c r="H1379">
        <v>2</v>
      </c>
      <c r="I1379" t="s">
        <v>89</v>
      </c>
      <c r="J1379">
        <v>3</v>
      </c>
      <c r="K1379">
        <v>300</v>
      </c>
      <c r="L1379">
        <v>100</v>
      </c>
      <c r="Q1379">
        <v>3.2500000000000001E-2</v>
      </c>
      <c r="R1379">
        <v>77.5</v>
      </c>
      <c r="S1379">
        <v>170</v>
      </c>
      <c r="U1379">
        <v>1812.1301775147931</v>
      </c>
      <c r="V1379">
        <v>20</v>
      </c>
      <c r="W1379">
        <v>0.95</v>
      </c>
      <c r="X1379">
        <v>1</v>
      </c>
      <c r="Y1379">
        <v>25892.9430495161</v>
      </c>
      <c r="Z1379">
        <v>77678829.14854829</v>
      </c>
      <c r="AA1379">
        <v>233036487.44564489</v>
      </c>
      <c r="AB1379">
        <v>233036.48744564489</v>
      </c>
      <c r="AC1379">
        <v>0</v>
      </c>
      <c r="AD1379">
        <v>805.08432539748537</v>
      </c>
      <c r="AE1379">
        <v>1449151.785715474</v>
      </c>
      <c r="AF1379">
        <v>1449151.785715474</v>
      </c>
      <c r="AG1379">
        <v>63.775286192016573</v>
      </c>
      <c r="AJ1379">
        <v>7573.685841983458</v>
      </c>
      <c r="AK1379">
        <v>854.70085470085473</v>
      </c>
      <c r="AL1379" t="s">
        <v>93</v>
      </c>
      <c r="AN1379">
        <v>288.95949334185002</v>
      </c>
      <c r="AR1379">
        <v>5.2262888654166662E-3</v>
      </c>
      <c r="AS1379">
        <v>118.7558111331774</v>
      </c>
      <c r="AU1379">
        <v>4.5309007704307591</v>
      </c>
      <c r="AZ1379" t="s">
        <v>109</v>
      </c>
      <c r="BA1379" t="str">
        <f>VLOOKUP($AZ1379,Sheet1!$A$2:$B$58,2)</f>
        <v>Acetone</v>
      </c>
      <c r="BB1379" t="s">
        <v>162</v>
      </c>
      <c r="BC1379">
        <v>58.078139999999998</v>
      </c>
      <c r="BD1379">
        <v>5.333333333333333</v>
      </c>
      <c r="BE1379">
        <v>56</v>
      </c>
      <c r="BF1379" t="s">
        <v>222</v>
      </c>
      <c r="BG1379">
        <v>-2.2733166041474471</v>
      </c>
      <c r="BH1379">
        <v>0.33333333333333298</v>
      </c>
      <c r="BI1379">
        <v>0.39200137690843501</v>
      </c>
      <c r="BJ1379">
        <v>80</v>
      </c>
      <c r="BO1379">
        <v>1367.83206787361</v>
      </c>
    </row>
    <row r="1380" spans="1:67" x14ac:dyDescent="0.25">
      <c r="A1380" s="1">
        <v>1378</v>
      </c>
      <c r="B1380" t="s">
        <v>79</v>
      </c>
      <c r="C1380" t="s">
        <v>88</v>
      </c>
      <c r="D1380">
        <v>1</v>
      </c>
      <c r="E1380">
        <v>0</v>
      </c>
      <c r="F1380">
        <v>2</v>
      </c>
      <c r="G1380">
        <v>44.008699999999997</v>
      </c>
      <c r="H1380">
        <v>2</v>
      </c>
      <c r="I1380" t="s">
        <v>89</v>
      </c>
      <c r="J1380">
        <v>3</v>
      </c>
      <c r="K1380">
        <v>300</v>
      </c>
      <c r="L1380">
        <v>100</v>
      </c>
      <c r="Q1380">
        <v>3.2500000000000001E-2</v>
      </c>
      <c r="R1380">
        <v>77.5</v>
      </c>
      <c r="S1380">
        <v>170</v>
      </c>
      <c r="U1380">
        <v>1812.1301775147931</v>
      </c>
      <c r="V1380">
        <v>20</v>
      </c>
      <c r="W1380">
        <v>0.95</v>
      </c>
      <c r="X1380">
        <v>1</v>
      </c>
      <c r="Y1380">
        <v>111781.107242721</v>
      </c>
      <c r="Z1380">
        <v>335343321.72816288</v>
      </c>
      <c r="AA1380">
        <v>1006029965.184489</v>
      </c>
      <c r="AB1380">
        <v>1006029.965184489</v>
      </c>
      <c r="AC1380">
        <v>0</v>
      </c>
      <c r="AD1380">
        <v>3475.588585839484</v>
      </c>
      <c r="AE1380">
        <v>6256059.4545110716</v>
      </c>
      <c r="AF1380">
        <v>6256059.4545110716</v>
      </c>
      <c r="AG1380">
        <v>275.32104371574138</v>
      </c>
      <c r="AJ1380">
        <v>32695.973868495879</v>
      </c>
      <c r="AK1380">
        <v>854.70085470085473</v>
      </c>
      <c r="AL1380" t="s">
        <v>93</v>
      </c>
      <c r="AN1380">
        <v>1247.452329087454</v>
      </c>
      <c r="AR1380">
        <v>5.2262888654166662E-3</v>
      </c>
      <c r="AS1380">
        <v>118.7558111331774</v>
      </c>
      <c r="AU1380">
        <v>4.5309007704307591</v>
      </c>
      <c r="AZ1380" t="s">
        <v>110</v>
      </c>
      <c r="BA1380" t="str">
        <f>VLOOKUP($AZ1380,Sheet1!$A$2:$B$58,2)</f>
        <v>Acrylate (PW1)</v>
      </c>
      <c r="BB1380" t="s">
        <v>163</v>
      </c>
      <c r="BC1380">
        <v>71.053619999999995</v>
      </c>
      <c r="BD1380">
        <v>3.666666666666667</v>
      </c>
      <c r="BE1380">
        <v>80</v>
      </c>
      <c r="BF1380" t="s">
        <v>222</v>
      </c>
      <c r="BG1380">
        <v>-10.088571777969101</v>
      </c>
      <c r="BH1380">
        <v>6.13953488372097E-2</v>
      </c>
      <c r="BI1380">
        <v>9.0803084510356402E-2</v>
      </c>
      <c r="BJ1380">
        <v>80</v>
      </c>
      <c r="BO1380">
        <v>4339.6459946996802</v>
      </c>
    </row>
    <row r="1381" spans="1:67" x14ac:dyDescent="0.25">
      <c r="A1381" s="1">
        <v>1379</v>
      </c>
      <c r="B1381" t="s">
        <v>79</v>
      </c>
      <c r="C1381" t="s">
        <v>88</v>
      </c>
      <c r="D1381">
        <v>1</v>
      </c>
      <c r="E1381">
        <v>0</v>
      </c>
      <c r="F1381">
        <v>2</v>
      </c>
      <c r="G1381">
        <v>44.008699999999997</v>
      </c>
      <c r="H1381">
        <v>2</v>
      </c>
      <c r="I1381" t="s">
        <v>89</v>
      </c>
      <c r="J1381">
        <v>3</v>
      </c>
      <c r="K1381">
        <v>300</v>
      </c>
      <c r="L1381">
        <v>100</v>
      </c>
      <c r="Q1381">
        <v>3.2500000000000001E-2</v>
      </c>
      <c r="R1381">
        <v>77.5</v>
      </c>
      <c r="S1381">
        <v>170</v>
      </c>
      <c r="U1381">
        <v>1812.1301775147931</v>
      </c>
      <c r="V1381">
        <v>20</v>
      </c>
      <c r="W1381">
        <v>0.95</v>
      </c>
      <c r="X1381">
        <v>1</v>
      </c>
      <c r="Y1381">
        <v>44192.530770378231</v>
      </c>
      <c r="Z1381">
        <v>132577592.3111347</v>
      </c>
      <c r="AA1381">
        <v>397732776.93340409</v>
      </c>
      <c r="AB1381">
        <v>397732.77693340409</v>
      </c>
      <c r="AC1381">
        <v>0</v>
      </c>
      <c r="AD1381">
        <v>1374.069906029569</v>
      </c>
      <c r="AE1381">
        <v>2473325.8308532252</v>
      </c>
      <c r="AF1381">
        <v>2473325.8308532252</v>
      </c>
      <c r="AG1381">
        <v>108.8478544922703</v>
      </c>
      <c r="AJ1381">
        <v>12926.31525033563</v>
      </c>
      <c r="AK1381">
        <v>854.70085470085473</v>
      </c>
      <c r="AL1381" t="s">
        <v>93</v>
      </c>
      <c r="AN1381">
        <v>493.17882777876281</v>
      </c>
      <c r="AR1381">
        <v>5.2262888654166662E-3</v>
      </c>
      <c r="AS1381">
        <v>118.7558111331774</v>
      </c>
      <c r="AU1381">
        <v>4.5309007704307591</v>
      </c>
      <c r="AZ1381" t="s">
        <v>111</v>
      </c>
      <c r="BA1381" t="str">
        <f>VLOOKUP($AZ1381,Sheet1!$A$2:$B$58,2)</f>
        <v>Acrylate (PW2)</v>
      </c>
      <c r="BB1381" t="s">
        <v>163</v>
      </c>
      <c r="BC1381">
        <v>71.053619999999995</v>
      </c>
      <c r="BD1381">
        <v>3.666666666666667</v>
      </c>
      <c r="BE1381">
        <v>80</v>
      </c>
      <c r="BF1381" t="s">
        <v>222</v>
      </c>
      <c r="BG1381">
        <v>-3.9885051215226892</v>
      </c>
      <c r="BH1381">
        <v>0.155294117647059</v>
      </c>
      <c r="BI1381">
        <v>0.22967839023207701</v>
      </c>
      <c r="BJ1381">
        <v>80</v>
      </c>
      <c r="BO1381">
        <v>1741.51379118619</v>
      </c>
    </row>
    <row r="1382" spans="1:67" x14ac:dyDescent="0.25">
      <c r="A1382" s="1">
        <v>1380</v>
      </c>
      <c r="B1382" t="s">
        <v>79</v>
      </c>
      <c r="C1382" t="s">
        <v>88</v>
      </c>
      <c r="D1382">
        <v>1</v>
      </c>
      <c r="E1382">
        <v>0</v>
      </c>
      <c r="F1382">
        <v>2</v>
      </c>
      <c r="G1382">
        <v>44.008699999999997</v>
      </c>
      <c r="H1382">
        <v>2</v>
      </c>
      <c r="I1382" t="s">
        <v>89</v>
      </c>
      <c r="J1382">
        <v>3</v>
      </c>
      <c r="K1382">
        <v>300</v>
      </c>
      <c r="L1382">
        <v>100</v>
      </c>
      <c r="Q1382">
        <v>3.2500000000000001E-2</v>
      </c>
      <c r="R1382">
        <v>77.5</v>
      </c>
      <c r="S1382">
        <v>170</v>
      </c>
      <c r="U1382">
        <v>1812.1301775147931</v>
      </c>
      <c r="V1382">
        <v>20</v>
      </c>
      <c r="W1382">
        <v>0.95</v>
      </c>
      <c r="X1382">
        <v>1</v>
      </c>
      <c r="Y1382" t="s">
        <v>92</v>
      </c>
      <c r="Z1382" t="s">
        <v>92</v>
      </c>
      <c r="AA1382" t="s">
        <v>92</v>
      </c>
      <c r="AB1382" t="s">
        <v>92</v>
      </c>
      <c r="AC1382">
        <v>0</v>
      </c>
      <c r="AD1382" t="s">
        <v>92</v>
      </c>
      <c r="AE1382" t="s">
        <v>92</v>
      </c>
      <c r="AF1382" t="s">
        <v>92</v>
      </c>
      <c r="AG1382" t="s">
        <v>92</v>
      </c>
      <c r="AJ1382" t="s">
        <v>92</v>
      </c>
      <c r="AK1382">
        <v>854.70085470085473</v>
      </c>
      <c r="AL1382" t="s">
        <v>93</v>
      </c>
      <c r="AN1382" t="s">
        <v>92</v>
      </c>
      <c r="AZ1382" t="s">
        <v>112</v>
      </c>
      <c r="BA1382" t="str">
        <f>VLOOKUP($AZ1382,Sheet1!$A$2:$B$58,2)</f>
        <v>Adipate</v>
      </c>
      <c r="BB1382" t="s">
        <v>164</v>
      </c>
      <c r="BC1382">
        <v>144.12291999999999</v>
      </c>
      <c r="BD1382">
        <v>4</v>
      </c>
      <c r="BE1382">
        <v>337.5</v>
      </c>
      <c r="BF1382" t="s">
        <v>222</v>
      </c>
      <c r="BG1382" t="s">
        <v>223</v>
      </c>
      <c r="BH1382">
        <v>0</v>
      </c>
      <c r="BI1382">
        <v>0</v>
      </c>
      <c r="BJ1382">
        <v>80</v>
      </c>
    </row>
    <row r="1383" spans="1:67" x14ac:dyDescent="0.25">
      <c r="A1383" s="1">
        <v>1381</v>
      </c>
      <c r="B1383" t="s">
        <v>79</v>
      </c>
      <c r="C1383" t="s">
        <v>88</v>
      </c>
      <c r="D1383">
        <v>1</v>
      </c>
      <c r="E1383">
        <v>0</v>
      </c>
      <c r="F1383">
        <v>2</v>
      </c>
      <c r="G1383">
        <v>44.008699999999997</v>
      </c>
      <c r="H1383">
        <v>2</v>
      </c>
      <c r="I1383" t="s">
        <v>89</v>
      </c>
      <c r="J1383">
        <v>3</v>
      </c>
      <c r="K1383">
        <v>300</v>
      </c>
      <c r="L1383">
        <v>100</v>
      </c>
      <c r="Q1383">
        <v>3.2500000000000001E-2</v>
      </c>
      <c r="R1383">
        <v>77.5</v>
      </c>
      <c r="S1383">
        <v>170</v>
      </c>
      <c r="U1383">
        <v>1812.1301775147931</v>
      </c>
      <c r="V1383">
        <v>20</v>
      </c>
      <c r="W1383">
        <v>0.95</v>
      </c>
      <c r="X1383">
        <v>1</v>
      </c>
      <c r="Y1383">
        <v>162104.18709158461</v>
      </c>
      <c r="Z1383">
        <v>486312561.27475369</v>
      </c>
      <c r="AA1383">
        <v>1458937683.824261</v>
      </c>
      <c r="AB1383">
        <v>1458937.683824261</v>
      </c>
      <c r="AC1383">
        <v>0</v>
      </c>
      <c r="AD1383">
        <v>5040.2744817057446</v>
      </c>
      <c r="AE1383">
        <v>9072494.0670703407</v>
      </c>
      <c r="AF1383">
        <v>9072494.0670703407</v>
      </c>
      <c r="AG1383">
        <v>399.26866964947862</v>
      </c>
      <c r="AJ1383">
        <v>47415.474724288491</v>
      </c>
      <c r="AK1383">
        <v>854.70085470085473</v>
      </c>
      <c r="AL1383" t="s">
        <v>93</v>
      </c>
      <c r="AN1383">
        <v>1809.046722923686</v>
      </c>
      <c r="AR1383">
        <v>5.2262888654166671E-3</v>
      </c>
      <c r="AS1383">
        <v>118.7558111331775</v>
      </c>
      <c r="AU1383">
        <v>4.5309007704307582</v>
      </c>
      <c r="AZ1383" t="s">
        <v>113</v>
      </c>
      <c r="BA1383" t="str">
        <f>VLOOKUP($AZ1383,Sheet1!$A$2:$B$58,2)</f>
        <v>Benzoate (PW1)</v>
      </c>
      <c r="BB1383" t="s">
        <v>165</v>
      </c>
      <c r="BC1383">
        <v>121.1121</v>
      </c>
      <c r="BD1383">
        <v>4.1428571428571432</v>
      </c>
      <c r="BE1383">
        <v>249.2</v>
      </c>
      <c r="BF1383" t="s">
        <v>222</v>
      </c>
      <c r="BG1383">
        <v>-14.615128163382231</v>
      </c>
      <c r="BH1383">
        <v>2.4863439442456101E-2</v>
      </c>
      <c r="BI1383">
        <v>6.2614479673418197E-2</v>
      </c>
      <c r="BJ1383">
        <v>80</v>
      </c>
      <c r="BO1383">
        <v>6353.1525805932797</v>
      </c>
    </row>
    <row r="1384" spans="1:67" x14ac:dyDescent="0.25">
      <c r="A1384" s="1">
        <v>1382</v>
      </c>
      <c r="B1384" t="s">
        <v>79</v>
      </c>
      <c r="C1384" t="s">
        <v>88</v>
      </c>
      <c r="D1384">
        <v>1</v>
      </c>
      <c r="E1384">
        <v>0</v>
      </c>
      <c r="F1384">
        <v>2</v>
      </c>
      <c r="G1384">
        <v>44.008699999999997</v>
      </c>
      <c r="H1384">
        <v>2</v>
      </c>
      <c r="I1384" t="s">
        <v>89</v>
      </c>
      <c r="J1384">
        <v>3</v>
      </c>
      <c r="K1384">
        <v>300</v>
      </c>
      <c r="L1384">
        <v>100</v>
      </c>
      <c r="Q1384">
        <v>3.2500000000000001E-2</v>
      </c>
      <c r="R1384">
        <v>77.5</v>
      </c>
      <c r="S1384">
        <v>170</v>
      </c>
      <c r="U1384">
        <v>1812.1301775147931</v>
      </c>
      <c r="V1384">
        <v>20</v>
      </c>
      <c r="W1384">
        <v>0.95</v>
      </c>
      <c r="X1384">
        <v>1</v>
      </c>
      <c r="Y1384">
        <v>174304.99565973529</v>
      </c>
      <c r="Z1384">
        <v>522914986.97920603</v>
      </c>
      <c r="AA1384">
        <v>1568744960.937618</v>
      </c>
      <c r="AB1384">
        <v>1568744.960937618</v>
      </c>
      <c r="AC1384">
        <v>0</v>
      </c>
      <c r="AD1384">
        <v>5419.6318887262296</v>
      </c>
      <c r="AE1384">
        <v>9755337.399707213</v>
      </c>
      <c r="AF1384">
        <v>9755337.399707213</v>
      </c>
      <c r="AG1384">
        <v>429.31971702249479</v>
      </c>
      <c r="AJ1384">
        <v>50984.211230472582</v>
      </c>
      <c r="AK1384">
        <v>854.70085470085473</v>
      </c>
      <c r="AL1384" t="s">
        <v>93</v>
      </c>
      <c r="AN1384">
        <v>1945.2050366183371</v>
      </c>
      <c r="AR1384">
        <v>5.2262888654166662E-3</v>
      </c>
      <c r="AS1384">
        <v>118.7558111331774</v>
      </c>
      <c r="AU1384">
        <v>4.5309007704307591</v>
      </c>
      <c r="AZ1384" t="s">
        <v>114</v>
      </c>
      <c r="BA1384" t="str">
        <f>VLOOKUP($AZ1384,Sheet1!$A$2:$B$58,2)</f>
        <v>Benzoate (PW2)</v>
      </c>
      <c r="BB1384" t="s">
        <v>165</v>
      </c>
      <c r="BC1384">
        <v>121.1121</v>
      </c>
      <c r="BD1384">
        <v>4.1428571428571432</v>
      </c>
      <c r="BE1384">
        <v>249.2</v>
      </c>
      <c r="BF1384" t="s">
        <v>222</v>
      </c>
      <c r="BG1384">
        <v>-15.716286811970109</v>
      </c>
      <c r="BH1384">
        <v>2.3121387283236899E-2</v>
      </c>
      <c r="BI1384">
        <v>5.8231660482274301E-2</v>
      </c>
      <c r="BJ1384">
        <v>80</v>
      </c>
      <c r="BO1384">
        <v>6822.1565943527303</v>
      </c>
    </row>
    <row r="1385" spans="1:67" x14ac:dyDescent="0.25">
      <c r="A1385" s="1">
        <v>1383</v>
      </c>
      <c r="B1385" t="s">
        <v>79</v>
      </c>
      <c r="C1385" t="s">
        <v>88</v>
      </c>
      <c r="D1385">
        <v>1</v>
      </c>
      <c r="E1385">
        <v>0</v>
      </c>
      <c r="F1385">
        <v>2</v>
      </c>
      <c r="G1385">
        <v>44.008699999999997</v>
      </c>
      <c r="H1385">
        <v>2</v>
      </c>
      <c r="I1385" t="s">
        <v>89</v>
      </c>
      <c r="J1385">
        <v>3</v>
      </c>
      <c r="K1385">
        <v>300</v>
      </c>
      <c r="L1385">
        <v>100</v>
      </c>
      <c r="Q1385">
        <v>3.2500000000000001E-2</v>
      </c>
      <c r="R1385">
        <v>77.5</v>
      </c>
      <c r="S1385">
        <v>170</v>
      </c>
      <c r="U1385">
        <v>1812.1301775147931</v>
      </c>
      <c r="V1385">
        <v>20</v>
      </c>
      <c r="W1385">
        <v>0.95</v>
      </c>
      <c r="X1385">
        <v>1</v>
      </c>
      <c r="Y1385" t="s">
        <v>92</v>
      </c>
      <c r="Z1385" t="s">
        <v>92</v>
      </c>
      <c r="AA1385" t="s">
        <v>92</v>
      </c>
      <c r="AB1385" t="s">
        <v>92</v>
      </c>
      <c r="AC1385">
        <v>0</v>
      </c>
      <c r="AD1385" t="s">
        <v>92</v>
      </c>
      <c r="AE1385" t="s">
        <v>92</v>
      </c>
      <c r="AF1385" t="s">
        <v>92</v>
      </c>
      <c r="AG1385" t="s">
        <v>92</v>
      </c>
      <c r="AJ1385" t="s">
        <v>92</v>
      </c>
      <c r="AK1385">
        <v>854.70085470085473</v>
      </c>
      <c r="AL1385" t="s">
        <v>93</v>
      </c>
      <c r="AN1385" t="s">
        <v>92</v>
      </c>
      <c r="AZ1385" t="s">
        <v>115</v>
      </c>
      <c r="BA1385" t="str">
        <f>VLOOKUP($AZ1385,Sheet1!$A$2:$B$58,2)</f>
        <v>Benzyl Alcohol</v>
      </c>
      <c r="BB1385" t="s">
        <v>166</v>
      </c>
      <c r="BC1385">
        <v>108.13661999999999</v>
      </c>
      <c r="BD1385">
        <v>4.8571428571428568</v>
      </c>
      <c r="BE1385">
        <v>205</v>
      </c>
      <c r="BF1385" t="s">
        <v>222</v>
      </c>
      <c r="BG1385" t="s">
        <v>223</v>
      </c>
      <c r="BH1385">
        <v>0</v>
      </c>
      <c r="BI1385">
        <v>0</v>
      </c>
      <c r="BJ1385">
        <v>80</v>
      </c>
    </row>
    <row r="1386" spans="1:67" x14ac:dyDescent="0.25">
      <c r="A1386" s="1">
        <v>1384</v>
      </c>
      <c r="B1386" t="s">
        <v>79</v>
      </c>
      <c r="C1386" t="s">
        <v>88</v>
      </c>
      <c r="D1386">
        <v>1</v>
      </c>
      <c r="E1386">
        <v>0</v>
      </c>
      <c r="F1386">
        <v>2</v>
      </c>
      <c r="G1386">
        <v>44.008699999999997</v>
      </c>
      <c r="H1386">
        <v>2</v>
      </c>
      <c r="I1386" t="s">
        <v>89</v>
      </c>
      <c r="J1386">
        <v>3</v>
      </c>
      <c r="K1386">
        <v>300</v>
      </c>
      <c r="L1386">
        <v>100</v>
      </c>
      <c r="Q1386">
        <v>3.2500000000000001E-2</v>
      </c>
      <c r="R1386">
        <v>77.5</v>
      </c>
      <c r="S1386">
        <v>170</v>
      </c>
      <c r="U1386">
        <v>1812.1301775147931</v>
      </c>
      <c r="V1386">
        <v>20</v>
      </c>
      <c r="W1386">
        <v>0.95</v>
      </c>
      <c r="X1386">
        <v>1</v>
      </c>
      <c r="Y1386" t="s">
        <v>92</v>
      </c>
      <c r="Z1386" t="s">
        <v>92</v>
      </c>
      <c r="AA1386" t="s">
        <v>92</v>
      </c>
      <c r="AB1386" t="s">
        <v>92</v>
      </c>
      <c r="AC1386">
        <v>0</v>
      </c>
      <c r="AD1386" t="s">
        <v>92</v>
      </c>
      <c r="AE1386" t="s">
        <v>92</v>
      </c>
      <c r="AF1386" t="s">
        <v>92</v>
      </c>
      <c r="AG1386" t="s">
        <v>92</v>
      </c>
      <c r="AJ1386" t="s">
        <v>92</v>
      </c>
      <c r="AK1386">
        <v>854.70085470085473</v>
      </c>
      <c r="AL1386" t="s">
        <v>93</v>
      </c>
      <c r="AN1386" t="s">
        <v>92</v>
      </c>
      <c r="AZ1386" t="s">
        <v>116</v>
      </c>
      <c r="BA1386" t="str">
        <f>VLOOKUP($AZ1386,Sheet1!$A$2:$B$58,2)</f>
        <v>Beta Carotene</v>
      </c>
      <c r="BB1386" t="s">
        <v>167</v>
      </c>
      <c r="BC1386">
        <v>536.86703999999997</v>
      </c>
      <c r="BD1386">
        <v>5.4</v>
      </c>
      <c r="BE1386">
        <v>633</v>
      </c>
      <c r="BF1386" t="s">
        <v>222</v>
      </c>
      <c r="BG1386" t="s">
        <v>223</v>
      </c>
      <c r="BH1386">
        <v>0</v>
      </c>
      <c r="BI1386">
        <v>0</v>
      </c>
      <c r="BJ1386">
        <v>80</v>
      </c>
    </row>
    <row r="1387" spans="1:67" x14ac:dyDescent="0.25">
      <c r="A1387" s="1">
        <v>1385</v>
      </c>
      <c r="B1387" t="s">
        <v>79</v>
      </c>
      <c r="C1387" t="s">
        <v>88</v>
      </c>
      <c r="D1387">
        <v>1</v>
      </c>
      <c r="E1387">
        <v>0</v>
      </c>
      <c r="F1387">
        <v>2</v>
      </c>
      <c r="G1387">
        <v>44.008699999999997</v>
      </c>
      <c r="H1387">
        <v>2</v>
      </c>
      <c r="I1387" t="s">
        <v>89</v>
      </c>
      <c r="J1387">
        <v>3</v>
      </c>
      <c r="K1387">
        <v>300</v>
      </c>
      <c r="L1387">
        <v>100</v>
      </c>
      <c r="Q1387">
        <v>3.2500000000000001E-2</v>
      </c>
      <c r="R1387">
        <v>77.5</v>
      </c>
      <c r="S1387">
        <v>170</v>
      </c>
      <c r="U1387">
        <v>1812.1301775147931</v>
      </c>
      <c r="V1387">
        <v>20</v>
      </c>
      <c r="W1387">
        <v>0.95</v>
      </c>
      <c r="X1387">
        <v>1</v>
      </c>
      <c r="Y1387">
        <v>96782.029314270199</v>
      </c>
      <c r="Z1387">
        <v>290346087.9428106</v>
      </c>
      <c r="AA1387">
        <v>871038263.82843184</v>
      </c>
      <c r="AB1387">
        <v>871038.26382843184</v>
      </c>
      <c r="AC1387">
        <v>66773.504273504266</v>
      </c>
      <c r="AD1387">
        <v>3009.2251248563671</v>
      </c>
      <c r="AE1387">
        <v>5416605.2247414608</v>
      </c>
      <c r="AF1387">
        <v>5416605.2247414608</v>
      </c>
      <c r="AG1387">
        <v>238.37775435407951</v>
      </c>
      <c r="AJ1387">
        <v>28308.743574424039</v>
      </c>
      <c r="AK1387">
        <v>2170.1388888888891</v>
      </c>
      <c r="AL1387" t="s">
        <v>95</v>
      </c>
      <c r="AN1387">
        <v>1080.0659508564529</v>
      </c>
      <c r="AR1387">
        <v>5.2262888654166662E-3</v>
      </c>
      <c r="AS1387">
        <v>118.7558111331774</v>
      </c>
      <c r="AU1387">
        <v>4.53090077043076</v>
      </c>
      <c r="AZ1387" t="s">
        <v>117</v>
      </c>
      <c r="BA1387" t="str">
        <f>VLOOKUP($AZ1387,Sheet1!$A$2:$B$58,2)</f>
        <v>Butane</v>
      </c>
      <c r="BB1387" t="s">
        <v>168</v>
      </c>
      <c r="BC1387">
        <v>58.121200000000002</v>
      </c>
      <c r="BD1387">
        <v>6.5</v>
      </c>
      <c r="BE1387">
        <v>-1</v>
      </c>
      <c r="BF1387" t="s">
        <v>222</v>
      </c>
      <c r="BG1387">
        <v>-8.5759858865459648</v>
      </c>
      <c r="BH1387">
        <v>8.8294314381266503E-2</v>
      </c>
      <c r="BI1387">
        <v>0.104875557988795</v>
      </c>
      <c r="BJ1387">
        <v>80</v>
      </c>
      <c r="BO1387">
        <v>4677.68113482441</v>
      </c>
    </row>
    <row r="1388" spans="1:67" x14ac:dyDescent="0.25">
      <c r="A1388" s="1">
        <v>1386</v>
      </c>
      <c r="B1388" t="s">
        <v>79</v>
      </c>
      <c r="C1388" t="s">
        <v>88</v>
      </c>
      <c r="D1388">
        <v>1</v>
      </c>
      <c r="E1388">
        <v>0</v>
      </c>
      <c r="F1388">
        <v>2</v>
      </c>
      <c r="G1388">
        <v>44.008699999999997</v>
      </c>
      <c r="H1388">
        <v>2</v>
      </c>
      <c r="I1388" t="s">
        <v>89</v>
      </c>
      <c r="J1388">
        <v>3</v>
      </c>
      <c r="K1388">
        <v>300</v>
      </c>
      <c r="L1388">
        <v>100</v>
      </c>
      <c r="Q1388">
        <v>3.2500000000000001E-2</v>
      </c>
      <c r="R1388">
        <v>77.5</v>
      </c>
      <c r="S1388">
        <v>170</v>
      </c>
      <c r="U1388">
        <v>1812.1301775147931</v>
      </c>
      <c r="V1388">
        <v>20</v>
      </c>
      <c r="W1388">
        <v>0.95</v>
      </c>
      <c r="X1388">
        <v>1</v>
      </c>
      <c r="Y1388">
        <v>27419.902828222399</v>
      </c>
      <c r="Z1388">
        <v>82259708.484667197</v>
      </c>
      <c r="AA1388">
        <v>246779125.45400161</v>
      </c>
      <c r="AB1388">
        <v>246779.12545400159</v>
      </c>
      <c r="AC1388">
        <v>0</v>
      </c>
      <c r="AD1388">
        <v>852.56179371763562</v>
      </c>
      <c r="AE1388">
        <v>1534611.2286917439</v>
      </c>
      <c r="AF1388">
        <v>1534611.2286917439</v>
      </c>
      <c r="AG1388">
        <v>67.536245180126372</v>
      </c>
      <c r="AJ1388">
        <v>8020.321577255052</v>
      </c>
      <c r="AK1388">
        <v>854.70085470085473</v>
      </c>
      <c r="AL1388" t="s">
        <v>93</v>
      </c>
      <c r="AN1388">
        <v>306.0000253186351</v>
      </c>
      <c r="AR1388">
        <v>5.2262888654166662E-3</v>
      </c>
      <c r="AS1388">
        <v>118.7558111331774</v>
      </c>
      <c r="AU1388">
        <v>4.5309007704307582</v>
      </c>
      <c r="AZ1388" t="s">
        <v>118</v>
      </c>
      <c r="BA1388" t="str">
        <f>VLOOKUP($AZ1388,Sheet1!$A$2:$B$58,2)</f>
        <v>Butanol (PW1)</v>
      </c>
      <c r="BB1388" t="s">
        <v>169</v>
      </c>
      <c r="BC1388">
        <v>74.120199999999997</v>
      </c>
      <c r="BD1388">
        <v>6</v>
      </c>
      <c r="BE1388">
        <v>117.7</v>
      </c>
      <c r="BF1388" t="s">
        <v>222</v>
      </c>
      <c r="BG1388">
        <v>-2.375061049484493</v>
      </c>
      <c r="BH1388">
        <v>0.25</v>
      </c>
      <c r="BI1388">
        <v>0.37017160094290602</v>
      </c>
      <c r="BJ1388">
        <v>80</v>
      </c>
      <c r="BO1388">
        <v>1613.54813834694</v>
      </c>
    </row>
    <row r="1389" spans="1:67" x14ac:dyDescent="0.25">
      <c r="A1389" s="1">
        <v>1387</v>
      </c>
      <c r="B1389" t="s">
        <v>79</v>
      </c>
      <c r="C1389" t="s">
        <v>88</v>
      </c>
      <c r="D1389">
        <v>1</v>
      </c>
      <c r="E1389">
        <v>0</v>
      </c>
      <c r="F1389">
        <v>2</v>
      </c>
      <c r="G1389">
        <v>44.008699999999997</v>
      </c>
      <c r="H1389">
        <v>2</v>
      </c>
      <c r="I1389" t="s">
        <v>89</v>
      </c>
      <c r="J1389">
        <v>3</v>
      </c>
      <c r="K1389">
        <v>300</v>
      </c>
      <c r="L1389">
        <v>100</v>
      </c>
      <c r="Q1389">
        <v>3.2500000000000001E-2</v>
      </c>
      <c r="R1389">
        <v>77.5</v>
      </c>
      <c r="S1389">
        <v>170</v>
      </c>
      <c r="U1389">
        <v>1812.1301775147931</v>
      </c>
      <c r="V1389">
        <v>20</v>
      </c>
      <c r="W1389">
        <v>0.95</v>
      </c>
      <c r="X1389">
        <v>1</v>
      </c>
      <c r="Y1389">
        <v>27419.90282822233</v>
      </c>
      <c r="Z1389">
        <v>82259708.484666988</v>
      </c>
      <c r="AA1389">
        <v>246779125.45400089</v>
      </c>
      <c r="AB1389">
        <v>246779.12545400101</v>
      </c>
      <c r="AC1389">
        <v>0</v>
      </c>
      <c r="AD1389">
        <v>852.56179371763346</v>
      </c>
      <c r="AE1389">
        <v>1534611.22869174</v>
      </c>
      <c r="AF1389">
        <v>1534611.22869174</v>
      </c>
      <c r="AG1389">
        <v>67.536245180126187</v>
      </c>
      <c r="AJ1389">
        <v>8020.3215772550311</v>
      </c>
      <c r="AK1389">
        <v>854.70085470085473</v>
      </c>
      <c r="AL1389" t="s">
        <v>93</v>
      </c>
      <c r="AN1389">
        <v>306.00002531863441</v>
      </c>
      <c r="AR1389">
        <v>5.2262888654166662E-3</v>
      </c>
      <c r="AS1389">
        <v>118.7558111331774</v>
      </c>
      <c r="AU1389">
        <v>4.53090077043076</v>
      </c>
      <c r="AZ1389" t="s">
        <v>119</v>
      </c>
      <c r="BA1389" t="str">
        <f>VLOOKUP($AZ1389,Sheet1!$A$2:$B$58,2)</f>
        <v>Butanol (PW2)</v>
      </c>
      <c r="BB1389" t="s">
        <v>169</v>
      </c>
      <c r="BC1389">
        <v>74.120199999999997</v>
      </c>
      <c r="BD1389">
        <v>6</v>
      </c>
      <c r="BE1389">
        <v>117.7</v>
      </c>
      <c r="BF1389" t="s">
        <v>222</v>
      </c>
      <c r="BG1389">
        <v>-2.3750610494844779</v>
      </c>
      <c r="BH1389">
        <v>0.25</v>
      </c>
      <c r="BI1389">
        <v>0.37017160094290702</v>
      </c>
      <c r="BJ1389">
        <v>80</v>
      </c>
      <c r="BO1389">
        <v>1613.54813834693</v>
      </c>
    </row>
    <row r="1390" spans="1:67" x14ac:dyDescent="0.25">
      <c r="A1390" s="1">
        <v>1388</v>
      </c>
      <c r="B1390" t="s">
        <v>79</v>
      </c>
      <c r="C1390" t="s">
        <v>88</v>
      </c>
      <c r="D1390">
        <v>1</v>
      </c>
      <c r="E1390">
        <v>0</v>
      </c>
      <c r="F1390">
        <v>2</v>
      </c>
      <c r="G1390">
        <v>44.008699999999997</v>
      </c>
      <c r="H1390">
        <v>2</v>
      </c>
      <c r="I1390" t="s">
        <v>89</v>
      </c>
      <c r="J1390">
        <v>3</v>
      </c>
      <c r="K1390">
        <v>300</v>
      </c>
      <c r="L1390">
        <v>100</v>
      </c>
      <c r="Q1390">
        <v>3.2500000000000001E-2</v>
      </c>
      <c r="R1390">
        <v>77.5</v>
      </c>
      <c r="S1390">
        <v>170</v>
      </c>
      <c r="U1390">
        <v>1812.1301775147931</v>
      </c>
      <c r="V1390">
        <v>20</v>
      </c>
      <c r="W1390">
        <v>0.95</v>
      </c>
      <c r="X1390">
        <v>1</v>
      </c>
      <c r="Y1390">
        <v>22865.010090964752</v>
      </c>
      <c r="Z1390">
        <v>68595030.272894263</v>
      </c>
      <c r="AA1390">
        <v>205785090.81868279</v>
      </c>
      <c r="AB1390">
        <v>205785.0908186828</v>
      </c>
      <c r="AC1390">
        <v>0</v>
      </c>
      <c r="AD1390">
        <v>710.93738510482217</v>
      </c>
      <c r="AE1390">
        <v>1279687.29318868</v>
      </c>
      <c r="AF1390">
        <v>1279687.29318868</v>
      </c>
      <c r="AG1390">
        <v>56.317374179752662</v>
      </c>
      <c r="AJ1390">
        <v>6688.0154516071916</v>
      </c>
      <c r="AK1390">
        <v>854.70085470085473</v>
      </c>
      <c r="AL1390" t="s">
        <v>93</v>
      </c>
      <c r="AN1390">
        <v>255.16843405967859</v>
      </c>
      <c r="AR1390">
        <v>5.2262888654166671E-3</v>
      </c>
      <c r="AS1390">
        <v>118.7558111331775</v>
      </c>
      <c r="AU1390">
        <v>4.5309007704307582</v>
      </c>
      <c r="AZ1390" t="s">
        <v>120</v>
      </c>
      <c r="BA1390" t="str">
        <f>VLOOKUP($AZ1390,Sheet1!$A$2:$B$58,2)</f>
        <v>Butyrate</v>
      </c>
      <c r="BB1390" t="s">
        <v>170</v>
      </c>
      <c r="BC1390">
        <v>87.095680000000002</v>
      </c>
      <c r="BD1390">
        <v>4.75</v>
      </c>
      <c r="BE1390">
        <v>163.5</v>
      </c>
      <c r="BF1390" t="s">
        <v>222</v>
      </c>
      <c r="BG1390">
        <v>-2.0212253925797472</v>
      </c>
      <c r="BH1390">
        <v>0.25</v>
      </c>
      <c r="BI1390">
        <v>0.44391274209989801</v>
      </c>
      <c r="BJ1390">
        <v>80</v>
      </c>
      <c r="BO1390">
        <v>1141.5708365938999</v>
      </c>
    </row>
    <row r="1391" spans="1:67" x14ac:dyDescent="0.25">
      <c r="A1391" s="1">
        <v>1389</v>
      </c>
      <c r="B1391" t="s">
        <v>79</v>
      </c>
      <c r="C1391" t="s">
        <v>88</v>
      </c>
      <c r="D1391">
        <v>1</v>
      </c>
      <c r="E1391">
        <v>0</v>
      </c>
      <c r="F1391">
        <v>2</v>
      </c>
      <c r="G1391">
        <v>44.008699999999997</v>
      </c>
      <c r="H1391">
        <v>2</v>
      </c>
      <c r="I1391" t="s">
        <v>89</v>
      </c>
      <c r="J1391">
        <v>3</v>
      </c>
      <c r="K1391">
        <v>300</v>
      </c>
      <c r="L1391">
        <v>100</v>
      </c>
      <c r="Q1391">
        <v>3.2500000000000001E-2</v>
      </c>
      <c r="R1391">
        <v>77.5</v>
      </c>
      <c r="S1391">
        <v>170</v>
      </c>
      <c r="U1391">
        <v>1812.1301775147931</v>
      </c>
      <c r="V1391">
        <v>20</v>
      </c>
      <c r="W1391">
        <v>0.95</v>
      </c>
      <c r="X1391">
        <v>1</v>
      </c>
      <c r="Y1391">
        <v>112880.2539545676</v>
      </c>
      <c r="Z1391">
        <v>338640761.86370277</v>
      </c>
      <c r="AA1391">
        <v>1015922285.591109</v>
      </c>
      <c r="AB1391">
        <v>1015922.285591109</v>
      </c>
      <c r="AC1391">
        <v>0</v>
      </c>
      <c r="AD1391">
        <v>3509.7641443044949</v>
      </c>
      <c r="AE1391">
        <v>6317575.4597480912</v>
      </c>
      <c r="AF1391">
        <v>6317575.4597480912</v>
      </c>
      <c r="AG1391">
        <v>278.02828313541579</v>
      </c>
      <c r="AJ1391">
        <v>33017.474281711031</v>
      </c>
      <c r="AK1391">
        <v>854.70085470085473</v>
      </c>
      <c r="AL1391" t="s">
        <v>93</v>
      </c>
      <c r="AN1391">
        <v>1259.718562259797</v>
      </c>
      <c r="AR1391">
        <v>5.2262888654166671E-3</v>
      </c>
      <c r="AS1391">
        <v>118.7558111331775</v>
      </c>
      <c r="AU1391">
        <v>4.53090077043076</v>
      </c>
      <c r="AZ1391" t="s">
        <v>121</v>
      </c>
      <c r="BA1391" t="str">
        <f>VLOOKUP($AZ1391,Sheet1!$A$2:$B$58,2)</f>
        <v>Catechol</v>
      </c>
      <c r="BB1391" t="s">
        <v>171</v>
      </c>
      <c r="BC1391">
        <v>110.10924</v>
      </c>
      <c r="BD1391">
        <v>4.333333333333333</v>
      </c>
      <c r="BE1391">
        <v>245</v>
      </c>
      <c r="BF1391" t="s">
        <v>222</v>
      </c>
      <c r="BG1391">
        <v>-10.171000511525079</v>
      </c>
      <c r="BH1391">
        <v>3.9297409943435502E-2</v>
      </c>
      <c r="BI1391">
        <v>8.9918909393198507E-2</v>
      </c>
      <c r="BJ1391">
        <v>80</v>
      </c>
      <c r="BO1391">
        <v>4468.8656057969802</v>
      </c>
    </row>
    <row r="1392" spans="1:67" x14ac:dyDescent="0.25">
      <c r="A1392" s="1">
        <v>1390</v>
      </c>
      <c r="B1392" t="s">
        <v>79</v>
      </c>
      <c r="C1392" t="s">
        <v>88</v>
      </c>
      <c r="D1392">
        <v>1</v>
      </c>
      <c r="E1392">
        <v>0</v>
      </c>
      <c r="F1392">
        <v>2</v>
      </c>
      <c r="G1392">
        <v>44.008699999999997</v>
      </c>
      <c r="H1392">
        <v>2</v>
      </c>
      <c r="I1392" t="s">
        <v>89</v>
      </c>
      <c r="J1392">
        <v>3</v>
      </c>
      <c r="K1392">
        <v>300</v>
      </c>
      <c r="L1392">
        <v>100</v>
      </c>
      <c r="Q1392">
        <v>3.2500000000000001E-2</v>
      </c>
      <c r="R1392">
        <v>77.5</v>
      </c>
      <c r="S1392">
        <v>170</v>
      </c>
      <c r="U1392">
        <v>1812.1301775147931</v>
      </c>
      <c r="V1392">
        <v>20</v>
      </c>
      <c r="W1392">
        <v>0.95</v>
      </c>
      <c r="X1392">
        <v>1</v>
      </c>
      <c r="Y1392" t="s">
        <v>92</v>
      </c>
      <c r="Z1392" t="s">
        <v>92</v>
      </c>
      <c r="AA1392" t="s">
        <v>92</v>
      </c>
      <c r="AB1392" t="s">
        <v>92</v>
      </c>
      <c r="AC1392">
        <v>0</v>
      </c>
      <c r="AD1392" t="s">
        <v>92</v>
      </c>
      <c r="AE1392" t="s">
        <v>92</v>
      </c>
      <c r="AF1392" t="s">
        <v>92</v>
      </c>
      <c r="AG1392" t="s">
        <v>92</v>
      </c>
      <c r="AJ1392" t="s">
        <v>92</v>
      </c>
      <c r="AK1392">
        <v>854.70085470085473</v>
      </c>
      <c r="AL1392" t="s">
        <v>93</v>
      </c>
      <c r="AN1392" t="s">
        <v>92</v>
      </c>
      <c r="AZ1392" t="s">
        <v>122</v>
      </c>
      <c r="BA1392" t="str">
        <f>VLOOKUP($AZ1392,Sheet1!$A$2:$B$58,2)</f>
        <v>cis,cis-Muconate</v>
      </c>
      <c r="BB1392" t="s">
        <v>172</v>
      </c>
      <c r="BC1392">
        <v>140.09155999999999</v>
      </c>
      <c r="BD1392">
        <v>3.333333333333333</v>
      </c>
      <c r="BE1392">
        <v>345.4</v>
      </c>
      <c r="BF1392" t="s">
        <v>222</v>
      </c>
      <c r="BG1392" t="s">
        <v>223</v>
      </c>
      <c r="BH1392">
        <v>0</v>
      </c>
      <c r="BI1392">
        <v>0</v>
      </c>
      <c r="BJ1392">
        <v>80</v>
      </c>
    </row>
    <row r="1393" spans="1:67" x14ac:dyDescent="0.25">
      <c r="A1393" s="1">
        <v>1391</v>
      </c>
      <c r="B1393" t="s">
        <v>79</v>
      </c>
      <c r="C1393" t="s">
        <v>88</v>
      </c>
      <c r="D1393">
        <v>1</v>
      </c>
      <c r="E1393">
        <v>0</v>
      </c>
      <c r="F1393">
        <v>2</v>
      </c>
      <c r="G1393">
        <v>44.008699999999997</v>
      </c>
      <c r="H1393">
        <v>2</v>
      </c>
      <c r="I1393" t="s">
        <v>89</v>
      </c>
      <c r="J1393">
        <v>3</v>
      </c>
      <c r="K1393">
        <v>300</v>
      </c>
      <c r="L1393">
        <v>100</v>
      </c>
      <c r="Q1393">
        <v>3.2500000000000001E-2</v>
      </c>
      <c r="R1393">
        <v>77.5</v>
      </c>
      <c r="S1393">
        <v>170</v>
      </c>
      <c r="U1393">
        <v>1812.1301775147931</v>
      </c>
      <c r="V1393">
        <v>20</v>
      </c>
      <c r="W1393">
        <v>0.95</v>
      </c>
      <c r="X1393">
        <v>1</v>
      </c>
      <c r="Y1393">
        <v>120337.09795263851</v>
      </c>
      <c r="Z1393">
        <v>361011293.85791552</v>
      </c>
      <c r="AA1393">
        <v>1083033881.5737469</v>
      </c>
      <c r="AB1393">
        <v>1083033.8815737469</v>
      </c>
      <c r="AC1393">
        <v>0</v>
      </c>
      <c r="AD1393">
        <v>3741.6183683801701</v>
      </c>
      <c r="AE1393">
        <v>6734913.0630843062</v>
      </c>
      <c r="AF1393">
        <v>6734913.0630843062</v>
      </c>
      <c r="AG1393">
        <v>296.39476851935842</v>
      </c>
      <c r="AJ1393">
        <v>35198.601151146773</v>
      </c>
      <c r="AK1393">
        <v>854.70085470085473</v>
      </c>
      <c r="AL1393" t="s">
        <v>93</v>
      </c>
      <c r="AN1393">
        <v>1342.9352850360069</v>
      </c>
      <c r="AR1393">
        <v>5.2262888654166671E-3</v>
      </c>
      <c r="AS1393">
        <v>118.7558111331775</v>
      </c>
      <c r="AU1393">
        <v>4.53090077043076</v>
      </c>
      <c r="AZ1393" t="s">
        <v>124</v>
      </c>
      <c r="BA1393" t="str">
        <f>VLOOKUP($AZ1393,Sheet1!$A$2:$B$58,2)</f>
        <v>Coumaric Acid</v>
      </c>
      <c r="BB1393" t="s">
        <v>174</v>
      </c>
      <c r="BC1393">
        <v>163.14818</v>
      </c>
      <c r="BD1393">
        <v>4.1111111111111107</v>
      </c>
      <c r="BE1393">
        <v>346</v>
      </c>
      <c r="BF1393" t="s">
        <v>222</v>
      </c>
      <c r="BG1393">
        <v>-10.849455161782201</v>
      </c>
      <c r="BH1393">
        <v>2.4863439442456101E-2</v>
      </c>
      <c r="BI1393">
        <v>8.4346967812177098E-2</v>
      </c>
      <c r="BJ1393">
        <v>80</v>
      </c>
      <c r="BO1393">
        <v>4727.2367018209297</v>
      </c>
    </row>
    <row r="1394" spans="1:67" x14ac:dyDescent="0.25">
      <c r="A1394" s="1">
        <v>1392</v>
      </c>
      <c r="B1394" t="s">
        <v>79</v>
      </c>
      <c r="C1394" t="s">
        <v>88</v>
      </c>
      <c r="D1394">
        <v>1</v>
      </c>
      <c r="E1394">
        <v>0</v>
      </c>
      <c r="F1394">
        <v>2</v>
      </c>
      <c r="G1394">
        <v>44.008699999999997</v>
      </c>
      <c r="H1394">
        <v>2</v>
      </c>
      <c r="I1394" t="s">
        <v>89</v>
      </c>
      <c r="J1394">
        <v>3</v>
      </c>
      <c r="K1394">
        <v>300</v>
      </c>
      <c r="L1394">
        <v>100</v>
      </c>
      <c r="Q1394">
        <v>3.2500000000000001E-2</v>
      </c>
      <c r="R1394">
        <v>77.5</v>
      </c>
      <c r="S1394">
        <v>170</v>
      </c>
      <c r="U1394">
        <v>1812.1301775147931</v>
      </c>
      <c r="V1394">
        <v>20</v>
      </c>
      <c r="W1394">
        <v>0.95</v>
      </c>
      <c r="X1394">
        <v>1</v>
      </c>
      <c r="Y1394">
        <v>22603.451054843608</v>
      </c>
      <c r="Z1394">
        <v>67810353.164530843</v>
      </c>
      <c r="AA1394">
        <v>203431059.4935925</v>
      </c>
      <c r="AB1394">
        <v>203431.0594935925</v>
      </c>
      <c r="AC1394">
        <v>0</v>
      </c>
      <c r="AD1394">
        <v>702.80478002611369</v>
      </c>
      <c r="AE1394">
        <v>1265048.6040470051</v>
      </c>
      <c r="AF1394">
        <v>1265048.6040470051</v>
      </c>
      <c r="AG1394">
        <v>55.673144500923421</v>
      </c>
      <c r="AJ1394">
        <v>6611.509433541758</v>
      </c>
      <c r="AK1394">
        <v>854.70085470085473</v>
      </c>
      <c r="AL1394" t="s">
        <v>93</v>
      </c>
      <c r="AN1394">
        <v>252.2494933115369</v>
      </c>
      <c r="AR1394">
        <v>5.2262888654166671E-3</v>
      </c>
      <c r="AS1394">
        <v>118.7558111331775</v>
      </c>
      <c r="AU1394">
        <v>4.53090077043076</v>
      </c>
      <c r="AZ1394" t="s">
        <v>125</v>
      </c>
      <c r="BA1394" t="str">
        <f>VLOOKUP($AZ1394,Sheet1!$A$2:$B$58,2)</f>
        <v>Ethyl Acetate</v>
      </c>
      <c r="BB1394" t="s">
        <v>175</v>
      </c>
      <c r="BC1394">
        <v>88.103520000000003</v>
      </c>
      <c r="BD1394">
        <v>5</v>
      </c>
      <c r="BE1394">
        <v>77.099999999999994</v>
      </c>
      <c r="BF1394" t="s">
        <v>222</v>
      </c>
      <c r="BG1394">
        <v>-1.998104048510204</v>
      </c>
      <c r="BH1394">
        <v>0.25</v>
      </c>
      <c r="BI1394">
        <v>0.449049541284404</v>
      </c>
      <c r="BJ1394">
        <v>80</v>
      </c>
      <c r="BO1394">
        <v>1129.0009566789699</v>
      </c>
    </row>
    <row r="1395" spans="1:67" x14ac:dyDescent="0.25">
      <c r="A1395" s="1">
        <v>1393</v>
      </c>
      <c r="B1395" t="s">
        <v>79</v>
      </c>
      <c r="C1395" t="s">
        <v>88</v>
      </c>
      <c r="D1395">
        <v>1</v>
      </c>
      <c r="E1395">
        <v>0</v>
      </c>
      <c r="F1395">
        <v>2</v>
      </c>
      <c r="G1395">
        <v>44.008699999999997</v>
      </c>
      <c r="H1395">
        <v>2</v>
      </c>
      <c r="I1395" t="s">
        <v>89</v>
      </c>
      <c r="J1395">
        <v>3</v>
      </c>
      <c r="K1395">
        <v>300</v>
      </c>
      <c r="L1395">
        <v>100</v>
      </c>
      <c r="Q1395">
        <v>3.2500000000000001E-2</v>
      </c>
      <c r="R1395">
        <v>77.5</v>
      </c>
      <c r="S1395">
        <v>170</v>
      </c>
      <c r="U1395">
        <v>1812.1301775147931</v>
      </c>
      <c r="V1395">
        <v>20</v>
      </c>
      <c r="W1395">
        <v>0.95</v>
      </c>
      <c r="X1395">
        <v>1</v>
      </c>
      <c r="Y1395">
        <v>117947.7308034836</v>
      </c>
      <c r="Z1395">
        <v>353843192.41045082</v>
      </c>
      <c r="AA1395">
        <v>1061529577.231352</v>
      </c>
      <c r="AB1395">
        <v>1061529.577231352</v>
      </c>
      <c r="AC1395">
        <v>0</v>
      </c>
      <c r="AD1395">
        <v>3667.3262326532408</v>
      </c>
      <c r="AE1395">
        <v>6601187.218775834</v>
      </c>
      <c r="AF1395">
        <v>6601187.218775834</v>
      </c>
      <c r="AG1395">
        <v>290.50966795494008</v>
      </c>
      <c r="AJ1395">
        <v>34499.711260018958</v>
      </c>
      <c r="AK1395">
        <v>1835.336538461539</v>
      </c>
      <c r="AL1395" t="s">
        <v>94</v>
      </c>
      <c r="AN1395">
        <v>1316.2704783546219</v>
      </c>
      <c r="AR1395">
        <v>5.2262888654166671E-3</v>
      </c>
      <c r="AS1395">
        <v>118.7558111331775</v>
      </c>
      <c r="AU1395">
        <v>4.53090077043076</v>
      </c>
      <c r="AZ1395" t="s">
        <v>126</v>
      </c>
      <c r="BA1395" t="str">
        <f>VLOOKUP($AZ1395,Sheet1!$A$2:$B$58,2)</f>
        <v>Farnesene</v>
      </c>
      <c r="BB1395" t="s">
        <v>176</v>
      </c>
      <c r="BC1395">
        <v>204.34866</v>
      </c>
      <c r="BD1395">
        <v>5.6</v>
      </c>
      <c r="BE1395" t="s">
        <v>198</v>
      </c>
      <c r="BF1395" t="s">
        <v>222</v>
      </c>
      <c r="BG1395">
        <v>-10.53667740757848</v>
      </c>
      <c r="BH1395">
        <v>2.0439764633013099E-2</v>
      </c>
      <c r="BI1395">
        <v>8.6055655827184593E-2</v>
      </c>
      <c r="BJ1395">
        <v>80</v>
      </c>
      <c r="BO1395">
        <v>5188.0569415433101</v>
      </c>
    </row>
    <row r="1396" spans="1:67" x14ac:dyDescent="0.25">
      <c r="A1396" s="1">
        <v>1394</v>
      </c>
      <c r="B1396" t="s">
        <v>79</v>
      </c>
      <c r="C1396" t="s">
        <v>88</v>
      </c>
      <c r="D1396">
        <v>1</v>
      </c>
      <c r="E1396">
        <v>0</v>
      </c>
      <c r="F1396">
        <v>2</v>
      </c>
      <c r="G1396">
        <v>44.008699999999997</v>
      </c>
      <c r="H1396">
        <v>2</v>
      </c>
      <c r="I1396" t="s">
        <v>89</v>
      </c>
      <c r="J1396">
        <v>3</v>
      </c>
      <c r="K1396">
        <v>300</v>
      </c>
      <c r="L1396">
        <v>100</v>
      </c>
      <c r="Q1396">
        <v>3.2500000000000001E-2</v>
      </c>
      <c r="R1396">
        <v>77.5</v>
      </c>
      <c r="S1396">
        <v>170</v>
      </c>
      <c r="U1396">
        <v>1812.1301775147931</v>
      </c>
      <c r="V1396">
        <v>20</v>
      </c>
      <c r="W1396">
        <v>0.95</v>
      </c>
      <c r="X1396">
        <v>1</v>
      </c>
      <c r="Y1396">
        <v>88592.604309013215</v>
      </c>
      <c r="Z1396">
        <v>265777812.92703959</v>
      </c>
      <c r="AA1396">
        <v>797333438.78111887</v>
      </c>
      <c r="AB1396">
        <v>797333.43878111884</v>
      </c>
      <c r="AC1396">
        <v>0</v>
      </c>
      <c r="AD1396">
        <v>2754.5928996534522</v>
      </c>
      <c r="AE1396">
        <v>4958267.2193762138</v>
      </c>
      <c r="AF1396">
        <v>4958267.2193762138</v>
      </c>
      <c r="AG1396">
        <v>218.20689457736199</v>
      </c>
      <c r="AJ1396">
        <v>25913.336760386359</v>
      </c>
      <c r="AK1396">
        <v>1835.336538461539</v>
      </c>
      <c r="AL1396" t="s">
        <v>94</v>
      </c>
      <c r="AN1396">
        <v>988.67378675387306</v>
      </c>
      <c r="AR1396">
        <v>5.2262888654166662E-3</v>
      </c>
      <c r="AS1396">
        <v>118.7558111331774</v>
      </c>
      <c r="AU1396">
        <v>4.53090077043076</v>
      </c>
      <c r="AZ1396" t="s">
        <v>127</v>
      </c>
      <c r="BA1396" t="str">
        <f>VLOOKUP($AZ1396,Sheet1!$A$2:$B$58,2)</f>
        <v>Gamma Butyrolactone</v>
      </c>
      <c r="BB1396" t="s">
        <v>177</v>
      </c>
      <c r="BC1396">
        <v>86.08784</v>
      </c>
      <c r="BD1396">
        <v>4.5</v>
      </c>
      <c r="BE1396">
        <v>204</v>
      </c>
      <c r="BF1396" t="s">
        <v>222</v>
      </c>
      <c r="BG1396">
        <v>-7.9742890306205414</v>
      </c>
      <c r="BH1396">
        <v>6.4108790675085195E-2</v>
      </c>
      <c r="BI1396">
        <v>0.11457016538556999</v>
      </c>
      <c r="BJ1396">
        <v>80</v>
      </c>
      <c r="BO1396">
        <v>3608.5373039301398</v>
      </c>
    </row>
    <row r="1397" spans="1:67" x14ac:dyDescent="0.25">
      <c r="A1397" s="1">
        <v>1395</v>
      </c>
      <c r="B1397" t="s">
        <v>79</v>
      </c>
      <c r="C1397" t="s">
        <v>88</v>
      </c>
      <c r="D1397">
        <v>1</v>
      </c>
      <c r="E1397">
        <v>0</v>
      </c>
      <c r="F1397">
        <v>2</v>
      </c>
      <c r="G1397">
        <v>44.008699999999997</v>
      </c>
      <c r="H1397">
        <v>2</v>
      </c>
      <c r="I1397" t="s">
        <v>89</v>
      </c>
      <c r="J1397">
        <v>3</v>
      </c>
      <c r="K1397">
        <v>300</v>
      </c>
      <c r="L1397">
        <v>100</v>
      </c>
      <c r="Q1397">
        <v>3.2500000000000001E-2</v>
      </c>
      <c r="R1397">
        <v>77.5</v>
      </c>
      <c r="S1397">
        <v>170</v>
      </c>
      <c r="U1397">
        <v>1812.1301775147931</v>
      </c>
      <c r="V1397">
        <v>20</v>
      </c>
      <c r="W1397">
        <v>0.95</v>
      </c>
      <c r="X1397">
        <v>1</v>
      </c>
      <c r="Y1397" t="s">
        <v>92</v>
      </c>
      <c r="Z1397" t="s">
        <v>92</v>
      </c>
      <c r="AA1397" t="s">
        <v>92</v>
      </c>
      <c r="AB1397" t="s">
        <v>92</v>
      </c>
      <c r="AC1397">
        <v>0</v>
      </c>
      <c r="AD1397" t="s">
        <v>92</v>
      </c>
      <c r="AE1397" t="s">
        <v>92</v>
      </c>
      <c r="AF1397" t="s">
        <v>92</v>
      </c>
      <c r="AG1397" t="s">
        <v>92</v>
      </c>
      <c r="AJ1397" t="s">
        <v>92</v>
      </c>
      <c r="AK1397">
        <v>854.70085470085473</v>
      </c>
      <c r="AL1397" t="s">
        <v>93</v>
      </c>
      <c r="AN1397" t="s">
        <v>92</v>
      </c>
      <c r="AZ1397" t="s">
        <v>129</v>
      </c>
      <c r="BA1397" t="str">
        <f>VLOOKUP($AZ1397,Sheet1!$A$2:$B$58,2)</f>
        <v>Glutarate</v>
      </c>
      <c r="BB1397" t="s">
        <v>179</v>
      </c>
      <c r="BC1397">
        <v>130.09654</v>
      </c>
      <c r="BD1397">
        <v>3.6</v>
      </c>
      <c r="BE1397">
        <v>200</v>
      </c>
      <c r="BF1397" t="s">
        <v>222</v>
      </c>
      <c r="BG1397" t="s">
        <v>223</v>
      </c>
      <c r="BH1397">
        <v>0</v>
      </c>
      <c r="BI1397">
        <v>0</v>
      </c>
      <c r="BJ1397">
        <v>80</v>
      </c>
    </row>
    <row r="1398" spans="1:67" x14ac:dyDescent="0.25">
      <c r="A1398" s="1">
        <v>1396</v>
      </c>
      <c r="B1398" t="s">
        <v>79</v>
      </c>
      <c r="C1398" t="s">
        <v>88</v>
      </c>
      <c r="D1398">
        <v>1</v>
      </c>
      <c r="E1398">
        <v>0</v>
      </c>
      <c r="F1398">
        <v>2</v>
      </c>
      <c r="G1398">
        <v>44.008699999999997</v>
      </c>
      <c r="H1398">
        <v>2</v>
      </c>
      <c r="I1398" t="s">
        <v>89</v>
      </c>
      <c r="J1398">
        <v>3</v>
      </c>
      <c r="K1398">
        <v>300</v>
      </c>
      <c r="L1398">
        <v>100</v>
      </c>
      <c r="Q1398">
        <v>3.2500000000000001E-2</v>
      </c>
      <c r="R1398">
        <v>77.5</v>
      </c>
      <c r="S1398">
        <v>170</v>
      </c>
      <c r="U1398">
        <v>1812.1301775147931</v>
      </c>
      <c r="V1398">
        <v>20</v>
      </c>
      <c r="W1398">
        <v>0.95</v>
      </c>
      <c r="X1398">
        <v>1</v>
      </c>
      <c r="Y1398">
        <v>35699.556833631643</v>
      </c>
      <c r="Z1398">
        <v>107098670.5008949</v>
      </c>
      <c r="AA1398">
        <v>321296011.50268471</v>
      </c>
      <c r="AB1398">
        <v>321296.01150268468</v>
      </c>
      <c r="AC1398">
        <v>0</v>
      </c>
      <c r="AD1398">
        <v>1109.9994919631449</v>
      </c>
      <c r="AE1398">
        <v>1997999.0855336611</v>
      </c>
      <c r="AF1398">
        <v>1997999.0855336611</v>
      </c>
      <c r="AG1398">
        <v>87.929342355525222</v>
      </c>
      <c r="AJ1398">
        <v>10442.120373837261</v>
      </c>
      <c r="AK1398">
        <v>854.70085470085473</v>
      </c>
      <c r="AL1398" t="s">
        <v>93</v>
      </c>
      <c r="AN1398">
        <v>398.39912502211928</v>
      </c>
      <c r="AR1398">
        <v>5.2262888654166671E-3</v>
      </c>
      <c r="AS1398">
        <v>118.7558111331775</v>
      </c>
      <c r="AU1398">
        <v>4.53090077043076</v>
      </c>
      <c r="AZ1398" t="s">
        <v>131</v>
      </c>
      <c r="BA1398" t="str">
        <f>VLOOKUP($AZ1398,Sheet1!$A$2:$B$58,2)</f>
        <v>Heptane</v>
      </c>
      <c r="BB1398" t="s">
        <v>181</v>
      </c>
      <c r="BC1398">
        <v>100.20034</v>
      </c>
      <c r="BD1398">
        <v>6.2857142857142856</v>
      </c>
      <c r="BE1398">
        <v>98</v>
      </c>
      <c r="BF1398" t="s">
        <v>222</v>
      </c>
      <c r="BG1398">
        <v>-3.074540465631153</v>
      </c>
      <c r="BH1398">
        <v>0.14285714285714199</v>
      </c>
      <c r="BI1398">
        <v>0.28431919687193102</v>
      </c>
      <c r="BJ1398">
        <v>80</v>
      </c>
      <c r="BO1398">
        <v>2179.5868885855598</v>
      </c>
    </row>
    <row r="1399" spans="1:67" x14ac:dyDescent="0.25">
      <c r="A1399" s="1">
        <v>1397</v>
      </c>
      <c r="B1399" t="s">
        <v>79</v>
      </c>
      <c r="C1399" t="s">
        <v>88</v>
      </c>
      <c r="D1399">
        <v>1</v>
      </c>
      <c r="E1399">
        <v>0</v>
      </c>
      <c r="F1399">
        <v>2</v>
      </c>
      <c r="G1399">
        <v>44.008699999999997</v>
      </c>
      <c r="H1399">
        <v>2</v>
      </c>
      <c r="I1399" t="s">
        <v>89</v>
      </c>
      <c r="J1399">
        <v>3</v>
      </c>
      <c r="K1399">
        <v>300</v>
      </c>
      <c r="L1399">
        <v>100</v>
      </c>
      <c r="Q1399">
        <v>3.2500000000000001E-2</v>
      </c>
      <c r="R1399">
        <v>77.5</v>
      </c>
      <c r="S1399">
        <v>170</v>
      </c>
      <c r="U1399">
        <v>1812.1301775147931</v>
      </c>
      <c r="V1399">
        <v>20</v>
      </c>
      <c r="W1399">
        <v>0.95</v>
      </c>
      <c r="X1399">
        <v>1</v>
      </c>
      <c r="Y1399">
        <v>35614.187420156923</v>
      </c>
      <c r="Z1399">
        <v>106842562.2604707</v>
      </c>
      <c r="AA1399">
        <v>320527686.78141218</v>
      </c>
      <c r="AB1399">
        <v>320527.68678141222</v>
      </c>
      <c r="AC1399">
        <v>0</v>
      </c>
      <c r="AD1399">
        <v>1107.345117119565</v>
      </c>
      <c r="AE1399">
        <v>1993221.2108152171</v>
      </c>
      <c r="AF1399">
        <v>1993221.2108152171</v>
      </c>
      <c r="AG1399">
        <v>87.719074300403676</v>
      </c>
      <c r="AJ1399">
        <v>10417.1498203959</v>
      </c>
      <c r="AK1399">
        <v>854.70085470085473</v>
      </c>
      <c r="AL1399" t="s">
        <v>93</v>
      </c>
      <c r="AN1399">
        <v>397.44642132917198</v>
      </c>
      <c r="AR1399">
        <v>5.2262888654166662E-3</v>
      </c>
      <c r="AS1399">
        <v>118.7558111331774</v>
      </c>
      <c r="AU1399">
        <v>4.53090077043076</v>
      </c>
      <c r="AZ1399" t="s">
        <v>132</v>
      </c>
      <c r="BA1399" t="str">
        <f>VLOOKUP($AZ1399,Sheet1!$A$2:$B$58,2)</f>
        <v>Hexane</v>
      </c>
      <c r="BB1399" t="s">
        <v>182</v>
      </c>
      <c r="BC1399">
        <v>86.173959999999994</v>
      </c>
      <c r="BD1399">
        <v>6.333333333333333</v>
      </c>
      <c r="BE1399">
        <v>69</v>
      </c>
      <c r="BF1399" t="s">
        <v>222</v>
      </c>
      <c r="BG1399">
        <v>-3.0642667460100719</v>
      </c>
      <c r="BH1399">
        <v>0.16666666666666599</v>
      </c>
      <c r="BI1399">
        <v>0.28500072759984602</v>
      </c>
      <c r="BJ1399">
        <v>80</v>
      </c>
      <c r="BO1399">
        <v>2189.6253130847799</v>
      </c>
    </row>
    <row r="1400" spans="1:67" x14ac:dyDescent="0.25">
      <c r="A1400" s="1">
        <v>1398</v>
      </c>
      <c r="B1400" t="s">
        <v>79</v>
      </c>
      <c r="C1400" t="s">
        <v>88</v>
      </c>
      <c r="D1400">
        <v>1</v>
      </c>
      <c r="E1400">
        <v>0</v>
      </c>
      <c r="F1400">
        <v>2</v>
      </c>
      <c r="G1400">
        <v>44.008699999999997</v>
      </c>
      <c r="H1400">
        <v>2</v>
      </c>
      <c r="I1400" t="s">
        <v>89</v>
      </c>
      <c r="J1400">
        <v>3</v>
      </c>
      <c r="K1400">
        <v>300</v>
      </c>
      <c r="L1400">
        <v>100</v>
      </c>
      <c r="Q1400">
        <v>3.2500000000000001E-2</v>
      </c>
      <c r="R1400">
        <v>77.5</v>
      </c>
      <c r="S1400">
        <v>170</v>
      </c>
      <c r="U1400">
        <v>1812.1301775147931</v>
      </c>
      <c r="V1400">
        <v>20</v>
      </c>
      <c r="W1400">
        <v>0.95</v>
      </c>
      <c r="X1400">
        <v>1</v>
      </c>
      <c r="Y1400">
        <v>28228.410238402528</v>
      </c>
      <c r="Z1400">
        <v>84685230.715207592</v>
      </c>
      <c r="AA1400">
        <v>254055692.14562279</v>
      </c>
      <c r="AB1400">
        <v>254055.6921456228</v>
      </c>
      <c r="AC1400">
        <v>0</v>
      </c>
      <c r="AD1400">
        <v>877.70055996985218</v>
      </c>
      <c r="AE1400">
        <v>1579861.0079457341</v>
      </c>
      <c r="AF1400">
        <v>1579861.0079457341</v>
      </c>
      <c r="AG1400">
        <v>69.527629140381421</v>
      </c>
      <c r="AJ1400">
        <v>8256.809994732741</v>
      </c>
      <c r="AK1400">
        <v>854.70085470085473</v>
      </c>
      <c r="AL1400" t="s">
        <v>93</v>
      </c>
      <c r="AN1400">
        <v>315.02278843837831</v>
      </c>
      <c r="AR1400">
        <v>5.2262888654166671E-3</v>
      </c>
      <c r="AS1400">
        <v>118.7558111331775</v>
      </c>
      <c r="AU1400">
        <v>4.53090077043076</v>
      </c>
      <c r="AZ1400" t="s">
        <v>133</v>
      </c>
      <c r="BA1400" t="str">
        <f>VLOOKUP($AZ1400,Sheet1!$A$2:$B$58,2)</f>
        <v>Isobutanol</v>
      </c>
      <c r="BB1400" t="s">
        <v>183</v>
      </c>
      <c r="BC1400">
        <v>86.130899999999997</v>
      </c>
      <c r="BD1400">
        <v>5.6</v>
      </c>
      <c r="BE1400">
        <v>108</v>
      </c>
      <c r="BF1400" t="s">
        <v>222</v>
      </c>
      <c r="BG1400">
        <v>-2.4619292474382899</v>
      </c>
      <c r="BH1400">
        <v>0.20754716981131999</v>
      </c>
      <c r="BI1400">
        <v>0.35956928647060798</v>
      </c>
      <c r="BJ1400">
        <v>80</v>
      </c>
      <c r="BO1400">
        <v>1572.5639111594801</v>
      </c>
    </row>
    <row r="1401" spans="1:67" x14ac:dyDescent="0.25">
      <c r="A1401" s="1">
        <v>1399</v>
      </c>
      <c r="B1401" t="s">
        <v>79</v>
      </c>
      <c r="C1401" t="s">
        <v>88</v>
      </c>
      <c r="D1401">
        <v>1</v>
      </c>
      <c r="E1401">
        <v>0</v>
      </c>
      <c r="F1401">
        <v>2</v>
      </c>
      <c r="G1401">
        <v>44.008699999999997</v>
      </c>
      <c r="H1401">
        <v>2</v>
      </c>
      <c r="I1401" t="s">
        <v>89</v>
      </c>
      <c r="J1401">
        <v>3</v>
      </c>
      <c r="K1401">
        <v>300</v>
      </c>
      <c r="L1401">
        <v>100</v>
      </c>
      <c r="Q1401">
        <v>3.2500000000000001E-2</v>
      </c>
      <c r="R1401">
        <v>77.5</v>
      </c>
      <c r="S1401">
        <v>170</v>
      </c>
      <c r="U1401">
        <v>1812.1301775147931</v>
      </c>
      <c r="V1401">
        <v>20</v>
      </c>
      <c r="W1401">
        <v>0.95</v>
      </c>
      <c r="X1401">
        <v>1</v>
      </c>
      <c r="Y1401">
        <v>22865.010090964752</v>
      </c>
      <c r="Z1401">
        <v>68595030.272894263</v>
      </c>
      <c r="AA1401">
        <v>205785090.81868279</v>
      </c>
      <c r="AB1401">
        <v>205785.0908186828</v>
      </c>
      <c r="AC1401">
        <v>0</v>
      </c>
      <c r="AD1401">
        <v>710.93738510482217</v>
      </c>
      <c r="AE1401">
        <v>1279687.29318868</v>
      </c>
      <c r="AF1401">
        <v>1279687.29318868</v>
      </c>
      <c r="AG1401">
        <v>56.317374179752662</v>
      </c>
      <c r="AJ1401">
        <v>6688.0154516071916</v>
      </c>
      <c r="AK1401">
        <v>854.70085470085473</v>
      </c>
      <c r="AL1401" t="s">
        <v>93</v>
      </c>
      <c r="AN1401">
        <v>255.16843405967859</v>
      </c>
      <c r="AR1401">
        <v>5.2262888654166671E-3</v>
      </c>
      <c r="AS1401">
        <v>118.7558111331775</v>
      </c>
      <c r="AU1401">
        <v>4.5309007704307582</v>
      </c>
      <c r="AZ1401" t="s">
        <v>134</v>
      </c>
      <c r="BA1401" t="str">
        <f>VLOOKUP($AZ1401,Sheet1!$A$2:$B$58,2)</f>
        <v>Isobutyrate</v>
      </c>
      <c r="BB1401" t="s">
        <v>170</v>
      </c>
      <c r="BC1401">
        <v>87.095680000000002</v>
      </c>
      <c r="BD1401">
        <v>4.75</v>
      </c>
      <c r="BE1401">
        <v>155</v>
      </c>
      <c r="BF1401" t="s">
        <v>222</v>
      </c>
      <c r="BG1401">
        <v>-2.0212253925797472</v>
      </c>
      <c r="BH1401">
        <v>0.25</v>
      </c>
      <c r="BI1401">
        <v>0.44391274209989801</v>
      </c>
      <c r="BJ1401">
        <v>80</v>
      </c>
      <c r="BO1401">
        <v>1141.5708365938999</v>
      </c>
    </row>
    <row r="1402" spans="1:67" x14ac:dyDescent="0.25">
      <c r="A1402" s="1">
        <v>1400</v>
      </c>
      <c r="B1402" t="s">
        <v>79</v>
      </c>
      <c r="C1402" t="s">
        <v>88</v>
      </c>
      <c r="D1402">
        <v>1</v>
      </c>
      <c r="E1402">
        <v>0</v>
      </c>
      <c r="F1402">
        <v>2</v>
      </c>
      <c r="G1402">
        <v>44.008699999999997</v>
      </c>
      <c r="H1402">
        <v>2</v>
      </c>
      <c r="I1402" t="s">
        <v>89</v>
      </c>
      <c r="J1402">
        <v>3</v>
      </c>
      <c r="K1402">
        <v>300</v>
      </c>
      <c r="L1402">
        <v>100</v>
      </c>
      <c r="Q1402">
        <v>3.2500000000000001E-2</v>
      </c>
      <c r="R1402">
        <v>77.5</v>
      </c>
      <c r="S1402">
        <v>170</v>
      </c>
      <c r="U1402">
        <v>1812.1301775147931</v>
      </c>
      <c r="V1402">
        <v>20</v>
      </c>
      <c r="W1402">
        <v>0.95</v>
      </c>
      <c r="X1402">
        <v>1</v>
      </c>
      <c r="Y1402">
        <v>119755.5057448334</v>
      </c>
      <c r="Z1402">
        <v>359266517.23450029</v>
      </c>
      <c r="AA1402">
        <v>1077799551.703501</v>
      </c>
      <c r="AB1402">
        <v>1077799.551703501</v>
      </c>
      <c r="AC1402">
        <v>66773.504273504266</v>
      </c>
      <c r="AD1402">
        <v>3723.5350331107202</v>
      </c>
      <c r="AE1402">
        <v>6702363.0595992953</v>
      </c>
      <c r="AF1402">
        <v>6702363.0595992953</v>
      </c>
      <c r="AG1402">
        <v>294.96228518098752</v>
      </c>
      <c r="AJ1402">
        <v>35028.485430363777</v>
      </c>
      <c r="AK1402">
        <v>2170.1388888888891</v>
      </c>
      <c r="AL1402" t="s">
        <v>95</v>
      </c>
      <c r="AN1402">
        <v>1336.4448451745541</v>
      </c>
      <c r="AR1402">
        <v>5.2262888654166662E-3</v>
      </c>
      <c r="AS1402">
        <v>118.7558111331774</v>
      </c>
      <c r="AU1402">
        <v>4.5309007704307591</v>
      </c>
      <c r="AZ1402" t="s">
        <v>135</v>
      </c>
      <c r="BA1402" t="str">
        <f>VLOOKUP($AZ1402,Sheet1!$A$2:$B$58,2)</f>
        <v>Isoprene</v>
      </c>
      <c r="BB1402" t="s">
        <v>184</v>
      </c>
      <c r="BC1402">
        <v>68.116219999999998</v>
      </c>
      <c r="BD1402">
        <v>5.6</v>
      </c>
      <c r="BE1402">
        <v>34.07</v>
      </c>
      <c r="BF1402" t="s">
        <v>222</v>
      </c>
      <c r="BG1402">
        <v>-10.699834381991129</v>
      </c>
      <c r="BH1402">
        <v>6.0384263494968102E-2</v>
      </c>
      <c r="BI1402">
        <v>8.4756598575509795E-2</v>
      </c>
      <c r="BJ1402">
        <v>80</v>
      </c>
      <c r="BO1402">
        <v>5299.32872273875</v>
      </c>
    </row>
    <row r="1403" spans="1:67" x14ac:dyDescent="0.25">
      <c r="A1403" s="1">
        <v>1401</v>
      </c>
      <c r="B1403" t="s">
        <v>79</v>
      </c>
      <c r="C1403" t="s">
        <v>88</v>
      </c>
      <c r="D1403">
        <v>1</v>
      </c>
      <c r="E1403">
        <v>0</v>
      </c>
      <c r="F1403">
        <v>2</v>
      </c>
      <c r="G1403">
        <v>44.008699999999997</v>
      </c>
      <c r="H1403">
        <v>2</v>
      </c>
      <c r="I1403" t="s">
        <v>89</v>
      </c>
      <c r="J1403">
        <v>3</v>
      </c>
      <c r="K1403">
        <v>300</v>
      </c>
      <c r="L1403">
        <v>100</v>
      </c>
      <c r="Q1403">
        <v>3.2500000000000001E-2</v>
      </c>
      <c r="R1403">
        <v>77.5</v>
      </c>
      <c r="S1403">
        <v>170</v>
      </c>
      <c r="U1403">
        <v>1812.1301775147931</v>
      </c>
      <c r="V1403">
        <v>20</v>
      </c>
      <c r="W1403">
        <v>0.95</v>
      </c>
      <c r="X1403">
        <v>1</v>
      </c>
      <c r="Y1403">
        <v>25364.946199231588</v>
      </c>
      <c r="Z1403">
        <v>76094838.59769477</v>
      </c>
      <c r="AA1403">
        <v>228284515.79308429</v>
      </c>
      <c r="AB1403">
        <v>228284.51579308431</v>
      </c>
      <c r="AC1403">
        <v>0</v>
      </c>
      <c r="AD1403">
        <v>788.66742032762136</v>
      </c>
      <c r="AE1403">
        <v>1419601.356589718</v>
      </c>
      <c r="AF1403">
        <v>1419601.356589718</v>
      </c>
      <c r="AG1403">
        <v>62.474810221749962</v>
      </c>
      <c r="AJ1403">
        <v>7419.2467632752396</v>
      </c>
      <c r="AK1403">
        <v>854.70085470085473</v>
      </c>
      <c r="AL1403" t="s">
        <v>93</v>
      </c>
      <c r="AN1403">
        <v>283.06716576624228</v>
      </c>
      <c r="AR1403">
        <v>5.2262888654166662E-3</v>
      </c>
      <c r="AS1403">
        <v>118.7558111331774</v>
      </c>
      <c r="AU1403">
        <v>4.5309007704307591</v>
      </c>
      <c r="AZ1403" t="s">
        <v>136</v>
      </c>
      <c r="BA1403" t="str">
        <f>VLOOKUP($AZ1403,Sheet1!$A$2:$B$58,2)</f>
        <v>Isopropanol</v>
      </c>
      <c r="BB1403" t="s">
        <v>156</v>
      </c>
      <c r="BC1403">
        <v>60.093820000000001</v>
      </c>
      <c r="BD1403">
        <v>6</v>
      </c>
      <c r="BE1403">
        <v>82.5</v>
      </c>
      <c r="BF1403" t="s">
        <v>222</v>
      </c>
      <c r="BG1403">
        <v>-2.1970645234401811</v>
      </c>
      <c r="BH1403">
        <v>0.33333333333333298</v>
      </c>
      <c r="BI1403">
        <v>0.40016127958235098</v>
      </c>
      <c r="BJ1403">
        <v>80</v>
      </c>
      <c r="BO1403">
        <v>1495.8251542811099</v>
      </c>
    </row>
    <row r="1404" spans="1:67" x14ac:dyDescent="0.25">
      <c r="A1404" s="1">
        <v>1402</v>
      </c>
      <c r="B1404" t="s">
        <v>79</v>
      </c>
      <c r="C1404" t="s">
        <v>88</v>
      </c>
      <c r="D1404">
        <v>1</v>
      </c>
      <c r="E1404">
        <v>0</v>
      </c>
      <c r="F1404">
        <v>2</v>
      </c>
      <c r="G1404">
        <v>44.008699999999997</v>
      </c>
      <c r="H1404">
        <v>2</v>
      </c>
      <c r="I1404" t="s">
        <v>89</v>
      </c>
      <c r="J1404">
        <v>3</v>
      </c>
      <c r="K1404">
        <v>300</v>
      </c>
      <c r="L1404">
        <v>100</v>
      </c>
      <c r="Q1404">
        <v>3.2500000000000001E-2</v>
      </c>
      <c r="R1404">
        <v>77.5</v>
      </c>
      <c r="S1404">
        <v>170</v>
      </c>
      <c r="U1404">
        <v>1812.1301775147931</v>
      </c>
      <c r="V1404">
        <v>20</v>
      </c>
      <c r="W1404">
        <v>0.95</v>
      </c>
      <c r="X1404">
        <v>1</v>
      </c>
      <c r="Y1404">
        <v>41821.530627424378</v>
      </c>
      <c r="Z1404">
        <v>125464591.88227309</v>
      </c>
      <c r="AA1404">
        <v>376393775.64681941</v>
      </c>
      <c r="AB1404">
        <v>376393.77564681938</v>
      </c>
      <c r="AC1404">
        <v>0</v>
      </c>
      <c r="AD1404">
        <v>1300.348852113181</v>
      </c>
      <c r="AE1404">
        <v>2340627.933803726</v>
      </c>
      <c r="AF1404">
        <v>2340627.933803726</v>
      </c>
      <c r="AG1404">
        <v>103.0079925503881</v>
      </c>
      <c r="AJ1404">
        <v>12232.79770852163</v>
      </c>
      <c r="AK1404">
        <v>854.70085470085473</v>
      </c>
      <c r="AL1404" t="s">
        <v>93</v>
      </c>
      <c r="AN1404">
        <v>466.71899280707919</v>
      </c>
      <c r="AR1404">
        <v>5.2262888654166662E-3</v>
      </c>
      <c r="AS1404">
        <v>118.7558111331774</v>
      </c>
      <c r="AU1404">
        <v>4.53090077043076</v>
      </c>
      <c r="AZ1404" t="s">
        <v>137</v>
      </c>
      <c r="BA1404" t="str">
        <f>VLOOKUP($AZ1404,Sheet1!$A$2:$B$58,2)</f>
        <v>Itaconate</v>
      </c>
      <c r="BB1404" t="s">
        <v>185</v>
      </c>
      <c r="BC1404">
        <v>128.08086</v>
      </c>
      <c r="BD1404">
        <v>3.2</v>
      </c>
      <c r="BE1404">
        <v>381</v>
      </c>
      <c r="BF1404" t="s">
        <v>222</v>
      </c>
      <c r="BG1404">
        <v>-3.7745154257879152</v>
      </c>
      <c r="BH1404">
        <v>9.1034482758620597E-2</v>
      </c>
      <c r="BI1404">
        <v>0.242699613700081</v>
      </c>
      <c r="BJ1404">
        <v>80</v>
      </c>
      <c r="BO1404">
        <v>1650.3715871709201</v>
      </c>
    </row>
    <row r="1405" spans="1:67" x14ac:dyDescent="0.25">
      <c r="A1405" s="1">
        <v>1403</v>
      </c>
      <c r="B1405" t="s">
        <v>79</v>
      </c>
      <c r="C1405" t="s">
        <v>88</v>
      </c>
      <c r="D1405">
        <v>1</v>
      </c>
      <c r="E1405">
        <v>0</v>
      </c>
      <c r="F1405">
        <v>2</v>
      </c>
      <c r="G1405">
        <v>44.008699999999997</v>
      </c>
      <c r="H1405">
        <v>2</v>
      </c>
      <c r="I1405" t="s">
        <v>89</v>
      </c>
      <c r="J1405">
        <v>3</v>
      </c>
      <c r="K1405">
        <v>300</v>
      </c>
      <c r="L1405">
        <v>100</v>
      </c>
      <c r="Q1405">
        <v>3.2500000000000001E-2</v>
      </c>
      <c r="R1405">
        <v>77.5</v>
      </c>
      <c r="S1405">
        <v>170</v>
      </c>
      <c r="U1405">
        <v>1812.1301775147931</v>
      </c>
      <c r="V1405">
        <v>20</v>
      </c>
      <c r="W1405">
        <v>0.95</v>
      </c>
      <c r="X1405">
        <v>1</v>
      </c>
      <c r="Y1405">
        <v>38011.842190578733</v>
      </c>
      <c r="Z1405">
        <v>114035526.5717362</v>
      </c>
      <c r="AA1405">
        <v>342106579.71520847</v>
      </c>
      <c r="AB1405">
        <v>342106.57971520862</v>
      </c>
      <c r="AC1405">
        <v>0</v>
      </c>
      <c r="AD1405">
        <v>1181.894938269277</v>
      </c>
      <c r="AE1405">
        <v>2127410.888884699</v>
      </c>
      <c r="AF1405">
        <v>2127410.888884699</v>
      </c>
      <c r="AG1405">
        <v>93.62458758566008</v>
      </c>
      <c r="AJ1405">
        <v>11118.46384074428</v>
      </c>
      <c r="AK1405">
        <v>854.70085470085473</v>
      </c>
      <c r="AL1405" t="s">
        <v>93</v>
      </c>
      <c r="AN1405">
        <v>424.2037160231294</v>
      </c>
      <c r="AR1405">
        <v>5.2262888654166662E-3</v>
      </c>
      <c r="AS1405">
        <v>118.7558111331774</v>
      </c>
      <c r="AU1405">
        <v>4.53090077043076</v>
      </c>
      <c r="AZ1405" t="s">
        <v>141</v>
      </c>
      <c r="BA1405" t="str">
        <f>VLOOKUP($AZ1405,Sheet1!$A$2:$B$58,2)</f>
        <v>Malonate</v>
      </c>
      <c r="BB1405" t="s">
        <v>189</v>
      </c>
      <c r="BC1405">
        <v>102.04378</v>
      </c>
      <c r="BD1405">
        <v>2</v>
      </c>
      <c r="BE1405">
        <v>199</v>
      </c>
      <c r="BF1405" t="s">
        <v>222</v>
      </c>
      <c r="BG1405">
        <v>-3.4306799047874099</v>
      </c>
      <c r="BH1405">
        <v>0.125714285714285</v>
      </c>
      <c r="BI1405">
        <v>0.26702387315860499</v>
      </c>
      <c r="BJ1405">
        <v>80</v>
      </c>
      <c r="BO1405">
        <v>1503.92562352244</v>
      </c>
    </row>
    <row r="1406" spans="1:67" x14ac:dyDescent="0.25">
      <c r="A1406" s="1">
        <v>1404</v>
      </c>
      <c r="B1406" t="s">
        <v>79</v>
      </c>
      <c r="C1406" t="s">
        <v>88</v>
      </c>
      <c r="D1406">
        <v>1</v>
      </c>
      <c r="E1406">
        <v>0</v>
      </c>
      <c r="F1406">
        <v>2</v>
      </c>
      <c r="G1406">
        <v>44.008699999999997</v>
      </c>
      <c r="H1406">
        <v>2</v>
      </c>
      <c r="I1406" t="s">
        <v>89</v>
      </c>
      <c r="J1406">
        <v>3</v>
      </c>
      <c r="K1406">
        <v>300</v>
      </c>
      <c r="L1406">
        <v>100</v>
      </c>
      <c r="Q1406">
        <v>3.2500000000000001E-2</v>
      </c>
      <c r="R1406">
        <v>77.5</v>
      </c>
      <c r="S1406">
        <v>170</v>
      </c>
      <c r="U1406">
        <v>1812.1301775147931</v>
      </c>
      <c r="V1406">
        <v>20</v>
      </c>
      <c r="W1406">
        <v>0.95</v>
      </c>
      <c r="X1406">
        <v>1</v>
      </c>
      <c r="Y1406">
        <v>35814.277186153107</v>
      </c>
      <c r="Z1406">
        <v>107442831.5584593</v>
      </c>
      <c r="AA1406">
        <v>322328494.67537802</v>
      </c>
      <c r="AB1406">
        <v>322328.49467537802</v>
      </c>
      <c r="AC1406">
        <v>0</v>
      </c>
      <c r="AD1406">
        <v>1113.566469940213</v>
      </c>
      <c r="AE1406">
        <v>2004419.645892384</v>
      </c>
      <c r="AF1406">
        <v>2004419.645892384</v>
      </c>
      <c r="AG1406">
        <v>88.211902870184161</v>
      </c>
      <c r="AJ1406">
        <v>10475.676076949791</v>
      </c>
      <c r="AK1406">
        <v>854.70085470085473</v>
      </c>
      <c r="AL1406" t="s">
        <v>93</v>
      </c>
      <c r="AN1406">
        <v>399.67937867568082</v>
      </c>
      <c r="AR1406">
        <v>5.2262888654166671E-3</v>
      </c>
      <c r="AS1406">
        <v>118.7558111331775</v>
      </c>
      <c r="AU1406">
        <v>4.53090077043076</v>
      </c>
      <c r="AZ1406" t="s">
        <v>142</v>
      </c>
      <c r="BA1406" t="str">
        <f>VLOOKUP($AZ1406,Sheet1!$A$2:$B$58,2)</f>
        <v>Nonane</v>
      </c>
      <c r="BB1406" t="s">
        <v>190</v>
      </c>
      <c r="BC1406">
        <v>128.25309999999999</v>
      </c>
      <c r="BD1406">
        <v>6.2222222222222223</v>
      </c>
      <c r="BE1406">
        <v>151</v>
      </c>
      <c r="BF1406" t="s">
        <v>222</v>
      </c>
      <c r="BG1406">
        <v>-3.088346402543094</v>
      </c>
      <c r="BH1406">
        <v>0.11111111111111099</v>
      </c>
      <c r="BI1406">
        <v>0.28340846514546802</v>
      </c>
      <c r="BJ1406">
        <v>80</v>
      </c>
      <c r="BO1406">
        <v>2166.0971438346301</v>
      </c>
    </row>
    <row r="1407" spans="1:67" x14ac:dyDescent="0.25">
      <c r="A1407" s="1">
        <v>1405</v>
      </c>
      <c r="B1407" t="s">
        <v>79</v>
      </c>
      <c r="C1407" t="s">
        <v>88</v>
      </c>
      <c r="D1407">
        <v>1</v>
      </c>
      <c r="E1407">
        <v>0</v>
      </c>
      <c r="F1407">
        <v>2</v>
      </c>
      <c r="G1407">
        <v>44.008699999999997</v>
      </c>
      <c r="H1407">
        <v>2</v>
      </c>
      <c r="I1407" t="s">
        <v>89</v>
      </c>
      <c r="J1407">
        <v>3</v>
      </c>
      <c r="K1407">
        <v>300</v>
      </c>
      <c r="L1407">
        <v>100</v>
      </c>
      <c r="Q1407">
        <v>3.2500000000000001E-2</v>
      </c>
      <c r="R1407">
        <v>77.5</v>
      </c>
      <c r="S1407">
        <v>170</v>
      </c>
      <c r="U1407">
        <v>1812.1301775147931</v>
      </c>
      <c r="V1407">
        <v>20</v>
      </c>
      <c r="W1407">
        <v>0.95</v>
      </c>
      <c r="X1407">
        <v>1</v>
      </c>
      <c r="Y1407">
        <v>35763.960507500473</v>
      </c>
      <c r="Z1407">
        <v>107291881.52250139</v>
      </c>
      <c r="AA1407">
        <v>321875644.56750423</v>
      </c>
      <c r="AB1407">
        <v>321875.64456750418</v>
      </c>
      <c r="AC1407">
        <v>0</v>
      </c>
      <c r="AD1407">
        <v>1112.001983075517</v>
      </c>
      <c r="AE1407">
        <v>2001603.5695359299</v>
      </c>
      <c r="AF1407">
        <v>2001603.5695359299</v>
      </c>
      <c r="AG1407">
        <v>88.087971010635911</v>
      </c>
      <c r="AJ1407">
        <v>10460.958448443889</v>
      </c>
      <c r="AK1407">
        <v>854.70085470085473</v>
      </c>
      <c r="AL1407" t="s">
        <v>93</v>
      </c>
      <c r="AN1407">
        <v>399.11785571777261</v>
      </c>
      <c r="AR1407">
        <v>5.2262888654166654E-3</v>
      </c>
      <c r="AS1407">
        <v>118.7558111331774</v>
      </c>
      <c r="AU1407">
        <v>4.5309007704307582</v>
      </c>
      <c r="AZ1407" t="s">
        <v>143</v>
      </c>
      <c r="BA1407" t="str">
        <f>VLOOKUP($AZ1407,Sheet1!$A$2:$B$58,2)</f>
        <v>Octane</v>
      </c>
      <c r="BB1407" t="s">
        <v>191</v>
      </c>
      <c r="BC1407">
        <v>114.22672</v>
      </c>
      <c r="BD1407">
        <v>6.25</v>
      </c>
      <c r="BE1407">
        <v>126</v>
      </c>
      <c r="BF1407" t="s">
        <v>222</v>
      </c>
      <c r="BG1407">
        <v>-3.0822910786548001</v>
      </c>
      <c r="BH1407">
        <v>0.125</v>
      </c>
      <c r="BI1407">
        <v>0.28380719538859001</v>
      </c>
      <c r="BJ1407">
        <v>80</v>
      </c>
      <c r="BO1407">
        <v>2172.0137849259499</v>
      </c>
    </row>
    <row r="1408" spans="1:67" x14ac:dyDescent="0.25">
      <c r="A1408" s="1">
        <v>1406</v>
      </c>
      <c r="B1408" t="s">
        <v>79</v>
      </c>
      <c r="C1408" t="s">
        <v>88</v>
      </c>
      <c r="D1408">
        <v>1</v>
      </c>
      <c r="E1408">
        <v>0</v>
      </c>
      <c r="F1408">
        <v>2</v>
      </c>
      <c r="G1408">
        <v>44.008699999999997</v>
      </c>
      <c r="H1408">
        <v>2</v>
      </c>
      <c r="I1408" t="s">
        <v>89</v>
      </c>
      <c r="J1408">
        <v>3</v>
      </c>
      <c r="K1408">
        <v>300</v>
      </c>
      <c r="L1408">
        <v>100</v>
      </c>
      <c r="Q1408">
        <v>3.2500000000000001E-2</v>
      </c>
      <c r="R1408">
        <v>77.5</v>
      </c>
      <c r="S1408">
        <v>170</v>
      </c>
      <c r="U1408">
        <v>1812.1301775147931</v>
      </c>
      <c r="V1408">
        <v>20</v>
      </c>
      <c r="W1408">
        <v>0.95</v>
      </c>
      <c r="X1408">
        <v>1</v>
      </c>
      <c r="Y1408">
        <v>35495.624271458611</v>
      </c>
      <c r="Z1408">
        <v>106486872.8143758</v>
      </c>
      <c r="AA1408">
        <v>319460618.44312751</v>
      </c>
      <c r="AB1408">
        <v>319460.61844312749</v>
      </c>
      <c r="AC1408">
        <v>66773.504273504266</v>
      </c>
      <c r="AD1408">
        <v>1103.658655816027</v>
      </c>
      <c r="AE1408">
        <v>1986585.5804688481</v>
      </c>
      <c r="AF1408">
        <v>1986585.5804688481</v>
      </c>
      <c r="AG1408">
        <v>87.427048835179392</v>
      </c>
      <c r="AJ1408">
        <v>10382.47009940164</v>
      </c>
      <c r="AK1408">
        <v>2170.1388888888891</v>
      </c>
      <c r="AL1408" t="s">
        <v>95</v>
      </c>
      <c r="AN1408">
        <v>396.12328292380192</v>
      </c>
      <c r="AR1408">
        <v>5.2262888654166662E-3</v>
      </c>
      <c r="AS1408">
        <v>118.7558111331774</v>
      </c>
      <c r="AU1408">
        <v>4.5309007704307591</v>
      </c>
      <c r="AZ1408" t="s">
        <v>144</v>
      </c>
      <c r="BA1408" t="str">
        <f>VLOOKUP($AZ1408,Sheet1!$A$2:$B$58,2)</f>
        <v>Pentane</v>
      </c>
      <c r="BB1408" t="s">
        <v>192</v>
      </c>
      <c r="BC1408">
        <v>72.147580000000005</v>
      </c>
      <c r="BD1408">
        <v>6.4</v>
      </c>
      <c r="BE1408">
        <v>36.1</v>
      </c>
      <c r="BF1408" t="s">
        <v>222</v>
      </c>
      <c r="BG1408">
        <v>-3.0499983506030222</v>
      </c>
      <c r="BH1408">
        <v>0.2</v>
      </c>
      <c r="BI1408">
        <v>0.28595269236561899</v>
      </c>
      <c r="BJ1408">
        <v>80</v>
      </c>
      <c r="BO1408">
        <v>2294.3788906304098</v>
      </c>
    </row>
    <row r="1409" spans="1:67" x14ac:dyDescent="0.25">
      <c r="A1409" s="1">
        <v>1407</v>
      </c>
      <c r="B1409" t="s">
        <v>79</v>
      </c>
      <c r="C1409" t="s">
        <v>88</v>
      </c>
      <c r="D1409">
        <v>1</v>
      </c>
      <c r="E1409">
        <v>0</v>
      </c>
      <c r="F1409">
        <v>2</v>
      </c>
      <c r="G1409">
        <v>44.008699999999997</v>
      </c>
      <c r="H1409">
        <v>2</v>
      </c>
      <c r="I1409" t="s">
        <v>89</v>
      </c>
      <c r="J1409">
        <v>3</v>
      </c>
      <c r="K1409">
        <v>300</v>
      </c>
      <c r="L1409">
        <v>100</v>
      </c>
      <c r="Q1409">
        <v>3.2500000000000001E-2</v>
      </c>
      <c r="R1409">
        <v>77.5</v>
      </c>
      <c r="S1409">
        <v>170</v>
      </c>
      <c r="U1409">
        <v>1812.1301775147931</v>
      </c>
      <c r="V1409">
        <v>20</v>
      </c>
      <c r="W1409">
        <v>0.95</v>
      </c>
      <c r="X1409">
        <v>1</v>
      </c>
      <c r="Y1409">
        <v>61719.688826917161</v>
      </c>
      <c r="Z1409">
        <v>185159066.48075151</v>
      </c>
      <c r="AA1409">
        <v>555477199.44225442</v>
      </c>
      <c r="AB1409">
        <v>555477.19944225438</v>
      </c>
      <c r="AC1409">
        <v>0</v>
      </c>
      <c r="AD1409">
        <v>1919.038478860361</v>
      </c>
      <c r="AE1409">
        <v>3454269.2619486488</v>
      </c>
      <c r="AF1409">
        <v>3454269.2619486488</v>
      </c>
      <c r="AG1409">
        <v>152.0178996683195</v>
      </c>
      <c r="AJ1409">
        <v>18053.00898187327</v>
      </c>
      <c r="AK1409">
        <v>854.70085470085473</v>
      </c>
      <c r="AL1409" t="s">
        <v>93</v>
      </c>
      <c r="AN1409">
        <v>688.77801872645466</v>
      </c>
      <c r="AR1409">
        <v>5.2262888654166654E-3</v>
      </c>
      <c r="AS1409">
        <v>118.7558111331774</v>
      </c>
      <c r="AU1409">
        <v>4.5309007704307591</v>
      </c>
      <c r="AZ1409" t="s">
        <v>145</v>
      </c>
      <c r="BA1409" t="str">
        <f>VLOOKUP($AZ1409,Sheet1!$A$2:$B$58,2)</f>
        <v>Pentanol (PW1)</v>
      </c>
      <c r="BB1409" t="s">
        <v>157</v>
      </c>
      <c r="BC1409">
        <v>88.14658</v>
      </c>
      <c r="BD1409">
        <v>6</v>
      </c>
      <c r="BE1409">
        <v>138</v>
      </c>
      <c r="BF1409" t="s">
        <v>222</v>
      </c>
      <c r="BG1409">
        <v>-5.4656248304090447</v>
      </c>
      <c r="BH1409">
        <v>9.1349480968857893E-2</v>
      </c>
      <c r="BI1409">
        <v>0.16445431790957701</v>
      </c>
      <c r="BJ1409">
        <v>80</v>
      </c>
      <c r="BO1409">
        <v>2958.44964848978</v>
      </c>
    </row>
    <row r="1410" spans="1:67" x14ac:dyDescent="0.25">
      <c r="A1410" s="1">
        <v>1408</v>
      </c>
      <c r="B1410" t="s">
        <v>79</v>
      </c>
      <c r="C1410" t="s">
        <v>88</v>
      </c>
      <c r="D1410">
        <v>1</v>
      </c>
      <c r="E1410">
        <v>0</v>
      </c>
      <c r="F1410">
        <v>2</v>
      </c>
      <c r="G1410">
        <v>44.008699999999997</v>
      </c>
      <c r="H1410">
        <v>2</v>
      </c>
      <c r="I1410" t="s">
        <v>89</v>
      </c>
      <c r="J1410">
        <v>3</v>
      </c>
      <c r="K1410">
        <v>300</v>
      </c>
      <c r="L1410">
        <v>100</v>
      </c>
      <c r="Q1410">
        <v>3.2500000000000001E-2</v>
      </c>
      <c r="R1410">
        <v>77.5</v>
      </c>
      <c r="S1410">
        <v>170</v>
      </c>
      <c r="U1410">
        <v>1812.1301775147931</v>
      </c>
      <c r="V1410">
        <v>20</v>
      </c>
      <c r="W1410">
        <v>0.95</v>
      </c>
      <c r="X1410">
        <v>1</v>
      </c>
      <c r="Y1410">
        <v>61719.688826917161</v>
      </c>
      <c r="Z1410">
        <v>185159066.48075151</v>
      </c>
      <c r="AA1410">
        <v>555477199.44225442</v>
      </c>
      <c r="AB1410">
        <v>555477.19944225438</v>
      </c>
      <c r="AC1410">
        <v>0</v>
      </c>
      <c r="AD1410">
        <v>1919.038478860361</v>
      </c>
      <c r="AE1410">
        <v>3454269.2619486488</v>
      </c>
      <c r="AF1410">
        <v>3454269.2619486488</v>
      </c>
      <c r="AG1410">
        <v>152.0178996683195</v>
      </c>
      <c r="AJ1410">
        <v>18053.00898187327</v>
      </c>
      <c r="AK1410">
        <v>854.70085470085473</v>
      </c>
      <c r="AL1410" t="s">
        <v>93</v>
      </c>
      <c r="AN1410">
        <v>688.77801872645466</v>
      </c>
      <c r="AR1410">
        <v>5.2262888654166654E-3</v>
      </c>
      <c r="AS1410">
        <v>118.7558111331774</v>
      </c>
      <c r="AU1410">
        <v>4.5309007704307591</v>
      </c>
      <c r="AZ1410" t="s">
        <v>146</v>
      </c>
      <c r="BA1410" t="str">
        <f>VLOOKUP($AZ1410,Sheet1!$A$2:$B$58,2)</f>
        <v>Pentanol (PW2)</v>
      </c>
      <c r="BB1410" t="s">
        <v>157</v>
      </c>
      <c r="BC1410">
        <v>88.14658</v>
      </c>
      <c r="BD1410">
        <v>6</v>
      </c>
      <c r="BE1410">
        <v>138</v>
      </c>
      <c r="BF1410" t="s">
        <v>222</v>
      </c>
      <c r="BG1410">
        <v>-5.4656248304090376</v>
      </c>
      <c r="BH1410">
        <v>9.1349480968858005E-2</v>
      </c>
      <c r="BI1410">
        <v>0.16445431790957701</v>
      </c>
      <c r="BJ1410">
        <v>80</v>
      </c>
      <c r="BO1410">
        <v>2958.44964848978</v>
      </c>
    </row>
    <row r="1411" spans="1:67" x14ac:dyDescent="0.25">
      <c r="A1411" s="1">
        <v>1409</v>
      </c>
      <c r="B1411" t="s">
        <v>79</v>
      </c>
      <c r="C1411" t="s">
        <v>88</v>
      </c>
      <c r="D1411">
        <v>1</v>
      </c>
      <c r="E1411">
        <v>0</v>
      </c>
      <c r="F1411">
        <v>2</v>
      </c>
      <c r="G1411">
        <v>44.008699999999997</v>
      </c>
      <c r="H1411">
        <v>2</v>
      </c>
      <c r="I1411" t="s">
        <v>89</v>
      </c>
      <c r="J1411">
        <v>3</v>
      </c>
      <c r="K1411">
        <v>300</v>
      </c>
      <c r="L1411">
        <v>100</v>
      </c>
      <c r="Q1411">
        <v>3.2500000000000001E-2</v>
      </c>
      <c r="R1411">
        <v>77.5</v>
      </c>
      <c r="S1411">
        <v>170</v>
      </c>
      <c r="U1411">
        <v>1812.1301775147931</v>
      </c>
      <c r="V1411">
        <v>20</v>
      </c>
      <c r="W1411">
        <v>0.95</v>
      </c>
      <c r="X1411">
        <v>1</v>
      </c>
      <c r="Y1411">
        <v>181707.89729266879</v>
      </c>
      <c r="Z1411">
        <v>545123691.87800634</v>
      </c>
      <c r="AA1411">
        <v>1635371075.6340189</v>
      </c>
      <c r="AB1411">
        <v>1635371.075634019</v>
      </c>
      <c r="AC1411">
        <v>0</v>
      </c>
      <c r="AD1411">
        <v>5649.8088931608627</v>
      </c>
      <c r="AE1411">
        <v>10169656.007689551</v>
      </c>
      <c r="AF1411">
        <v>10169656.007689551</v>
      </c>
      <c r="AG1411">
        <v>447.55334034560718</v>
      </c>
      <c r="AJ1411">
        <v>53149.559958105623</v>
      </c>
      <c r="AK1411">
        <v>854.70085470085473</v>
      </c>
      <c r="AL1411" t="s">
        <v>93</v>
      </c>
      <c r="AN1411">
        <v>2027.819774580772</v>
      </c>
      <c r="AR1411">
        <v>5.2262888654166662E-3</v>
      </c>
      <c r="AS1411">
        <v>118.7558111331774</v>
      </c>
      <c r="AU1411">
        <v>4.53090077043076</v>
      </c>
      <c r="AZ1411" t="s">
        <v>147</v>
      </c>
      <c r="BA1411" t="str">
        <f>VLOOKUP($AZ1411,Sheet1!$A$2:$B$58,2)</f>
        <v>Phenol</v>
      </c>
      <c r="BB1411" t="s">
        <v>193</v>
      </c>
      <c r="BC1411">
        <v>94.11023999999999</v>
      </c>
      <c r="BD1411">
        <v>4.666666666666667</v>
      </c>
      <c r="BE1411">
        <v>181.7</v>
      </c>
      <c r="BF1411" t="s">
        <v>222</v>
      </c>
      <c r="BG1411">
        <v>-16.360421371979989</v>
      </c>
      <c r="BH1411">
        <v>2.85838025119102E-2</v>
      </c>
      <c r="BI1411">
        <v>5.5859263570001802E-2</v>
      </c>
      <c r="BJ1411">
        <v>80</v>
      </c>
      <c r="BO1411">
        <v>7231.1655955755696</v>
      </c>
    </row>
    <row r="1412" spans="1:67" x14ac:dyDescent="0.25">
      <c r="A1412" s="1">
        <v>1410</v>
      </c>
      <c r="B1412" t="s">
        <v>79</v>
      </c>
      <c r="C1412" t="s">
        <v>88</v>
      </c>
      <c r="D1412">
        <v>1</v>
      </c>
      <c r="E1412">
        <v>0</v>
      </c>
      <c r="F1412">
        <v>2</v>
      </c>
      <c r="G1412">
        <v>44.008699999999997</v>
      </c>
      <c r="H1412">
        <v>2</v>
      </c>
      <c r="I1412" t="s">
        <v>89</v>
      </c>
      <c r="J1412">
        <v>3</v>
      </c>
      <c r="K1412">
        <v>300</v>
      </c>
      <c r="L1412">
        <v>100</v>
      </c>
      <c r="Q1412">
        <v>3.2500000000000001E-2</v>
      </c>
      <c r="R1412">
        <v>77.5</v>
      </c>
      <c r="S1412">
        <v>170</v>
      </c>
      <c r="U1412">
        <v>1812.1301775147931</v>
      </c>
      <c r="V1412">
        <v>20</v>
      </c>
      <c r="W1412">
        <v>0.95</v>
      </c>
      <c r="X1412">
        <v>1</v>
      </c>
      <c r="Y1412">
        <v>35032.211288554987</v>
      </c>
      <c r="Z1412">
        <v>105096633.865665</v>
      </c>
      <c r="AA1412">
        <v>315289901.59699488</v>
      </c>
      <c r="AB1412">
        <v>315289.90159699501</v>
      </c>
      <c r="AC1412">
        <v>66773.504273504266</v>
      </c>
      <c r="AD1412">
        <v>1089.249844580937</v>
      </c>
      <c r="AE1412">
        <v>1960649.7202456871</v>
      </c>
      <c r="AF1412">
        <v>1960649.7202456871</v>
      </c>
      <c r="AG1412">
        <v>86.285645343376373</v>
      </c>
      <c r="AJ1412">
        <v>10246.921801902339</v>
      </c>
      <c r="AK1412">
        <v>2170.1388888888891</v>
      </c>
      <c r="AL1412" t="s">
        <v>95</v>
      </c>
      <c r="AN1412">
        <v>390.95169696341918</v>
      </c>
      <c r="AR1412">
        <v>5.2262888654166671E-3</v>
      </c>
      <c r="AS1412">
        <v>118.7558111331775</v>
      </c>
      <c r="AU1412">
        <v>4.5309007704307591</v>
      </c>
      <c r="AZ1412" t="s">
        <v>148</v>
      </c>
      <c r="BA1412" t="str">
        <f>VLOOKUP($AZ1412,Sheet1!$A$2:$B$58,2)</f>
        <v>Propane (PW1)</v>
      </c>
      <c r="BB1412" t="s">
        <v>194</v>
      </c>
      <c r="BC1412">
        <v>44.094819999999999</v>
      </c>
      <c r="BD1412">
        <v>6.666666666666667</v>
      </c>
      <c r="BE1412">
        <v>-42</v>
      </c>
      <c r="BF1412" t="s">
        <v>222</v>
      </c>
      <c r="BG1412">
        <v>-2.9942292541391629</v>
      </c>
      <c r="BH1412">
        <v>0.33333333333333098</v>
      </c>
      <c r="BI1412">
        <v>0.28973533083645298</v>
      </c>
      <c r="BJ1412">
        <v>80</v>
      </c>
      <c r="BO1412">
        <v>2348.8707285321998</v>
      </c>
    </row>
    <row r="1413" spans="1:67" x14ac:dyDescent="0.25">
      <c r="A1413" s="1">
        <v>1411</v>
      </c>
      <c r="B1413" t="s">
        <v>79</v>
      </c>
      <c r="C1413" t="s">
        <v>88</v>
      </c>
      <c r="D1413">
        <v>1</v>
      </c>
      <c r="E1413">
        <v>0</v>
      </c>
      <c r="F1413">
        <v>2</v>
      </c>
      <c r="G1413">
        <v>44.008699999999997</v>
      </c>
      <c r="H1413">
        <v>2</v>
      </c>
      <c r="I1413" t="s">
        <v>89</v>
      </c>
      <c r="J1413">
        <v>3</v>
      </c>
      <c r="K1413">
        <v>300</v>
      </c>
      <c r="L1413">
        <v>100</v>
      </c>
      <c r="Q1413">
        <v>3.2500000000000001E-2</v>
      </c>
      <c r="R1413">
        <v>77.5</v>
      </c>
      <c r="S1413">
        <v>170</v>
      </c>
      <c r="U1413">
        <v>1812.1301775147931</v>
      </c>
      <c r="V1413">
        <v>20</v>
      </c>
      <c r="W1413">
        <v>0.95</v>
      </c>
      <c r="X1413">
        <v>1</v>
      </c>
      <c r="Y1413" t="s">
        <v>92</v>
      </c>
      <c r="Z1413" t="s">
        <v>92</v>
      </c>
      <c r="AA1413" t="s">
        <v>92</v>
      </c>
      <c r="AB1413" t="s">
        <v>92</v>
      </c>
      <c r="AC1413">
        <v>66773.504273504266</v>
      </c>
      <c r="AD1413" t="s">
        <v>92</v>
      </c>
      <c r="AE1413" t="s">
        <v>92</v>
      </c>
      <c r="AF1413" t="s">
        <v>92</v>
      </c>
      <c r="AG1413" t="s">
        <v>92</v>
      </c>
      <c r="AJ1413" t="s">
        <v>92</v>
      </c>
      <c r="AK1413">
        <v>2170.1388888888891</v>
      </c>
      <c r="AL1413" t="s">
        <v>95</v>
      </c>
      <c r="AN1413" t="s">
        <v>92</v>
      </c>
      <c r="AZ1413" t="s">
        <v>149</v>
      </c>
      <c r="BA1413" t="str">
        <f>VLOOKUP($AZ1413,Sheet1!$A$2:$B$58,2)</f>
        <v>Propane (PW2)</v>
      </c>
      <c r="BB1413" t="s">
        <v>194</v>
      </c>
      <c r="BC1413">
        <v>44.094819999999999</v>
      </c>
      <c r="BD1413">
        <v>6.666666666666667</v>
      </c>
      <c r="BE1413">
        <v>-42</v>
      </c>
      <c r="BF1413" t="s">
        <v>222</v>
      </c>
      <c r="BG1413" t="s">
        <v>223</v>
      </c>
      <c r="BH1413">
        <v>0</v>
      </c>
      <c r="BI1413">
        <v>0</v>
      </c>
      <c r="BJ1413">
        <v>80</v>
      </c>
    </row>
    <row r="1414" spans="1:67" x14ac:dyDescent="0.25">
      <c r="A1414" s="1">
        <v>1412</v>
      </c>
      <c r="B1414" t="s">
        <v>79</v>
      </c>
      <c r="C1414" t="s">
        <v>88</v>
      </c>
      <c r="D1414">
        <v>1</v>
      </c>
      <c r="E1414">
        <v>0</v>
      </c>
      <c r="F1414">
        <v>2</v>
      </c>
      <c r="G1414">
        <v>44.008699999999997</v>
      </c>
      <c r="H1414">
        <v>2</v>
      </c>
      <c r="I1414" t="s">
        <v>89</v>
      </c>
      <c r="J1414">
        <v>3</v>
      </c>
      <c r="K1414">
        <v>300</v>
      </c>
      <c r="L1414">
        <v>100</v>
      </c>
      <c r="Q1414">
        <v>3.2500000000000001E-2</v>
      </c>
      <c r="R1414">
        <v>77.5</v>
      </c>
      <c r="S1414">
        <v>170</v>
      </c>
      <c r="U1414">
        <v>1812.1301775147931</v>
      </c>
      <c r="V1414">
        <v>20</v>
      </c>
      <c r="W1414">
        <v>0.95</v>
      </c>
      <c r="X1414">
        <v>1</v>
      </c>
      <c r="Y1414">
        <v>75743.599924923779</v>
      </c>
      <c r="Z1414">
        <v>227230799.7747713</v>
      </c>
      <c r="AA1414">
        <v>681692399.324314</v>
      </c>
      <c r="AB1414">
        <v>681692.39932431397</v>
      </c>
      <c r="AC1414">
        <v>0</v>
      </c>
      <c r="AD1414">
        <v>2355.0812641158582</v>
      </c>
      <c r="AE1414">
        <v>4239146.2754085436</v>
      </c>
      <c r="AF1414">
        <v>4239146.2754085436</v>
      </c>
      <c r="AG1414">
        <v>186.55931669057199</v>
      </c>
      <c r="AJ1414">
        <v>22155.0029780402</v>
      </c>
      <c r="AK1414">
        <v>854.70085470085473</v>
      </c>
      <c r="AL1414" t="s">
        <v>93</v>
      </c>
      <c r="AN1414">
        <v>845.28175172434851</v>
      </c>
      <c r="AR1414">
        <v>5.2262888654166662E-3</v>
      </c>
      <c r="AS1414">
        <v>118.7558111331774</v>
      </c>
      <c r="AU1414">
        <v>4.5309007704307591</v>
      </c>
      <c r="AZ1414" t="s">
        <v>150</v>
      </c>
      <c r="BA1414" t="str">
        <f>VLOOKUP($AZ1414,Sheet1!$A$2:$B$58,2)</f>
        <v>Shikimate</v>
      </c>
      <c r="BB1414" t="s">
        <v>195</v>
      </c>
      <c r="BC1414">
        <v>173.14045999999999</v>
      </c>
      <c r="BD1414">
        <v>3.8571428571428572</v>
      </c>
      <c r="BE1414">
        <v>400.5</v>
      </c>
      <c r="BF1414" t="s">
        <v>222</v>
      </c>
      <c r="BG1414">
        <v>-6.8360813684293129</v>
      </c>
      <c r="BH1414">
        <v>3.7183098591549002E-2</v>
      </c>
      <c r="BI1414">
        <v>0.13400563661725401</v>
      </c>
      <c r="BJ1414">
        <v>80</v>
      </c>
      <c r="BO1414">
        <v>2954.3496445829301</v>
      </c>
    </row>
    <row r="1415" spans="1:67" x14ac:dyDescent="0.25">
      <c r="A1415" s="1">
        <v>1413</v>
      </c>
      <c r="B1415" t="s">
        <v>79</v>
      </c>
      <c r="C1415" t="s">
        <v>88</v>
      </c>
      <c r="D1415">
        <v>1</v>
      </c>
      <c r="E1415">
        <v>0</v>
      </c>
      <c r="F1415">
        <v>2</v>
      </c>
      <c r="G1415">
        <v>44.008699999999997</v>
      </c>
      <c r="H1415">
        <v>2</v>
      </c>
      <c r="I1415" t="s">
        <v>89</v>
      </c>
      <c r="J1415">
        <v>3</v>
      </c>
      <c r="K1415">
        <v>300</v>
      </c>
      <c r="L1415">
        <v>100</v>
      </c>
      <c r="Q1415">
        <v>3.2500000000000001E-2</v>
      </c>
      <c r="R1415">
        <v>77.5</v>
      </c>
      <c r="S1415">
        <v>170</v>
      </c>
      <c r="U1415">
        <v>1812.1301775147931</v>
      </c>
      <c r="V1415">
        <v>20</v>
      </c>
      <c r="W1415">
        <v>0.95</v>
      </c>
      <c r="X1415">
        <v>1</v>
      </c>
      <c r="Y1415">
        <v>175866.90801935189</v>
      </c>
      <c r="Z1415">
        <v>527600724.05805558</v>
      </c>
      <c r="AA1415">
        <v>1582802172.1741669</v>
      </c>
      <c r="AB1415">
        <v>1582802.1721741669</v>
      </c>
      <c r="AC1415">
        <v>0</v>
      </c>
      <c r="AD1415">
        <v>5468.1961309588396</v>
      </c>
      <c r="AE1415">
        <v>9842753.0357259121</v>
      </c>
      <c r="AF1415">
        <v>9842753.0357259121</v>
      </c>
      <c r="AG1415">
        <v>433.16676552335099</v>
      </c>
      <c r="AJ1415">
        <v>51441.070595660422</v>
      </c>
      <c r="AK1415">
        <v>854.70085470085473</v>
      </c>
      <c r="AL1415" t="s">
        <v>93</v>
      </c>
      <c r="AN1415">
        <v>1962.635631634751</v>
      </c>
      <c r="AR1415">
        <v>5.2262888654166662E-3</v>
      </c>
      <c r="AS1415">
        <v>118.7558111331774</v>
      </c>
      <c r="AU1415">
        <v>4.5309007704307591</v>
      </c>
      <c r="AZ1415" t="s">
        <v>151</v>
      </c>
      <c r="BA1415" t="str">
        <f>VLOOKUP($AZ1415,Sheet1!$A$2:$B$58,2)</f>
        <v>Styrene</v>
      </c>
      <c r="BB1415" t="s">
        <v>196</v>
      </c>
      <c r="BC1415">
        <v>104.14832</v>
      </c>
      <c r="BD1415">
        <v>5</v>
      </c>
      <c r="BE1415">
        <v>145</v>
      </c>
      <c r="BF1415" t="s">
        <v>222</v>
      </c>
      <c r="BG1415">
        <v>-15.801572917616641</v>
      </c>
      <c r="BH1415">
        <v>2.6742301458671E-2</v>
      </c>
      <c r="BI1415">
        <v>5.7714492407549001E-2</v>
      </c>
      <c r="BJ1415">
        <v>80</v>
      </c>
      <c r="BO1415">
        <v>7170.9123690025199</v>
      </c>
    </row>
    <row r="1416" spans="1:67" x14ac:dyDescent="0.25">
      <c r="A1416" s="1">
        <v>1414</v>
      </c>
      <c r="B1416" t="s">
        <v>79</v>
      </c>
      <c r="C1416" t="s">
        <v>88</v>
      </c>
      <c r="D1416">
        <v>1</v>
      </c>
      <c r="E1416">
        <v>0</v>
      </c>
      <c r="F1416">
        <v>2</v>
      </c>
      <c r="G1416">
        <v>44.008699999999997</v>
      </c>
      <c r="H1416">
        <v>2</v>
      </c>
      <c r="I1416" t="s">
        <v>89</v>
      </c>
      <c r="J1416">
        <v>3</v>
      </c>
      <c r="K1416">
        <v>300</v>
      </c>
      <c r="L1416">
        <v>100</v>
      </c>
      <c r="Q1416">
        <v>3.2500000000000001E-2</v>
      </c>
      <c r="R1416">
        <v>77.5</v>
      </c>
      <c r="S1416">
        <v>170</v>
      </c>
      <c r="U1416">
        <v>1812.1301775147931</v>
      </c>
      <c r="V1416">
        <v>20</v>
      </c>
      <c r="W1416">
        <v>0.95</v>
      </c>
      <c r="X1416">
        <v>1</v>
      </c>
      <c r="Y1416">
        <v>117043.843332807</v>
      </c>
      <c r="Z1416">
        <v>351131529.99842089</v>
      </c>
      <c r="AA1416">
        <v>1053394589.995263</v>
      </c>
      <c r="AB1416">
        <v>1053394.5899952629</v>
      </c>
      <c r="AC1416">
        <v>0</v>
      </c>
      <c r="AD1416">
        <v>3639.2218324244491</v>
      </c>
      <c r="AE1416">
        <v>6550599.2983640078</v>
      </c>
      <c r="AF1416">
        <v>6550599.2983640078</v>
      </c>
      <c r="AG1416">
        <v>288.28335934191222</v>
      </c>
      <c r="AJ1416">
        <v>34235.324174846042</v>
      </c>
      <c r="AK1416">
        <v>854.70085470085473</v>
      </c>
      <c r="AL1416" t="s">
        <v>93</v>
      </c>
      <c r="AN1416">
        <v>1306.1832949446371</v>
      </c>
      <c r="AR1416">
        <v>5.2262888654166654E-3</v>
      </c>
      <c r="AS1416">
        <v>118.7558111331774</v>
      </c>
      <c r="AU1416">
        <v>4.5309007704307591</v>
      </c>
      <c r="AZ1416" t="s">
        <v>138</v>
      </c>
      <c r="BA1416" t="str">
        <f>VLOOKUP($AZ1416,Sheet1!$A$2:$B$58,2)</f>
        <v>Limonene</v>
      </c>
      <c r="BB1416" t="s">
        <v>186</v>
      </c>
      <c r="BC1416">
        <v>136.23244</v>
      </c>
      <c r="BD1416">
        <v>5.6</v>
      </c>
      <c r="BE1416">
        <v>176</v>
      </c>
      <c r="BF1416" t="s">
        <v>222</v>
      </c>
      <c r="BG1416">
        <v>-10.45509892037197</v>
      </c>
      <c r="BH1416">
        <v>3.0898876404494301E-2</v>
      </c>
      <c r="BI1416">
        <v>8.67202326803376E-2</v>
      </c>
      <c r="BJ1416">
        <v>80</v>
      </c>
      <c r="BO1416">
        <v>5104.2793575694304</v>
      </c>
    </row>
    <row r="1417" spans="1:67" x14ac:dyDescent="0.25">
      <c r="A1417" s="1">
        <v>1415</v>
      </c>
      <c r="B1417" t="s">
        <v>79</v>
      </c>
      <c r="C1417" t="s">
        <v>88</v>
      </c>
      <c r="D1417">
        <v>1</v>
      </c>
      <c r="E1417">
        <v>0</v>
      </c>
      <c r="F1417">
        <v>2</v>
      </c>
      <c r="G1417">
        <v>44.008699999999997</v>
      </c>
      <c r="H1417">
        <v>2</v>
      </c>
      <c r="I1417" t="s">
        <v>89</v>
      </c>
      <c r="J1417">
        <v>3</v>
      </c>
      <c r="K1417">
        <v>300</v>
      </c>
      <c r="L1417">
        <v>100</v>
      </c>
      <c r="Q1417">
        <v>3.2500000000000001E-2</v>
      </c>
      <c r="R1417">
        <v>77.5</v>
      </c>
      <c r="S1417">
        <v>170</v>
      </c>
      <c r="U1417">
        <v>1812.1301775147931</v>
      </c>
      <c r="V1417">
        <v>20</v>
      </c>
      <c r="W1417">
        <v>0.95</v>
      </c>
      <c r="X1417">
        <v>1</v>
      </c>
      <c r="Y1417">
        <v>33565.721491377393</v>
      </c>
      <c r="Z1417">
        <v>100697164.4741322</v>
      </c>
      <c r="AA1417">
        <v>302091493.42239648</v>
      </c>
      <c r="AB1417">
        <v>302091.49342239648</v>
      </c>
      <c r="AC1417">
        <v>0</v>
      </c>
      <c r="AD1417">
        <v>1043.6525578296701</v>
      </c>
      <c r="AE1417">
        <v>1878574.604093405</v>
      </c>
      <c r="AF1417">
        <v>1878574.604093405</v>
      </c>
      <c r="AG1417">
        <v>82.673626179165453</v>
      </c>
      <c r="AJ1417">
        <v>9817.9735362278861</v>
      </c>
      <c r="AK1417">
        <v>854.70085470085473</v>
      </c>
      <c r="AL1417" t="s">
        <v>93</v>
      </c>
      <c r="AN1417">
        <v>374.58599654948529</v>
      </c>
      <c r="AR1417">
        <v>5.2262888654166662E-3</v>
      </c>
      <c r="AS1417">
        <v>118.7558111331774</v>
      </c>
      <c r="AU1417">
        <v>4.53090077043076</v>
      </c>
      <c r="AZ1417" t="s">
        <v>140</v>
      </c>
      <c r="BA1417" t="str">
        <f>VLOOKUP($AZ1417,Sheet1!$A$2:$B$58,2)</f>
        <v>L-Malate</v>
      </c>
      <c r="BB1417" t="s">
        <v>188</v>
      </c>
      <c r="BC1417">
        <v>132.06916000000001</v>
      </c>
      <c r="BD1417">
        <v>2.5</v>
      </c>
      <c r="BF1417" t="s">
        <v>222</v>
      </c>
      <c r="BG1417">
        <v>-3.0294045111736079</v>
      </c>
      <c r="BH1417">
        <v>0.11</v>
      </c>
      <c r="BI1417">
        <v>0.30239389700678498</v>
      </c>
      <c r="BJ1417">
        <v>80</v>
      </c>
      <c r="BO1417">
        <v>1333.0149464196199</v>
      </c>
    </row>
    <row r="1418" spans="1:67" x14ac:dyDescent="0.25">
      <c r="A1418" s="1">
        <v>1416</v>
      </c>
      <c r="B1418" t="s">
        <v>79</v>
      </c>
      <c r="C1418" t="s">
        <v>88</v>
      </c>
      <c r="D1418">
        <v>1</v>
      </c>
      <c r="E1418">
        <v>0</v>
      </c>
      <c r="F1418">
        <v>2</v>
      </c>
      <c r="G1418">
        <v>44.008699999999997</v>
      </c>
      <c r="H1418">
        <v>2</v>
      </c>
      <c r="I1418" t="s">
        <v>89</v>
      </c>
      <c r="J1418">
        <v>3</v>
      </c>
      <c r="K1418">
        <v>300</v>
      </c>
      <c r="L1418">
        <v>100</v>
      </c>
      <c r="Q1418">
        <v>3.2500000000000001E-2</v>
      </c>
      <c r="R1418">
        <v>77.5</v>
      </c>
      <c r="S1418">
        <v>170</v>
      </c>
      <c r="U1418">
        <v>1812.1301775147931</v>
      </c>
      <c r="V1418">
        <v>20</v>
      </c>
      <c r="W1418">
        <v>0.95</v>
      </c>
      <c r="X1418">
        <v>1</v>
      </c>
      <c r="Y1418">
        <v>33418.339923802472</v>
      </c>
      <c r="Z1418">
        <v>100255019.7714074</v>
      </c>
      <c r="AA1418">
        <v>300765059.31422222</v>
      </c>
      <c r="AB1418">
        <v>300765.05931422219</v>
      </c>
      <c r="AC1418">
        <v>0</v>
      </c>
      <c r="AD1418">
        <v>1039.070050940431</v>
      </c>
      <c r="AE1418">
        <v>1870326.091692775</v>
      </c>
      <c r="AF1418">
        <v>1870326.091692775</v>
      </c>
      <c r="AG1418">
        <v>82.310619871479858</v>
      </c>
      <c r="AJ1418">
        <v>9774.8644277122221</v>
      </c>
      <c r="AK1418">
        <v>854.70085470085473</v>
      </c>
      <c r="AL1418" t="s">
        <v>93</v>
      </c>
      <c r="AN1418">
        <v>372.94125099032152</v>
      </c>
      <c r="AR1418">
        <v>5.2262888654166654E-3</v>
      </c>
      <c r="AS1418">
        <v>118.7558111331774</v>
      </c>
      <c r="AU1418">
        <v>4.53090077043076</v>
      </c>
      <c r="AZ1418" t="s">
        <v>152</v>
      </c>
      <c r="BA1418" t="str">
        <f>VLOOKUP($AZ1418,Sheet1!$A$2:$B$58,2)</f>
        <v>Succinate</v>
      </c>
      <c r="BB1418" t="s">
        <v>197</v>
      </c>
      <c r="BC1418">
        <v>116.07016</v>
      </c>
      <c r="BD1418">
        <v>3</v>
      </c>
      <c r="BE1418">
        <v>235</v>
      </c>
      <c r="BF1418" t="s">
        <v>222</v>
      </c>
      <c r="BG1418">
        <v>-3.0161028937544958</v>
      </c>
      <c r="BH1418">
        <v>0.125714285714285</v>
      </c>
      <c r="BI1418">
        <v>0.30372751461518699</v>
      </c>
      <c r="BJ1418">
        <v>80</v>
      </c>
      <c r="BO1418">
        <v>1327.3495393803601</v>
      </c>
    </row>
    <row r="1419" spans="1:67" x14ac:dyDescent="0.25">
      <c r="A1419" s="1">
        <v>1417</v>
      </c>
      <c r="B1419" t="s">
        <v>79</v>
      </c>
      <c r="C1419" t="s">
        <v>88</v>
      </c>
      <c r="D1419">
        <v>1</v>
      </c>
      <c r="E1419">
        <v>0</v>
      </c>
      <c r="F1419">
        <v>2</v>
      </c>
      <c r="G1419">
        <v>44.008699999999997</v>
      </c>
      <c r="H1419">
        <v>2</v>
      </c>
      <c r="I1419" t="s">
        <v>89</v>
      </c>
      <c r="J1419">
        <v>3</v>
      </c>
      <c r="K1419">
        <v>300</v>
      </c>
      <c r="L1419">
        <v>100</v>
      </c>
      <c r="Q1419">
        <v>3.2500000000000001E-2</v>
      </c>
      <c r="R1419">
        <v>77.5</v>
      </c>
      <c r="S1419">
        <v>170</v>
      </c>
      <c r="U1419">
        <v>1812.1301775147931</v>
      </c>
      <c r="V1419">
        <v>20</v>
      </c>
      <c r="W1419">
        <v>0.95</v>
      </c>
      <c r="X1419">
        <v>1</v>
      </c>
      <c r="Y1419">
        <v>73842.004611558703</v>
      </c>
      <c r="Z1419">
        <v>221526013.83467609</v>
      </c>
      <c r="AA1419">
        <v>664578041.50402832</v>
      </c>
      <c r="AB1419">
        <v>664578.04150402837</v>
      </c>
      <c r="AC1419">
        <v>0</v>
      </c>
      <c r="AD1419">
        <v>2295.9553247774111</v>
      </c>
      <c r="AE1419">
        <v>4132719.5845993399</v>
      </c>
      <c r="AF1419">
        <v>4132719.5845993399</v>
      </c>
      <c r="AG1419">
        <v>181.87561638275699</v>
      </c>
      <c r="AJ1419">
        <v>21598.78634888092</v>
      </c>
      <c r="AK1419">
        <v>854.70085470085473</v>
      </c>
      <c r="AL1419" t="s">
        <v>93</v>
      </c>
      <c r="AN1419">
        <v>824.06037039120281</v>
      </c>
      <c r="AR1419">
        <v>5.2262888654166671E-3</v>
      </c>
      <c r="AS1419">
        <v>118.7558111331775</v>
      </c>
      <c r="AU1419">
        <v>4.5309007704307591</v>
      </c>
      <c r="AZ1419" t="s">
        <v>130</v>
      </c>
      <c r="BA1419" t="str">
        <f>VLOOKUP($AZ1419,Sheet1!$A$2:$B$58,2)</f>
        <v>Glycolate</v>
      </c>
      <c r="BB1419" t="s">
        <v>180</v>
      </c>
      <c r="BC1419">
        <v>75.041920000000005</v>
      </c>
      <c r="BD1419">
        <v>2.5</v>
      </c>
      <c r="BE1419">
        <v>112</v>
      </c>
      <c r="BF1419" t="s">
        <v>222</v>
      </c>
      <c r="BG1419">
        <v>-6.664456831110356</v>
      </c>
      <c r="BH1419">
        <v>8.7999999999999995E-2</v>
      </c>
      <c r="BI1419">
        <v>0.13745657882685899</v>
      </c>
      <c r="BJ1419">
        <v>80</v>
      </c>
      <c r="BO1419">
        <v>2881.2515519825401</v>
      </c>
    </row>
    <row r="1420" spans="1:67" x14ac:dyDescent="0.25">
      <c r="A1420" s="1">
        <v>1418</v>
      </c>
      <c r="B1420" t="s">
        <v>79</v>
      </c>
      <c r="C1420" t="s">
        <v>88</v>
      </c>
      <c r="D1420">
        <v>1</v>
      </c>
      <c r="E1420">
        <v>0</v>
      </c>
      <c r="F1420">
        <v>2</v>
      </c>
      <c r="G1420">
        <v>44.008699999999997</v>
      </c>
      <c r="H1420">
        <v>2</v>
      </c>
      <c r="I1420" t="s">
        <v>89</v>
      </c>
      <c r="J1420">
        <v>3</v>
      </c>
      <c r="K1420">
        <v>300</v>
      </c>
      <c r="L1420">
        <v>100</v>
      </c>
      <c r="Q1420">
        <v>3.2500000000000001E-2</v>
      </c>
      <c r="R1420">
        <v>77.5</v>
      </c>
      <c r="S1420">
        <v>170</v>
      </c>
      <c r="U1420">
        <v>1812.1301775147931</v>
      </c>
      <c r="V1420">
        <v>20</v>
      </c>
      <c r="W1420">
        <v>0.95</v>
      </c>
      <c r="X1420">
        <v>1</v>
      </c>
      <c r="Y1420">
        <v>35164.577238066253</v>
      </c>
      <c r="Z1420">
        <v>105493731.71419869</v>
      </c>
      <c r="AA1420">
        <v>316481195.14259619</v>
      </c>
      <c r="AB1420">
        <v>316481.19514259632</v>
      </c>
      <c r="AC1420">
        <v>0</v>
      </c>
      <c r="AD1420">
        <v>1093.365473729933</v>
      </c>
      <c r="AE1420">
        <v>1968057.852713879</v>
      </c>
      <c r="AF1420">
        <v>1968057.852713879</v>
      </c>
      <c r="AG1420">
        <v>86.611667622729286</v>
      </c>
      <c r="AJ1420">
        <v>10285.63884213438</v>
      </c>
      <c r="AK1420">
        <v>854.70085470085473</v>
      </c>
      <c r="AL1420" t="s">
        <v>93</v>
      </c>
      <c r="AN1420">
        <v>392.42887156011687</v>
      </c>
      <c r="AR1420">
        <v>5.2262888654166662E-3</v>
      </c>
      <c r="AS1420">
        <v>118.7558111331774</v>
      </c>
      <c r="AU1420">
        <v>4.5309007704307591</v>
      </c>
      <c r="AZ1420" t="s">
        <v>123</v>
      </c>
      <c r="BA1420" t="str">
        <f>VLOOKUP($AZ1420,Sheet1!$A$2:$B$58,2)</f>
        <v>Citrate</v>
      </c>
      <c r="BB1420" t="s">
        <v>173</v>
      </c>
      <c r="BC1420">
        <v>189.09639999999999</v>
      </c>
      <c r="BD1420">
        <v>2.5</v>
      </c>
      <c r="BF1420" t="s">
        <v>222</v>
      </c>
      <c r="BG1420">
        <v>-3.1737059173858788</v>
      </c>
      <c r="BH1420">
        <v>7.3333333333332903E-2</v>
      </c>
      <c r="BI1420">
        <v>0.288644713653329</v>
      </c>
      <c r="BJ1420">
        <v>80</v>
      </c>
      <c r="BO1420">
        <v>1394.4756076889801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E7122-0215-4295-A90E-A2B9149BD868}">
  <dimension ref="A1:B58"/>
  <sheetViews>
    <sheetView workbookViewId="0">
      <selection activeCell="G7" sqref="G7"/>
    </sheetView>
  </sheetViews>
  <sheetFormatPr defaultRowHeight="15" x14ac:dyDescent="0.25"/>
  <sheetData>
    <row r="1" spans="1:2" x14ac:dyDescent="0.25">
      <c r="B1" s="2" t="s">
        <v>224</v>
      </c>
    </row>
    <row r="2" spans="1:2" x14ac:dyDescent="0.25">
      <c r="A2" t="s">
        <v>96</v>
      </c>
      <c r="B2" s="2" t="s">
        <v>225</v>
      </c>
    </row>
    <row r="3" spans="1:2" x14ac:dyDescent="0.25">
      <c r="A3" t="s">
        <v>97</v>
      </c>
      <c r="B3" s="2" t="s">
        <v>226</v>
      </c>
    </row>
    <row r="4" spans="1:2" x14ac:dyDescent="0.25">
      <c r="A4" t="s">
        <v>98</v>
      </c>
      <c r="B4" s="2" t="s">
        <v>227</v>
      </c>
    </row>
    <row r="5" spans="1:2" x14ac:dyDescent="0.25">
      <c r="A5" t="s">
        <v>99</v>
      </c>
      <c r="B5" s="2" t="s">
        <v>228</v>
      </c>
    </row>
    <row r="6" spans="1:2" x14ac:dyDescent="0.25">
      <c r="A6" t="s">
        <v>100</v>
      </c>
      <c r="B6" s="2" t="s">
        <v>229</v>
      </c>
    </row>
    <row r="7" spans="1:2" x14ac:dyDescent="0.25">
      <c r="A7" t="s">
        <v>101</v>
      </c>
      <c r="B7" s="2" t="s">
        <v>230</v>
      </c>
    </row>
    <row r="8" spans="1:2" x14ac:dyDescent="0.25">
      <c r="A8" t="s">
        <v>102</v>
      </c>
      <c r="B8" s="2" t="s">
        <v>231</v>
      </c>
    </row>
    <row r="9" spans="1:2" x14ac:dyDescent="0.25">
      <c r="A9" t="s">
        <v>103</v>
      </c>
      <c r="B9" s="2" t="s">
        <v>232</v>
      </c>
    </row>
    <row r="10" spans="1:2" x14ac:dyDescent="0.25">
      <c r="A10" t="s">
        <v>104</v>
      </c>
      <c r="B10" s="2" t="s">
        <v>104</v>
      </c>
    </row>
    <row r="11" spans="1:2" x14ac:dyDescent="0.25">
      <c r="A11" t="s">
        <v>105</v>
      </c>
      <c r="B11" s="2" t="s">
        <v>233</v>
      </c>
    </row>
    <row r="12" spans="1:2" x14ac:dyDescent="0.25">
      <c r="A12" t="s">
        <v>106</v>
      </c>
      <c r="B12" s="2" t="s">
        <v>106</v>
      </c>
    </row>
    <row r="13" spans="1:2" x14ac:dyDescent="0.25">
      <c r="A13" t="s">
        <v>107</v>
      </c>
      <c r="B13" s="2" t="s">
        <v>107</v>
      </c>
    </row>
    <row r="14" spans="1:2" x14ac:dyDescent="0.25">
      <c r="A14" t="s">
        <v>108</v>
      </c>
      <c r="B14" s="2" t="s">
        <v>108</v>
      </c>
    </row>
    <row r="15" spans="1:2" x14ac:dyDescent="0.25">
      <c r="A15" t="s">
        <v>109</v>
      </c>
      <c r="B15" s="2" t="s">
        <v>109</v>
      </c>
    </row>
    <row r="16" spans="1:2" x14ac:dyDescent="0.25">
      <c r="A16" t="s">
        <v>110</v>
      </c>
      <c r="B16" s="2" t="s">
        <v>234</v>
      </c>
    </row>
    <row r="17" spans="1:2" x14ac:dyDescent="0.25">
      <c r="A17" t="s">
        <v>111</v>
      </c>
      <c r="B17" s="2" t="s">
        <v>235</v>
      </c>
    </row>
    <row r="18" spans="1:2" x14ac:dyDescent="0.25">
      <c r="A18" t="s">
        <v>112</v>
      </c>
      <c r="B18" s="2" t="s">
        <v>112</v>
      </c>
    </row>
    <row r="19" spans="1:2" x14ac:dyDescent="0.25">
      <c r="A19" t="s">
        <v>113</v>
      </c>
      <c r="B19" s="2" t="s">
        <v>236</v>
      </c>
    </row>
    <row r="20" spans="1:2" x14ac:dyDescent="0.25">
      <c r="A20" t="s">
        <v>114</v>
      </c>
      <c r="B20" s="2" t="s">
        <v>237</v>
      </c>
    </row>
    <row r="21" spans="1:2" x14ac:dyDescent="0.25">
      <c r="A21" t="s">
        <v>115</v>
      </c>
      <c r="B21" s="2" t="s">
        <v>238</v>
      </c>
    </row>
    <row r="22" spans="1:2" x14ac:dyDescent="0.25">
      <c r="A22" t="s">
        <v>116</v>
      </c>
      <c r="B22" s="2" t="s">
        <v>239</v>
      </c>
    </row>
    <row r="23" spans="1:2" x14ac:dyDescent="0.25">
      <c r="A23" t="s">
        <v>117</v>
      </c>
      <c r="B23" s="2" t="s">
        <v>117</v>
      </c>
    </row>
    <row r="24" spans="1:2" x14ac:dyDescent="0.25">
      <c r="A24" t="s">
        <v>118</v>
      </c>
      <c r="B24" s="2" t="s">
        <v>240</v>
      </c>
    </row>
    <row r="25" spans="1:2" x14ac:dyDescent="0.25">
      <c r="A25" t="s">
        <v>119</v>
      </c>
      <c r="B25" s="2" t="s">
        <v>241</v>
      </c>
    </row>
    <row r="26" spans="1:2" x14ac:dyDescent="0.25">
      <c r="A26" t="s">
        <v>120</v>
      </c>
      <c r="B26" s="2" t="s">
        <v>120</v>
      </c>
    </row>
    <row r="27" spans="1:2" x14ac:dyDescent="0.25">
      <c r="A27" t="s">
        <v>121</v>
      </c>
      <c r="B27" s="2" t="s">
        <v>121</v>
      </c>
    </row>
    <row r="28" spans="1:2" x14ac:dyDescent="0.25">
      <c r="A28" t="s">
        <v>122</v>
      </c>
      <c r="B28" s="2" t="s">
        <v>242</v>
      </c>
    </row>
    <row r="29" spans="1:2" x14ac:dyDescent="0.25">
      <c r="A29" t="s">
        <v>123</v>
      </c>
      <c r="B29" s="2" t="s">
        <v>123</v>
      </c>
    </row>
    <row r="30" spans="1:2" x14ac:dyDescent="0.25">
      <c r="A30" t="s">
        <v>124</v>
      </c>
      <c r="B30" s="2" t="s">
        <v>243</v>
      </c>
    </row>
    <row r="31" spans="1:2" x14ac:dyDescent="0.25">
      <c r="A31" t="s">
        <v>125</v>
      </c>
      <c r="B31" s="2" t="s">
        <v>244</v>
      </c>
    </row>
    <row r="32" spans="1:2" x14ac:dyDescent="0.25">
      <c r="A32" t="s">
        <v>126</v>
      </c>
      <c r="B32" s="2" t="s">
        <v>126</v>
      </c>
    </row>
    <row r="33" spans="1:2" x14ac:dyDescent="0.25">
      <c r="A33" t="s">
        <v>127</v>
      </c>
      <c r="B33" s="2" t="s">
        <v>245</v>
      </c>
    </row>
    <row r="34" spans="1:2" x14ac:dyDescent="0.25">
      <c r="A34" t="s">
        <v>128</v>
      </c>
      <c r="B34" s="2" t="s">
        <v>246</v>
      </c>
    </row>
    <row r="35" spans="1:2" x14ac:dyDescent="0.25">
      <c r="A35" t="s">
        <v>129</v>
      </c>
      <c r="B35" s="2" t="s">
        <v>129</v>
      </c>
    </row>
    <row r="36" spans="1:2" x14ac:dyDescent="0.25">
      <c r="A36" t="s">
        <v>130</v>
      </c>
      <c r="B36" s="2" t="s">
        <v>130</v>
      </c>
    </row>
    <row r="37" spans="1:2" x14ac:dyDescent="0.25">
      <c r="A37" t="s">
        <v>131</v>
      </c>
      <c r="B37" s="2" t="s">
        <v>131</v>
      </c>
    </row>
    <row r="38" spans="1:2" x14ac:dyDescent="0.25">
      <c r="A38" t="s">
        <v>132</v>
      </c>
      <c r="B38" s="2" t="s">
        <v>132</v>
      </c>
    </row>
    <row r="39" spans="1:2" x14ac:dyDescent="0.25">
      <c r="A39" t="s">
        <v>133</v>
      </c>
      <c r="B39" s="2" t="s">
        <v>133</v>
      </c>
    </row>
    <row r="40" spans="1:2" x14ac:dyDescent="0.25">
      <c r="A40" t="s">
        <v>134</v>
      </c>
      <c r="B40" s="2" t="s">
        <v>134</v>
      </c>
    </row>
    <row r="41" spans="1:2" x14ac:dyDescent="0.25">
      <c r="A41" t="s">
        <v>135</v>
      </c>
      <c r="B41" s="2" t="s">
        <v>135</v>
      </c>
    </row>
    <row r="42" spans="1:2" x14ac:dyDescent="0.25">
      <c r="A42" t="s">
        <v>136</v>
      </c>
      <c r="B42" s="2" t="s">
        <v>136</v>
      </c>
    </row>
    <row r="43" spans="1:2" x14ac:dyDescent="0.25">
      <c r="A43" t="s">
        <v>137</v>
      </c>
      <c r="B43" s="2" t="s">
        <v>137</v>
      </c>
    </row>
    <row r="44" spans="1:2" x14ac:dyDescent="0.25">
      <c r="A44" t="s">
        <v>138</v>
      </c>
      <c r="B44" s="2" t="s">
        <v>138</v>
      </c>
    </row>
    <row r="45" spans="1:2" x14ac:dyDescent="0.25">
      <c r="A45" t="s">
        <v>139</v>
      </c>
      <c r="B45" s="2" t="s">
        <v>247</v>
      </c>
    </row>
    <row r="46" spans="1:2" x14ac:dyDescent="0.25">
      <c r="A46" t="s">
        <v>140</v>
      </c>
      <c r="B46" s="2" t="s">
        <v>248</v>
      </c>
    </row>
    <row r="47" spans="1:2" x14ac:dyDescent="0.25">
      <c r="A47" t="s">
        <v>141</v>
      </c>
      <c r="B47" s="2" t="s">
        <v>141</v>
      </c>
    </row>
    <row r="48" spans="1:2" x14ac:dyDescent="0.25">
      <c r="A48" t="s">
        <v>142</v>
      </c>
      <c r="B48" s="2" t="s">
        <v>142</v>
      </c>
    </row>
    <row r="49" spans="1:2" x14ac:dyDescent="0.25">
      <c r="A49" t="s">
        <v>143</v>
      </c>
      <c r="B49" s="2" t="s">
        <v>143</v>
      </c>
    </row>
    <row r="50" spans="1:2" x14ac:dyDescent="0.25">
      <c r="A50" t="s">
        <v>144</v>
      </c>
      <c r="B50" s="2" t="s">
        <v>144</v>
      </c>
    </row>
    <row r="51" spans="1:2" x14ac:dyDescent="0.25">
      <c r="A51" t="s">
        <v>145</v>
      </c>
      <c r="B51" s="2" t="s">
        <v>249</v>
      </c>
    </row>
    <row r="52" spans="1:2" x14ac:dyDescent="0.25">
      <c r="A52" t="s">
        <v>146</v>
      </c>
      <c r="B52" s="2" t="s">
        <v>250</v>
      </c>
    </row>
    <row r="53" spans="1:2" x14ac:dyDescent="0.25">
      <c r="A53" t="s">
        <v>147</v>
      </c>
      <c r="B53" s="2" t="s">
        <v>147</v>
      </c>
    </row>
    <row r="54" spans="1:2" x14ac:dyDescent="0.25">
      <c r="A54" t="s">
        <v>148</v>
      </c>
      <c r="B54" s="2" t="s">
        <v>251</v>
      </c>
    </row>
    <row r="55" spans="1:2" x14ac:dyDescent="0.25">
      <c r="A55" t="s">
        <v>149</v>
      </c>
      <c r="B55" s="2" t="s">
        <v>252</v>
      </c>
    </row>
    <row r="56" spans="1:2" x14ac:dyDescent="0.25">
      <c r="A56" t="s">
        <v>150</v>
      </c>
      <c r="B56" s="2" t="s">
        <v>150</v>
      </c>
    </row>
    <row r="57" spans="1:2" x14ac:dyDescent="0.25">
      <c r="A57" t="s">
        <v>151</v>
      </c>
      <c r="B57" s="2" t="s">
        <v>151</v>
      </c>
    </row>
    <row r="58" spans="1:2" x14ac:dyDescent="0.25">
      <c r="A58" t="s">
        <v>152</v>
      </c>
      <c r="B58" s="2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Overall-ECR-Bio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Austin Zheng</cp:lastModifiedBy>
  <dcterms:created xsi:type="dcterms:W3CDTF">2023-12-15T16:18:11Z</dcterms:created>
  <dcterms:modified xsi:type="dcterms:W3CDTF">2023-12-15T16:22:33Z</dcterms:modified>
</cp:coreProperties>
</file>